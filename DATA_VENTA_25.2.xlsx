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IFERROR(__xludf.DUMMYFUNCTION("""COMPUTED_VALUE"""),"CONFIRMADO INICIA UCAL")</f>
        <v>CONFIRMADO INICIA UCAL</v>
      </c>
      <c r="BF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/>
      <c r="BD2" s="1" t="str">
        <f>IFERROR(__xludf.DUMMYFUNCTION("""COMPUTED_VALUE""")," -")</f>
        <v> -</v>
      </c>
      <c r="BE2" s="1">
        <f>IFERROR(__xludf.DUMMYFUNCTION("""COMPUTED_VALUE"""),0.0)</f>
        <v>0</v>
      </c>
      <c r="BF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>
        <f>IFERROR(__xludf.DUMMYFUNCTION("""COMPUTED_VALUE"""),0.0)</f>
        <v>0</v>
      </c>
      <c r="BD3" s="1" t="str">
        <f>IFERROR(__xludf.DUMMYFUNCTION("""COMPUTED_VALUE""")," -")</f>
        <v> -</v>
      </c>
      <c r="BE3" s="1">
        <f>IFERROR(__xludf.DUMMYFUNCTION("""COMPUTED_VALUE"""),0.0)</f>
        <v>0</v>
      </c>
      <c r="BF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>
        <f>IFERROR(__xludf.DUMMYFUNCTION("""COMPUTED_VALUE"""),0.0)</f>
        <v>0</v>
      </c>
      <c r="BF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/>
      <c r="BD5" s="1" t="str">
        <f>IFERROR(__xludf.DUMMYFUNCTION("""COMPUTED_VALUE""")," -")</f>
        <v> -</v>
      </c>
      <c r="BE5" s="1">
        <f>IFERROR(__xludf.DUMMYFUNCTION("""COMPUTED_VALUE"""),0.0)</f>
        <v>0</v>
      </c>
      <c r="BF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/>
      <c r="BD6" s="1" t="str">
        <f>IFERROR(__xludf.DUMMYFUNCTION("""COMPUTED_VALUE""")," -")</f>
        <v> -</v>
      </c>
      <c r="BE6" s="1">
        <f>IFERROR(__xludf.DUMMYFUNCTION("""COMPUTED_VALUE"""),0.0)</f>
        <v>0</v>
      </c>
      <c r="BF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/>
      <c r="BD7" s="1" t="str">
        <f>IFERROR(__xludf.DUMMYFUNCTION("""COMPUTED_VALUE""")," -")</f>
        <v> -</v>
      </c>
      <c r="BE7" s="1">
        <f>IFERROR(__xludf.DUMMYFUNCTION("""COMPUTED_VALUE"""),0.0)</f>
        <v>0</v>
      </c>
      <c r="BF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>
        <f>IFERROR(__xludf.DUMMYFUNCTION("""COMPUTED_VALUE"""),0.0)</f>
        <v>0</v>
      </c>
      <c r="BF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/>
      <c r="BD9" s="1" t="str">
        <f>IFERROR(__xludf.DUMMYFUNCTION("""COMPUTED_VALUE""")," -")</f>
        <v> -</v>
      </c>
      <c r="BE9" s="1">
        <f>IFERROR(__xludf.DUMMYFUNCTION("""COMPUTED_VALUE"""),0.0)</f>
        <v>0</v>
      </c>
      <c r="BF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/>
      <c r="BD10" s="1" t="str">
        <f>IFERROR(__xludf.DUMMYFUNCTION("""COMPUTED_VALUE""")," -")</f>
        <v> -</v>
      </c>
      <c r="BE10" s="1">
        <f>IFERROR(__xludf.DUMMYFUNCTION("""COMPUTED_VALUE"""),0.0)</f>
        <v>0</v>
      </c>
      <c r="BF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>
        <f>IFERROR(__xludf.DUMMYFUNCTION("""COMPUTED_VALUE"""),0.0)</f>
        <v>0</v>
      </c>
      <c r="BF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>
        <f>IFERROR(__xludf.DUMMYFUNCTION("""COMPUTED_VALUE"""),0.0)</f>
        <v>0</v>
      </c>
      <c r="BF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>
        <f>IFERROR(__xludf.DUMMYFUNCTION("""COMPUTED_VALUE"""),0.0)</f>
        <v>0</v>
      </c>
      <c r="BF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/>
      <c r="BD14" s="1" t="str">
        <f>IFERROR(__xludf.DUMMYFUNCTION("""COMPUTED_VALUE""")," -")</f>
        <v> -</v>
      </c>
      <c r="BE14" s="1">
        <f>IFERROR(__xludf.DUMMYFUNCTION("""COMPUTED_VALUE"""),0.0)</f>
        <v>0</v>
      </c>
      <c r="BF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/>
      <c r="BD15" s="1" t="str">
        <f>IFERROR(__xludf.DUMMYFUNCTION("""COMPUTED_VALUE""")," -")</f>
        <v> -</v>
      </c>
      <c r="BE15" s="1">
        <f>IFERROR(__xludf.DUMMYFUNCTION("""COMPUTED_VALUE"""),0.0)</f>
        <v>0</v>
      </c>
      <c r="BF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>
        <f>IFERROR(__xludf.DUMMYFUNCTION("""COMPUTED_VALUE"""),0.0)</f>
        <v>0</v>
      </c>
      <c r="BF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IFERROR(__xludf.DUMMYFUNCTION("""COMPUTED_VALUE"""),"Certus")</f>
        <v>Certus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/>
      <c r="BD17" s="1" t="str">
        <f>IFERROR(__xludf.DUMMYFUNCTION("""COMPUTED_VALUE""")," -")</f>
        <v> -</v>
      </c>
      <c r="BE17" s="1">
        <f>IFERROR(__xludf.DUMMYFUNCTION("""COMPUTED_VALUE"""),0.0)</f>
        <v>0</v>
      </c>
      <c r="BF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/>
      <c r="BD18" s="1" t="str">
        <f>IFERROR(__xludf.DUMMYFUNCTION("""COMPUTED_VALUE""")," -")</f>
        <v> -</v>
      </c>
      <c r="BE18" s="1">
        <f>IFERROR(__xludf.DUMMYFUNCTION("""COMPUTED_VALUE"""),0.0)</f>
        <v>0</v>
      </c>
      <c r="BF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/>
      <c r="BD19" s="1" t="str">
        <f>IFERROR(__xludf.DUMMYFUNCTION("""COMPUTED_VALUE""")," -")</f>
        <v> -</v>
      </c>
      <c r="BE19" s="1">
        <f>IFERROR(__xludf.DUMMYFUNCTION("""COMPUTED_VALUE"""),0.0)</f>
        <v>0</v>
      </c>
      <c r="BF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>
        <f>IFERROR(__xludf.DUMMYFUNCTION("""COMPUTED_VALUE"""),0.0)</f>
        <v>0</v>
      </c>
      <c r="BF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>
        <f>IFERROR(__xludf.DUMMYFUNCTION("""COMPUTED_VALUE"""),0.0)</f>
        <v>0</v>
      </c>
      <c r="BF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IFERROR(__xludf.DUMMYFUNCTION("""COMPUTED_VALUE"""),"Certus")</f>
        <v>Certus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/>
      <c r="BD22" s="1" t="str">
        <f>IFERROR(__xludf.DUMMYFUNCTION("""COMPUTED_VALUE""")," -")</f>
        <v> -</v>
      </c>
      <c r="BE22" s="1">
        <f>IFERROR(__xludf.DUMMYFUNCTION("""COMPUTED_VALUE"""),0.0)</f>
        <v>0</v>
      </c>
      <c r="BF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IFERROR(__xludf.DUMMYFUNCTION("""COMPUTED_VALUE"""),0.0)</f>
        <v>0</v>
      </c>
      <c r="X23" s="1" t="str">
        <f>IFERROR(__xludf.DUMMYFUNCTION("""COMPUTED_VALUE"""),"31/05/2025")</f>
        <v>31/05/2025</v>
      </c>
      <c r="Y23" s="2">
        <f>IFERROR(__xludf.DUMMYFUNCTION("""COMPUTED_VALUE"""),45807.0)</f>
        <v>45807</v>
      </c>
      <c r="Z23" s="1" t="str">
        <f>IFERROR(__xludf.DUMMYFUNCTION("""COMPUTED_VALUE"""),"PAGO COMPLETO")</f>
        <v>PAGO COMPLETO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2">
        <f>IFERROR(__xludf.DUMMYFUNCTION("""COMPUTED_VALUE"""),45803.0)</f>
        <v>45803</v>
      </c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IFERROR(__xludf.DUMMYFUNCTION("""COMPUTED_VALUE"""),139.0)</f>
        <v>139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IFERROR(__xludf.DUMMYFUNCTION("""COMPUTED_VALUE"""),1.0)</f>
        <v>1</v>
      </c>
      <c r="BB23" s="6">
        <f>IFERROR(__xludf.DUMMYFUNCTION("""COMPUTED_VALUE"""),750.0)</f>
        <v>750</v>
      </c>
      <c r="BC23" s="1"/>
      <c r="BD23" s="1" t="str">
        <f>IFERROR(__xludf.DUMMYFUNCTION("""COMPUTED_VALUE""")," -")</f>
        <v> -</v>
      </c>
      <c r="BE23" s="1">
        <f>IFERROR(__xludf.DUMMYFUNCTION("""COMPUTED_VALUE"""),0.0)</f>
        <v>0</v>
      </c>
      <c r="BF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/>
      <c r="BD24" s="1" t="str">
        <f>IFERROR(__xludf.DUMMYFUNCTION("""COMPUTED_VALUE""")," -")</f>
        <v> -</v>
      </c>
      <c r="BE24" s="1">
        <f>IFERROR(__xludf.DUMMYFUNCTION("""COMPUTED_VALUE"""),0.0)</f>
        <v>0</v>
      </c>
      <c r="BF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>
        <f>IFERROR(__xludf.DUMMYFUNCTION("""COMPUTED_VALUE"""),0.0)</f>
        <v>0</v>
      </c>
      <c r="BF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/>
      <c r="BD26" s="1" t="str">
        <f>IFERROR(__xludf.DUMMYFUNCTION("""COMPUTED_VALUE""")," -")</f>
        <v> -</v>
      </c>
      <c r="BE26" s="1">
        <f>IFERROR(__xludf.DUMMYFUNCTION("""COMPUTED_VALUE"""),0.0)</f>
        <v>0</v>
      </c>
      <c r="BF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IFERROR(__xludf.DUMMYFUNCTION("""COMPUTED_VALUE"""),9.94896575E8)</f>
        <v>994896575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>
        <f>IFERROR(__xludf.DUMMYFUNCTION("""COMPUTED_VALUE"""),0.0)</f>
        <v>0</v>
      </c>
      <c r="BF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IFERROR(__xludf.DUMMYFUNCTION("""COMPUTED_VALUE"""),0.0)</f>
        <v>0</v>
      </c>
      <c r="BD28" s="1" t="str">
        <f>IFERROR(__xludf.DUMMYFUNCTION("""COMPUTED_VALUE""")," -")</f>
        <v> -</v>
      </c>
      <c r="BE28" s="1">
        <f>IFERROR(__xludf.DUMMYFUNCTION("""COMPUTED_VALUE"""),0.0)</f>
        <v>0</v>
      </c>
      <c r="BF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>
        <f>IFERROR(__xludf.DUMMYFUNCTION("""COMPUTED_VALUE"""),1.0)</f>
        <v>1</v>
      </c>
      <c r="BF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>
        <f>IFERROR(__xludf.DUMMYFUNCTION("""COMPUTED_VALUE"""),0.0)</f>
        <v>0</v>
      </c>
      <c r="BF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/>
      <c r="BD31" s="1" t="str">
        <f>IFERROR(__xludf.DUMMYFUNCTION("""COMPUTED_VALUE""")," -")</f>
        <v> -</v>
      </c>
      <c r="BE31" s="1">
        <f>IFERROR(__xludf.DUMMYFUNCTION("""COMPUTED_VALUE"""),0.0)</f>
        <v>0</v>
      </c>
      <c r="BF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IFERROR(__xludf.DUMMYFUNCTION("""COMPUTED_VALUE"""),9.06059033E8)</f>
        <v>906059033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>
        <f>IFERROR(__xludf.DUMMYFUNCTION("""COMPUTED_VALUE"""),1.0)</f>
        <v>1</v>
      </c>
      <c r="BF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>
        <f>IFERROR(__xludf.DUMMYFUNCTION("""COMPUTED_VALUE"""),0.0)</f>
        <v>0</v>
      </c>
      <c r="BF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>
        <f>IFERROR(__xludf.DUMMYFUNCTION("""COMPUTED_VALUE"""),0.0)</f>
        <v>0</v>
      </c>
      <c r="BF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IFERROR(__xludf.DUMMYFUNCTION("""COMPUTED_VALUE"""),0.0)</f>
        <v>0</v>
      </c>
      <c r="BD35" s="1" t="str">
        <f>IFERROR(__xludf.DUMMYFUNCTION("""COMPUTED_VALUE""")," -")</f>
        <v> -</v>
      </c>
      <c r="BE35" s="1">
        <f>IFERROR(__xludf.DUMMYFUNCTION("""COMPUTED_VALUE"""),0.0)</f>
        <v>0</v>
      </c>
      <c r="BF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>
        <f>IFERROR(__xludf.DUMMYFUNCTION("""COMPUTED_VALUE"""),0.0)</f>
        <v>0</v>
      </c>
      <c r="BF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>
        <f>IFERROR(__xludf.DUMMYFUNCTION("""COMPUTED_VALUE"""),1.0)</f>
        <v>1</v>
      </c>
      <c r="BF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/>
      <c r="BD38" s="1" t="str">
        <f>IFERROR(__xludf.DUMMYFUNCTION("""COMPUTED_VALUE""")," -")</f>
        <v> -</v>
      </c>
      <c r="BE38" s="1">
        <f>IFERROR(__xludf.DUMMYFUNCTION("""COMPUTED_VALUE"""),0.0)</f>
        <v>0</v>
      </c>
      <c r="BF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>
        <f>IFERROR(__xludf.DUMMYFUNCTION("""COMPUTED_VALUE"""),1.0)</f>
        <v>1</v>
      </c>
      <c r="BF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>
        <f>IFERROR(__xludf.DUMMYFUNCTION("""COMPUTED_VALUE"""),1.0)</f>
        <v>1</v>
      </c>
      <c r="BF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>
        <f>IFERROR(__xludf.DUMMYFUNCTION("""COMPUTED_VALUE"""),1.0)</f>
        <v>1</v>
      </c>
      <c r="BF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>
        <f>IFERROR(__xludf.DUMMYFUNCTION("""COMPUTED_VALUE"""),1.0)</f>
        <v>1</v>
      </c>
      <c r="BF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IFERROR(__xludf.DUMMYFUNCTION("""COMPUTED_VALUE"""),9.92286053E8)</f>
        <v>992286053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>
        <f>IFERROR(__xludf.DUMMYFUNCTION("""COMPUTED_VALUE"""),0.0)</f>
        <v>0</v>
      </c>
      <c r="BF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IFERROR(__xludf.DUMMYFUNCTION("""COMPUTED_VALUE"""),0.0)</f>
        <v>0</v>
      </c>
      <c r="BD44" s="1" t="str">
        <f>IFERROR(__xludf.DUMMYFUNCTION("""COMPUTED_VALUE""")," -")</f>
        <v> -</v>
      </c>
      <c r="BE44" s="1">
        <f>IFERROR(__xludf.DUMMYFUNCTION("""COMPUTED_VALUE"""),0.0)</f>
        <v>0</v>
      </c>
      <c r="BF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>
        <f>IFERROR(__xludf.DUMMYFUNCTION("""COMPUTED_VALUE"""),0.0)</f>
        <v>0</v>
      </c>
      <c r="BF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>
        <f>IFERROR(__xludf.DUMMYFUNCTION("""COMPUTED_VALUE"""),0.0)</f>
        <v>0</v>
      </c>
      <c r="BF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>
        <f>IFERROR(__xludf.DUMMYFUNCTION("""COMPUTED_VALUE"""),0.0)</f>
        <v>0</v>
      </c>
      <c r="BF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/>
      <c r="BD48" s="1" t="str">
        <f>IFERROR(__xludf.DUMMYFUNCTION("""COMPUTED_VALUE""")," -")</f>
        <v> -</v>
      </c>
      <c r="BE48" s="1">
        <f>IFERROR(__xludf.DUMMYFUNCTION("""COMPUTED_VALUE"""),0.0)</f>
        <v>0</v>
      </c>
      <c r="BF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IFERROR(__xludf.DUMMYFUNCTION("""COMPUTED_VALUE"""),"ISIL")</f>
        <v>ISIL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>
        <f>IFERROR(__xludf.DUMMYFUNCTION("""COMPUTED_VALUE"""),0.0)</f>
        <v>0</v>
      </c>
      <c r="BF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IFERROR(__xludf.DUMMYFUNCTION("""COMPUTED_VALUE"""),"31/05/2025")</f>
        <v>31/05/2025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/>
      <c r="BD50" s="1" t="str">
        <f>IFERROR(__xludf.DUMMYFUNCTION("""COMPUTED_VALUE""")," -")</f>
        <v> -</v>
      </c>
      <c r="BE50" s="1">
        <f>IFERROR(__xludf.DUMMYFUNCTION("""COMPUTED_VALUE"""),0.0)</f>
        <v>0</v>
      </c>
      <c r="BF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>
        <f>IFERROR(__xludf.DUMMYFUNCTION("""COMPUTED_VALUE"""),0.0)</f>
        <v>0</v>
      </c>
      <c r="BF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>
        <f>IFERROR(__xludf.DUMMYFUNCTION("""COMPUTED_VALUE"""),0.0)</f>
        <v>0</v>
      </c>
      <c r="BF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IFERROR(__xludf.DUMMYFUNCTION("""COMPUTED_VALUE"""),0.0)</f>
        <v>0</v>
      </c>
      <c r="X53" s="1" t="str">
        <f>IFERROR(__xludf.DUMMYFUNCTION("""COMPUTED_VALUE"""),"31/05/2025")</f>
        <v>31/05/2025</v>
      </c>
      <c r="Y53" s="2">
        <f>IFERROR(__xludf.DUMMYFUNCTION("""COMPUTED_VALUE"""),45808.0)</f>
        <v>45808</v>
      </c>
      <c r="Z53" s="1" t="str">
        <f>IFERROR(__xludf.DUMMYFUNCTION("""COMPUTED_VALUE"""),"PAGO COMPLETO")</f>
        <v>PAGO COMPLETO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IFERROR(__xludf.DUMMYFUNCTION("""COMPUTED_VALUE"""),25.0)</f>
        <v>25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IFERROR(__xludf.DUMMYFUNCTION("""COMPUTED_VALUE"""),1.0)</f>
        <v>1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>
        <f>IFERROR(__xludf.DUMMYFUNCTION("""COMPUTED_VALUE"""),0.0)</f>
        <v>0</v>
      </c>
      <c r="BF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 y Marketing")</f>
        <v>Administración y 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IFERROR(__xludf.DUMMYFUNCTION("""COMPUTED_VALUE"""),0.0)</f>
        <v>0</v>
      </c>
      <c r="BD54" s="1" t="str">
        <f>IFERROR(__xludf.DUMMYFUNCTION("""COMPUTED_VALUE""")," -")</f>
        <v> -</v>
      </c>
      <c r="BE54" s="1">
        <f>IFERROR(__xludf.DUMMYFUNCTION("""COMPUTED_VALUE"""),0.0)</f>
        <v>0</v>
      </c>
      <c r="BF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 y Marketing")</f>
        <v>Administración y 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>
        <f>IFERROR(__xludf.DUMMYFUNCTION("""COMPUTED_VALUE"""),0.0)</f>
        <v>0</v>
      </c>
      <c r="BF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IFERROR(__xludf.DUMMYFUNCTION("""COMPUTED_VALUE"""),1335033.0)</f>
        <v>1335033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IFERROR(__xludf.DUMMYFUNCTION("""COMPUTED_VALUE"""),"Universidad La Salle")</f>
        <v>Universidad La Salle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>
        <f>IFERROR(__xludf.DUMMYFUNCTION("""COMPUTED_VALUE"""),0.0)</f>
        <v>0</v>
      </c>
      <c r="BF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/>
      <c r="BD57" s="1" t="str">
        <f>IFERROR(__xludf.DUMMYFUNCTION("""COMPUTED_VALUE""")," -")</f>
        <v> -</v>
      </c>
      <c r="BE57" s="1">
        <f>IFERROR(__xludf.DUMMYFUNCTION("""COMPUTED_VALUE"""),0.0)</f>
        <v>0</v>
      </c>
      <c r="BF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>
        <f>IFERROR(__xludf.DUMMYFUNCTION("""COMPUTED_VALUE"""),1.0)</f>
        <v>1</v>
      </c>
      <c r="BF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>
        <f>IFERROR(__xludf.DUMMYFUNCTION("""COMPUTED_VALUE"""),1.0)</f>
        <v>1</v>
      </c>
      <c r="BF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/>
      <c r="BD60" s="1" t="str">
        <f>IFERROR(__xludf.DUMMYFUNCTION("""COMPUTED_VALUE""")," -")</f>
        <v> -</v>
      </c>
      <c r="BE60" s="1">
        <f>IFERROR(__xludf.DUMMYFUNCTION("""COMPUTED_VALUE"""),0.0)</f>
        <v>0</v>
      </c>
      <c r="BF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IFERROR(__xludf.DUMMYFUNCTION("""COMPUTED_VALUE"""),"31/05/2025")</f>
        <v>31/05/2025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 t="str">
        <f>IFERROR(__xludf.DUMMYFUNCTION("""COMPUTED_VALUE"""),"ISIL")</f>
        <v>ISIL</v>
      </c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>
        <f>IFERROR(__xludf.DUMMYFUNCTION("""COMPUTED_VALUE"""),0.0)</f>
        <v>0</v>
      </c>
      <c r="BF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 t="str">
        <f>IFERROR(__xludf.DUMMYFUNCTION("""COMPUTED_VALUE"""),"Cibertec")</f>
        <v>Cibertec</v>
      </c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/>
      <c r="BD62" s="1" t="str">
        <f>IFERROR(__xludf.DUMMYFUNCTION("""COMPUTED_VALUE""")," -")</f>
        <v> -</v>
      </c>
      <c r="BE62" s="1">
        <f>IFERROR(__xludf.DUMMYFUNCTION("""COMPUTED_VALUE"""),0.0)</f>
        <v>0</v>
      </c>
      <c r="BF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>
        <f>IFERROR(__xludf.DUMMYFUNCTION("""COMPUTED_VALUE"""),0.0)</f>
        <v>0</v>
      </c>
      <c r="BF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IFERROR(__xludf.DUMMYFUNCTION("""COMPUTED_VALUE"""),"31/05/2025")</f>
        <v>31/05/2025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>
        <f>IFERROR(__xludf.DUMMYFUNCTION("""COMPUTED_VALUE"""),0.0)</f>
        <v>0</v>
      </c>
      <c r="BF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IFERROR(__xludf.DUMMYFUNCTION("""COMPUTED_VALUE"""),0.0)</f>
        <v>0</v>
      </c>
      <c r="BD65" s="1" t="str">
        <f>IFERROR(__xludf.DUMMYFUNCTION("""COMPUTED_VALUE""")," -")</f>
        <v> -</v>
      </c>
      <c r="BE65" s="1">
        <f>IFERROR(__xludf.DUMMYFUNCTION("""COMPUTED_VALUE"""),0.0)</f>
        <v>0</v>
      </c>
      <c r="BF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IFERROR(__xludf.DUMMYFUNCTION("""COMPUTED_VALUE"""),"Universidad de Piura")</f>
        <v>Universidad de Piura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/>
      <c r="BD66" s="1" t="str">
        <f>IFERROR(__xludf.DUMMYFUNCTION("""COMPUTED_VALUE""")," -")</f>
        <v> -</v>
      </c>
      <c r="BE66" s="1">
        <f>IFERROR(__xludf.DUMMYFUNCTION("""COMPUTED_VALUE"""),0.0)</f>
        <v>0</v>
      </c>
      <c r="BF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IFERROR(__xludf.DUMMYFUNCTION("""COMPUTED_VALUE"""),0.0)</f>
        <v>0</v>
      </c>
      <c r="X67" s="1" t="str">
        <f>IFERROR(__xludf.DUMMYFUNCTION("""COMPUTED_VALUE"""),"28/05/2025")</f>
        <v>28/05/2025</v>
      </c>
      <c r="Y67" s="2">
        <f>IFERROR(__xludf.DUMMYFUNCTION("""COMPUTED_VALUE"""),45805.0)</f>
        <v>45805</v>
      </c>
      <c r="Z67" s="1" t="str">
        <f>IFERROR(__xludf.DUMMYFUNCTION("""COMPUTED_VALUE"""),"PAGO COMPLETO")</f>
        <v>PAGO COMPLETO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IFERROR(__xludf.DUMMYFUNCTION("""COMPUTED_VALUE"""),50.0)</f>
        <v>50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IFERROR(__xludf.DUMMYFUNCTION("""COMPUTED_VALUE"""),1.0)</f>
        <v>1</v>
      </c>
      <c r="BB67" s="6">
        <f>IFERROR(__xludf.DUMMYFUNCTION("""COMPUTED_VALUE"""),1000.0)</f>
        <v>1000</v>
      </c>
      <c r="BC67" s="1"/>
      <c r="BD67" s="1" t="str">
        <f>IFERROR(__xludf.DUMMYFUNCTION("""COMPUTED_VALUE""")," -")</f>
        <v> -</v>
      </c>
      <c r="BE67" s="1">
        <f>IFERROR(__xludf.DUMMYFUNCTION("""COMPUTED_VALUE"""),0.0)</f>
        <v>0</v>
      </c>
      <c r="BF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 t="str">
        <f>IFERROR(__xludf.DUMMYFUNCTION("""COMPUTED_VALUE"""),"-")</f>
        <v>-</v>
      </c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IFERROR(__xludf.DUMMYFUNCTION("""COMPUTED_VALUE"""),0.0)</f>
        <v>0</v>
      </c>
      <c r="BD68" s="1" t="str">
        <f>IFERROR(__xludf.DUMMYFUNCTION("""COMPUTED_VALUE""")," -")</f>
        <v> -</v>
      </c>
      <c r="BE68" s="1">
        <f>IFERROR(__xludf.DUMMYFUNCTION("""COMPUTED_VALUE"""),0.0)</f>
        <v>0</v>
      </c>
      <c r="BF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 t="str">
        <f>IFERROR(__xludf.DUMMYFUNCTION("""COMPUTED_VALUE"""),"-")</f>
        <v>-</v>
      </c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IFERROR(__xludf.DUMMYFUNCTION("""COMPUTED_VALUE"""),0.0)</f>
        <v>0</v>
      </c>
      <c r="BD69" s="1" t="str">
        <f>IFERROR(__xludf.DUMMYFUNCTION("""COMPUTED_VALUE""")," -")</f>
        <v> -</v>
      </c>
      <c r="BE69" s="1">
        <f>IFERROR(__xludf.DUMMYFUNCTION("""COMPUTED_VALUE"""),0.0)</f>
        <v>0</v>
      </c>
      <c r="BF69" s="1" t="str">
        <f>IFERROR(__xludf.DUMMYFUNCTION("""COMPUTED_VALUE"""),"")</f>
        <v/>
      </c>
    </row>
    <row r="70">
      <c r="A70" s="1">
        <f>IFERROR(__xludf.DUMMYFUNCTION("""COMPUTED_VALUE"""),69.0)</f>
        <v>69</v>
      </c>
      <c r="B70" s="1">
        <f>IFERROR(__xludf.DUMMYFUNCTION("""COMPUTED_VALUE"""),5179581.0)</f>
        <v>5179581</v>
      </c>
      <c r="C70" s="1" t="str">
        <f>IFERROR(__xludf.DUMMYFUNCTION("""COMPUTED_VALUE"""),"0000426904")</f>
        <v>0000426904</v>
      </c>
      <c r="D70" s="1" t="str">
        <f>IFERROR(__xludf.DUMMYFUNCTION("""COMPUTED_VALUE"""),"PIERO YERAY")</f>
        <v>PIERO YERAY</v>
      </c>
      <c r="E70" s="2" t="str">
        <f>IFERROR(__xludf.DUMMYFUNCTION("""COMPUTED_VALUE"""),"VELIZ MENDOZA")</f>
        <v>VELIZ MENDOZA</v>
      </c>
      <c r="F70" s="1">
        <f>IFERROR(__xludf.DUMMYFUNCTION("""COMPUTED_VALUE"""),6.1207319E7)</f>
        <v>61207319</v>
      </c>
      <c r="G70" s="1">
        <f>IFERROR(__xludf.DUMMYFUNCTION("""COMPUTED_VALUE"""),9.29434237E8)</f>
        <v>929434237</v>
      </c>
      <c r="H70" s="1" t="str">
        <f>IFERROR(__xludf.DUMMYFUNCTION("""COMPUTED_VALUE"""),"pieroyeray@gmail.com")</f>
        <v>pieroyeray@gmail.com</v>
      </c>
      <c r="I70" s="1" t="str">
        <f>IFERROR(__xludf.DUMMYFUNCTION("""COMPUTED_VALUE"""),"Comunicación Audiovisual y Cine")</f>
        <v>Comunicación Audiovisual y Cine</v>
      </c>
      <c r="J70" s="1" t="str">
        <f>IFERROR(__xludf.DUMMYFUNCTION("""COMPUTED_VALUE"""),"Comunicaciones")</f>
        <v>Comunicaciones</v>
      </c>
      <c r="K70" s="1" t="str">
        <f>IFERROR(__xludf.DUMMYFUNCTION("""COMPUTED_VALUE"""),"Antigua")</f>
        <v>Antigua</v>
      </c>
      <c r="L70" s="1" t="str">
        <f>IFERROR(__xludf.DUMMYFUNCTION("""COMPUTED_VALUE"""),"Admisión Ordinaria")</f>
        <v>Admisión Ordinaria</v>
      </c>
      <c r="M70" s="1" t="str">
        <f>IFERROR(__xludf.DUMMYFUNCTION("""COMPUTED_VALUE"""),"Semi-presencial")</f>
        <v>Semi-presencial</v>
      </c>
      <c r="N70" s="1" t="str">
        <f>IFERROR(__xludf.DUMMYFUNCTION("""COMPUTED_VALUE"""),"Diurno")</f>
        <v>Diurno</v>
      </c>
      <c r="O70" s="1" t="str">
        <f>IFERROR(__xludf.DUMMYFUNCTION("""COMPUTED_VALUE"""),"NUEVO")</f>
        <v>NUEVO</v>
      </c>
      <c r="P70" s="1" t="str">
        <f>IFERROR(__xludf.DUMMYFUNCTION("""COMPUTED_VALUE"""),"BECA")</f>
        <v>BECA</v>
      </c>
      <c r="Q70" s="1" t="str">
        <f>IFERROR(__xludf.DUMMYFUNCTION("""COMPUTED_VALUE"""),"BECA CARRERAS CORE")</f>
        <v>BECA CARRERAS CORE</v>
      </c>
      <c r="R70" s="1" t="str">
        <f>IFERROR(__xludf.DUMMYFUNCTION("""COMPUTED_VALUE"""),"NINGUNO")</f>
        <v>NINGUNO</v>
      </c>
      <c r="S70" s="1" t="str">
        <f>IFERROR(__xludf.DUMMYFUNCTION("""COMPUTED_VALUE"""),"RODRIGO")</f>
        <v>RODRIGO</v>
      </c>
      <c r="T70" s="3">
        <f>IFERROR(__xludf.DUMMYFUNCTION("""COMPUTED_VALUE"""),45803.0)</f>
        <v>45803</v>
      </c>
      <c r="U70" s="1" t="str">
        <f>IFERROR(__xludf.DUMMYFUNCTION("""COMPUTED_VALUE"""),"CARGO")</f>
        <v>CARGO</v>
      </c>
      <c r="V70" s="1" t="str">
        <f>IFERROR(__xludf.DUMMYFUNCTION("""COMPUTED_VALUE"""),"PAGO COMPLETO")</f>
        <v>PAGO COMPLETO</v>
      </c>
      <c r="W70" s="4">
        <f>IFERROR(__xludf.DUMMYFUNCTION("""COMPUTED_VALUE"""),0.0)</f>
        <v>0</v>
      </c>
      <c r="X70" s="1" t="str">
        <f>IFERROR(__xludf.DUMMYFUNCTION("""COMPUTED_VALUE"""),"-")</f>
        <v>-</v>
      </c>
      <c r="Y70" s="2">
        <f>IFERROR(__xludf.DUMMYFUNCTION("""COMPUTED_VALUE"""),45803.0)</f>
        <v>45803</v>
      </c>
      <c r="Z70" s="1" t="str">
        <f>IFERROR(__xludf.DUMMYFUNCTION("""COMPUTED_VALUE"""),"PAGO COMPLETO")</f>
        <v>PAGO COMPLETO</v>
      </c>
      <c r="AA70" s="1" t="str">
        <f>IFERROR(__xludf.DUMMYFUNCTION("""COMPUTED_VALUE"""),"#N/A")</f>
        <v>#N/A</v>
      </c>
      <c r="AB70" s="1"/>
      <c r="AC70" s="4">
        <f>IFERROR(__xludf.DUMMYFUNCTION("""COMPUTED_VALUE"""),50.0)</f>
        <v>50</v>
      </c>
      <c r="AD70" s="4">
        <f>IFERROR(__xludf.DUMMYFUNCTION("""COMPUTED_VALUE"""),95.0)</f>
        <v>95</v>
      </c>
      <c r="AE70" s="4">
        <f>IFERROR(__xludf.DUMMYFUNCTION("""COMPUTED_VALUE"""),1250.0)</f>
        <v>1250</v>
      </c>
      <c r="AF70" s="4">
        <f>IFERROR(__xludf.DUMMYFUNCTION("""COMPUTED_VALUE"""),1050.0)</f>
        <v>1050</v>
      </c>
      <c r="AG70" s="1">
        <f>IFERROR(__xludf.DUMMYFUNCTION("""COMPUTED_VALUE"""),0.0)</f>
        <v>0</v>
      </c>
      <c r="AH70" s="1">
        <f>IFERROR(__xludf.DUMMYFUNCTION("""COMPUTED_VALUE"""),0.0)</f>
        <v>0</v>
      </c>
      <c r="AI70" s="1">
        <f>IFERROR(__xludf.DUMMYFUNCTION("""COMPUTED_VALUE"""),0.0)</f>
        <v>0</v>
      </c>
      <c r="AJ70" s="1">
        <f>IFERROR(__xludf.DUMMYFUNCTION("""COMPUTED_VALUE"""),449553.0)</f>
        <v>449553</v>
      </c>
      <c r="AK70" s="1" t="str">
        <f>IFERROR(__xludf.DUMMYFUNCTION("""COMPUTED_VALUE"""),"10 kms a 15 kms")</f>
        <v>10 kms a 15 kms</v>
      </c>
      <c r="AL70" s="1" t="str">
        <f>IFERROR(__xludf.DUMMYFUNCTION("""COMPUTED_VALUE"""),"06 551 a 800")</f>
        <v>06 551 a 800</v>
      </c>
      <c r="AM70" s="1" t="str">
        <f>IFERROR(__xludf.DUMMYFUNCTION("""COMPUTED_VALUE"""),"-")</f>
        <v>-</v>
      </c>
      <c r="AN70" s="1" t="str">
        <f>IFERROR(__xludf.DUMMYFUNCTION("""COMPUTED_VALUE""")," -")</f>
        <v> -</v>
      </c>
      <c r="AO70" s="1">
        <f>IFERROR(__xludf.DUMMYFUNCTION("""COMPUTED_VALUE"""),2024.0)</f>
        <v>2024</v>
      </c>
      <c r="AP70" s="3">
        <f>IFERROR(__xludf.DUMMYFUNCTION("""COMPUTED_VALUE"""),45778.0)</f>
        <v>45778</v>
      </c>
      <c r="AQ70" s="2">
        <f>IFERROR(__xludf.DUMMYFUNCTION("""COMPUTED_VALUE"""),45775.0)</f>
        <v>45775</v>
      </c>
      <c r="AR70" s="2">
        <f>IFERROR(__xludf.DUMMYFUNCTION("""COMPUTED_VALUE"""),45779.0)</f>
        <v>45779</v>
      </c>
      <c r="AS70" s="2">
        <f>IFERROR(__xludf.DUMMYFUNCTION("""COMPUTED_VALUE"""),45778.0)</f>
        <v>45778</v>
      </c>
      <c r="AT70" s="2">
        <f>IFERROR(__xludf.DUMMYFUNCTION("""COMPUTED_VALUE"""),45775.0)</f>
        <v>45775</v>
      </c>
      <c r="AU70" s="1">
        <f>IFERROR(__xludf.DUMMYFUNCTION("""COMPUTED_VALUE"""),24.0)</f>
        <v>24</v>
      </c>
      <c r="AV70" s="1" t="str">
        <f>IFERROR(__xludf.DUMMYFUNCTION("""COMPUTED_VALUE"""),"OUTBOUND")</f>
        <v>OUTBOUND</v>
      </c>
      <c r="AW70" s="1" t="str">
        <f>IFERROR(__xludf.DUMMYFUNCTION("""COMPUTED_VALUE"""),"OUTBOUND")</f>
        <v>OUTBOUND</v>
      </c>
      <c r="AX70" s="1" t="str">
        <f>IFERROR(__xludf.DUMMYFUNCTION("""COMPUTED_VALUE"""),"OUTBOUND")</f>
        <v>OUTBOUND</v>
      </c>
      <c r="AY70" s="1">
        <f>IFERROR(__xludf.DUMMYFUNCTION("""COMPUTED_VALUE"""),1.0)</f>
        <v>1</v>
      </c>
      <c r="AZ70" s="1" t="str">
        <f>IFERROR(__xludf.DUMMYFUNCTION("""COMPUTED_VALUE"""),"Fiorella Lanegra")</f>
        <v>Fiorella Lanegra</v>
      </c>
      <c r="BA70" s="5">
        <f>IFERROR(__xludf.DUMMYFUNCTION("""COMPUTED_VALUE"""),1.0)</f>
        <v>1</v>
      </c>
      <c r="BB70" s="6">
        <f>IFERROR(__xludf.DUMMYFUNCTION("""COMPUTED_VALUE"""),1050.0)</f>
        <v>1050</v>
      </c>
      <c r="BC70" s="1">
        <f>IFERROR(__xludf.DUMMYFUNCTION("""COMPUTED_VALUE"""),0.0)</f>
        <v>0</v>
      </c>
      <c r="BD70" s="1" t="str">
        <f>IFERROR(__xludf.DUMMYFUNCTION("""COMPUTED_VALUE""")," -")</f>
        <v> -</v>
      </c>
      <c r="BE70" s="1">
        <f>IFERROR(__xludf.DUMMYFUNCTION("""COMPUTED_VALUE"""),0.0)</f>
        <v>0</v>
      </c>
      <c r="BF70" s="1" t="str">
        <f>IFERROR(__xludf.DUMMYFUNCTION("""COMPUTED_VALUE"""),"")</f>
        <v/>
      </c>
    </row>
    <row r="71">
      <c r="A71" s="1">
        <f>IFERROR(__xludf.DUMMYFUNCTION("""COMPUTED_VALUE"""),70.0)</f>
        <v>70</v>
      </c>
      <c r="B71" s="1">
        <f>IFERROR(__xludf.DUMMYFUNCTION("""COMPUTED_VALUE"""),1025852.0)</f>
        <v>1025852</v>
      </c>
      <c r="C71" s="1" t="str">
        <f>IFERROR(__xludf.DUMMYFUNCTION("""COMPUTED_VALUE"""),"0000427019")</f>
        <v>0000427019</v>
      </c>
      <c r="D71" s="1" t="str">
        <f>IFERROR(__xludf.DUMMYFUNCTION("""COMPUTED_VALUE"""),"GONZALO AARON ")</f>
        <v>GONZALO AARON </v>
      </c>
      <c r="E71" s="2" t="str">
        <f>IFERROR(__xludf.DUMMYFUNCTION("""COMPUTED_VALUE"""),"QUEVEDO MESIA")</f>
        <v>QUEVEDO MESIA</v>
      </c>
      <c r="F71" s="1">
        <f>IFERROR(__xludf.DUMMYFUNCTION("""COMPUTED_VALUE"""),7.3124994E7)</f>
        <v>73124994</v>
      </c>
      <c r="G71" s="1">
        <f>IFERROR(__xludf.DUMMYFUNCTION("""COMPUTED_VALUE"""),9.65918127E8)</f>
        <v>965918127</v>
      </c>
      <c r="H71" s="1" t="str">
        <f>IFERROR(__xludf.DUMMYFUNCTION("""COMPUTED_VALUE"""),"mesiagonzalo741@gmail.com")</f>
        <v>mesiagonzalo741@gmail.com</v>
      </c>
      <c r="I71" s="1" t="str">
        <f>IFERROR(__xludf.DUMMYFUNCTION("""COMPUTED_VALUE"""),"Diseño Gráfico Publicitario")</f>
        <v>Diseño Gráfico Publicitario</v>
      </c>
      <c r="J71" s="1" t="str">
        <f>IFERROR(__xludf.DUMMYFUNCTION("""COMPUTED_VALUE"""),"Diseño")</f>
        <v>Diseño</v>
      </c>
      <c r="K71" s="1" t="str">
        <f>IFERROR(__xludf.DUMMYFUNCTION("""COMPUTED_VALUE"""),"Antigua")</f>
        <v>Antigua</v>
      </c>
      <c r="L71" s="1" t="str">
        <f>IFERROR(__xludf.DUMMYFUNCTION("""COMPUTED_VALUE"""),"Admisión Extraordinaria (Traslados)")</f>
        <v>Admisión Extraordinaria (Traslados)</v>
      </c>
      <c r="M71" s="1" t="str">
        <f>IFERROR(__xludf.DUMMYFUNCTION("""COMPUTED_VALUE"""),"Semi-presencial")</f>
        <v>Semi-presencial</v>
      </c>
      <c r="N71" s="1" t="str">
        <f>IFERROR(__xludf.DUMMYFUNCTION("""COMPUTED_VALUE"""),"Diurno")</f>
        <v>Diurno</v>
      </c>
      <c r="O71" s="1" t="str">
        <f>IFERROR(__xludf.DUMMYFUNCTION("""COMPUTED_VALUE"""),"TRASLADO CON CONVA")</f>
        <v>TRASLADO CON CONVA</v>
      </c>
      <c r="P71" s="1" t="str">
        <f>IFERROR(__xludf.DUMMYFUNCTION("""COMPUTED_VALUE"""),"ESCALA REGULAR")</f>
        <v>ESCALA REGULAR</v>
      </c>
      <c r="Q71" s="1" t="str">
        <f>IFERROR(__xludf.DUMMYFUNCTION("""COMPUTED_VALUE"""),"NINGUNO")</f>
        <v>NINGUNO</v>
      </c>
      <c r="R71" s="1" t="str">
        <f>IFERROR(__xludf.DUMMYFUNCTION("""COMPUTED_VALUE"""),"NINGUNO")</f>
        <v>NINGUNO</v>
      </c>
      <c r="S71" s="1" t="str">
        <f>IFERROR(__xludf.DUMMYFUNCTION("""COMPUTED_VALUE"""),"FABIOLA")</f>
        <v>FABIOLA</v>
      </c>
      <c r="T71" s="3">
        <f>IFERROR(__xludf.DUMMYFUNCTION("""COMPUTED_VALUE"""),45804.0)</f>
        <v>45804</v>
      </c>
      <c r="U71" s="1" t="str">
        <f>IFERROR(__xludf.DUMMYFUNCTION("""COMPUTED_VALUE"""),"CARGO")</f>
        <v>CARGO</v>
      </c>
      <c r="V71" s="1" t="str">
        <f>IFERROR(__xludf.DUMMYFUNCTION("""COMPUTED_VALUE"""),"PAGO COMPLETO")</f>
        <v>PAGO COMPLETO</v>
      </c>
      <c r="W71" s="4">
        <f>IFERROR(__xludf.DUMMYFUNCTION("""COMPUTED_VALUE"""),0.0)</f>
        <v>0</v>
      </c>
      <c r="X71" s="1" t="str">
        <f>IFERROR(__xludf.DUMMYFUNCTION("""COMPUTED_VALUE"""),"-")</f>
        <v>-</v>
      </c>
      <c r="Y71" s="2">
        <f>IFERROR(__xludf.DUMMYFUNCTION("""COMPUTED_VALUE"""),45804.0)</f>
        <v>45804</v>
      </c>
      <c r="Z71" s="1" t="str">
        <f>IFERROR(__xludf.DUMMYFUNCTION("""COMPUTED_VALUE"""),"PAGO COMPLETO")</f>
        <v>PAGO COMPLETO</v>
      </c>
      <c r="AA71" s="1" t="str">
        <f>IFERROR(__xludf.DUMMYFUNCTION("""COMPUTED_VALUE"""),"#N/A")</f>
        <v>#N/A</v>
      </c>
      <c r="AB71" s="1"/>
      <c r="AC71" s="4">
        <f>IFERROR(__xludf.DUMMYFUNCTION("""COMPUTED_VALUE"""),0.0)</f>
        <v>0</v>
      </c>
      <c r="AD71" s="4">
        <f>IFERROR(__xludf.DUMMYFUNCTION("""COMPUTED_VALUE"""),0.0)</f>
        <v>0</v>
      </c>
      <c r="AE71" s="4">
        <f>IFERROR(__xludf.DUMMYFUNCTION("""COMPUTED_VALUE"""),1100.0)</f>
        <v>1100</v>
      </c>
      <c r="AF71" s="4">
        <f>IFERROR(__xludf.DUMMYFUNCTION("""COMPUTED_VALUE"""),1100.0)</f>
        <v>1100</v>
      </c>
      <c r="AG71" s="1">
        <f>IFERROR(__xludf.DUMMYFUNCTION("""COMPUTED_VALUE"""),0.0)</f>
        <v>0</v>
      </c>
      <c r="AH71" s="1">
        <f>IFERROR(__xludf.DUMMYFUNCTION("""COMPUTED_VALUE"""),0.0)</f>
        <v>0</v>
      </c>
      <c r="AI71" s="1">
        <f>IFERROR(__xludf.DUMMYFUNCTION("""COMPUTED_VALUE"""),0.0)</f>
        <v>0</v>
      </c>
      <c r="AJ71" s="1">
        <f>IFERROR(__xludf.DUMMYFUNCTION("""COMPUTED_VALUE"""),1355478.0)</f>
        <v>1355478</v>
      </c>
      <c r="AK71" s="1" t="str">
        <f>IFERROR(__xludf.DUMMYFUNCTION("""COMPUTED_VALUE"""),"Menos de 5 kms")</f>
        <v>Menos de 5 kms</v>
      </c>
      <c r="AL71" s="1" t="str">
        <f>IFERROR(__xludf.DUMMYFUNCTION("""COMPUTED_VALUE"""),"06 551 a 800")</f>
        <v>06 551 a 800</v>
      </c>
      <c r="AM71" s="1" t="str">
        <f>IFERROR(__xludf.DUMMYFUNCTION("""COMPUTED_VALUE"""),"Universidad San Martin de Porres")</f>
        <v>Universidad San Martin de Porres</v>
      </c>
      <c r="AN71" s="1" t="str">
        <f>IFERROR(__xludf.DUMMYFUNCTION("""COMPUTED_VALUE""")," ")</f>
        <v> </v>
      </c>
      <c r="AO71" s="1">
        <f>IFERROR(__xludf.DUMMYFUNCTION("""COMPUTED_VALUE"""),2019.0)</f>
        <v>2019</v>
      </c>
      <c r="AP71" s="3">
        <f>IFERROR(__xludf.DUMMYFUNCTION("""COMPUTED_VALUE"""),45778.0)</f>
        <v>45778</v>
      </c>
      <c r="AQ71" s="2">
        <f>IFERROR(__xludf.DUMMYFUNCTION("""COMPUTED_VALUE"""),45775.0)</f>
        <v>45775</v>
      </c>
      <c r="AR71" s="2">
        <f>IFERROR(__xludf.DUMMYFUNCTION("""COMPUTED_VALUE"""),45803.0)</f>
        <v>45803</v>
      </c>
      <c r="AS71" s="2">
        <f>IFERROR(__xludf.DUMMYFUNCTION("""COMPUTED_VALUE"""),45778.0)</f>
        <v>45778</v>
      </c>
      <c r="AT71" s="2">
        <f>IFERROR(__xludf.DUMMYFUNCTION("""COMPUTED_VALUE"""),45775.0)</f>
        <v>45775</v>
      </c>
      <c r="AU71" s="1">
        <f>IFERROR(__xludf.DUMMYFUNCTION("""COMPUTED_VALUE"""),1.0)</f>
        <v>1</v>
      </c>
      <c r="AV71" s="1" t="str">
        <f>IFERROR(__xludf.DUMMYFUNCTION("""COMPUTED_VALUE"""),"TRADICIONAL")</f>
        <v>TRADICIONAL</v>
      </c>
      <c r="AW71" s="1" t="str">
        <f>IFERROR(__xludf.DUMMYFUNCTION("""COMPUTED_VALUE"""),"INBOUND")</f>
        <v>INBOUND</v>
      </c>
      <c r="AX71" s="1" t="str">
        <f>IFERROR(__xludf.DUMMYFUNCTION("""COMPUTED_VALUE"""),"INBOUND")</f>
        <v>INBOUND</v>
      </c>
      <c r="AY71" s="1">
        <f>IFERROR(__xludf.DUMMYFUNCTION("""COMPUTED_VALUE"""),1.0)</f>
        <v>1</v>
      </c>
      <c r="AZ71" s="1" t="str">
        <f>IFERROR(__xludf.DUMMYFUNCTION("""COMPUTED_VALUE"""),"Fiorella Lanegra")</f>
        <v>Fiorella Lanegra</v>
      </c>
      <c r="BA71" s="5">
        <f>IFERROR(__xludf.DUMMYFUNCTION("""COMPUTED_VALUE"""),1.0)</f>
        <v>1</v>
      </c>
      <c r="BB71" s="6">
        <f>IFERROR(__xludf.DUMMYFUNCTION("""COMPUTED_VALUE"""),1100.0)</f>
        <v>1100</v>
      </c>
      <c r="BC71" s="1"/>
      <c r="BD71" s="1" t="str">
        <f>IFERROR(__xludf.DUMMYFUNCTION("""COMPUTED_VALUE""")," -")</f>
        <v> -</v>
      </c>
      <c r="BE71" s="1">
        <f>IFERROR(__xludf.DUMMYFUNCTION("""COMPUTED_VALUE"""),0.0)</f>
        <v>0</v>
      </c>
      <c r="BF71" s="1" t="str">
        <f>IFERROR(__xludf.DUMMYFUNCTION("""COMPUTED_VALUE"""),"")</f>
        <v/>
      </c>
    </row>
    <row r="72">
      <c r="A72" s="1">
        <f>IFERROR(__xludf.DUMMYFUNCTION("""COMPUTED_VALUE"""),71.0)</f>
        <v>71</v>
      </c>
      <c r="B72" s="1">
        <f>IFERROR(__xludf.DUMMYFUNCTION("""COMPUTED_VALUE"""),671687.0)</f>
        <v>671687</v>
      </c>
      <c r="C72" s="1" t="str">
        <f>IFERROR(__xludf.DUMMYFUNCTION("""COMPUTED_VALUE"""),"2016004992")</f>
        <v>2016004992</v>
      </c>
      <c r="D72" s="1" t="str">
        <f>IFERROR(__xludf.DUMMYFUNCTION("""COMPUTED_VALUE"""),"LUIS ANTONIO ")</f>
        <v>LUIS ANTONIO </v>
      </c>
      <c r="E72" s="2" t="str">
        <f>IFERROR(__xludf.DUMMYFUNCTION("""COMPUTED_VALUE"""),"SAUÑE LUDEÑA")</f>
        <v>SAUÑE LUDEÑA</v>
      </c>
      <c r="F72" s="1">
        <f>IFERROR(__xludf.DUMMYFUNCTION("""COMPUTED_VALUE"""),7.3796776E7)</f>
        <v>73796776</v>
      </c>
      <c r="G72" s="1">
        <f>IFERROR(__xludf.DUMMYFUNCTION("""COMPUTED_VALUE"""),9.22568973E8)</f>
        <v>922568973</v>
      </c>
      <c r="H72" s="1" t="str">
        <f>IFERROR(__xludf.DUMMYFUNCTION("""COMPUTED_VALUE"""),"luis.saune.ludena@gmail.com")</f>
        <v>luis.saune.ludena@gmail.com</v>
      </c>
      <c r="I72" s="1" t="str">
        <f>IFERROR(__xludf.DUMMYFUNCTION("""COMPUTED_VALUE"""),"Arquitectura")</f>
        <v>Arquitectura</v>
      </c>
      <c r="J72" s="1" t="str">
        <f>IFERROR(__xludf.DUMMYFUNCTION("""COMPUTED_VALUE"""),"Arquitecturas")</f>
        <v>Arquitecturas</v>
      </c>
      <c r="K72" s="1" t="str">
        <f>IFERROR(__xludf.DUMMYFUNCTION("""COMPUTED_VALUE"""),"Antigua")</f>
        <v>Antigua</v>
      </c>
      <c r="L72" s="1" t="str">
        <f>IFERROR(__xludf.DUMMYFUNCTION("""COMPUTED_VALUE"""),"Admisión Extraordinaria (Traslados)")</f>
        <v>Admisión Extraordinaria (Traslados)</v>
      </c>
      <c r="M72" s="1" t="str">
        <f>IFERROR(__xludf.DUMMYFUNCTION("""COMPUTED_VALUE"""),"Semi-presencial")</f>
        <v>Semi-presencial</v>
      </c>
      <c r="N72" s="1" t="str">
        <f>IFERROR(__xludf.DUMMYFUNCTION("""COMPUTED_VALUE"""),"Diurno")</f>
        <v>Diurno</v>
      </c>
      <c r="O72" s="1" t="str">
        <f>IFERROR(__xludf.DUMMYFUNCTION("""COMPUTED_VALUE"""),"TRASLADO CON CONVA")</f>
        <v>TRASLADO CON CONVA</v>
      </c>
      <c r="P72" s="1" t="str">
        <f>IFERROR(__xludf.DUMMYFUNCTION("""COMPUTED_VALUE"""),"ESCALA REGULAR")</f>
        <v>ESCALA REGULAR</v>
      </c>
      <c r="Q72" s="1" t="str">
        <f>IFERROR(__xludf.DUMMYFUNCTION("""COMPUTED_VALUE"""),"NINGUNO")</f>
        <v>NINGUNO</v>
      </c>
      <c r="R72" s="1" t="str">
        <f>IFERROR(__xludf.DUMMYFUNCTION("""COMPUTED_VALUE"""),"NINGUNO")</f>
        <v>NINGUNO</v>
      </c>
      <c r="S72" s="1" t="str">
        <f>IFERROR(__xludf.DUMMYFUNCTION("""COMPUTED_VALUE"""),"FABIOLA")</f>
        <v>FABIOLA</v>
      </c>
      <c r="T72" s="3">
        <f>IFERROR(__xludf.DUMMYFUNCTION("""COMPUTED_VALUE"""),45804.0)</f>
        <v>45804</v>
      </c>
      <c r="U72" s="1" t="str">
        <f>IFERROR(__xludf.DUMMYFUNCTION("""COMPUTED_VALUE"""),"Pago Link")</f>
        <v>Pago Link</v>
      </c>
      <c r="V72" s="1" t="str">
        <f>IFERROR(__xludf.DUMMYFUNCTION("""COMPUTED_VALUE"""),"PAGO FRACCIONADO")</f>
        <v>PAGO FRACCIONADO</v>
      </c>
      <c r="W72" s="4">
        <f>IFERROR(__xludf.DUMMYFUNCTION("""COMPUTED_VALUE"""),0.0)</f>
        <v>0</v>
      </c>
      <c r="X72" s="1" t="str">
        <f>IFERROR(__xludf.DUMMYFUNCTION("""COMPUTED_VALUE"""),"31/05/2025")</f>
        <v>31/05/2025</v>
      </c>
      <c r="Y72" s="2">
        <f>IFERROR(__xludf.DUMMYFUNCTION("""COMPUTED_VALUE"""),45807.0)</f>
        <v>45807</v>
      </c>
      <c r="Z72" s="1" t="str">
        <f>IFERROR(__xludf.DUMMYFUNCTION("""COMPUTED_VALUE"""),"PAGO COMPLETO")</f>
        <v>PAGO COMPLETO</v>
      </c>
      <c r="AA72" s="1" t="str">
        <f>IFERROR(__xludf.DUMMYFUNCTION("""COMPUTED_VALUE"""),"#N/A")</f>
        <v>#N/A</v>
      </c>
      <c r="AB72" s="1"/>
      <c r="AC72" s="4">
        <f>IFERROR(__xludf.DUMMYFUNCTION("""COMPUTED_VALUE"""),0.0)</f>
        <v>0</v>
      </c>
      <c r="AD72" s="4">
        <f>IFERROR(__xludf.DUMMYFUNCTION("""COMPUTED_VALUE"""),0.0)</f>
        <v>0</v>
      </c>
      <c r="AE72" s="4">
        <f>IFERROR(__xludf.DUMMYFUNCTION("""COMPUTED_VALUE"""),1000.0)</f>
        <v>1000</v>
      </c>
      <c r="AF72" s="4">
        <f>IFERROR(__xludf.DUMMYFUNCTION("""COMPUTED_VALUE"""),1000.0)</f>
        <v>1000</v>
      </c>
      <c r="AG72" s="1">
        <f>IFERROR(__xludf.DUMMYFUNCTION("""COMPUTED_VALUE"""),0.0)</f>
        <v>0</v>
      </c>
      <c r="AH72" s="1">
        <f>IFERROR(__xludf.DUMMYFUNCTION("""COMPUTED_VALUE"""),0.0)</f>
        <v>0</v>
      </c>
      <c r="AI72" s="1">
        <f>IFERROR(__xludf.DUMMYFUNCTION("""COMPUTED_VALUE"""),0.0)</f>
        <v>0</v>
      </c>
      <c r="AJ72" s="1">
        <f>IFERROR(__xludf.DUMMYFUNCTION("""COMPUTED_VALUE"""),774521.0)</f>
        <v>774521</v>
      </c>
      <c r="AK72" s="1" t="str">
        <f>IFERROR(__xludf.DUMMYFUNCTION("""COMPUTED_VALUE"""),"10 kms a 15 kms")</f>
        <v>10 kms a 15 kms</v>
      </c>
      <c r="AL72" s="1" t="str">
        <f>IFERROR(__xludf.DUMMYFUNCTION("""COMPUTED_VALUE"""),"05 301 a 550")</f>
        <v>05 301 a 550</v>
      </c>
      <c r="AM72" s="1" t="str">
        <f>IFERROR(__xludf.DUMMYFUNCTION("""COMPUTED_VALUE"""),"Instituto de Educación Superior Tecnológico Privado Toulouse Lautrec")</f>
        <v>Instituto de Educación Superior Tecnológico Privado Toulouse Lautrec</v>
      </c>
      <c r="AN72" s="1" t="str">
        <f>IFERROR(__xludf.DUMMYFUNCTION("""COMPUTED_VALUE""")," ")</f>
        <v> </v>
      </c>
      <c r="AO72" s="1">
        <f>IFERROR(__xludf.DUMMYFUNCTION("""COMPUTED_VALUE"""),2022.0)</f>
        <v>2022</v>
      </c>
      <c r="AP72" s="3">
        <f>IFERROR(__xludf.DUMMYFUNCTION("""COMPUTED_VALUE"""),45778.0)</f>
        <v>45778</v>
      </c>
      <c r="AQ72" s="2">
        <f>IFERROR(__xludf.DUMMYFUNCTION("""COMPUTED_VALUE"""),45775.0)</f>
        <v>45775</v>
      </c>
      <c r="AR72" s="2">
        <f>IFERROR(__xludf.DUMMYFUNCTION("""COMPUTED_VALUE"""),45795.0)</f>
        <v>45795</v>
      </c>
      <c r="AS72" s="2">
        <f>IFERROR(__xludf.DUMMYFUNCTION("""COMPUTED_VALUE"""),45778.0)</f>
        <v>45778</v>
      </c>
      <c r="AT72" s="2">
        <f>IFERROR(__xludf.DUMMYFUNCTION("""COMPUTED_VALUE"""),45775.0)</f>
        <v>45775</v>
      </c>
      <c r="AU72" s="1">
        <f>IFERROR(__xludf.DUMMYFUNCTION("""COMPUTED_VALUE"""),12.0)</f>
        <v>12</v>
      </c>
      <c r="AV72" s="1" t="str">
        <f>IFERROR(__xludf.DUMMYFUNCTION("""COMPUTED_VALUE"""),"DIGITAL")</f>
        <v>DIGITAL</v>
      </c>
      <c r="AW72" s="1" t="str">
        <f>IFERROR(__xludf.DUMMYFUNCTION("""COMPUTED_VALUE"""),"BIDIRECCIONAL")</f>
        <v>BIDIRECCIONAL</v>
      </c>
      <c r="AX72" s="1" t="str">
        <f>IFERROR(__xludf.DUMMYFUNCTION("""COMPUTED_VALUE"""),"ORGANICO")</f>
        <v>ORGANICO</v>
      </c>
      <c r="AY72" s="1">
        <f>IFERROR(__xludf.DUMMYFUNCTION("""COMPUTED_VALUE"""),1.0)</f>
        <v>1</v>
      </c>
      <c r="AZ72" s="1" t="str">
        <f>IFERROR(__xludf.DUMMYFUNCTION("""COMPUTED_VALUE"""),"Juan Manuel Rodríguez")</f>
        <v>Juan Manuel Rodríguez</v>
      </c>
      <c r="BA72" s="5">
        <f>IFERROR(__xludf.DUMMYFUNCTION("""COMPUTED_VALUE"""),1.0)</f>
        <v>1</v>
      </c>
      <c r="BB72" s="6">
        <f>IFERROR(__xludf.DUMMYFUNCTION("""COMPUTED_VALUE"""),1000.0)</f>
        <v>1000</v>
      </c>
      <c r="BC72" s="1"/>
      <c r="BD72" s="1" t="str">
        <f>IFERROR(__xludf.DUMMYFUNCTION("""COMPUTED_VALUE""")," -")</f>
        <v> -</v>
      </c>
      <c r="BE72" s="1">
        <f>IFERROR(__xludf.DUMMYFUNCTION("""COMPUTED_VALUE"""),0.0)</f>
        <v>0</v>
      </c>
      <c r="BF72" s="1" t="str">
        <f>IFERROR(__xludf.DUMMYFUNCTION("""COMPUTED_VALUE"""),"")</f>
        <v/>
      </c>
    </row>
    <row r="73">
      <c r="A73" s="1">
        <f>IFERROR(__xludf.DUMMYFUNCTION("""COMPUTED_VALUE"""),72.0)</f>
        <v>72</v>
      </c>
      <c r="B73" s="1">
        <f>IFERROR(__xludf.DUMMYFUNCTION("""COMPUTED_VALUE"""),1578825.0)</f>
        <v>1578825</v>
      </c>
      <c r="C73" s="1" t="str">
        <f>IFERROR(__xludf.DUMMYFUNCTION("""COMPUTED_VALUE"""),"0000025424")</f>
        <v>0000025424</v>
      </c>
      <c r="D73" s="1" t="str">
        <f>IFERROR(__xludf.DUMMYFUNCTION("""COMPUTED_VALUE"""),"ALVARO RUBEN RAUL ")</f>
        <v>ALVARO RUBEN RAUL </v>
      </c>
      <c r="E73" s="2" t="str">
        <f>IFERROR(__xludf.DUMMYFUNCTION("""COMPUTED_VALUE"""),"PEREZ RAMOS")</f>
        <v>PEREZ RAMOS</v>
      </c>
      <c r="F73" s="1">
        <f>IFERROR(__xludf.DUMMYFUNCTION("""COMPUTED_VALUE"""),7.3367148E7)</f>
        <v>73367148</v>
      </c>
      <c r="G73" s="1">
        <f>IFERROR(__xludf.DUMMYFUNCTION("""COMPUTED_VALUE"""),9.25991387E8)</f>
        <v>925991387</v>
      </c>
      <c r="H73" s="1" t="str">
        <f>IFERROR(__xludf.DUMMYFUNCTION("""COMPUTED_VALUE"""),"Alvaroperezramos2004@gmail.com")</f>
        <v>Alvaroperezramos2004@gmail.com</v>
      </c>
      <c r="I73" s="1" t="str">
        <f>IFERROR(__xludf.DUMMYFUNCTION("""COMPUTED_VALUE"""),"Comunicación Audiovisual y Cine")</f>
        <v>Comunicación Audiovisual y Cine</v>
      </c>
      <c r="J73" s="1" t="str">
        <f>IFERROR(__xludf.DUMMYFUNCTION("""COMPUTED_VALUE"""),"Comunicaciones")</f>
        <v>Comunicaciones</v>
      </c>
      <c r="K73" s="1" t="str">
        <f>IFERROR(__xludf.DUMMYFUNCTION("""COMPUTED_VALUE"""),"Antigua")</f>
        <v>Antigua</v>
      </c>
      <c r="L73" s="1" t="str">
        <f>IFERROR(__xludf.DUMMYFUNCTION("""COMPUTED_VALUE"""),"Admisión Extraordinaria (Traslados)")</f>
        <v>Admisión Extraordinaria (Traslados)</v>
      </c>
      <c r="M73" s="1" t="str">
        <f>IFERROR(__xludf.DUMMYFUNCTION("""COMPUTED_VALUE"""),"Semi-presencial")</f>
        <v>Semi-presencial</v>
      </c>
      <c r="N73" s="1" t="str">
        <f>IFERROR(__xludf.DUMMYFUNCTION("""COMPUTED_VALUE"""),"Diurno")</f>
        <v>Diurno</v>
      </c>
      <c r="O73" s="1" t="str">
        <f>IFERROR(__xludf.DUMMYFUNCTION("""COMPUTED_VALUE"""),"TRASLADO SIN CONVA")</f>
        <v>TRASLADO SIN CONVA</v>
      </c>
      <c r="P73" s="1" t="str">
        <f>IFERROR(__xludf.DUMMYFUNCTION("""COMPUTED_VALUE"""),"RECA")</f>
        <v>RECA</v>
      </c>
      <c r="Q73" s="1" t="str">
        <f>IFERROR(__xludf.DUMMYFUNCTION("""COMPUTED_VALUE"""),"NINGUNO")</f>
        <v>NINGUNO</v>
      </c>
      <c r="R73" s="1" t="str">
        <f>IFERROR(__xludf.DUMMYFUNCTION("""COMPUTED_VALUE"""),"NINGUNO")</f>
        <v>NINGUNO</v>
      </c>
      <c r="S73" s="1" t="str">
        <f>IFERROR(__xludf.DUMMYFUNCTION("""COMPUTED_VALUE"""),"RODRIGO")</f>
        <v>RODRIGO</v>
      </c>
      <c r="T73" s="3">
        <f>IFERROR(__xludf.DUMMYFUNCTION("""COMPUTED_VALUE"""),45805.0)</f>
        <v>45805</v>
      </c>
      <c r="U73" s="1" t="str">
        <f>IFERROR(__xludf.DUMMYFUNCTION("""COMPUTED_VALUE"""),"CARGO")</f>
        <v>CARGO</v>
      </c>
      <c r="V73" s="1" t="str">
        <f>IFERROR(__xludf.DUMMYFUNCTION("""COMPUTED_VALUE"""),"PAGO COMPLETO")</f>
        <v>PAGO COMPLETO</v>
      </c>
      <c r="W73" s="4">
        <f>IFERROR(__xludf.DUMMYFUNCTION("""COMPUTED_VALUE"""),0.0)</f>
        <v>0</v>
      </c>
      <c r="X73" s="1" t="str">
        <f>IFERROR(__xludf.DUMMYFUNCTION("""COMPUTED_VALUE"""),"-")</f>
        <v>-</v>
      </c>
      <c r="Y73" s="2">
        <f>IFERROR(__xludf.DUMMYFUNCTION("""COMPUTED_VALUE"""),45805.0)</f>
        <v>45805</v>
      </c>
      <c r="Z73" s="1" t="str">
        <f>IFERROR(__xludf.DUMMYFUNCTION("""COMPUTED_VALUE"""),"PAGO COMPLETO")</f>
        <v>PAGO COMPLETO</v>
      </c>
      <c r="AA73" s="1" t="str">
        <f>IFERROR(__xludf.DUMMYFUNCTION("""COMPUTED_VALUE"""),"#N/A")</f>
        <v>#N/A</v>
      </c>
      <c r="AB73" s="1"/>
      <c r="AC73" s="4">
        <f>IFERROR(__xludf.DUMMYFUNCTION("""COMPUTED_VALUE"""),0.0)</f>
        <v>0</v>
      </c>
      <c r="AD73" s="4">
        <f>IFERROR(__xludf.DUMMYFUNCTION("""COMPUTED_VALUE"""),0.0)</f>
        <v>0</v>
      </c>
      <c r="AE73" s="4">
        <f>IFERROR(__xludf.DUMMYFUNCTION("""COMPUTED_VALUE"""),1050.0)</f>
        <v>1050</v>
      </c>
      <c r="AF73" s="4">
        <f>IFERROR(__xludf.DUMMYFUNCTION("""COMPUTED_VALUE"""),1050.0)</f>
        <v>1050</v>
      </c>
      <c r="AG73" s="1">
        <f>IFERROR(__xludf.DUMMYFUNCTION("""COMPUTED_VALUE"""),0.0)</f>
        <v>0</v>
      </c>
      <c r="AH73" s="1">
        <f>IFERROR(__xludf.DUMMYFUNCTION("""COMPUTED_VALUE"""),0.0)</f>
        <v>0</v>
      </c>
      <c r="AI73" s="1">
        <f>IFERROR(__xludf.DUMMYFUNCTION("""COMPUTED_VALUE"""),0.0)</f>
        <v>0</v>
      </c>
      <c r="AJ73" s="1">
        <f>IFERROR(__xludf.DUMMYFUNCTION("""COMPUTED_VALUE"""),773879.0)</f>
        <v>773879</v>
      </c>
      <c r="AK73" s="1" t="str">
        <f>IFERROR(__xludf.DUMMYFUNCTION("""COMPUTED_VALUE"""),"Más de 15 kms")</f>
        <v>Más de 15 kms</v>
      </c>
      <c r="AL73" s="1" t="str">
        <f>IFERROR(__xludf.DUMMYFUNCTION("""COMPUTED_VALUE"""),"04 200 a 300")</f>
        <v>04 200 a 300</v>
      </c>
      <c r="AM73" s="1"/>
      <c r="AN73" s="1" t="str">
        <f>IFERROR(__xludf.DUMMYFUNCTION("""COMPUTED_VALUE""")," ")</f>
        <v> </v>
      </c>
      <c r="AO73" s="1">
        <f>IFERROR(__xludf.DUMMYFUNCTION("""COMPUTED_VALUE"""),2022.0)</f>
        <v>2022</v>
      </c>
      <c r="AP73" s="3">
        <f>IFERROR(__xludf.DUMMYFUNCTION("""COMPUTED_VALUE"""),45778.0)</f>
        <v>45778</v>
      </c>
      <c r="AQ73" s="2">
        <f>IFERROR(__xludf.DUMMYFUNCTION("""COMPUTED_VALUE"""),45775.0)</f>
        <v>45775</v>
      </c>
      <c r="AR73" s="2">
        <f>IFERROR(__xludf.DUMMYFUNCTION("""COMPUTED_VALUE"""),45766.0)</f>
        <v>45766</v>
      </c>
      <c r="AS73" s="2">
        <f>IFERROR(__xludf.DUMMYFUNCTION("""COMPUTED_VALUE"""),45748.0)</f>
        <v>45748</v>
      </c>
      <c r="AT73" s="2">
        <f>IFERROR(__xludf.DUMMYFUNCTION("""COMPUTED_VALUE"""),45747.0)</f>
        <v>45747</v>
      </c>
      <c r="AU73" s="1">
        <f>IFERROR(__xludf.DUMMYFUNCTION("""COMPUTED_VALUE"""),39.0)</f>
        <v>39</v>
      </c>
      <c r="AV73" s="1" t="str">
        <f>IFERROR(__xludf.DUMMYFUNCTION("""COMPUTED_VALUE"""),"DIGITAL")</f>
        <v>DIGITAL</v>
      </c>
      <c r="AW73" s="1" t="str">
        <f>IFERROR(__xludf.DUMMYFUNCTION("""COMPUTED_VALUE"""),"BIDIRECCIONAL")</f>
        <v>BIDIRECCIONAL</v>
      </c>
      <c r="AX73" s="1" t="str">
        <f>IFERROR(__xludf.DUMMYFUNCTION("""COMPUTED_VALUE"""),"SEARCH MARCA")</f>
        <v>SEARCH MARCA</v>
      </c>
      <c r="AY73" s="1">
        <f>IFERROR(__xludf.DUMMYFUNCTION("""COMPUTED_VALUE"""),1.0)</f>
        <v>1</v>
      </c>
      <c r="AZ73" s="1" t="str">
        <f>IFERROR(__xludf.DUMMYFUNCTION("""COMPUTED_VALUE"""),"Andrea Araujo Antara")</f>
        <v>Andrea Araujo Antara</v>
      </c>
      <c r="BA73" s="5">
        <f>IFERROR(__xludf.DUMMYFUNCTION("""COMPUTED_VALUE"""),1.0)</f>
        <v>1</v>
      </c>
      <c r="BB73" s="6">
        <f>IFERROR(__xludf.DUMMYFUNCTION("""COMPUTED_VALUE"""),1050.0)</f>
        <v>1050</v>
      </c>
      <c r="BC73" s="1">
        <f>IFERROR(__xludf.DUMMYFUNCTION("""COMPUTED_VALUE"""),0.0)</f>
        <v>0</v>
      </c>
      <c r="BD73" s="1" t="str">
        <f>IFERROR(__xludf.DUMMYFUNCTION("""COMPUTED_VALUE""")," -")</f>
        <v> -</v>
      </c>
      <c r="BE73" s="1">
        <f>IFERROR(__xludf.DUMMYFUNCTION("""COMPUTED_VALUE"""),0.0)</f>
        <v>0</v>
      </c>
      <c r="BF73" s="1" t="str">
        <f>IFERROR(__xludf.DUMMYFUNCTION("""COMPUTED_VALUE"""),"")</f>
        <v/>
      </c>
    </row>
    <row r="74">
      <c r="A74" s="1">
        <f>IFERROR(__xludf.DUMMYFUNCTION("""COMPUTED_VALUE"""),73.0)</f>
        <v>73</v>
      </c>
      <c r="B74" s="1">
        <f>IFERROR(__xludf.DUMMYFUNCTION("""COMPUTED_VALUE"""),4991146.0)</f>
        <v>4991146</v>
      </c>
      <c r="C74" s="1" t="str">
        <f>IFERROR(__xludf.DUMMYFUNCTION("""COMPUTED_VALUE"""),"0000427170")</f>
        <v>0000427170</v>
      </c>
      <c r="D74" s="1" t="str">
        <f>IFERROR(__xludf.DUMMYFUNCTION("""COMPUTED_VALUE"""),"CRISTIAN MANUEL")</f>
        <v>CRISTIAN MANUEL</v>
      </c>
      <c r="E74" s="2" t="str">
        <f>IFERROR(__xludf.DUMMYFUNCTION("""COMPUTED_VALUE"""),"RODRIGUEZ LARREA")</f>
        <v>RODRIGUEZ LARREA</v>
      </c>
      <c r="F74" s="1">
        <f>IFERROR(__xludf.DUMMYFUNCTION("""COMPUTED_VALUE"""),6.0860131E7)</f>
        <v>60860131</v>
      </c>
      <c r="G74" s="1">
        <f>IFERROR(__xludf.DUMMYFUNCTION("""COMPUTED_VALUE"""),9.99905918E8)</f>
        <v>999905918</v>
      </c>
      <c r="H74" s="1" t="str">
        <f>IFERROR(__xludf.DUMMYFUNCTION("""COMPUTED_VALUE"""),"cristian126.2.03@gmail.com")</f>
        <v>cristian126.2.03@gmail.com</v>
      </c>
      <c r="I74" s="1" t="str">
        <f>IFERROR(__xludf.DUMMYFUNCTION("""COMPUTED_VALUE"""),"Comunicación Audiovisual y Cine")</f>
        <v>Comunicación Audiovisual y Cine</v>
      </c>
      <c r="J74" s="1" t="str">
        <f>IFERROR(__xludf.DUMMYFUNCTION("""COMPUTED_VALUE"""),"Comunicaciones")</f>
        <v>Comunicaciones</v>
      </c>
      <c r="K74" s="1" t="str">
        <f>IFERROR(__xludf.DUMMYFUNCTION("""COMPUTED_VALUE"""),"Antigua")</f>
        <v>Antigua</v>
      </c>
      <c r="L74" s="1" t="str">
        <f>IFERROR(__xludf.DUMMYFUNCTION("""COMPUTED_VALUE"""),"Admisión Extraordinaria (Traslados)")</f>
        <v>Admisión Extraordinaria (Traslados)</v>
      </c>
      <c r="M74" s="1" t="str">
        <f>IFERROR(__xludf.DUMMYFUNCTION("""COMPUTED_VALUE"""),"Semi-presencial")</f>
        <v>Semi-presencial</v>
      </c>
      <c r="N74" s="1" t="str">
        <f>IFERROR(__xludf.DUMMYFUNCTION("""COMPUTED_VALUE"""),"Diurno")</f>
        <v>Diurno</v>
      </c>
      <c r="O74" s="1" t="str">
        <f>IFERROR(__xludf.DUMMYFUNCTION("""COMPUTED_VALUE"""),"TRASLADO SIN CONVA")</f>
        <v>TRASLADO SIN CONVA</v>
      </c>
      <c r="P74" s="1" t="str">
        <f>IFERROR(__xludf.DUMMYFUNCTION("""COMPUTED_VALUE"""),"RECA")</f>
        <v>RECA</v>
      </c>
      <c r="Q74" s="1" t="str">
        <f>IFERROR(__xludf.DUMMYFUNCTION("""COMPUTED_VALUE"""),"RECATEGORIZACIÓN")</f>
        <v>RECATEGORIZACIÓN</v>
      </c>
      <c r="R74" s="1" t="str">
        <f>IFERROR(__xludf.DUMMYFUNCTION("""COMPUTED_VALUE"""),"NINGUNO")</f>
        <v>NINGUNO</v>
      </c>
      <c r="S74" s="1" t="str">
        <f>IFERROR(__xludf.DUMMYFUNCTION("""COMPUTED_VALUE"""),"FABIOLA")</f>
        <v>FABIOLA</v>
      </c>
      <c r="T74" s="3">
        <f>IFERROR(__xludf.DUMMYFUNCTION("""COMPUTED_VALUE"""),45805.0)</f>
        <v>45805</v>
      </c>
      <c r="U74" s="1" t="str">
        <f>IFERROR(__xludf.DUMMYFUNCTION("""COMPUTED_VALUE"""),"CARGO")</f>
        <v>CARGO</v>
      </c>
      <c r="V74" s="1" t="str">
        <f>IFERROR(__xludf.DUMMYFUNCTION("""COMPUTED_VALUE"""),"PAGO COMPLETO")</f>
        <v>PAGO COMPLETO</v>
      </c>
      <c r="W74" s="4">
        <f>IFERROR(__xludf.DUMMYFUNCTION("""COMPUTED_VALUE"""),0.0)</f>
        <v>0</v>
      </c>
      <c r="X74" s="1" t="str">
        <f>IFERROR(__xludf.DUMMYFUNCTION("""COMPUTED_VALUE"""),"-")</f>
        <v>-</v>
      </c>
      <c r="Y74" s="2">
        <f>IFERROR(__xludf.DUMMYFUNCTION("""COMPUTED_VALUE"""),45805.0)</f>
        <v>45805</v>
      </c>
      <c r="Z74" s="1" t="str">
        <f>IFERROR(__xludf.DUMMYFUNCTION("""COMPUTED_VALUE"""),"PAGO COMPLETO")</f>
        <v>PAGO COMPLETO</v>
      </c>
      <c r="AA74" s="1" t="str">
        <f>IFERROR(__xludf.DUMMYFUNCTION("""COMPUTED_VALUE"""),"#N/A")</f>
        <v>#N/A</v>
      </c>
      <c r="AB74" s="1"/>
      <c r="AC74" s="4">
        <f>IFERROR(__xludf.DUMMYFUNCTION("""COMPUTED_VALUE"""),0.0)</f>
        <v>0</v>
      </c>
      <c r="AD74" s="4">
        <f>IFERROR(__xludf.DUMMYFUNCTION("""COMPUTED_VALUE"""),0.0)</f>
        <v>0</v>
      </c>
      <c r="AE74" s="4">
        <f>IFERROR(__xludf.DUMMYFUNCTION("""COMPUTED_VALUE"""),1050.0)</f>
        <v>1050</v>
      </c>
      <c r="AF74" s="4">
        <f>IFERROR(__xludf.DUMMYFUNCTION("""COMPUTED_VALUE"""),1050.0)</f>
        <v>1050</v>
      </c>
      <c r="AG74" s="1">
        <f>IFERROR(__xludf.DUMMYFUNCTION("""COMPUTED_VALUE"""),0.0)</f>
        <v>0</v>
      </c>
      <c r="AH74" s="1">
        <f>IFERROR(__xludf.DUMMYFUNCTION("""COMPUTED_VALUE"""),0.0)</f>
        <v>0</v>
      </c>
      <c r="AI74" s="1">
        <f>IFERROR(__xludf.DUMMYFUNCTION("""COMPUTED_VALUE"""),0.0)</f>
        <v>0</v>
      </c>
      <c r="AJ74" s="1">
        <f>IFERROR(__xludf.DUMMYFUNCTION("""COMPUTED_VALUE"""),1323856.0)</f>
        <v>1323856</v>
      </c>
      <c r="AK74" s="1" t="str">
        <f>IFERROR(__xludf.DUMMYFUNCTION("""COMPUTED_VALUE"""),"Más de 15 kms")</f>
        <v>Más de 15 kms</v>
      </c>
      <c r="AL74" s="1" t="str">
        <f>IFERROR(__xludf.DUMMYFUNCTION("""COMPUTED_VALUE"""),"05 301 a 550")</f>
        <v>05 301 a 550</v>
      </c>
      <c r="AM74" s="1"/>
      <c r="AN74" s="1" t="str">
        <f>IFERROR(__xludf.DUMMYFUNCTION("""COMPUTED_VALUE""")," ")</f>
        <v> </v>
      </c>
      <c r="AO74" s="1"/>
      <c r="AP74" s="3">
        <f>IFERROR(__xludf.DUMMYFUNCTION("""COMPUTED_VALUE"""),45778.0)</f>
        <v>45778</v>
      </c>
      <c r="AQ74" s="2">
        <f>IFERROR(__xludf.DUMMYFUNCTION("""COMPUTED_VALUE"""),45775.0)</f>
        <v>45775</v>
      </c>
      <c r="AR74" s="2">
        <f>IFERROR(__xludf.DUMMYFUNCTION("""COMPUTED_VALUE"""),45805.0)</f>
        <v>45805</v>
      </c>
      <c r="AS74" s="2">
        <f>IFERROR(__xludf.DUMMYFUNCTION("""COMPUTED_VALUE"""),45778.0)</f>
        <v>45778</v>
      </c>
      <c r="AT74" s="2">
        <f>IFERROR(__xludf.DUMMYFUNCTION("""COMPUTED_VALUE"""),45775.0)</f>
        <v>45775</v>
      </c>
      <c r="AU74" s="1">
        <f>IFERROR(__xludf.DUMMYFUNCTION("""COMPUTED_VALUE"""),0.0)</f>
        <v>0</v>
      </c>
      <c r="AV74" s="1" t="str">
        <f>IFERROR(__xludf.DUMMYFUNCTION("""COMPUTED_VALUE"""),"DIGITAL")</f>
        <v>DIGITAL</v>
      </c>
      <c r="AW74" s="1" t="str">
        <f>IFERROR(__xludf.DUMMYFUNCTION("""COMPUTED_VALUE"""),"BIDIRECCIONAL")</f>
        <v>BIDIRECCIONAL</v>
      </c>
      <c r="AX74" s="1" t="str">
        <f>IFERROR(__xludf.DUMMYFUNCTION("""COMPUTED_VALUE"""),"ORGANICO")</f>
        <v>ORGANICO</v>
      </c>
      <c r="AY74" s="1">
        <f>IFERROR(__xludf.DUMMYFUNCTION("""COMPUTED_VALUE"""),1.0)</f>
        <v>1</v>
      </c>
      <c r="AZ74" s="1" t="str">
        <f>IFERROR(__xludf.DUMMYFUNCTION("""COMPUTED_VALUE"""),"Angelica Iparraguirre")</f>
        <v>Angelica Iparraguirre</v>
      </c>
      <c r="BA74" s="5">
        <f>IFERROR(__xludf.DUMMYFUNCTION("""COMPUTED_VALUE"""),1.0)</f>
        <v>1</v>
      </c>
      <c r="BB74" s="6">
        <f>IFERROR(__xludf.DUMMYFUNCTION("""COMPUTED_VALUE"""),1050.0)</f>
        <v>1050</v>
      </c>
      <c r="BC74" s="1">
        <f>IFERROR(__xludf.DUMMYFUNCTION("""COMPUTED_VALUE"""),0.0)</f>
        <v>0</v>
      </c>
      <c r="BD74" s="1" t="str">
        <f>IFERROR(__xludf.DUMMYFUNCTION("""COMPUTED_VALUE""")," -")</f>
        <v> -</v>
      </c>
      <c r="BE74" s="1">
        <f>IFERROR(__xludf.DUMMYFUNCTION("""COMPUTED_VALUE"""),0.0)</f>
        <v>0</v>
      </c>
      <c r="BF74" s="1" t="str">
        <f>IFERROR(__xludf.DUMMYFUNCTION("""COMPUTED_VALUE"""),"")</f>
        <v/>
      </c>
    </row>
    <row r="75">
      <c r="A75" s="1">
        <f>IFERROR(__xludf.DUMMYFUNCTION("""COMPUTED_VALUE"""),74.0)</f>
        <v>74</v>
      </c>
      <c r="B75" s="1">
        <f>IFERROR(__xludf.DUMMYFUNCTION("""COMPUTED_VALUE"""),181466.0)</f>
        <v>181466</v>
      </c>
      <c r="C75" s="1"/>
      <c r="D75" s="1" t="str">
        <f>IFERROR(__xludf.DUMMYFUNCTION("""COMPUTED_VALUE"""),"MERY ELIZABETH")</f>
        <v>MERY ELIZABETH</v>
      </c>
      <c r="E75" s="2" t="str">
        <f>IFERROR(__xludf.DUMMYFUNCTION("""COMPUTED_VALUE"""),"CANTO GALICIA")</f>
        <v>CANTO GALICIA</v>
      </c>
      <c r="F75" s="1"/>
      <c r="G75" s="1"/>
      <c r="H75" s="1"/>
      <c r="I75" s="1" t="str">
        <f>IFERROR(__xludf.DUMMYFUNCTION("""COMPUTED_VALUE"""),"Diseño Gráfico Publicitario")</f>
        <v>Diseño Gráfico Publicitario</v>
      </c>
      <c r="J75" s="1" t="str">
        <f>IFERROR(__xludf.DUMMYFUNCTION("""COMPUTED_VALUE"""),"Diseño")</f>
        <v>Diseño</v>
      </c>
      <c r="K75" s="1" t="str">
        <f>IFERROR(__xludf.DUMMYFUNCTION("""COMPUTED_VALUE"""),"Antigua")</f>
        <v>Antigua</v>
      </c>
      <c r="L75" s="1" t="str">
        <f>IFERROR(__xludf.DUMMYFUNCTION("""COMPUTED_VALUE"""),"Admisión Extraordinaria (Traslados)")</f>
        <v>Admisión Extraordinaria (Traslados)</v>
      </c>
      <c r="M75" s="1" t="str">
        <f>IFERROR(__xludf.DUMMYFUNCTION("""COMPUTED_VALUE"""),"Semi-presencial")</f>
        <v>Semi-presencial</v>
      </c>
      <c r="N75" s="1" t="str">
        <f>IFERROR(__xludf.DUMMYFUNCTION("""COMPUTED_VALUE"""),"Diurno")</f>
        <v>Diurno</v>
      </c>
      <c r="O75" s="1" t="str">
        <f>IFERROR(__xludf.DUMMYFUNCTION("""COMPUTED_VALUE"""),"TRASLADO CON CONVA")</f>
        <v>TRASLADO CON CONVA</v>
      </c>
      <c r="P75" s="1" t="str">
        <f>IFERROR(__xludf.DUMMYFUNCTION("""COMPUTED_VALUE"""),"RECA")</f>
        <v>RECA</v>
      </c>
      <c r="Q75" s="1" t="str">
        <f>IFERROR(__xludf.DUMMYFUNCTION("""COMPUTED_VALUE"""),"RECATEGORIZACIÓN")</f>
        <v>RECATEGORIZACIÓN</v>
      </c>
      <c r="R75" s="1" t="str">
        <f>IFERROR(__xludf.DUMMYFUNCTION("""COMPUTED_VALUE"""),"NINGUNO")</f>
        <v>NINGUNO</v>
      </c>
      <c r="S75" s="1" t="str">
        <f>IFERROR(__xludf.DUMMYFUNCTION("""COMPUTED_VALUE"""),"-")</f>
        <v>-</v>
      </c>
      <c r="T75" s="3">
        <f>IFERROR(__xludf.DUMMYFUNCTION("""COMPUTED_VALUE"""),45807.0)</f>
        <v>45807</v>
      </c>
      <c r="U75" s="1" t="str">
        <f>IFERROR(__xludf.DUMMYFUNCTION("""COMPUTED_VALUE"""),"CARGO")</f>
        <v>CARGO</v>
      </c>
      <c r="V75" s="1" t="str">
        <f>IFERROR(__xludf.DUMMYFUNCTION("""COMPUTED_VALUE"""),"PAGO COMPLETO")</f>
        <v>PAGO COMPLETO</v>
      </c>
      <c r="W75" s="4">
        <f>IFERROR(__xludf.DUMMYFUNCTION("""COMPUTED_VALUE"""),0.0)</f>
        <v>0</v>
      </c>
      <c r="X75" s="1" t="str">
        <f>IFERROR(__xludf.DUMMYFUNCTION("""COMPUTED_VALUE"""),"-")</f>
        <v>-</v>
      </c>
      <c r="Y75" s="2">
        <f>IFERROR(__xludf.DUMMYFUNCTION("""COMPUTED_VALUE"""),45807.0)</f>
        <v>45807</v>
      </c>
      <c r="Z75" s="1" t="str">
        <f>IFERROR(__xludf.DUMMYFUNCTION("""COMPUTED_VALUE"""),"PAGO COMPLETO")</f>
        <v>PAGO COMPLETO</v>
      </c>
      <c r="AA75" s="1" t="str">
        <f>IFERROR(__xludf.DUMMYFUNCTION("""COMPUTED_VALUE"""),"#N/A")</f>
        <v>#N/A</v>
      </c>
      <c r="AB75" s="1"/>
      <c r="AC75" s="4">
        <f>IFERROR(__xludf.DUMMYFUNCTION("""COMPUTED_VALUE"""),0.0)</f>
        <v>0</v>
      </c>
      <c r="AD75" s="4">
        <f>IFERROR(__xludf.DUMMYFUNCTION("""COMPUTED_VALUE"""),0.0)</f>
        <v>0</v>
      </c>
      <c r="AE75" s="4">
        <f>IFERROR(__xludf.DUMMYFUNCTION("""COMPUTED_VALUE"""),850.0)</f>
        <v>850</v>
      </c>
      <c r="AF75" s="4">
        <f>IFERROR(__xludf.DUMMYFUNCTION("""COMPUTED_VALUE"""),850.0)</f>
        <v>850</v>
      </c>
      <c r="AG75" s="1">
        <f>IFERROR(__xludf.DUMMYFUNCTION("""COMPUTED_VALUE"""),0.0)</f>
        <v>0</v>
      </c>
      <c r="AH75" s="1">
        <f>IFERROR(__xludf.DUMMYFUNCTION("""COMPUTED_VALUE"""),0.0)</f>
        <v>0</v>
      </c>
      <c r="AI75" s="1">
        <f>IFERROR(__xludf.DUMMYFUNCTION("""COMPUTED_VALUE"""),0.0)</f>
        <v>0</v>
      </c>
      <c r="AJ75" s="1"/>
      <c r="AK75" s="1" t="str">
        <f>IFERROR(__xludf.DUMMYFUNCTION("""COMPUTED_VALUE"""),"10 kms a 15 kms")</f>
        <v>10 kms a 15 kms</v>
      </c>
      <c r="AL75" s="1" t="str">
        <f>IFERROR(__xludf.DUMMYFUNCTION("""COMPUTED_VALUE"""),"01 Nacional")</f>
        <v>01 Nacional</v>
      </c>
      <c r="AM75" s="1"/>
      <c r="AN75" s="1" t="str">
        <f>IFERROR(__xludf.DUMMYFUNCTION("""COMPUTED_VALUE""")," ")</f>
        <v> </v>
      </c>
      <c r="AO75" s="1"/>
      <c r="AP75" s="3">
        <f>IFERROR(__xludf.DUMMYFUNCTION("""COMPUTED_VALUE"""),45778.0)</f>
        <v>45778</v>
      </c>
      <c r="AQ75" s="2">
        <f>IFERROR(__xludf.DUMMYFUNCTION("""COMPUTED_VALUE"""),45775.0)</f>
        <v>45775</v>
      </c>
      <c r="AR75" s="2">
        <f>IFERROR(__xludf.DUMMYFUNCTION("""COMPUTED_VALUE"""),45802.0)</f>
        <v>45802</v>
      </c>
      <c r="AS75" s="2">
        <f>IFERROR(__xludf.DUMMYFUNCTION("""COMPUTED_VALUE"""),45778.0)</f>
        <v>45778</v>
      </c>
      <c r="AT75" s="2">
        <f>IFERROR(__xludf.DUMMYFUNCTION("""COMPUTED_VALUE"""),45775.0)</f>
        <v>45775</v>
      </c>
      <c r="AU75" s="1">
        <f>IFERROR(__xludf.DUMMYFUNCTION("""COMPUTED_VALUE"""),5.0)</f>
        <v>5</v>
      </c>
      <c r="AV75" s="1" t="str">
        <f>IFERROR(__xludf.DUMMYFUNCTION("""COMPUTED_VALUE"""),"DIGITAL")</f>
        <v>DIGITAL</v>
      </c>
      <c r="AW75" s="1" t="str">
        <f>IFERROR(__xludf.DUMMYFUNCTION("""COMPUTED_VALUE"""),"FORMULARIO")</f>
        <v>FORMULARIO</v>
      </c>
      <c r="AX75" s="1" t="str">
        <f>IFERROR(__xludf.DUMMYFUNCTION("""COMPUTED_VALUE"""),"NO SUFICIENCIA")</f>
        <v>NO SUFICIENCIA</v>
      </c>
      <c r="AY75" s="1">
        <f>IFERROR(__xludf.DUMMYFUNCTION("""COMPUTED_VALUE"""),1.0)</f>
        <v>1</v>
      </c>
      <c r="AZ75" s="1" t="str">
        <f>IFERROR(__xludf.DUMMYFUNCTION("""COMPUTED_VALUE"""),"Rosa Ugarte")</f>
        <v>Rosa Ugarte</v>
      </c>
      <c r="BA75" s="5">
        <f>IFERROR(__xludf.DUMMYFUNCTION("""COMPUTED_VALUE"""),1.0)</f>
        <v>1</v>
      </c>
      <c r="BB75" s="6">
        <f>IFERROR(__xludf.DUMMYFUNCTION("""COMPUTED_VALUE"""),850.0)</f>
        <v>850</v>
      </c>
      <c r="BC75" s="1">
        <f>IFERROR(__xludf.DUMMYFUNCTION("""COMPUTED_VALUE"""),0.0)</f>
        <v>0</v>
      </c>
      <c r="BD75" s="1" t="str">
        <f>IFERROR(__xludf.DUMMYFUNCTION("""COMPUTED_VALUE""")," -")</f>
        <v> -</v>
      </c>
      <c r="BE75" s="1">
        <f>IFERROR(__xludf.DUMMYFUNCTION("""COMPUTED_VALUE"""),0.0)</f>
        <v>0</v>
      </c>
      <c r="BF75" s="1" t="str">
        <f>IFERROR(__xludf.DUMMYFUNCTION("""COMPUTED_VALUE"""),"")</f>
        <v/>
      </c>
    </row>
    <row r="76">
      <c r="A76" s="1">
        <f>IFERROR(__xludf.DUMMYFUNCTION("""COMPUTED_VALUE"""),75.0)</f>
        <v>75</v>
      </c>
      <c r="B76" s="1">
        <f>IFERROR(__xludf.DUMMYFUNCTION("""COMPUTED_VALUE"""),5221256.0)</f>
        <v>5221256</v>
      </c>
      <c r="C76" s="1"/>
      <c r="D76" s="1" t="str">
        <f>IFERROR(__xludf.DUMMYFUNCTION("""COMPUTED_VALUE"""),"HANS ANTONIO")</f>
        <v>HANS ANTONIO</v>
      </c>
      <c r="E76" s="2" t="str">
        <f>IFERROR(__xludf.DUMMYFUNCTION("""COMPUTED_VALUE"""),"THOL HUAMAN")</f>
        <v>THOL HUAMAN</v>
      </c>
      <c r="F76" s="1"/>
      <c r="G76" s="1"/>
      <c r="H76" s="1"/>
      <c r="I76" s="1" t="str">
        <f>IFERROR(__xludf.DUMMYFUNCTION("""COMPUTED_VALUE"""),"Administración y Marketing")</f>
        <v>Administración y Marketing</v>
      </c>
      <c r="J76" s="1" t="str">
        <f>IFERROR(__xludf.DUMMYFUNCTION("""COMPUTED_VALUE"""),"Negocios")</f>
        <v>Negocios</v>
      </c>
      <c r="K76" s="1" t="str">
        <f>IFERROR(__xludf.DUMMYFUNCTION("""COMPUTED_VALUE"""),"Nueva")</f>
        <v>Nueva</v>
      </c>
      <c r="L76" s="1" t="str">
        <f>IFERROR(__xludf.DUMMYFUNCTION("""COMPUTED_VALUE"""),"Admisión Ordinaria")</f>
        <v>Admisión Ordinaria</v>
      </c>
      <c r="M76" s="1" t="str">
        <f>IFERROR(__xludf.DUMMYFUNCTION("""COMPUTED_VALUE"""),"Virtual")</f>
        <v>Virtual</v>
      </c>
      <c r="N76" s="1" t="str">
        <f>IFERROR(__xludf.DUMMYFUNCTION("""COMPUTED_VALUE"""),"Nocturno - A distancia")</f>
        <v>Nocturno - A distancia</v>
      </c>
      <c r="O76" s="1" t="str">
        <f>IFERROR(__xludf.DUMMYFUNCTION("""COMPUTED_VALUE"""),"NUEVO")</f>
        <v>NUEVO</v>
      </c>
      <c r="P76" s="1" t="str">
        <f>IFERROR(__xludf.DUMMYFUNCTION("""COMPUTED_VALUE"""),"ESCALA REGULAR")</f>
        <v>ESCALA REGULAR</v>
      </c>
      <c r="Q76" s="1" t="str">
        <f>IFERROR(__xludf.DUMMYFUNCTION("""COMPUTED_VALUE"""),"NINGUNO")</f>
        <v>NINGUNO</v>
      </c>
      <c r="R76" s="1" t="str">
        <f>IFERROR(__xludf.DUMMYFUNCTION("""COMPUTED_VALUE"""),"NINGUNO")</f>
        <v>NINGUNO</v>
      </c>
      <c r="S76" s="1" t="str">
        <f>IFERROR(__xludf.DUMMYFUNCTION("""COMPUTED_VALUE"""),"-")</f>
        <v>-</v>
      </c>
      <c r="T76" s="3">
        <f>IFERROR(__xludf.DUMMYFUNCTION("""COMPUTED_VALUE"""),45808.0)</f>
        <v>45808</v>
      </c>
      <c r="U76" s="1" t="str">
        <f>IFERROR(__xludf.DUMMYFUNCTION("""COMPUTED_VALUE"""),"Pago Link")</f>
        <v>Pago Link</v>
      </c>
      <c r="V76" s="1" t="str">
        <f>IFERROR(__xludf.DUMMYFUNCTION("""COMPUTED_VALUE"""),"PAGO FRACCIONADO")</f>
        <v>PAGO FRACCIONADO</v>
      </c>
      <c r="W76" s="4">
        <f>IFERROR(__xludf.DUMMYFUNCTION("""COMPUTED_VALUE"""),375.0)</f>
        <v>375</v>
      </c>
      <c r="X76" s="1"/>
      <c r="Y76" s="1"/>
      <c r="Z76" s="1" t="str">
        <f>IFERROR(__xludf.DUMMYFUNCTION("""COMPUTED_VALUE"""),"PAGO FRACCIONADO")</f>
        <v>PAGO FRACCIONADO</v>
      </c>
      <c r="AA76" s="1" t="str">
        <f>IFERROR(__xludf.DUMMYFUNCTION("""COMPUTED_VALUE"""),"#N/A")</f>
        <v>#N/A</v>
      </c>
      <c r="AB76" s="1"/>
      <c r="AC76" s="4">
        <f>IFERROR(__xludf.DUMMYFUNCTION("""COMPUTED_VALUE"""),0.0)</f>
        <v>0</v>
      </c>
      <c r="AD76" s="4">
        <f>IFERROR(__xludf.DUMMYFUNCTION("""COMPUTED_VALUE"""),0.0)</f>
        <v>0</v>
      </c>
      <c r="AE76" s="4">
        <f>IFERROR(__xludf.DUMMYFUNCTION("""COMPUTED_VALUE"""),750.0)</f>
        <v>750</v>
      </c>
      <c r="AF76" s="4">
        <f>IFERROR(__xludf.DUMMYFUNCTION("""COMPUTED_VALUE"""),750.0)</f>
        <v>750</v>
      </c>
      <c r="AG76" s="1">
        <f>IFERROR(__xludf.DUMMYFUNCTION("""COMPUTED_VALUE"""),0.0)</f>
        <v>0</v>
      </c>
      <c r="AH76" s="1">
        <f>IFERROR(__xludf.DUMMYFUNCTION("""COMPUTED_VALUE"""),0.0)</f>
        <v>0</v>
      </c>
      <c r="AI76" s="1">
        <f>IFERROR(__xludf.DUMMYFUNCTION("""COMPUTED_VALUE"""),0.0)</f>
        <v>0</v>
      </c>
      <c r="AJ76" s="1"/>
      <c r="AK76" s="1" t="str">
        <f>IFERROR(__xludf.DUMMYFUNCTION("""COMPUTED_VALUE"""),"Más de 15 kms")</f>
        <v>Más de 15 kms</v>
      </c>
      <c r="AL76" s="1" t="str">
        <f>IFERROR(__xludf.DUMMYFUNCTION("""COMPUTED_VALUE"""),"08 901 a 1,299")</f>
        <v>08 901 a 1,299</v>
      </c>
      <c r="AM76" s="1"/>
      <c r="AN76" s="1" t="str">
        <f>IFERROR(__xludf.DUMMYFUNCTION("""COMPUTED_VALUE""")," -")</f>
        <v> -</v>
      </c>
      <c r="AO76" s="1"/>
      <c r="AP76" s="3">
        <f>IFERROR(__xludf.DUMMYFUNCTION("""COMPUTED_VALUE"""),45778.0)</f>
        <v>45778</v>
      </c>
      <c r="AQ76" s="2">
        <f>IFERROR(__xludf.DUMMYFUNCTION("""COMPUTED_VALUE"""),45775.0)</f>
        <v>45775</v>
      </c>
      <c r="AR76" s="2">
        <f>IFERROR(__xludf.DUMMYFUNCTION("""COMPUTED_VALUE"""),45801.0)</f>
        <v>45801</v>
      </c>
      <c r="AS76" s="2">
        <f>IFERROR(__xludf.DUMMYFUNCTION("""COMPUTED_VALUE"""),45778.0)</f>
        <v>45778</v>
      </c>
      <c r="AT76" s="2">
        <f>IFERROR(__xludf.DUMMYFUNCTION("""COMPUTED_VALUE"""),45775.0)</f>
        <v>45775</v>
      </c>
      <c r="AU76" s="1">
        <f>IFERROR(__xludf.DUMMYFUNCTION("""COMPUTED_VALUE"""),7.0)</f>
        <v>7</v>
      </c>
      <c r="AV76" s="1" t="str">
        <f>IFERROR(__xludf.DUMMYFUNCTION("""COMPUTED_VALUE"""),"DIGITAL")</f>
        <v>DIGITAL</v>
      </c>
      <c r="AW76" s="1" t="str">
        <f>IFERROR(__xludf.DUMMYFUNCTION("""COMPUTED_VALUE"""),"FORMULARIO")</f>
        <v>FORMULARIO</v>
      </c>
      <c r="AX76" s="1" t="str">
        <f>IFERROR(__xludf.DUMMYFUNCTION("""COMPUTED_VALUE"""),"NO SUFICIENCIA")</f>
        <v>NO SUFICIENCIA</v>
      </c>
      <c r="AY76" s="1">
        <f>IFERROR(__xludf.DUMMYFUNCTION("""COMPUTED_VALUE"""),1.0)</f>
        <v>1</v>
      </c>
      <c r="AZ76" s="1" t="str">
        <f>IFERROR(__xludf.DUMMYFUNCTION("""COMPUTED_VALUE"""),"Rosa Ugarte")</f>
        <v>Rosa Ugarte</v>
      </c>
      <c r="BA76" s="5">
        <f>IFERROR(__xludf.DUMMYFUNCTION("""COMPUTED_VALUE"""),0.5)</f>
        <v>0.5</v>
      </c>
      <c r="BB76" s="6">
        <f>IFERROR(__xludf.DUMMYFUNCTION("""COMPUTED_VALUE"""),750.0)</f>
        <v>750</v>
      </c>
      <c r="BC76" s="1">
        <f>IFERROR(__xludf.DUMMYFUNCTION("""COMPUTED_VALUE"""),0.0)</f>
        <v>0</v>
      </c>
      <c r="BD76" s="1" t="str">
        <f>IFERROR(__xludf.DUMMYFUNCTION("""COMPUTED_VALUE""")," -")</f>
        <v> -</v>
      </c>
      <c r="BE76" s="1">
        <f>IFERROR(__xludf.DUMMYFUNCTION("""COMPUTED_VALUE"""),0.0)</f>
        <v>0</v>
      </c>
      <c r="BF76" s="1" t="str">
        <f>IFERROR(__xludf.DUMMYFUNCTION("""COMPUTED_VALUE"""),"")</f>
        <v/>
      </c>
    </row>
    <row r="77">
      <c r="A77" s="1">
        <f>IFERROR(__xludf.DUMMYFUNCTION("""COMPUTED_VALUE"""),76.0)</f>
        <v>76</v>
      </c>
      <c r="B77" s="1">
        <f>IFERROR(__xludf.DUMMYFUNCTION("""COMPUTED_VALUE"""),3053351.0)</f>
        <v>3053351</v>
      </c>
      <c r="C77" s="1"/>
      <c r="D77" s="1" t="str">
        <f>IFERROR(__xludf.DUMMYFUNCTION("""COMPUTED_VALUE"""),"SHIRLEI LISET ")</f>
        <v>SHIRLEI LISET </v>
      </c>
      <c r="E77" s="2" t="str">
        <f>IFERROR(__xludf.DUMMYFUNCTION("""COMPUTED_VALUE"""),"AREVALO DIAZ")</f>
        <v>AREVALO DIAZ</v>
      </c>
      <c r="F77" s="1"/>
      <c r="G77" s="1"/>
      <c r="H77" s="1"/>
      <c r="I77" s="1" t="str">
        <f>IFERROR(__xludf.DUMMYFUNCTION("""COMPUTED_VALUE"""),"Comunicación Audiovisual y Cine")</f>
        <v>Comunicación Audiovisual y Cine</v>
      </c>
      <c r="J77" s="1" t="str">
        <f>IFERROR(__xludf.DUMMYFUNCTION("""COMPUTED_VALUE"""),"Comunicaciones")</f>
        <v>Comunicaciones</v>
      </c>
      <c r="K77" s="1" t="str">
        <f>IFERROR(__xludf.DUMMYFUNCTION("""COMPUTED_VALUE"""),"Antigua")</f>
        <v>Antigua</v>
      </c>
      <c r="L77" s="1" t="str">
        <f>IFERROR(__xludf.DUMMYFUNCTION("""COMPUTED_VALUE"""),"Admisión Ordinaria")</f>
        <v>Admisión Ordinaria</v>
      </c>
      <c r="M77" s="1" t="str">
        <f>IFERROR(__xludf.DUMMYFUNCTION("""COMPUTED_VALUE"""),"Semi-presencial")</f>
        <v>Semi-presencial</v>
      </c>
      <c r="N77" s="1" t="str">
        <f>IFERROR(__xludf.DUMMYFUNCTION("""COMPUTED_VALUE"""),"Diurno")</f>
        <v>Diurno</v>
      </c>
      <c r="O77" s="1" t="str">
        <f>IFERROR(__xludf.DUMMYFUNCTION("""COMPUTED_VALUE"""),"NUEVO")</f>
        <v>NUEVO</v>
      </c>
      <c r="P77" s="1" t="str">
        <f>IFERROR(__xludf.DUMMYFUNCTION("""COMPUTED_VALUE"""),"ESCALA REGULAR")</f>
        <v>ESCALA REGULAR</v>
      </c>
      <c r="Q77" s="1" t="str">
        <f>IFERROR(__xludf.DUMMYFUNCTION("""COMPUTED_VALUE"""),"NINGUNO")</f>
        <v>NINGUNO</v>
      </c>
      <c r="R77" s="1" t="str">
        <f>IFERROR(__xludf.DUMMYFUNCTION("""COMPUTED_VALUE"""),"NINGUNO")</f>
        <v>NINGUNO</v>
      </c>
      <c r="S77" s="1" t="str">
        <f>IFERROR(__xludf.DUMMYFUNCTION("""COMPUTED_VALUE"""),"SEBASTIAN")</f>
        <v>SEBASTIAN</v>
      </c>
      <c r="T77" s="3">
        <f>IFERROR(__xludf.DUMMYFUNCTION("""COMPUTED_VALUE"""),45808.0)</f>
        <v>45808</v>
      </c>
      <c r="U77" s="1" t="str">
        <f>IFERROR(__xludf.DUMMYFUNCTION("""COMPUTED_VALUE"""),"CARGO")</f>
        <v>CARGO</v>
      </c>
      <c r="V77" s="1" t="str">
        <f>IFERROR(__xludf.DUMMYFUNCTION("""COMPUTED_VALUE"""),"PAGO COMPLETO")</f>
        <v>PAGO COMPLETO</v>
      </c>
      <c r="W77" s="4">
        <f>IFERROR(__xludf.DUMMYFUNCTION("""COMPUTED_VALUE"""),0.0)</f>
        <v>0</v>
      </c>
      <c r="X77" s="1" t="str">
        <f>IFERROR(__xludf.DUMMYFUNCTION("""COMPUTED_VALUE"""),"-")</f>
        <v>-</v>
      </c>
      <c r="Y77" s="2">
        <f>IFERROR(__xludf.DUMMYFUNCTION("""COMPUTED_VALUE"""),45808.0)</f>
        <v>45808</v>
      </c>
      <c r="Z77" s="1" t="str">
        <f>IFERROR(__xludf.DUMMYFUNCTION("""COMPUTED_VALUE"""),"PAGO COMPLETO")</f>
        <v>PAGO COMPLETO</v>
      </c>
      <c r="AA77" s="1" t="str">
        <f>IFERROR(__xludf.DUMMYFUNCTION("""COMPUTED_VALUE"""),"#N/A")</f>
        <v>#N/A</v>
      </c>
      <c r="AB77" s="1"/>
      <c r="AC77" s="4">
        <f>IFERROR(__xludf.DUMMYFUNCTION("""COMPUTED_VALUE"""),50.0)</f>
        <v>50</v>
      </c>
      <c r="AD77" s="4">
        <f>IFERROR(__xludf.DUMMYFUNCTION("""COMPUTED_VALUE"""),95.0)</f>
        <v>95</v>
      </c>
      <c r="AE77" s="4">
        <f>IFERROR(__xludf.DUMMYFUNCTION("""COMPUTED_VALUE"""),1200.0)</f>
        <v>1200</v>
      </c>
      <c r="AF77" s="4">
        <f>IFERROR(__xludf.DUMMYFUNCTION("""COMPUTED_VALUE"""),1200.0)</f>
        <v>1200</v>
      </c>
      <c r="AG77" s="1">
        <f>IFERROR(__xludf.DUMMYFUNCTION("""COMPUTED_VALUE"""),0.0)</f>
        <v>0</v>
      </c>
      <c r="AH77" s="1">
        <f>IFERROR(__xludf.DUMMYFUNCTION("""COMPUTED_VALUE"""),0.0)</f>
        <v>0</v>
      </c>
      <c r="AI77" s="1">
        <f>IFERROR(__xludf.DUMMYFUNCTION("""COMPUTED_VALUE"""),0.0)</f>
        <v>0</v>
      </c>
      <c r="AJ77" s="1"/>
      <c r="AK77" s="1" t="str">
        <f>IFERROR(__xludf.DUMMYFUNCTION("""COMPUTED_VALUE"""),"Más de 15 kms")</f>
        <v>Más de 15 kms</v>
      </c>
      <c r="AL77" s="1" t="str">
        <f>IFERROR(__xludf.DUMMYFUNCTION("""COMPUTED_VALUE"""),"01 Nacional")</f>
        <v>01 Nacional</v>
      </c>
      <c r="AM77" s="1"/>
      <c r="AN77" s="1" t="str">
        <f>IFERROR(__xludf.DUMMYFUNCTION("""COMPUTED_VALUE""")," -")</f>
        <v> -</v>
      </c>
      <c r="AO77" s="1"/>
      <c r="AP77" s="3">
        <f>IFERROR(__xludf.DUMMYFUNCTION("""COMPUTED_VALUE"""),45778.0)</f>
        <v>45778</v>
      </c>
      <c r="AQ77" s="2">
        <f>IFERROR(__xludf.DUMMYFUNCTION("""COMPUTED_VALUE"""),45775.0)</f>
        <v>45775</v>
      </c>
      <c r="AR77" s="2">
        <f>IFERROR(__xludf.DUMMYFUNCTION("""COMPUTED_VALUE"""),45782.0)</f>
        <v>45782</v>
      </c>
      <c r="AS77" s="2">
        <f>IFERROR(__xludf.DUMMYFUNCTION("""COMPUTED_VALUE"""),45778.0)</f>
        <v>45778</v>
      </c>
      <c r="AT77" s="2">
        <f>IFERROR(__xludf.DUMMYFUNCTION("""COMPUTED_VALUE"""),45775.0)</f>
        <v>45775</v>
      </c>
      <c r="AU77" s="1">
        <f>IFERROR(__xludf.DUMMYFUNCTION("""COMPUTED_VALUE"""),26.0)</f>
        <v>26</v>
      </c>
      <c r="AV77" s="1" t="str">
        <f>IFERROR(__xludf.DUMMYFUNCTION("""COMPUTED_VALUE"""),"DIGITAL")</f>
        <v>DIGITAL</v>
      </c>
      <c r="AW77" s="1" t="str">
        <f>IFERROR(__xludf.DUMMYFUNCTION("""COMPUTED_VALUE"""),"BIDIRECCIONAL")</f>
        <v>BIDIRECCIONAL</v>
      </c>
      <c r="AX77" s="1" t="str">
        <f>IFERROR(__xludf.DUMMYFUNCTION("""COMPUTED_VALUE"""),"SEARCH MARCA")</f>
        <v>SEARCH MARCA</v>
      </c>
      <c r="AY77" s="1">
        <f>IFERROR(__xludf.DUMMYFUNCTION("""COMPUTED_VALUE"""),1.0)</f>
        <v>1</v>
      </c>
      <c r="AZ77" s="1" t="str">
        <f>IFERROR(__xludf.DUMMYFUNCTION("""COMPUTED_VALUE"""),"Andrea Araujo Antara")</f>
        <v>Andrea Araujo Antara</v>
      </c>
      <c r="BA77" s="5">
        <f>IFERROR(__xludf.DUMMYFUNCTION("""COMPUTED_VALUE"""),1.0)</f>
        <v>1</v>
      </c>
      <c r="BB77" s="6">
        <f>IFERROR(__xludf.DUMMYFUNCTION("""COMPUTED_VALUE"""),1200.0)</f>
        <v>1200</v>
      </c>
      <c r="BC77" s="1">
        <f>IFERROR(__xludf.DUMMYFUNCTION("""COMPUTED_VALUE"""),0.0)</f>
        <v>0</v>
      </c>
      <c r="BD77" s="1" t="str">
        <f>IFERROR(__xludf.DUMMYFUNCTION("""COMPUTED_VALUE""")," -")</f>
        <v> -</v>
      </c>
      <c r="BE77" s="1">
        <f>IFERROR(__xludf.DUMMYFUNCTION("""COMPUTED_VALUE"""),0.0)</f>
        <v>0</v>
      </c>
      <c r="BF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 t="str">
        <f>IFERROR(__xludf.DUMMYFUNCTION("""COMPUTED_VALUE"""),"")</f>
        <v/>
      </c>
    </row>
  </sheetData>
  <autoFilter ref="$A$1:$BC$49"/>
  <drawing r:id="rId1"/>
</worksheet>
</file>