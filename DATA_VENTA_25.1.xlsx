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&quot;/&quot;mm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4" xfId="0" applyFont="1" applyNumberFormat="1"/>
    <xf borderId="0" fillId="0" fontId="1" numFmtId="166" xfId="0" applyFont="1" applyNumberFormat="1"/>
    <xf borderId="0" fillId="0" fontId="1" numFmtId="10" xfId="0" applyFont="1" applyNumberForma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IFERROR(__xludf.DUMMYFUNCTION("IMPORTRANGE(""https://docs.google.com/spreadsheets/d/1C6i0rqkjeatG9TpZ73ve44FTqOFCLrrCICTEKkCq_6M/edit?gid=1137002040#gid=1137002040"", ""Nuevo Master de Ventas 25-1!A1:BP700"")"),"N°")</f>
        <v>N°</v>
      </c>
      <c r="B1" s="1" t="str">
        <f>IFERROR(__xludf.DUMMYFUNCTION("""COMPUTED_VALUE"""),"ID PROMETEO")</f>
        <v>ID PROMETEO</v>
      </c>
      <c r="C1" s="1" t="str">
        <f>IFERROR(__xludf.DUMMYFUNCTION("""COMPUTED_VALUE"""),"Campaña")</f>
        <v>Campaña</v>
      </c>
      <c r="D1" s="1" t="str">
        <f>IFERROR(__xludf.DUMMYFUNCTION("""COMPUTED_VALUE"""),"Modalidad de ingreso")</f>
        <v>Modalidad de ingreso</v>
      </c>
      <c r="E1" s="2" t="str">
        <f>IFERROR(__xludf.DUMMYFUNCTION("""COMPUTED_VALUE"""),"Fecha de Pago")</f>
        <v>Fecha de Pago</v>
      </c>
      <c r="F1" s="1" t="str">
        <f>IFERROR(__xludf.DUMMYFUNCTION("""COMPUTED_VALUE"""),"Nombres")</f>
        <v>Nombres</v>
      </c>
      <c r="G1" s="1" t="str">
        <f>IFERROR(__xludf.DUMMYFUNCTION("""COMPUTED_VALUE"""),"Apellidos")</f>
        <v>Apellidos</v>
      </c>
      <c r="H1" s="1" t="str">
        <f>IFERROR(__xludf.DUMMYFUNCTION("""COMPUTED_VALUE"""),"Carrera")</f>
        <v>Carrera</v>
      </c>
      <c r="I1" s="1" t="str">
        <f>IFERROR(__xludf.DUMMYFUNCTION("""COMPUTED_VALUE"""),"Medio de Pago")</f>
        <v>Medio de Pago</v>
      </c>
      <c r="J1" s="1" t="str">
        <f>IFERROR(__xludf.DUMMYFUNCTION("""COMPUTED_VALUE"""),"Horario de Estudio")</f>
        <v>Horario de Estudio</v>
      </c>
      <c r="K1" s="1" t="str">
        <f>IFERROR(__xludf.DUMMYFUNCTION("""COMPUTED_VALUE"""),"Tipo de Ingreso")</f>
        <v>Tipo de Ingreso</v>
      </c>
      <c r="L1" s="1" t="str">
        <f>IFERROR(__xludf.DUMMYFUNCTION("""COMPUTED_VALUE"""),"Convalidación")</f>
        <v>Convalidación</v>
      </c>
      <c r="M1" s="1" t="str">
        <f>IFERROR(__xludf.DUMMYFUNCTION("""COMPUTED_VALUE"""),"Examen de Suficiencia")</f>
        <v>Examen de Suficiencia</v>
      </c>
      <c r="N1" s="1" t="str">
        <f>IFERROR(__xludf.DUMMYFUNCTION("""COMPUTED_VALUE"""),"Tipo de Descuento")</f>
        <v>Tipo de Descuento</v>
      </c>
      <c r="O1" s="1" t="str">
        <f>IFERROR(__xludf.DUMMYFUNCTION("""COMPUTED_VALUE"""),"Detalle Tipo de Descuento")</f>
        <v>Detalle Tipo de Descuento</v>
      </c>
      <c r="P1" s="1" t="str">
        <f>IFERROR(__xludf.DUMMYFUNCTION("""COMPUTED_VALUE"""),"Pago de Admisión")</f>
        <v>Pago de Admisión</v>
      </c>
      <c r="Q1" s="1" t="str">
        <f>IFERROR(__xludf.DUMMYFUNCTION("""COMPUTED_VALUE"""),"Matrícula")</f>
        <v>Matrícula</v>
      </c>
      <c r="R1" s="1" t="str">
        <f>IFERROR(__xludf.DUMMYFUNCTION("""COMPUTED_VALUE"""),"Escala Inicial")</f>
        <v>Escala Inicial</v>
      </c>
      <c r="S1" s="1" t="str">
        <f>IFERROR(__xludf.DUMMYFUNCTION("""COMPUTED_VALUE"""),"Boleta Campus")</f>
        <v>Boleta Campus</v>
      </c>
      <c r="T1" s="1" t="str">
        <f>IFERROR(__xludf.DUMMYFUNCTION("""COMPUTED_VALUE"""),"Tipo de descuentos adicionales")</f>
        <v>Tipo de descuentos adicionales</v>
      </c>
      <c r="U1" s="1" t="str">
        <f>IFERROR(__xludf.DUMMYFUNCTION("""COMPUTED_VALUE"""),"VB")</f>
        <v>VB</v>
      </c>
      <c r="V1" s="1" t="str">
        <f>IFERROR(__xludf.DUMMYFUNCTION("""COMPUTED_VALUE"""),"¿Qué asesor te ayudo a cerrar la venta?")</f>
        <v>¿Qué asesor te ayudo a cerrar la venta?</v>
      </c>
      <c r="W1" s="1" t="str">
        <f>IFERROR(__xludf.DUMMYFUNCTION("""COMPUTED_VALUE"""),"MOTIVO DE COMPRA")</f>
        <v>MOTIVO DE COMPRA</v>
      </c>
      <c r="X1" s="1" t="str">
        <f>IFERROR(__xludf.DUMMYFUNCTION("""COMPUTED_VALUE"""),"COMENTARIO")</f>
        <v>COMENTARIO</v>
      </c>
      <c r="Y1" s="1" t="str">
        <f>IFERROR(__xludf.DUMMYFUNCTION("""COMPUTED_VALUE"""),"Status de Pago")</f>
        <v>Status de Pago</v>
      </c>
      <c r="Z1" s="1" t="str">
        <f>IFERROR(__xludf.DUMMYFUNCTION("""COMPUTED_VALUE"""),"Monto Pagado(Fraccionado)")</f>
        <v>Monto Pagado(Fraccionado)</v>
      </c>
      <c r="AA1" s="1" t="str">
        <f>IFERROR(__xludf.DUMMYFUNCTION("""COMPUTED_VALUE"""),"Fecha de compromiso de pago completo")</f>
        <v>Fecha de compromiso de pago completo</v>
      </c>
      <c r="AB1" s="1" t="str">
        <f>IFERROR(__xludf.DUMMYFUNCTION("""COMPUTED_VALUE"""),"Desertor")</f>
        <v>Desertor</v>
      </c>
      <c r="AC1" s="1" t="str">
        <f>IFERROR(__xludf.DUMMYFUNCTION("""COMPUTED_VALUE"""),"Reserva")</f>
        <v>Reserva</v>
      </c>
      <c r="AD1" s="1" t="str">
        <f>IFERROR(__xludf.DUMMYFUNCTION("""COMPUTED_VALUE"""),"Asesor Homologado")</f>
        <v>Asesor Homologado</v>
      </c>
      <c r="AE1" s="1" t="str">
        <f>IFERROR(__xludf.DUMMYFUNCTION("""COMPUTED_VALUE"""),"UNIVERSIDAD Y/O INSTITUTO DE PROCEDENCIA")</f>
        <v>UNIVERSIDAD Y/O INSTITUTO DE PROCEDENCIA</v>
      </c>
      <c r="AF1" s="1" t="str">
        <f>IFERROR(__xludf.DUMMYFUNCTION("""COMPUTED_VALUE"""),"Año_fin_colegio")</f>
        <v>Año_fin_colegio</v>
      </c>
      <c r="AG1" s="1" t="str">
        <f>IFERROR(__xludf.DUMMYFUNCTION("""COMPUTED_VALUE"""),"Cod_modular")</f>
        <v>Cod_modular</v>
      </c>
      <c r="AH1" s="1" t="str">
        <f>IFERROR(__xludf.DUMMYFUNCTION("""COMPUTED_VALUE"""),"Edad")</f>
        <v>Edad</v>
      </c>
      <c r="AI1" s="1" t="str">
        <f>IFERROR(__xludf.DUMMYFUNCTION("""COMPUTED_VALUE"""),"Id_Campus")</f>
        <v>Id_Campus</v>
      </c>
      <c r="AJ1" s="1" t="str">
        <f>IFERROR(__xludf.DUMMYFUNCTION("""COMPUTED_VALUE"""),"DNI")</f>
        <v>DNI</v>
      </c>
      <c r="AK1" s="1" t="str">
        <f>IFERROR(__xludf.DUMMYFUNCTION("""COMPUTED_VALUE"""),"Celular")</f>
        <v>Celular</v>
      </c>
      <c r="AL1" s="1" t="str">
        <f>IFERROR(__xludf.DUMMYFUNCTION("""COMPUTED_VALUE"""),"Correo")</f>
        <v>Correo</v>
      </c>
      <c r="AM1" s="1" t="str">
        <f>IFERROR(__xludf.DUMMYFUNCTION("""COMPUTED_VALUE"""),"Género")</f>
        <v>Género</v>
      </c>
      <c r="AN1" s="1" t="str">
        <f>IFERROR(__xludf.DUMMYFUNCTION("""COMPUTED_VALUE"""),"Boleta Prometeo")</f>
        <v>Boleta Prometeo</v>
      </c>
      <c r="AO1" s="1" t="str">
        <f>IFERROR(__xludf.DUMMYFUNCTION("""COMPUTED_VALUE"""),"Pensión Colegio")</f>
        <v>Pensión Colegio</v>
      </c>
      <c r="AP1" s="1" t="str">
        <f>IFERROR(__xludf.DUMMYFUNCTION("""COMPUTED_VALUE"""),"CANAL")</f>
        <v>CANAL</v>
      </c>
      <c r="AQ1" s="1" t="str">
        <f>IFERROR(__xludf.DUMMYFUNCTION("""COMPUTED_VALUE"""),"SUBCANAL")</f>
        <v>SUBCANAL</v>
      </c>
      <c r="AR1" s="1" t="str">
        <f>IFERROR(__xludf.DUMMYFUNCTION("""COMPUTED_VALUE"""),"tipo_registro")</f>
        <v>tipo_registro</v>
      </c>
      <c r="AS1" s="1" t="str">
        <f>IFERROR(__xludf.DUMMYFUNCTION("""COMPUTED_VALUE"""),"ult_tipf_dif_sin_contacto")</f>
        <v>ult_tipf_dif_sin_contacto</v>
      </c>
      <c r="AT1" s="1" t="str">
        <f>IFERROR(__xludf.DUMMYFUNCTION("""COMPUTED_VALUE"""),"fecha_registro")</f>
        <v>fecha_registro</v>
      </c>
      <c r="AU1" s="1" t="str">
        <f>IFERROR(__xludf.DUMMYFUNCTION("""COMPUTED_VALUE"""),"flag_master_new")</f>
        <v>flag_master_new</v>
      </c>
      <c r="AV1" s="1" t="str">
        <f>IFERROR(__xludf.DUMMYFUNCTION("""COMPUTED_VALUE"""),"Tipo de Ingreso Sincerado")</f>
        <v>Tipo de Ingreso Sincerado</v>
      </c>
      <c r="AW1" s="1" t="str">
        <f>IFERROR(__xludf.DUMMYFUNCTION("""COMPUTED_VALUE"""),"Cargo Realizado")</f>
        <v>Cargo Realizado</v>
      </c>
      <c r="AX1" s="1" t="str">
        <f>IFERROR(__xludf.DUMMYFUNCTION("""COMPUTED_VALUE"""),"Comentario_2")</f>
        <v>Comentario_2</v>
      </c>
      <c r="AY1" s="1" t="str">
        <f>IFERROR(__xludf.DUMMYFUNCTION("""COMPUTED_VALUE"""),"Status_actualizado")</f>
        <v>Status_actualizado</v>
      </c>
      <c r="AZ1" s="1" t="str">
        <f>IFERROR(__xludf.DUMMYFUNCTION("""COMPUTED_VALUE"""),"fecha_pago_completo")</f>
        <v>fecha_pago_completo</v>
      </c>
      <c r="BA1" s="1" t="str">
        <f>IFERROR(__xludf.DUMMYFUNCTION("""COMPUTED_VALUE"""),"Pago cuota 2")</f>
        <v>Pago cuota 2</v>
      </c>
      <c r="BB1" s="1" t="str">
        <f>IFERROR(__xludf.DUMMYFUNCTION("""COMPUTED_VALUE"""),"Pago cuota 3")</f>
        <v>Pago cuota 3</v>
      </c>
      <c r="BC1" s="1" t="str">
        <f>IFERROR(__xludf.DUMMYFUNCTION("""COMPUTED_VALUE"""),"Falta Pagar")</f>
        <v>Falta Pagar</v>
      </c>
      <c r="BD1" s="1" t="str">
        <f>IFERROR(__xludf.DUMMYFUNCTION("""COMPUTED_VALUE"""),"Descuento Adicional")</f>
        <v>Descuento Adicional</v>
      </c>
      <c r="BE1" s="1" t="str">
        <f>IFERROR(__xludf.DUMMYFUNCTION("""COMPUTED_VALUE"""),"mes")</f>
        <v>mes</v>
      </c>
      <c r="BF1" s="1" t="str">
        <f>IFERROR(__xludf.DUMMYFUNCTION("""COMPUTED_VALUE"""),"% de adelanto")</f>
        <v>% de adelanto</v>
      </c>
      <c r="BG1" s="1" t="str">
        <f>IFERROR(__xludf.DUMMYFUNCTION("""COMPUTED_VALUE"""),"flg_master")</f>
        <v>flg_master</v>
      </c>
      <c r="BH1" s="1" t="str">
        <f>IFERROR(__xludf.DUMMYFUNCTION("""COMPUTED_VALUE"""),"flg_traslado_conv")</f>
        <v>flg_traslado_conv</v>
      </c>
      <c r="BI1" s="1" t="str">
        <f>IFERROR(__xludf.DUMMYFUNCTION("""COMPUTED_VALUE"""),"monto adelanto de pago")</f>
        <v>monto adelanto de pago</v>
      </c>
      <c r="BJ1" s="1" t="str">
        <f>IFERROR(__xludf.DUMMYFUNCTION("""COMPUTED_VALUE"""),"RESERVA ")</f>
        <v>RESERVA </v>
      </c>
      <c r="BK1" s="1" t="str">
        <f>IFERROR(__xludf.DUMMYFUNCTION("""COMPUTED_VALUE"""),"MONTO DESCUENTO ADICIONAL")</f>
        <v>MONTO DESCUENTO ADICIONAL</v>
      </c>
      <c r="BL1" s="1" t="str">
        <f>IFERROR(__xludf.DUMMYFUNCTION("""COMPUTED_VALUE"""),"BOLETA PROYECTADA")</f>
        <v>BOLETA PROYECTADA</v>
      </c>
      <c r="BM1" s="1" t="str">
        <f>IFERROR(__xludf.DUMMYFUNCTION("""COMPUTED_VALUE"""),"SEMANA")</f>
        <v>SEMANA</v>
      </c>
      <c r="BN1" s="3" t="str">
        <f>IFERROR(__xludf.DUMMYFUNCTION("""COMPUTED_VALUE"""),"Semana de venta")</f>
        <v>Semana de venta</v>
      </c>
      <c r="BO1" s="1" t="str">
        <f>IFERROR(__xludf.DUMMYFUNCTION("""COMPUTED_VALUE"""),"Mes_Pago")</f>
        <v>Mes_Pago</v>
      </c>
      <c r="BP1" s="1" t="str">
        <f>IFERROR(__xludf.DUMMYFUNCTION("""COMPUTED_VALUE"""),"Año_Pago")</f>
        <v>Año_Pago</v>
      </c>
    </row>
    <row r="2">
      <c r="A2" s="1">
        <f>IFERROR(__xludf.DUMMYFUNCTION("""COMPUTED_VALUE"""),1.0)</f>
        <v>1</v>
      </c>
      <c r="B2" s="1">
        <f>IFERROR(__xludf.DUMMYFUNCTION("""COMPUTED_VALUE"""),2027964.0)</f>
        <v>2027964</v>
      </c>
      <c r="C2" s="1" t="str">
        <f>IFERROR(__xludf.DUMMYFUNCTION("""COMPUTED_VALUE"""),"2025-1")</f>
        <v>2025-1</v>
      </c>
      <c r="D2" s="1" t="str">
        <f>IFERROR(__xludf.DUMMYFUNCTION("""COMPUTED_VALUE"""),"Admisión Extraordinaria (Traslados)")</f>
        <v>Admisión Extraordinaria (Traslados)</v>
      </c>
      <c r="E2" s="2">
        <f>IFERROR(__xludf.DUMMYFUNCTION("""COMPUTED_VALUE"""),45102.0)</f>
        <v>45102</v>
      </c>
      <c r="F2" s="1" t="str">
        <f>IFERROR(__xludf.DUMMYFUNCTION("""COMPUTED_VALUE"""),"ANGELLINA")</f>
        <v>ANGELLINA</v>
      </c>
      <c r="G2" s="1" t="str">
        <f>IFERROR(__xludf.DUMMYFUNCTION("""COMPUTED_VALUE"""),"ESPINOZA SILVA")</f>
        <v>ESPINOZA SILVA</v>
      </c>
      <c r="H2" s="1" t="str">
        <f>IFERROR(__xludf.DUMMYFUNCTION("""COMPUTED_VALUE"""),"Comunicación Audiovisual y Cine")</f>
        <v>Comunicación Audiovisual y Cine</v>
      </c>
      <c r="I2" s="1" t="str">
        <f>IFERROR(__xludf.DUMMYFUNCTION("""COMPUTED_VALUE"""),"CARGO")</f>
        <v>CARGO</v>
      </c>
      <c r="J2" s="1" t="str">
        <f>IFERROR(__xludf.DUMMYFUNCTION("""COMPUTED_VALUE"""),"Diurno")</f>
        <v>Diurno</v>
      </c>
      <c r="K2" s="1" t="str">
        <f>IFERROR(__xludf.DUMMYFUNCTION("""COMPUTED_VALUE"""),"NUEVO")</f>
        <v>NUEVO</v>
      </c>
      <c r="L2" s="1">
        <f>IFERROR(__xludf.DUMMYFUNCTION("""COMPUTED_VALUE"""),0.0)</f>
        <v>0</v>
      </c>
      <c r="M2" s="1">
        <f>IFERROR(__xludf.DUMMYFUNCTION("""COMPUTED_VALUE"""),0.0)</f>
        <v>0</v>
      </c>
      <c r="N2" s="1" t="str">
        <f>IFERROR(__xludf.DUMMYFUNCTION("""COMPUTED_VALUE"""),"ESCALA REGULAR")</f>
        <v>ESCALA REGULAR</v>
      </c>
      <c r="O2" s="1" t="str">
        <f>IFERROR(__xludf.DUMMYFUNCTION("""COMPUTED_VALUE"""),"NINGUNO")</f>
        <v>NINGUNO</v>
      </c>
      <c r="P2" s="4">
        <f>IFERROR(__xludf.DUMMYFUNCTION("""COMPUTED_VALUE"""),0.0)</f>
        <v>0</v>
      </c>
      <c r="Q2" s="4">
        <f>IFERROR(__xludf.DUMMYFUNCTION("""COMPUTED_VALUE"""),450.0)</f>
        <v>450</v>
      </c>
      <c r="R2" s="4">
        <f>IFERROR(__xludf.DUMMYFUNCTION("""COMPUTED_VALUE"""),1250.0)</f>
        <v>1250</v>
      </c>
      <c r="S2" s="4">
        <f>IFERROR(__xludf.DUMMYFUNCTION("""COMPUTED_VALUE"""),1250.0)</f>
        <v>1250</v>
      </c>
      <c r="T2" s="1" t="str">
        <f>IFERROR(__xludf.DUMMYFUNCTION("""COMPUTED_VALUE"""),"NINGUNO")</f>
        <v>NINGUNO</v>
      </c>
      <c r="U2" s="1" t="str">
        <f>IFERROR(__xludf.DUMMYFUNCTION("""COMPUTED_VALUE"""),"-")</f>
        <v>-</v>
      </c>
      <c r="V2" s="1" t="str">
        <f>IFERROR(__xludf.DUMMYFUNCTION("""COMPUTED_VALUE"""),"-")</f>
        <v>-</v>
      </c>
      <c r="W2" s="1" t="str">
        <f>IFERROR(__xludf.DUMMYFUNCTION("""COMPUTED_VALUE"""),"-")</f>
        <v>-</v>
      </c>
      <c r="X2" s="1" t="str">
        <f>IFERROR(__xludf.DUMMYFUNCTION("""COMPUTED_VALUE"""),"-")</f>
        <v>-</v>
      </c>
      <c r="Y2" s="1" t="str">
        <f>IFERROR(__xludf.DUMMYFUNCTION("""COMPUTED_VALUE"""),"PAGO COMPLETO")</f>
        <v>PAGO COMPLETO</v>
      </c>
      <c r="Z2" s="1">
        <f>IFERROR(__xludf.DUMMYFUNCTION("""COMPUTED_VALUE"""),0.0)</f>
        <v>0</v>
      </c>
      <c r="AA2" s="1" t="str">
        <f>IFERROR(__xludf.DUMMYFUNCTION("""COMPUTED_VALUE"""),"-")</f>
        <v>-</v>
      </c>
      <c r="AB2" s="1">
        <f>IFERROR(__xludf.DUMMYFUNCTION("""COMPUTED_VALUE"""),0.0)</f>
        <v>0</v>
      </c>
      <c r="AC2" s="1">
        <f>IFERROR(__xludf.DUMMYFUNCTION("""COMPUTED_VALUE"""),0.0)</f>
        <v>0</v>
      </c>
      <c r="AD2" s="1" t="str">
        <f>IFERROR(__xludf.DUMMYFUNCTION("""COMPUTED_VALUE"""),"Fabiola Galindo")</f>
        <v>Fabiola Galindo</v>
      </c>
      <c r="AE2" s="1" t="str">
        <f>IFERROR(__xludf.DUMMYFUNCTION("""COMPUTED_VALUE"""),"0")</f>
        <v>0</v>
      </c>
      <c r="AF2" s="1">
        <f>IFERROR(__xludf.DUMMYFUNCTION("""COMPUTED_VALUE"""),2023.0)</f>
        <v>2023</v>
      </c>
      <c r="AG2" s="1">
        <f>IFERROR(__xludf.DUMMYFUNCTION("""COMPUTED_VALUE"""),233288.0)</f>
        <v>233288</v>
      </c>
      <c r="AH2" s="1">
        <f>IFERROR(__xludf.DUMMYFUNCTION("""COMPUTED_VALUE"""),18.0)</f>
        <v>18</v>
      </c>
      <c r="AI2" s="1" t="str">
        <f>IFERROR(__xludf.DUMMYFUNCTION("""COMPUTED_VALUE"""),"0000050880")</f>
        <v>0000050880</v>
      </c>
      <c r="AJ2" s="1">
        <f>IFERROR(__xludf.DUMMYFUNCTION("""COMPUTED_VALUE"""),6.0996055E7)</f>
        <v>60996055</v>
      </c>
      <c r="AK2" s="1">
        <f>IFERROR(__xludf.DUMMYFUNCTION("""COMPUTED_VALUE"""),9.66733202E8)</f>
        <v>966733202</v>
      </c>
      <c r="AL2" s="1" t="str">
        <f>IFERROR(__xludf.DUMMYFUNCTION("""COMPUTED_VALUE"""),"angellina.espinoza.silva@gmail.com")</f>
        <v>angellina.espinoza.silva@gmail.com</v>
      </c>
      <c r="AM2" s="1" t="str">
        <f>IFERROR(__xludf.DUMMYFUNCTION("""COMPUTED_VALUE"""),"FEMENINO")</f>
        <v>FEMENINO</v>
      </c>
      <c r="AN2" s="1">
        <f>IFERROR(__xludf.DUMMYFUNCTION("""COMPUTED_VALUE"""),1250.0)</f>
        <v>1250</v>
      </c>
      <c r="AO2" s="1">
        <f>IFERROR(__xludf.DUMMYFUNCTION("""COMPUTED_VALUE"""),0.0)</f>
        <v>0</v>
      </c>
      <c r="AP2" s="1" t="str">
        <f>IFERROR(__xludf.DUMMYFUNCTION("""COMPUTED_VALUE"""),"FORMULARIO")</f>
        <v>FORMULARIO</v>
      </c>
      <c r="AQ2" s="1" t="str">
        <f>IFERROR(__xludf.DUMMYFUNCTION("""COMPUTED_VALUE"""),"ORGANICO")</f>
        <v>ORGANICO</v>
      </c>
      <c r="AR2" s="1" t="str">
        <f>IFERROR(__xludf.DUMMYFUNCTION("""COMPUTED_VALUE"""),"HEREDADO")</f>
        <v>HEREDADO</v>
      </c>
      <c r="AS2" s="1"/>
      <c r="AT2" s="2">
        <f>IFERROR(__xludf.DUMMYFUNCTION("""COMPUTED_VALUE"""),45086.0)</f>
        <v>45086</v>
      </c>
      <c r="AU2" s="1">
        <f>IFERROR(__xludf.DUMMYFUNCTION("""COMPUTED_VALUE"""),1.0)</f>
        <v>1</v>
      </c>
      <c r="AV2" s="1" t="str">
        <f>IFERROR(__xludf.DUMMYFUNCTION("""COMPUTED_VALUE"""),"NUEVO")</f>
        <v>NUEVO</v>
      </c>
      <c r="AW2" s="1" t="str">
        <f>IFERROR(__xludf.DUMMYFUNCTION("""COMPUTED_VALUE"""),"SI")</f>
        <v>SI</v>
      </c>
      <c r="AX2" s="1"/>
      <c r="AY2" s="1" t="str">
        <f>IFERROR(__xludf.DUMMYFUNCTION("""COMPUTED_VALUE"""),"PAGO COMPLETO")</f>
        <v>PAGO COMPLETO</v>
      </c>
      <c r="AZ2" s="5">
        <f>IFERROR(__xludf.DUMMYFUNCTION("""COMPUTED_VALUE"""),45102.0)</f>
        <v>45102</v>
      </c>
      <c r="BA2" s="1">
        <f>IFERROR(__xludf.DUMMYFUNCTION("""COMPUTED_VALUE"""),0.0)</f>
        <v>0</v>
      </c>
      <c r="BB2" s="1">
        <f>IFERROR(__xludf.DUMMYFUNCTION("""COMPUTED_VALUE"""),0.0)</f>
        <v>0</v>
      </c>
      <c r="BC2" s="4">
        <f>IFERROR(__xludf.DUMMYFUNCTION("""COMPUTED_VALUE"""),0.0)</f>
        <v>0</v>
      </c>
      <c r="BD2" s="4">
        <f>IFERROR(__xludf.DUMMYFUNCTION("""COMPUTED_VALUE"""),0.0)</f>
        <v>0</v>
      </c>
      <c r="BE2" s="1">
        <f>IFERROR(__xludf.DUMMYFUNCTION("""COMPUTED_VALUE"""),6.0)</f>
        <v>6</v>
      </c>
      <c r="BF2" s="6">
        <f>IFERROR(__xludf.DUMMYFUNCTION("""COMPUTED_VALUE"""),1.0)</f>
        <v>1</v>
      </c>
      <c r="BG2" s="1">
        <f>IFERROR(__xludf.DUMMYFUNCTION("""COMPUTED_VALUE"""),1.0)</f>
        <v>1</v>
      </c>
      <c r="BH2" s="1" t="str">
        <f>IFERROR(__xludf.DUMMYFUNCTION("""COMPUTED_VALUE"""),"0")</f>
        <v>0</v>
      </c>
      <c r="BI2" s="4">
        <f>IFERROR(__xludf.DUMMYFUNCTION("""COMPUTED_VALUE"""),0.0)</f>
        <v>0</v>
      </c>
      <c r="BJ2" s="1">
        <f>IFERROR(__xludf.DUMMYFUNCTION("""COMPUTED_VALUE"""),1.0)</f>
        <v>1</v>
      </c>
      <c r="BK2" s="4">
        <f>IFERROR(__xludf.DUMMYFUNCTION("""COMPUTED_VALUE"""),0.0)</f>
        <v>0</v>
      </c>
      <c r="BL2" s="1">
        <f>IFERROR(__xludf.DUMMYFUNCTION("""COMPUTED_VALUE"""),1250.0)</f>
        <v>1250</v>
      </c>
      <c r="BM2" s="1">
        <f>IFERROR(__xludf.DUMMYFUNCTION("""COMPUTED_VALUE"""),26.0)</f>
        <v>26</v>
      </c>
      <c r="BN2" s="7">
        <f>IFERROR(__xludf.DUMMYFUNCTION("""COMPUTED_VALUE"""),45172.0)</f>
        <v>45172</v>
      </c>
      <c r="BO2" s="1">
        <f>IFERROR(__xludf.DUMMYFUNCTION("""COMPUTED_VALUE"""),6.0)</f>
        <v>6</v>
      </c>
      <c r="BP2" s="1">
        <f>IFERROR(__xludf.DUMMYFUNCTION("""COMPUTED_VALUE"""),2023.0)</f>
        <v>2023</v>
      </c>
    </row>
    <row r="3">
      <c r="A3" s="1">
        <f>IFERROR(__xludf.DUMMYFUNCTION("""COMPUTED_VALUE"""),2.0)</f>
        <v>2</v>
      </c>
      <c r="B3" s="1">
        <f>IFERROR(__xludf.DUMMYFUNCTION("""COMPUTED_VALUE"""),1406657.0)</f>
        <v>1406657</v>
      </c>
      <c r="C3" s="1" t="str">
        <f>IFERROR(__xludf.DUMMYFUNCTION("""COMPUTED_VALUE"""),"2025-1")</f>
        <v>2025-1</v>
      </c>
      <c r="D3" s="1" t="str">
        <f>IFERROR(__xludf.DUMMYFUNCTION("""COMPUTED_VALUE"""),"Admisión de Alto Rendimiento")</f>
        <v>Admisión de Alto Rendimiento</v>
      </c>
      <c r="E3" s="2">
        <f>IFERROR(__xludf.DUMMYFUNCTION("""COMPUTED_VALUE"""),45140.0)</f>
        <v>45140</v>
      </c>
      <c r="F3" s="1" t="str">
        <f>IFERROR(__xludf.DUMMYFUNCTION("""COMPUTED_VALUE"""),"DANIELA SOFIA")</f>
        <v>DANIELA SOFIA</v>
      </c>
      <c r="G3" s="1" t="str">
        <f>IFERROR(__xludf.DUMMYFUNCTION("""COMPUTED_VALUE"""),"MARQUEZ CASTAÑEDA")</f>
        <v>MARQUEZ CASTAÑEDA</v>
      </c>
      <c r="H3" s="1" t="str">
        <f>IFERROR(__xludf.DUMMYFUNCTION("""COMPUTED_VALUE"""),"Arquitectura")</f>
        <v>Arquitectura</v>
      </c>
      <c r="I3" s="1" t="str">
        <f>IFERROR(__xludf.DUMMYFUNCTION("""COMPUTED_VALUE"""),"POS")</f>
        <v>POS</v>
      </c>
      <c r="J3" s="1" t="str">
        <f>IFERROR(__xludf.DUMMYFUNCTION("""COMPUTED_VALUE"""),"Diurno")</f>
        <v>Diurno</v>
      </c>
      <c r="K3" s="1" t="str">
        <f>IFERROR(__xludf.DUMMYFUNCTION("""COMPUTED_VALUE"""),"NUEVO")</f>
        <v>NUEVO</v>
      </c>
      <c r="L3" s="1">
        <f>IFERROR(__xludf.DUMMYFUNCTION("""COMPUTED_VALUE"""),0.0)</f>
        <v>0</v>
      </c>
      <c r="M3" s="1">
        <f>IFERROR(__xludf.DUMMYFUNCTION("""COMPUTED_VALUE"""),0.0)</f>
        <v>0</v>
      </c>
      <c r="N3" s="1" t="str">
        <f>IFERROR(__xludf.DUMMYFUNCTION("""COMPUTED_VALUE"""),"RECA")</f>
        <v>RECA</v>
      </c>
      <c r="O3" s="1" t="str">
        <f>IFERROR(__xludf.DUMMYFUNCTION("""COMPUTED_VALUE"""),"RECATEGORIZACIÓN")</f>
        <v>RECATEGORIZACIÓN</v>
      </c>
      <c r="P3" s="4">
        <f>IFERROR(__xludf.DUMMYFUNCTION("""COMPUTED_VALUE"""),200.0)</f>
        <v>200</v>
      </c>
      <c r="Q3" s="4">
        <f>IFERROR(__xludf.DUMMYFUNCTION("""COMPUTED_VALUE"""),118.75)</f>
        <v>118.75</v>
      </c>
      <c r="R3" s="4">
        <f>IFERROR(__xludf.DUMMYFUNCTION("""COMPUTED_VALUE"""),2900.0)</f>
        <v>2900</v>
      </c>
      <c r="S3" s="4">
        <f>IFERROR(__xludf.DUMMYFUNCTION("""COMPUTED_VALUE"""),2425.0)</f>
        <v>2425</v>
      </c>
      <c r="T3" s="1" t="str">
        <f>IFERROR(__xludf.DUMMYFUNCTION("""COMPUTED_VALUE"""),"NINGUNO")</f>
        <v>NINGUNO</v>
      </c>
      <c r="U3" s="1" t="str">
        <f>IFERROR(__xludf.DUMMYFUNCTION("""COMPUTED_VALUE"""),"-")</f>
        <v>-</v>
      </c>
      <c r="V3" s="1" t="str">
        <f>IFERROR(__xludf.DUMMYFUNCTION("""COMPUTED_VALUE"""),"-")</f>
        <v>-</v>
      </c>
      <c r="W3" s="1" t="str">
        <f>IFERROR(__xludf.DUMMYFUNCTION("""COMPUTED_VALUE"""),"-")</f>
        <v>-</v>
      </c>
      <c r="X3" s="1" t="str">
        <f>IFERROR(__xludf.DUMMYFUNCTION("""COMPUTED_VALUE"""),"-")</f>
        <v>-</v>
      </c>
      <c r="Y3" s="1" t="str">
        <f>IFERROR(__xludf.DUMMYFUNCTION("""COMPUTED_VALUE"""),"PAGO COMPLETO")</f>
        <v>PAGO COMPLETO</v>
      </c>
      <c r="Z3" s="1">
        <f>IFERROR(__xludf.DUMMYFUNCTION("""COMPUTED_VALUE"""),0.0)</f>
        <v>0</v>
      </c>
      <c r="AA3" s="1" t="str">
        <f>IFERROR(__xludf.DUMMYFUNCTION("""COMPUTED_VALUE"""),"-")</f>
        <v>-</v>
      </c>
      <c r="AB3" s="1">
        <f>IFERROR(__xludf.DUMMYFUNCTION("""COMPUTED_VALUE"""),1.0)</f>
        <v>1</v>
      </c>
      <c r="AC3" s="1">
        <f>IFERROR(__xludf.DUMMYFUNCTION("""COMPUTED_VALUE"""),0.0)</f>
        <v>0</v>
      </c>
      <c r="AD3" s="1" t="str">
        <f>IFERROR(__xludf.DUMMYFUNCTION("""COMPUTED_VALUE"""),"Fabiola Galindo")</f>
        <v>Fabiola Galindo</v>
      </c>
      <c r="AE3" s="1" t="str">
        <f>IFERROR(__xludf.DUMMYFUNCTION("""COMPUTED_VALUE"""),"0")</f>
        <v>0</v>
      </c>
      <c r="AF3" s="1">
        <f>IFERROR(__xludf.DUMMYFUNCTION("""COMPUTED_VALUE"""),2023.0)</f>
        <v>2023</v>
      </c>
      <c r="AG3" s="1">
        <f>IFERROR(__xludf.DUMMYFUNCTION("""COMPUTED_VALUE"""),314419.0)</f>
        <v>314419</v>
      </c>
      <c r="AH3" s="1">
        <f>IFERROR(__xludf.DUMMYFUNCTION("""COMPUTED_VALUE"""),18.0)</f>
        <v>18</v>
      </c>
      <c r="AI3" s="1" t="str">
        <f>IFERROR(__xludf.DUMMYFUNCTION("""COMPUTED_VALUE"""),"0000016251")</f>
        <v>0000016251</v>
      </c>
      <c r="AJ3" s="1">
        <f>IFERROR(__xludf.DUMMYFUNCTION("""COMPUTED_VALUE"""),7.0591702E7)</f>
        <v>70591702</v>
      </c>
      <c r="AK3" s="1">
        <f>IFERROR(__xludf.DUMMYFUNCTION("""COMPUTED_VALUE"""),9.99764346E8)</f>
        <v>999764346</v>
      </c>
      <c r="AL3" s="1" t="str">
        <f>IFERROR(__xludf.DUMMYFUNCTION("""COMPUTED_VALUE"""),"Danielasofiamarquez2611@gmail.com")</f>
        <v>Danielasofiamarquez2611@gmail.com</v>
      </c>
      <c r="AM3" s="1" t="str">
        <f>IFERROR(__xludf.DUMMYFUNCTION("""COMPUTED_VALUE"""),"FEMENINO")</f>
        <v>FEMENINO</v>
      </c>
      <c r="AN3" s="1">
        <f>IFERROR(__xludf.DUMMYFUNCTION("""COMPUTED_VALUE"""),2900.0)</f>
        <v>2900</v>
      </c>
      <c r="AO3" s="1">
        <f>IFERROR(__xludf.DUMMYFUNCTION("""COMPUTED_VALUE"""),1900.0)</f>
        <v>1900</v>
      </c>
      <c r="AP3" s="1" t="str">
        <f>IFERROR(__xludf.DUMMYFUNCTION("""COMPUTED_VALUE"""),"VISITA")</f>
        <v>VISITA</v>
      </c>
      <c r="AQ3" s="1" t="str">
        <f>IFERROR(__xludf.DUMMYFUNCTION("""COMPUTED_VALUE"""),"VISITA")</f>
        <v>VISITA</v>
      </c>
      <c r="AR3" s="1" t="str">
        <f>IFERROR(__xludf.DUMMYFUNCTION("""COMPUTED_VALUE"""),"HEREDADO")</f>
        <v>HEREDADO</v>
      </c>
      <c r="AS3" s="1"/>
      <c r="AT3" s="2">
        <f>IFERROR(__xludf.DUMMYFUNCTION("""COMPUTED_VALUE"""),45094.0)</f>
        <v>45094</v>
      </c>
      <c r="AU3" s="1">
        <f>IFERROR(__xludf.DUMMYFUNCTION("""COMPUTED_VALUE"""),1.0)</f>
        <v>1</v>
      </c>
      <c r="AV3" s="1" t="str">
        <f>IFERROR(__xludf.DUMMYFUNCTION("""COMPUTED_VALUE"""),"NUEVO")</f>
        <v>NUEVO</v>
      </c>
      <c r="AW3" s="1" t="str">
        <f>IFERROR(__xludf.DUMMYFUNCTION("""COMPUTED_VALUE"""),"SI")</f>
        <v>SI</v>
      </c>
      <c r="AX3" s="1"/>
      <c r="AY3" s="1" t="str">
        <f>IFERROR(__xludf.DUMMYFUNCTION("""COMPUTED_VALUE"""),"PAGO COMPLETO")</f>
        <v>PAGO COMPLETO</v>
      </c>
      <c r="AZ3" s="5">
        <f>IFERROR(__xludf.DUMMYFUNCTION("""COMPUTED_VALUE"""),45140.0)</f>
        <v>45140</v>
      </c>
      <c r="BA3" s="1">
        <f>IFERROR(__xludf.DUMMYFUNCTION("""COMPUTED_VALUE"""),0.0)</f>
        <v>0</v>
      </c>
      <c r="BB3" s="1">
        <f>IFERROR(__xludf.DUMMYFUNCTION("""COMPUTED_VALUE"""),0.0)</f>
        <v>0</v>
      </c>
      <c r="BC3" s="4">
        <f>IFERROR(__xludf.DUMMYFUNCTION("""COMPUTED_VALUE"""),0.0)</f>
        <v>0</v>
      </c>
      <c r="BD3" s="4">
        <f>IFERROR(__xludf.DUMMYFUNCTION("""COMPUTED_VALUE"""),0.0)</f>
        <v>0</v>
      </c>
      <c r="BE3" s="1">
        <f>IFERROR(__xludf.DUMMYFUNCTION("""COMPUTED_VALUE"""),8.0)</f>
        <v>8</v>
      </c>
      <c r="BF3" s="6">
        <f>IFERROR(__xludf.DUMMYFUNCTION("""COMPUTED_VALUE"""),1.0)</f>
        <v>1</v>
      </c>
      <c r="BG3" s="1">
        <f>IFERROR(__xludf.DUMMYFUNCTION("""COMPUTED_VALUE"""),1.0)</f>
        <v>1</v>
      </c>
      <c r="BH3" s="1" t="str">
        <f>IFERROR(__xludf.DUMMYFUNCTION("""COMPUTED_VALUE"""),"0")</f>
        <v>0</v>
      </c>
      <c r="BI3" s="4">
        <f>IFERROR(__xludf.DUMMYFUNCTION("""COMPUTED_VALUE"""),0.0)</f>
        <v>0</v>
      </c>
      <c r="BJ3" s="1">
        <f>IFERROR(__xludf.DUMMYFUNCTION("""COMPUTED_VALUE"""),1.0)</f>
        <v>1</v>
      </c>
      <c r="BK3" s="4">
        <f>IFERROR(__xludf.DUMMYFUNCTION("""COMPUTED_VALUE"""),0.0)</f>
        <v>0</v>
      </c>
      <c r="BL3" s="1">
        <f>IFERROR(__xludf.DUMMYFUNCTION("""COMPUTED_VALUE"""),2425.0)</f>
        <v>2425</v>
      </c>
      <c r="BM3" s="1">
        <f>IFERROR(__xludf.DUMMYFUNCTION("""COMPUTED_VALUE"""),32.0)</f>
        <v>32</v>
      </c>
      <c r="BN3" s="7">
        <f>IFERROR(__xludf.DUMMYFUNCTION("""COMPUTED_VALUE"""),45172.0)</f>
        <v>45172</v>
      </c>
      <c r="BO3" s="1">
        <f>IFERROR(__xludf.DUMMYFUNCTION("""COMPUTED_VALUE"""),8.0)</f>
        <v>8</v>
      </c>
      <c r="BP3" s="1">
        <f>IFERROR(__xludf.DUMMYFUNCTION("""COMPUTED_VALUE"""),2023.0)</f>
        <v>2023</v>
      </c>
    </row>
    <row r="4">
      <c r="A4" s="1">
        <f>IFERROR(__xludf.DUMMYFUNCTION("""COMPUTED_VALUE"""),3.0)</f>
        <v>3</v>
      </c>
      <c r="B4" s="1">
        <f>IFERROR(__xludf.DUMMYFUNCTION("""COMPUTED_VALUE"""),4530420.0)</f>
        <v>4530420</v>
      </c>
      <c r="C4" s="1" t="str">
        <f>IFERROR(__xludf.DUMMYFUNCTION("""COMPUTED_VALUE"""),"2025-1")</f>
        <v>2025-1</v>
      </c>
      <c r="D4" s="1" t="str">
        <f>IFERROR(__xludf.DUMMYFUNCTION("""COMPUTED_VALUE"""),"Admisión de Alto Rendimiento")</f>
        <v>Admisión de Alto Rendimiento</v>
      </c>
      <c r="E4" s="2">
        <f>IFERROR(__xludf.DUMMYFUNCTION("""COMPUTED_VALUE"""),45229.0)</f>
        <v>45229</v>
      </c>
      <c r="F4" s="1" t="str">
        <f>IFERROR(__xludf.DUMMYFUNCTION("""COMPUTED_VALUE"""),"SERGIO GABRIEL")</f>
        <v>SERGIO GABRIEL</v>
      </c>
      <c r="G4" s="1" t="str">
        <f>IFERROR(__xludf.DUMMYFUNCTION("""COMPUTED_VALUE"""),"PEREZ VENCES")</f>
        <v>PEREZ VENCES</v>
      </c>
      <c r="H4" s="1" t="str">
        <f>IFERROR(__xludf.DUMMYFUNCTION("""COMPUTED_VALUE"""),"Comunicación Audiovisual y Cine")</f>
        <v>Comunicación Audiovisual y Cine</v>
      </c>
      <c r="I4" s="1" t="str">
        <f>IFERROR(__xludf.DUMMYFUNCTION("""COMPUTED_VALUE"""),"CARGO")</f>
        <v>CARGO</v>
      </c>
      <c r="J4" s="1" t="str">
        <f>IFERROR(__xludf.DUMMYFUNCTION("""COMPUTED_VALUE"""),"Diurno")</f>
        <v>Diurno</v>
      </c>
      <c r="K4" s="1" t="str">
        <f>IFERROR(__xludf.DUMMYFUNCTION("""COMPUTED_VALUE"""),"NUEVO")</f>
        <v>NUEVO</v>
      </c>
      <c r="L4" s="1">
        <f>IFERROR(__xludf.DUMMYFUNCTION("""COMPUTED_VALUE"""),0.0)</f>
        <v>0</v>
      </c>
      <c r="M4" s="1">
        <f>IFERROR(__xludf.DUMMYFUNCTION("""COMPUTED_VALUE"""),0.0)</f>
        <v>0</v>
      </c>
      <c r="N4" s="1" t="str">
        <f>IFERROR(__xludf.DUMMYFUNCTION("""COMPUTED_VALUE"""),"ESCALA REGULAR")</f>
        <v>ESCALA REGULAR</v>
      </c>
      <c r="O4" s="1" t="str">
        <f>IFERROR(__xludf.DUMMYFUNCTION("""COMPUTED_VALUE"""),"NINGUNO")</f>
        <v>NINGUNO</v>
      </c>
      <c r="P4" s="4">
        <f>IFERROR(__xludf.DUMMYFUNCTION("""COMPUTED_VALUE"""),0.0)</f>
        <v>0</v>
      </c>
      <c r="Q4" s="4">
        <f>IFERROR(__xludf.DUMMYFUNCTION("""COMPUTED_VALUE"""),0.0)</f>
        <v>0</v>
      </c>
      <c r="R4" s="4">
        <f>IFERROR(__xludf.DUMMYFUNCTION("""COMPUTED_VALUE"""),1850.0)</f>
        <v>1850</v>
      </c>
      <c r="S4" s="4">
        <f>IFERROR(__xludf.DUMMYFUNCTION("""COMPUTED_VALUE"""),1850.0)</f>
        <v>1850</v>
      </c>
      <c r="T4" s="1" t="str">
        <f>IFERROR(__xludf.DUMMYFUNCTION("""COMPUTED_VALUE"""),"NINGUNO")</f>
        <v>NINGUNO</v>
      </c>
      <c r="U4" s="1" t="str">
        <f>IFERROR(__xludf.DUMMYFUNCTION("""COMPUTED_VALUE"""),"-")</f>
        <v>-</v>
      </c>
      <c r="V4" s="1" t="str">
        <f>IFERROR(__xludf.DUMMYFUNCTION("""COMPUTED_VALUE"""),"-")</f>
        <v>-</v>
      </c>
      <c r="W4" s="1" t="str">
        <f>IFERROR(__xludf.DUMMYFUNCTION("""COMPUTED_VALUE"""),"-")</f>
        <v>-</v>
      </c>
      <c r="X4" s="1" t="str">
        <f>IFERROR(__xludf.DUMMYFUNCTION("""COMPUTED_VALUE"""),"-")</f>
        <v>-</v>
      </c>
      <c r="Y4" s="1" t="str">
        <f>IFERROR(__xludf.DUMMYFUNCTION("""COMPUTED_VALUE"""),"PAGO COMPLETO")</f>
        <v>PAGO COMPLETO</v>
      </c>
      <c r="Z4" s="1">
        <f>IFERROR(__xludf.DUMMYFUNCTION("""COMPUTED_VALUE"""),0.0)</f>
        <v>0</v>
      </c>
      <c r="AA4" s="1" t="str">
        <f>IFERROR(__xludf.DUMMYFUNCTION("""COMPUTED_VALUE"""),"-")</f>
        <v>-</v>
      </c>
      <c r="AB4" s="1">
        <f>IFERROR(__xludf.DUMMYFUNCTION("""COMPUTED_VALUE"""),0.0)</f>
        <v>0</v>
      </c>
      <c r="AC4" s="1">
        <f>IFERROR(__xludf.DUMMYFUNCTION("""COMPUTED_VALUE"""),0.0)</f>
        <v>0</v>
      </c>
      <c r="AD4" s="1" t="str">
        <f>IFERROR(__xludf.DUMMYFUNCTION("""COMPUTED_VALUE"""),"Rosmery Enriquez")</f>
        <v>Rosmery Enriquez</v>
      </c>
      <c r="AE4" s="1" t="str">
        <f>IFERROR(__xludf.DUMMYFUNCTION("""COMPUTED_VALUE"""),"0")</f>
        <v>0</v>
      </c>
      <c r="AF4" s="1">
        <f>IFERROR(__xludf.DUMMYFUNCTION("""COMPUTED_VALUE"""),2023.0)</f>
        <v>2023</v>
      </c>
      <c r="AG4" s="1">
        <f>IFERROR(__xludf.DUMMYFUNCTION("""COMPUTED_VALUE"""),1508696.0)</f>
        <v>1508696</v>
      </c>
      <c r="AH4" s="1">
        <f>IFERROR(__xludf.DUMMYFUNCTION("""COMPUTED_VALUE"""),18.0)</f>
        <v>18</v>
      </c>
      <c r="AI4" s="1" t="str">
        <f>IFERROR(__xludf.DUMMYFUNCTION("""COMPUTED_VALUE"""),"0000054671")</f>
        <v>0000054671</v>
      </c>
      <c r="AJ4" s="1">
        <f>IFERROR(__xludf.DUMMYFUNCTION("""COMPUTED_VALUE"""),7.0526107E7)</f>
        <v>70526107</v>
      </c>
      <c r="AK4" s="1">
        <f>IFERROR(__xludf.DUMMYFUNCTION("""COMPUTED_VALUE"""),9.47181E8)</f>
        <v>947181000</v>
      </c>
      <c r="AL4" s="1" t="str">
        <f>IFERROR(__xludf.DUMMYFUNCTION("""COMPUTED_VALUE"""),"sergiomusiccreation@gmail.com")</f>
        <v>sergiomusiccreation@gmail.com</v>
      </c>
      <c r="AM4" s="1" t="str">
        <f>IFERROR(__xludf.DUMMYFUNCTION("""COMPUTED_VALUE"""),"MASCULINO")</f>
        <v>MASCULINO</v>
      </c>
      <c r="AN4" s="1">
        <f>IFERROR(__xludf.DUMMYFUNCTION("""COMPUTED_VALUE"""),1850.0)</f>
        <v>1850</v>
      </c>
      <c r="AO4" s="1">
        <f>IFERROR(__xludf.DUMMYFUNCTION("""COMPUTED_VALUE"""),600.0)</f>
        <v>600</v>
      </c>
      <c r="AP4" s="1" t="str">
        <f>IFERROR(__xludf.DUMMYFUNCTION("""COMPUTED_VALUE"""),"COLEGIOS")</f>
        <v>COLEGIOS</v>
      </c>
      <c r="AQ4" s="1" t="str">
        <f>IFERROR(__xludf.DUMMYFUNCTION("""COMPUTED_VALUE"""),"COLEGIOS")</f>
        <v>COLEGIOS</v>
      </c>
      <c r="AR4" s="1" t="str">
        <f>IFERROR(__xludf.DUMMYFUNCTION("""COMPUTED_VALUE"""),"HEREDADO")</f>
        <v>HEREDADO</v>
      </c>
      <c r="AS4" s="1"/>
      <c r="AT4" s="2">
        <f>IFERROR(__xludf.DUMMYFUNCTION("""COMPUTED_VALUE"""),45050.0)</f>
        <v>45050</v>
      </c>
      <c r="AU4" s="1">
        <f>IFERROR(__xludf.DUMMYFUNCTION("""COMPUTED_VALUE"""),1.0)</f>
        <v>1</v>
      </c>
      <c r="AV4" s="1" t="str">
        <f>IFERROR(__xludf.DUMMYFUNCTION("""COMPUTED_VALUE"""),"NUEVO")</f>
        <v>NUEVO</v>
      </c>
      <c r="AW4" s="1" t="str">
        <f>IFERROR(__xludf.DUMMYFUNCTION("""COMPUTED_VALUE"""),"SI")</f>
        <v>SI</v>
      </c>
      <c r="AX4" s="1"/>
      <c r="AY4" s="1" t="str">
        <f>IFERROR(__xludf.DUMMYFUNCTION("""COMPUTED_VALUE"""),"PAGO COMPLETO")</f>
        <v>PAGO COMPLETO</v>
      </c>
      <c r="AZ4" s="5">
        <f>IFERROR(__xludf.DUMMYFUNCTION("""COMPUTED_VALUE"""),45229.0)</f>
        <v>45229</v>
      </c>
      <c r="BA4" s="1">
        <f>IFERROR(__xludf.DUMMYFUNCTION("""COMPUTED_VALUE"""),0.0)</f>
        <v>0</v>
      </c>
      <c r="BB4" s="1">
        <f>IFERROR(__xludf.DUMMYFUNCTION("""COMPUTED_VALUE"""),0.0)</f>
        <v>0</v>
      </c>
      <c r="BC4" s="4">
        <f>IFERROR(__xludf.DUMMYFUNCTION("""COMPUTED_VALUE"""),0.0)</f>
        <v>0</v>
      </c>
      <c r="BD4" s="4">
        <f>IFERROR(__xludf.DUMMYFUNCTION("""COMPUTED_VALUE"""),0.0)</f>
        <v>0</v>
      </c>
      <c r="BE4" s="1">
        <f>IFERROR(__xludf.DUMMYFUNCTION("""COMPUTED_VALUE"""),10.0)</f>
        <v>10</v>
      </c>
      <c r="BF4" s="6">
        <f>IFERROR(__xludf.DUMMYFUNCTION("""COMPUTED_VALUE"""),1.0)</f>
        <v>1</v>
      </c>
      <c r="BG4" s="1">
        <f>IFERROR(__xludf.DUMMYFUNCTION("""COMPUTED_VALUE"""),1.0)</f>
        <v>1</v>
      </c>
      <c r="BH4" s="1" t="str">
        <f>IFERROR(__xludf.DUMMYFUNCTION("""COMPUTED_VALUE"""),"0")</f>
        <v>0</v>
      </c>
      <c r="BI4" s="4">
        <f>IFERROR(__xludf.DUMMYFUNCTION("""COMPUTED_VALUE"""),0.0)</f>
        <v>0</v>
      </c>
      <c r="BJ4" s="1">
        <f>IFERROR(__xludf.DUMMYFUNCTION("""COMPUTED_VALUE"""),1.0)</f>
        <v>1</v>
      </c>
      <c r="BK4" s="4">
        <f>IFERROR(__xludf.DUMMYFUNCTION("""COMPUTED_VALUE"""),0.0)</f>
        <v>0</v>
      </c>
      <c r="BL4" s="1">
        <f>IFERROR(__xludf.DUMMYFUNCTION("""COMPUTED_VALUE"""),1850.0)</f>
        <v>1850</v>
      </c>
      <c r="BM4" s="1">
        <f>IFERROR(__xludf.DUMMYFUNCTION("""COMPUTED_VALUE"""),45.0)</f>
        <v>45</v>
      </c>
      <c r="BN4" s="2">
        <f>IFERROR(__xludf.DUMMYFUNCTION("""COMPUTED_VALUE"""),45229.0)</f>
        <v>45229</v>
      </c>
      <c r="BO4" s="1">
        <f>IFERROR(__xludf.DUMMYFUNCTION("""COMPUTED_VALUE"""),10.0)</f>
        <v>10</v>
      </c>
      <c r="BP4" s="1">
        <f>IFERROR(__xludf.DUMMYFUNCTION("""COMPUTED_VALUE"""),2023.0)</f>
        <v>2023</v>
      </c>
    </row>
    <row r="5">
      <c r="A5" s="1">
        <f>IFERROR(__xludf.DUMMYFUNCTION("""COMPUTED_VALUE"""),4.0)</f>
        <v>4</v>
      </c>
      <c r="B5" s="1">
        <f>IFERROR(__xludf.DUMMYFUNCTION("""COMPUTED_VALUE"""),1216170.0)</f>
        <v>1216170</v>
      </c>
      <c r="C5" s="1" t="str">
        <f>IFERROR(__xludf.DUMMYFUNCTION("""COMPUTED_VALUE"""),"2025-1")</f>
        <v>2025-1</v>
      </c>
      <c r="D5" s="1" t="str">
        <f>IFERROR(__xludf.DUMMYFUNCTION("""COMPUTED_VALUE"""),"Admisión Ordinaria")</f>
        <v>Admisión Ordinaria</v>
      </c>
      <c r="E5" s="2">
        <f>IFERROR(__xludf.DUMMYFUNCTION("""COMPUTED_VALUE"""),45286.0)</f>
        <v>45286</v>
      </c>
      <c r="F5" s="1" t="str">
        <f>IFERROR(__xludf.DUMMYFUNCTION("""COMPUTED_VALUE"""),"ANDREA LOIDA")</f>
        <v>ANDREA LOIDA</v>
      </c>
      <c r="G5" s="1" t="str">
        <f>IFERROR(__xludf.DUMMYFUNCTION("""COMPUTED_VALUE"""),"AGUIRRE HINOSTROZA")</f>
        <v>AGUIRRE HINOSTROZA</v>
      </c>
      <c r="H5" s="1" t="str">
        <f>IFERROR(__xludf.DUMMYFUNCTION("""COMPUTED_VALUE"""),"Comunicación Audiovisual y Cine")</f>
        <v>Comunicación Audiovisual y Cine</v>
      </c>
      <c r="I5" s="1" t="str">
        <f>IFERROR(__xludf.DUMMYFUNCTION("""COMPUTED_VALUE"""),"CARGO")</f>
        <v>CARGO</v>
      </c>
      <c r="J5" s="1" t="str">
        <f>IFERROR(__xludf.DUMMYFUNCTION("""COMPUTED_VALUE"""),"Diurno")</f>
        <v>Diurno</v>
      </c>
      <c r="K5" s="1" t="str">
        <f>IFERROR(__xludf.DUMMYFUNCTION("""COMPUTED_VALUE"""),"NUEVO")</f>
        <v>NUEVO</v>
      </c>
      <c r="L5" s="1">
        <f>IFERROR(__xludf.DUMMYFUNCTION("""COMPUTED_VALUE"""),0.0)</f>
        <v>0</v>
      </c>
      <c r="M5" s="1">
        <f>IFERROR(__xludf.DUMMYFUNCTION("""COMPUTED_VALUE"""),0.0)</f>
        <v>0</v>
      </c>
      <c r="N5" s="1" t="str">
        <f>IFERROR(__xludf.DUMMYFUNCTION("""COMPUTED_VALUE"""),"RECA")</f>
        <v>RECA</v>
      </c>
      <c r="O5" s="1" t="str">
        <f>IFERROR(__xludf.DUMMYFUNCTION("""COMPUTED_VALUE"""),"RECATEGORIZACIÓN")</f>
        <v>RECATEGORIZACIÓN</v>
      </c>
      <c r="P5" s="4">
        <f>IFERROR(__xludf.DUMMYFUNCTION("""COMPUTED_VALUE"""),0.0)</f>
        <v>0</v>
      </c>
      <c r="Q5" s="4">
        <f>IFERROR(__xludf.DUMMYFUNCTION("""COMPUTED_VALUE"""),0.0)</f>
        <v>0</v>
      </c>
      <c r="R5" s="4">
        <f>IFERROR(__xludf.DUMMYFUNCTION("""COMPUTED_VALUE"""),1000.0)</f>
        <v>1000</v>
      </c>
      <c r="S5" s="4">
        <f>IFERROR(__xludf.DUMMYFUNCTION("""COMPUTED_VALUE"""),1000.0)</f>
        <v>1000</v>
      </c>
      <c r="T5" s="1" t="str">
        <f>IFERROR(__xludf.DUMMYFUNCTION("""COMPUTED_VALUE"""),"NINGUNO")</f>
        <v>NINGUNO</v>
      </c>
      <c r="U5" s="1"/>
      <c r="V5" s="1" t="str">
        <f>IFERROR(__xludf.DUMMYFUNCTION("""COMPUTED_VALUE"""),"Ninguno")</f>
        <v>Ninguno</v>
      </c>
      <c r="W5" s="1" t="str">
        <f>IFERROR(__xludf.DUMMYFUNCTION("""COMPUTED_VALUE""")," -")</f>
        <v> -</v>
      </c>
      <c r="X5" s="1"/>
      <c r="Y5" s="1" t="str">
        <f>IFERROR(__xludf.DUMMYFUNCTION("""COMPUTED_VALUE"""),"PAGO COMPLETO")</f>
        <v>PAGO COMPLETO</v>
      </c>
      <c r="Z5" s="1"/>
      <c r="AA5" s="1"/>
      <c r="AB5" s="1">
        <f>IFERROR(__xludf.DUMMYFUNCTION("""COMPUTED_VALUE"""),0.0)</f>
        <v>0</v>
      </c>
      <c r="AC5" s="1">
        <f>IFERROR(__xludf.DUMMYFUNCTION("""COMPUTED_VALUE"""),0.0)</f>
        <v>0</v>
      </c>
      <c r="AD5" s="1" t="str">
        <f>IFERROR(__xludf.DUMMYFUNCTION("""COMPUTED_VALUE"""),"Fabiola Galindo")</f>
        <v>Fabiola Galindo</v>
      </c>
      <c r="AE5" s="1" t="str">
        <f>IFERROR(__xludf.DUMMYFUNCTION("""COMPUTED_VALUE"""),"0")</f>
        <v>0</v>
      </c>
      <c r="AF5" s="1">
        <f>IFERROR(__xludf.DUMMYFUNCTION("""COMPUTED_VALUE"""),2018.0)</f>
        <v>2018</v>
      </c>
      <c r="AG5" s="1">
        <f>IFERROR(__xludf.DUMMYFUNCTION("""COMPUTED_VALUE"""),0.0)</f>
        <v>0</v>
      </c>
      <c r="AH5" s="1">
        <f>IFERROR(__xludf.DUMMYFUNCTION("""COMPUTED_VALUE"""),22.0)</f>
        <v>22</v>
      </c>
      <c r="AI5" s="1" t="str">
        <f>IFERROR(__xludf.DUMMYFUNCTION("""COMPUTED_VALUE"""),"0000061631")</f>
        <v>0000061631</v>
      </c>
      <c r="AJ5" s="1">
        <f>IFERROR(__xludf.DUMMYFUNCTION("""COMPUTED_VALUE"""),7.140452E7)</f>
        <v>71404520</v>
      </c>
      <c r="AK5" s="1">
        <f>IFERROR(__xludf.DUMMYFUNCTION("""COMPUTED_VALUE"""),9.34206531E8)</f>
        <v>934206531</v>
      </c>
      <c r="AL5" s="1" t="str">
        <f>IFERROR(__xludf.DUMMYFUNCTION("""COMPUTED_VALUE"""),"andreaguirre15@hotmail.com")</f>
        <v>andreaguirre15@hotmail.com</v>
      </c>
      <c r="AM5" s="1" t="str">
        <f>IFERROR(__xludf.DUMMYFUNCTION("""COMPUTED_VALUE"""),"FEMENINO")</f>
        <v>FEMENINO</v>
      </c>
      <c r="AN5" s="1">
        <f>IFERROR(__xludf.DUMMYFUNCTION("""COMPUTED_VALUE"""),1000.0)</f>
        <v>1000</v>
      </c>
      <c r="AO5" s="1">
        <f>IFERROR(__xludf.DUMMYFUNCTION("""COMPUTED_VALUE"""),0.0)</f>
        <v>0</v>
      </c>
      <c r="AP5" s="1" t="str">
        <f>IFERROR(__xludf.DUMMYFUNCTION("""COMPUTED_VALUE"""),"VISITA")</f>
        <v>VISITA</v>
      </c>
      <c r="AQ5" s="1" t="str">
        <f>IFERROR(__xludf.DUMMYFUNCTION("""COMPUTED_VALUE"""),"VISITA")</f>
        <v>VISITA</v>
      </c>
      <c r="AR5" s="1"/>
      <c r="AS5" s="1"/>
      <c r="AT5" s="1"/>
      <c r="AU5" s="1">
        <f>IFERROR(__xludf.DUMMYFUNCTION("""COMPUTED_VALUE"""),1.0)</f>
        <v>1</v>
      </c>
      <c r="AV5" s="1" t="str">
        <f>IFERROR(__xludf.DUMMYFUNCTION("""COMPUTED_VALUE"""),"NUEVO")</f>
        <v>NUEVO</v>
      </c>
      <c r="AW5" s="1" t="str">
        <f>IFERROR(__xludf.DUMMYFUNCTION("""COMPUTED_VALUE"""),"SI")</f>
        <v>SI</v>
      </c>
      <c r="AX5" s="1"/>
      <c r="AY5" s="1" t="str">
        <f>IFERROR(__xludf.DUMMYFUNCTION("""COMPUTED_VALUE"""),"PAGO COMPLETO")</f>
        <v>PAGO COMPLETO</v>
      </c>
      <c r="AZ5" s="5">
        <f>IFERROR(__xludf.DUMMYFUNCTION("""COMPUTED_VALUE"""),45721.0)</f>
        <v>45721</v>
      </c>
      <c r="BA5" s="1">
        <f>IFERROR(__xludf.DUMMYFUNCTION("""COMPUTED_VALUE"""),0.0)</f>
        <v>0</v>
      </c>
      <c r="BB5" s="1">
        <f>IFERROR(__xludf.DUMMYFUNCTION("""COMPUTED_VALUE"""),0.0)</f>
        <v>0</v>
      </c>
      <c r="BC5" s="4">
        <f>IFERROR(__xludf.DUMMYFUNCTION("""COMPUTED_VALUE"""),0.0)</f>
        <v>0</v>
      </c>
      <c r="BD5" s="4">
        <f>IFERROR(__xludf.DUMMYFUNCTION("""COMPUTED_VALUE"""),0.0)</f>
        <v>0</v>
      </c>
      <c r="BE5" s="1">
        <f>IFERROR(__xludf.DUMMYFUNCTION("""COMPUTED_VALUE"""),12.0)</f>
        <v>12</v>
      </c>
      <c r="BF5" s="6">
        <f>IFERROR(__xludf.DUMMYFUNCTION("""COMPUTED_VALUE"""),1.0)</f>
        <v>1</v>
      </c>
      <c r="BG5" s="1">
        <f>IFERROR(__xludf.DUMMYFUNCTION("""COMPUTED_VALUE"""),1.0)</f>
        <v>1</v>
      </c>
      <c r="BH5" s="1" t="str">
        <f>IFERROR(__xludf.DUMMYFUNCTION("""COMPUTED_VALUE"""),"0")</f>
        <v>0</v>
      </c>
      <c r="BI5" s="4">
        <f>IFERROR(__xludf.DUMMYFUNCTION("""COMPUTED_VALUE"""),0.0)</f>
        <v>0</v>
      </c>
      <c r="BJ5" s="1">
        <f>IFERROR(__xludf.DUMMYFUNCTION("""COMPUTED_VALUE"""),1.0)</f>
        <v>1</v>
      </c>
      <c r="BK5" s="4">
        <f>IFERROR(__xludf.DUMMYFUNCTION("""COMPUTED_VALUE"""),0.0)</f>
        <v>0</v>
      </c>
      <c r="BL5" s="1">
        <f>IFERROR(__xludf.DUMMYFUNCTION("""COMPUTED_VALUE"""),1000.0)</f>
        <v>1000</v>
      </c>
      <c r="BM5" s="1">
        <f>IFERROR(__xludf.DUMMYFUNCTION("""COMPUTED_VALUE"""),53.0)</f>
        <v>53</v>
      </c>
      <c r="BN5" s="2">
        <f>IFERROR(__xludf.DUMMYFUNCTION("""COMPUTED_VALUE"""),45285.0)</f>
        <v>45285</v>
      </c>
      <c r="BO5" s="1">
        <f>IFERROR(__xludf.DUMMYFUNCTION("""COMPUTED_VALUE"""),12.0)</f>
        <v>12</v>
      </c>
      <c r="BP5" s="1">
        <f>IFERROR(__xludf.DUMMYFUNCTION("""COMPUTED_VALUE"""),2023.0)</f>
        <v>2023</v>
      </c>
    </row>
    <row r="6">
      <c r="A6" s="1">
        <f>IFERROR(__xludf.DUMMYFUNCTION("""COMPUTED_VALUE"""),5.0)</f>
        <v>5</v>
      </c>
      <c r="B6" s="1">
        <f>IFERROR(__xludf.DUMMYFUNCTION("""COMPUTED_VALUE"""),2369496.0)</f>
        <v>2369496</v>
      </c>
      <c r="C6" s="1" t="str">
        <f>IFERROR(__xludf.DUMMYFUNCTION("""COMPUTED_VALUE"""),"2025-1")</f>
        <v>2025-1</v>
      </c>
      <c r="D6" s="1" t="str">
        <f>IFERROR(__xludf.DUMMYFUNCTION("""COMPUTED_VALUE"""),"Admisión de Alto Rendimiento")</f>
        <v>Admisión de Alto Rendimiento</v>
      </c>
      <c r="E6" s="2">
        <f>IFERROR(__xludf.DUMMYFUNCTION("""COMPUTED_VALUE"""),45317.0)</f>
        <v>45317</v>
      </c>
      <c r="F6" s="1" t="str">
        <f>IFERROR(__xludf.DUMMYFUNCTION("""COMPUTED_VALUE"""),"ALONDRA NICOL")</f>
        <v>ALONDRA NICOL</v>
      </c>
      <c r="G6" s="1" t="str">
        <f>IFERROR(__xludf.DUMMYFUNCTION("""COMPUTED_VALUE"""),"MALLQUI PILCO")</f>
        <v>MALLQUI PILCO</v>
      </c>
      <c r="H6" s="1" t="str">
        <f>IFERROR(__xludf.DUMMYFUNCTION("""COMPUTED_VALUE"""),"Comunicación Audiovisual y Cine")</f>
        <v>Comunicación Audiovisual y Cine</v>
      </c>
      <c r="I6" s="1" t="str">
        <f>IFERROR(__xludf.DUMMYFUNCTION("""COMPUTED_VALUE"""),"CARGO")</f>
        <v>CARGO</v>
      </c>
      <c r="J6" s="1" t="str">
        <f>IFERROR(__xludf.DUMMYFUNCTION("""COMPUTED_VALUE"""),"Diurno")</f>
        <v>Diurno</v>
      </c>
      <c r="K6" s="1" t="str">
        <f>IFERROR(__xludf.DUMMYFUNCTION("""COMPUTED_VALUE"""),"NUEVO")</f>
        <v>NUEVO</v>
      </c>
      <c r="L6" s="1">
        <f>IFERROR(__xludf.DUMMYFUNCTION("""COMPUTED_VALUE"""),0.0)</f>
        <v>0</v>
      </c>
      <c r="M6" s="1">
        <f>IFERROR(__xludf.DUMMYFUNCTION("""COMPUTED_VALUE"""),0.0)</f>
        <v>0</v>
      </c>
      <c r="N6" s="1" t="str">
        <f>IFERROR(__xludf.DUMMYFUNCTION("""COMPUTED_VALUE"""),"RECA")</f>
        <v>RECA</v>
      </c>
      <c r="O6" s="1" t="str">
        <f>IFERROR(__xludf.DUMMYFUNCTION("""COMPUTED_VALUE"""),"RECATEGORIZACIÓN")</f>
        <v>RECATEGORIZACIÓN</v>
      </c>
      <c r="P6" s="4">
        <f>IFERROR(__xludf.DUMMYFUNCTION("""COMPUTED_VALUE"""),0.0)</f>
        <v>0</v>
      </c>
      <c r="Q6" s="4">
        <f>IFERROR(__xludf.DUMMYFUNCTION("""COMPUTED_VALUE"""),0.0)</f>
        <v>0</v>
      </c>
      <c r="R6" s="4">
        <f>IFERROR(__xludf.DUMMYFUNCTION("""COMPUTED_VALUE"""),1850.0)</f>
        <v>1850</v>
      </c>
      <c r="S6" s="4">
        <f>IFERROR(__xludf.DUMMYFUNCTION("""COMPUTED_VALUE"""),1250.0)</f>
        <v>1250</v>
      </c>
      <c r="T6" s="1" t="str">
        <f>IFERROR(__xludf.DUMMYFUNCTION("""COMPUTED_VALUE"""),"Visita Guiada")</f>
        <v>Visita Guiada</v>
      </c>
      <c r="U6" s="1" t="str">
        <f>IFERROR(__xludf.DUMMYFUNCTION("""COMPUTED_VALUE"""),"-")</f>
        <v>-</v>
      </c>
      <c r="V6" s="1" t="str">
        <f>IFERROR(__xludf.DUMMYFUNCTION("""COMPUTED_VALUE"""),"-")</f>
        <v>-</v>
      </c>
      <c r="W6" s="1" t="str">
        <f>IFERROR(__xludf.DUMMYFUNCTION("""COMPUTED_VALUE"""),"-")</f>
        <v>-</v>
      </c>
      <c r="X6" s="1" t="str">
        <f>IFERROR(__xludf.DUMMYFUNCTION("""COMPUTED_VALUE"""),"-")</f>
        <v>-</v>
      </c>
      <c r="Y6" s="1" t="str">
        <f>IFERROR(__xludf.DUMMYFUNCTION("""COMPUTED_VALUE"""),"PAGO COMPLETO")</f>
        <v>PAGO COMPLETO</v>
      </c>
      <c r="Z6" s="1">
        <f>IFERROR(__xludf.DUMMYFUNCTION("""COMPUTED_VALUE"""),0.0)</f>
        <v>0</v>
      </c>
      <c r="AA6" s="1" t="str">
        <f>IFERROR(__xludf.DUMMYFUNCTION("""COMPUTED_VALUE"""),"-")</f>
        <v>-</v>
      </c>
      <c r="AB6" s="1">
        <f>IFERROR(__xludf.DUMMYFUNCTION("""COMPUTED_VALUE"""),0.0)</f>
        <v>0</v>
      </c>
      <c r="AC6" s="1">
        <f>IFERROR(__xludf.DUMMYFUNCTION("""COMPUTED_VALUE"""),0.0)</f>
        <v>0</v>
      </c>
      <c r="AD6" s="1" t="str">
        <f>IFERROR(__xludf.DUMMYFUNCTION("""COMPUTED_VALUE"""),"Stefano Napuri")</f>
        <v>Stefano Napuri</v>
      </c>
      <c r="AE6" s="1" t="str">
        <f>IFERROR(__xludf.DUMMYFUNCTION("""COMPUTED_VALUE"""),"0")</f>
        <v>0</v>
      </c>
      <c r="AF6" s="1">
        <f>IFERROR(__xludf.DUMMYFUNCTION("""COMPUTED_VALUE"""),2024.0)</f>
        <v>2024</v>
      </c>
      <c r="AG6" s="1">
        <f>IFERROR(__xludf.DUMMYFUNCTION("""COMPUTED_VALUE"""),1482975.0)</f>
        <v>1482975</v>
      </c>
      <c r="AH6" s="1">
        <f>IFERROR(__xludf.DUMMYFUNCTION("""COMPUTED_VALUE"""),17.0)</f>
        <v>17</v>
      </c>
      <c r="AI6" s="1" t="str">
        <f>IFERROR(__xludf.DUMMYFUNCTION("""COMPUTED_VALUE"""),"0000059896")</f>
        <v>0000059896</v>
      </c>
      <c r="AJ6" s="1">
        <f>IFERROR(__xludf.DUMMYFUNCTION("""COMPUTED_VALUE"""),7.0957846E7)</f>
        <v>70957846</v>
      </c>
      <c r="AK6" s="1">
        <f>IFERROR(__xludf.DUMMYFUNCTION("""COMPUTED_VALUE"""),9.5529566E8)</f>
        <v>955295660</v>
      </c>
      <c r="AL6" s="1" t="str">
        <f>IFERROR(__xludf.DUMMYFUNCTION("""COMPUTED_VALUE"""),"alondranmp@gmail.com")</f>
        <v>alondranmp@gmail.com</v>
      </c>
      <c r="AM6" s="1" t="str">
        <f>IFERROR(__xludf.DUMMYFUNCTION("""COMPUTED_VALUE"""),"FEMENINO")</f>
        <v>FEMENINO</v>
      </c>
      <c r="AN6" s="1">
        <f>IFERROR(__xludf.DUMMYFUNCTION("""COMPUTED_VALUE"""),1850.0)</f>
        <v>1850</v>
      </c>
      <c r="AO6" s="1">
        <f>IFERROR(__xludf.DUMMYFUNCTION("""COMPUTED_VALUE"""),625.0)</f>
        <v>625</v>
      </c>
      <c r="AP6" s="1" t="str">
        <f>IFERROR(__xludf.DUMMYFUNCTION("""COMPUTED_VALUE"""),"BIDIRECCIONAL")</f>
        <v>BIDIRECCIONAL</v>
      </c>
      <c r="AQ6" s="1" t="str">
        <f>IFERROR(__xludf.DUMMYFUNCTION("""COMPUTED_VALUE"""),"ORGANICO")</f>
        <v>ORGANICO</v>
      </c>
      <c r="AR6" s="1" t="str">
        <f>IFERROR(__xludf.DUMMYFUNCTION("""COMPUTED_VALUE"""),"HEREDADO")</f>
        <v>HEREDADO</v>
      </c>
      <c r="AS6" s="1"/>
      <c r="AT6" s="2">
        <f>IFERROR(__xludf.DUMMYFUNCTION("""COMPUTED_VALUE"""),45530.0)</f>
        <v>45530</v>
      </c>
      <c r="AU6" s="1">
        <f>IFERROR(__xludf.DUMMYFUNCTION("""COMPUTED_VALUE"""),1.0)</f>
        <v>1</v>
      </c>
      <c r="AV6" s="1" t="str">
        <f>IFERROR(__xludf.DUMMYFUNCTION("""COMPUTED_VALUE"""),"NUEVO")</f>
        <v>NUEVO</v>
      </c>
      <c r="AW6" s="1" t="str">
        <f>IFERROR(__xludf.DUMMYFUNCTION("""COMPUTED_VALUE"""),"SI")</f>
        <v>SI</v>
      </c>
      <c r="AX6" s="1"/>
      <c r="AY6" s="1" t="str">
        <f>IFERROR(__xludf.DUMMYFUNCTION("""COMPUTED_VALUE"""),"PAGO COMPLETO")</f>
        <v>PAGO COMPLETO</v>
      </c>
      <c r="AZ6" s="5">
        <f>IFERROR(__xludf.DUMMYFUNCTION("""COMPUTED_VALUE"""),45317.0)</f>
        <v>45317</v>
      </c>
      <c r="BA6" s="1">
        <f>IFERROR(__xludf.DUMMYFUNCTION("""COMPUTED_VALUE"""),0.0)</f>
        <v>0</v>
      </c>
      <c r="BB6" s="1">
        <f>IFERROR(__xludf.DUMMYFUNCTION("""COMPUTED_VALUE"""),0.0)</f>
        <v>0</v>
      </c>
      <c r="BC6" s="4">
        <f>IFERROR(__xludf.DUMMYFUNCTION("""COMPUTED_VALUE"""),0.0)</f>
        <v>0</v>
      </c>
      <c r="BD6" s="4">
        <f>IFERROR(__xludf.DUMMYFUNCTION("""COMPUTED_VALUE"""),100.0)</f>
        <v>100</v>
      </c>
      <c r="BE6" s="1">
        <f>IFERROR(__xludf.DUMMYFUNCTION("""COMPUTED_VALUE"""),1.0)</f>
        <v>1</v>
      </c>
      <c r="BF6" s="6">
        <f>IFERROR(__xludf.DUMMYFUNCTION("""COMPUTED_VALUE"""),1.0)</f>
        <v>1</v>
      </c>
      <c r="BG6" s="1">
        <f>IFERROR(__xludf.DUMMYFUNCTION("""COMPUTED_VALUE"""),1.0)</f>
        <v>1</v>
      </c>
      <c r="BH6" s="1" t="str">
        <f>IFERROR(__xludf.DUMMYFUNCTION("""COMPUTED_VALUE"""),"0")</f>
        <v>0</v>
      </c>
      <c r="BI6" s="4">
        <f>IFERROR(__xludf.DUMMYFUNCTION("""COMPUTED_VALUE"""),100.0)</f>
        <v>100</v>
      </c>
      <c r="BJ6" s="1">
        <f>IFERROR(__xludf.DUMMYFUNCTION("""COMPUTED_VALUE"""),1.0)</f>
        <v>1</v>
      </c>
      <c r="BK6" s="4">
        <f>IFERROR(__xludf.DUMMYFUNCTION("""COMPUTED_VALUE"""),100.0)</f>
        <v>100</v>
      </c>
      <c r="BL6" s="1">
        <f>IFERROR(__xludf.DUMMYFUNCTION("""COMPUTED_VALUE"""),1230.0)</f>
        <v>1230</v>
      </c>
      <c r="BM6" s="1">
        <f>IFERROR(__xludf.DUMMYFUNCTION("""COMPUTED_VALUE"""),4.0)</f>
        <v>4</v>
      </c>
      <c r="BN6" s="2">
        <f>IFERROR(__xludf.DUMMYFUNCTION("""COMPUTED_VALUE"""),45313.0)</f>
        <v>45313</v>
      </c>
      <c r="BO6" s="1">
        <f>IFERROR(__xludf.DUMMYFUNCTION("""COMPUTED_VALUE"""),1.0)</f>
        <v>1</v>
      </c>
      <c r="BP6" s="1">
        <f>IFERROR(__xludf.DUMMYFUNCTION("""COMPUTED_VALUE"""),2024.0)</f>
        <v>2024</v>
      </c>
    </row>
    <row r="7">
      <c r="A7" s="1">
        <f>IFERROR(__xludf.DUMMYFUNCTION("""COMPUTED_VALUE"""),6.0)</f>
        <v>6</v>
      </c>
      <c r="B7" s="1">
        <f>IFERROR(__xludf.DUMMYFUNCTION("""COMPUTED_VALUE"""),1901152.0)</f>
        <v>1901152</v>
      </c>
      <c r="C7" s="1" t="str">
        <f>IFERROR(__xludf.DUMMYFUNCTION("""COMPUTED_VALUE"""),"2025-1")</f>
        <v>2025-1</v>
      </c>
      <c r="D7" s="1" t="str">
        <f>IFERROR(__xludf.DUMMYFUNCTION("""COMPUTED_VALUE"""),"Admisión de Alto Rendimiento")</f>
        <v>Admisión de Alto Rendimiento</v>
      </c>
      <c r="E7" s="2">
        <f>IFERROR(__xludf.DUMMYFUNCTION("""COMPUTED_VALUE"""),45318.0)</f>
        <v>45318</v>
      </c>
      <c r="F7" s="1" t="str">
        <f>IFERROR(__xludf.DUMMYFUNCTION("""COMPUTED_VALUE"""),"SOPHIE BELEN")</f>
        <v>SOPHIE BELEN</v>
      </c>
      <c r="G7" s="1" t="str">
        <f>IFERROR(__xludf.DUMMYFUNCTION("""COMPUTED_VALUE"""),"MALAGA RAMIREZ")</f>
        <v>MALAGA RAMIREZ</v>
      </c>
      <c r="H7" s="1" t="str">
        <f>IFERROR(__xludf.DUMMYFUNCTION("""COMPUTED_VALUE"""),"Arquitectura de Interiores")</f>
        <v>Arquitectura de Interiores</v>
      </c>
      <c r="I7" s="1" t="str">
        <f>IFERROR(__xludf.DUMMYFUNCTION("""COMPUTED_VALUE"""),"POS")</f>
        <v>POS</v>
      </c>
      <c r="J7" s="1" t="str">
        <f>IFERROR(__xludf.DUMMYFUNCTION("""COMPUTED_VALUE"""),"Diurno")</f>
        <v>Diurno</v>
      </c>
      <c r="K7" s="1" t="str">
        <f>IFERROR(__xludf.DUMMYFUNCTION("""COMPUTED_VALUE"""),"NUEVO")</f>
        <v>NUEVO</v>
      </c>
      <c r="L7" s="1">
        <f>IFERROR(__xludf.DUMMYFUNCTION("""COMPUTED_VALUE"""),0.0)</f>
        <v>0</v>
      </c>
      <c r="M7" s="1">
        <f>IFERROR(__xludf.DUMMYFUNCTION("""COMPUTED_VALUE"""),0.0)</f>
        <v>0</v>
      </c>
      <c r="N7" s="1" t="str">
        <f>IFERROR(__xludf.DUMMYFUNCTION("""COMPUTED_VALUE"""),"RECA")</f>
        <v>RECA</v>
      </c>
      <c r="O7" s="1" t="str">
        <f>IFERROR(__xludf.DUMMYFUNCTION("""COMPUTED_VALUE"""),"RECATEGORIZACIÓN")</f>
        <v>RECATEGORIZACIÓN</v>
      </c>
      <c r="P7" s="4">
        <f>IFERROR(__xludf.DUMMYFUNCTION("""COMPUTED_VALUE"""),0.0)</f>
        <v>0</v>
      </c>
      <c r="Q7" s="4">
        <f>IFERROR(__xludf.DUMMYFUNCTION("""COMPUTED_VALUE"""),0.0)</f>
        <v>0</v>
      </c>
      <c r="R7" s="4">
        <f>IFERROR(__xludf.DUMMYFUNCTION("""COMPUTED_VALUE"""),2200.0)</f>
        <v>2200</v>
      </c>
      <c r="S7" s="4">
        <f>IFERROR(__xludf.DUMMYFUNCTION("""COMPUTED_VALUE"""),1450.0)</f>
        <v>1450</v>
      </c>
      <c r="T7" s="1" t="str">
        <f>IFERROR(__xludf.DUMMYFUNCTION("""COMPUTED_VALUE"""),"NINGUNO")</f>
        <v>NINGUNO</v>
      </c>
      <c r="U7" s="1" t="str">
        <f>IFERROR(__xludf.DUMMYFUNCTION("""COMPUTED_VALUE"""),"FABIOLA")</f>
        <v>FABIOLA</v>
      </c>
      <c r="V7" s="1" t="str">
        <f>IFERROR(__xludf.DUMMYFUNCTION("""COMPUTED_VALUE"""),"-")</f>
        <v>-</v>
      </c>
      <c r="W7" s="1" t="str">
        <f>IFERROR(__xludf.DUMMYFUNCTION("""COMPUTED_VALUE"""),"Otros")</f>
        <v>Otros</v>
      </c>
      <c r="X7" s="1" t="str">
        <f>IFERROR(__xludf.DUMMYFUNCTION("""COMPUTED_VALUE"""),"HERMANO ESTUDIA AQUI")</f>
        <v>HERMANO ESTUDIA AQUI</v>
      </c>
      <c r="Y7" s="1" t="str">
        <f>IFERROR(__xludf.DUMMYFUNCTION("""COMPUTED_VALUE"""),"PAGO COMPLETO")</f>
        <v>PAGO COMPLETO</v>
      </c>
      <c r="Z7" s="1">
        <f>IFERROR(__xludf.DUMMYFUNCTION("""COMPUTED_VALUE"""),0.0)</f>
        <v>0</v>
      </c>
      <c r="AA7" s="1" t="str">
        <f>IFERROR(__xludf.DUMMYFUNCTION("""COMPUTED_VALUE"""),"-")</f>
        <v>-</v>
      </c>
      <c r="AB7" s="1">
        <f>IFERROR(__xludf.DUMMYFUNCTION("""COMPUTED_VALUE"""),1.0)</f>
        <v>1</v>
      </c>
      <c r="AC7" s="1">
        <f>IFERROR(__xludf.DUMMYFUNCTION("""COMPUTED_VALUE"""),0.0)</f>
        <v>0</v>
      </c>
      <c r="AD7" s="1" t="str">
        <f>IFERROR(__xludf.DUMMYFUNCTION("""COMPUTED_VALUE"""),"Lohana Rivera")</f>
        <v>Lohana Rivera</v>
      </c>
      <c r="AE7" s="1" t="str">
        <f>IFERROR(__xludf.DUMMYFUNCTION("""COMPUTED_VALUE"""),"0")</f>
        <v>0</v>
      </c>
      <c r="AF7" s="1">
        <f>IFERROR(__xludf.DUMMYFUNCTION("""COMPUTED_VALUE"""),2025.0)</f>
        <v>2025</v>
      </c>
      <c r="AG7" s="1">
        <f>IFERROR(__xludf.DUMMYFUNCTION("""COMPUTED_VALUE"""),1754423.0)</f>
        <v>1754423</v>
      </c>
      <c r="AH7" s="1">
        <f>IFERROR(__xludf.DUMMYFUNCTION("""COMPUTED_VALUE"""),17.0)</f>
        <v>17</v>
      </c>
      <c r="AI7" s="1" t="str">
        <f>IFERROR(__xludf.DUMMYFUNCTION("""COMPUTED_VALUE"""),"0000065295")</f>
        <v>0000065295</v>
      </c>
      <c r="AJ7" s="1">
        <f>IFERROR(__xludf.DUMMYFUNCTION("""COMPUTED_VALUE"""),6.1174125E7)</f>
        <v>61174125</v>
      </c>
      <c r="AK7" s="1">
        <f>IFERROR(__xludf.DUMMYFUNCTION("""COMPUTED_VALUE"""),9.43266954E8)</f>
        <v>943266954</v>
      </c>
      <c r="AL7" s="1" t="str">
        <f>IFERROR(__xludf.DUMMYFUNCTION("""COMPUTED_VALUE"""),"sophie1fortnite@gmail.com")</f>
        <v>sophie1fortnite@gmail.com</v>
      </c>
      <c r="AM7" s="1" t="str">
        <f>IFERROR(__xludf.DUMMYFUNCTION("""COMPUTED_VALUE"""),"FEMENINO")</f>
        <v>FEMENINO</v>
      </c>
      <c r="AN7" s="1">
        <f>IFERROR(__xludf.DUMMYFUNCTION("""COMPUTED_VALUE"""),2200.0)</f>
        <v>2200</v>
      </c>
      <c r="AO7" s="1">
        <f>IFERROR(__xludf.DUMMYFUNCTION("""COMPUTED_VALUE"""),810.0)</f>
        <v>810</v>
      </c>
      <c r="AP7" s="1" t="str">
        <f>IFERROR(__xludf.DUMMYFUNCTION("""COMPUTED_VALUE"""),"OUTBOUND")</f>
        <v>OUTBOUND</v>
      </c>
      <c r="AQ7" s="1" t="str">
        <f>IFERROR(__xludf.DUMMYFUNCTION("""COMPUTED_VALUE"""),"OUTBOUND")</f>
        <v>OUTBOUND</v>
      </c>
      <c r="AR7" s="1" t="str">
        <f>IFERROR(__xludf.DUMMYFUNCTION("""COMPUTED_VALUE"""),"HEREDADO")</f>
        <v>HEREDADO</v>
      </c>
      <c r="AS7" s="1"/>
      <c r="AT7" s="2">
        <f>IFERROR(__xludf.DUMMYFUNCTION("""COMPUTED_VALUE"""),45504.0)</f>
        <v>45504</v>
      </c>
      <c r="AU7" s="1">
        <f>IFERROR(__xludf.DUMMYFUNCTION("""COMPUTED_VALUE"""),1.0)</f>
        <v>1</v>
      </c>
      <c r="AV7" s="1" t="str">
        <f>IFERROR(__xludf.DUMMYFUNCTION("""COMPUTED_VALUE"""),"NUEVO")</f>
        <v>NUEVO</v>
      </c>
      <c r="AW7" s="1" t="str">
        <f>IFERROR(__xludf.DUMMYFUNCTION("""COMPUTED_VALUE"""),"SI")</f>
        <v>SI</v>
      </c>
      <c r="AX7" s="1"/>
      <c r="AY7" s="1" t="str">
        <f>IFERROR(__xludf.DUMMYFUNCTION("""COMPUTED_VALUE"""),"PAGO COMPLETO")</f>
        <v>PAGO COMPLETO</v>
      </c>
      <c r="AZ7" s="5">
        <f>IFERROR(__xludf.DUMMYFUNCTION("""COMPUTED_VALUE"""),45318.0)</f>
        <v>45318</v>
      </c>
      <c r="BA7" s="1">
        <f>IFERROR(__xludf.DUMMYFUNCTION("""COMPUTED_VALUE"""),0.0)</f>
        <v>0</v>
      </c>
      <c r="BB7" s="1">
        <f>IFERROR(__xludf.DUMMYFUNCTION("""COMPUTED_VALUE"""),0.0)</f>
        <v>0</v>
      </c>
      <c r="BC7" s="4">
        <f>IFERROR(__xludf.DUMMYFUNCTION("""COMPUTED_VALUE"""),0.0)</f>
        <v>0</v>
      </c>
      <c r="BD7" s="4">
        <f>IFERROR(__xludf.DUMMYFUNCTION("""COMPUTED_VALUE"""),0.0)</f>
        <v>0</v>
      </c>
      <c r="BE7" s="1">
        <f>IFERROR(__xludf.DUMMYFUNCTION("""COMPUTED_VALUE"""),1.0)</f>
        <v>1</v>
      </c>
      <c r="BF7" s="6">
        <f>IFERROR(__xludf.DUMMYFUNCTION("""COMPUTED_VALUE"""),1.0)</f>
        <v>1</v>
      </c>
      <c r="BG7" s="1">
        <f>IFERROR(__xludf.DUMMYFUNCTION("""COMPUTED_VALUE"""),1.0)</f>
        <v>1</v>
      </c>
      <c r="BH7" s="1" t="str">
        <f>IFERROR(__xludf.DUMMYFUNCTION("""COMPUTED_VALUE"""),"0")</f>
        <v>0</v>
      </c>
      <c r="BI7" s="4">
        <f>IFERROR(__xludf.DUMMYFUNCTION("""COMPUTED_VALUE"""),0.0)</f>
        <v>0</v>
      </c>
      <c r="BJ7" s="1">
        <f>IFERROR(__xludf.DUMMYFUNCTION("""COMPUTED_VALUE"""),1.0)</f>
        <v>1</v>
      </c>
      <c r="BK7" s="4">
        <f>IFERROR(__xludf.DUMMYFUNCTION("""COMPUTED_VALUE"""),0.0)</f>
        <v>0</v>
      </c>
      <c r="BL7" s="1">
        <f>IFERROR(__xludf.DUMMYFUNCTION("""COMPUTED_VALUE"""),1450.0)</f>
        <v>1450</v>
      </c>
      <c r="BM7" s="1">
        <f>IFERROR(__xludf.DUMMYFUNCTION("""COMPUTED_VALUE"""),4.0)</f>
        <v>4</v>
      </c>
      <c r="BN7" s="2">
        <f>IFERROR(__xludf.DUMMYFUNCTION("""COMPUTED_VALUE"""),45313.0)</f>
        <v>45313</v>
      </c>
      <c r="BO7" s="1">
        <f>IFERROR(__xludf.DUMMYFUNCTION("""COMPUTED_VALUE"""),1.0)</f>
        <v>1</v>
      </c>
      <c r="BP7" s="1">
        <f>IFERROR(__xludf.DUMMYFUNCTION("""COMPUTED_VALUE"""),2024.0)</f>
        <v>2024</v>
      </c>
    </row>
    <row r="8">
      <c r="A8" s="1">
        <f>IFERROR(__xludf.DUMMYFUNCTION("""COMPUTED_VALUE"""),7.0)</f>
        <v>7</v>
      </c>
      <c r="B8" s="1">
        <f>IFERROR(__xludf.DUMMYFUNCTION("""COMPUTED_VALUE"""),2079369.0)</f>
        <v>2079369</v>
      </c>
      <c r="C8" s="1" t="str">
        <f>IFERROR(__xludf.DUMMYFUNCTION("""COMPUTED_VALUE"""),"2025-1")</f>
        <v>2025-1</v>
      </c>
      <c r="D8" s="1" t="str">
        <f>IFERROR(__xludf.DUMMYFUNCTION("""COMPUTED_VALUE"""),"Admisión de Alto Rendimiento")</f>
        <v>Admisión de Alto Rendimiento</v>
      </c>
      <c r="E8" s="2">
        <f>IFERROR(__xludf.DUMMYFUNCTION("""COMPUTED_VALUE"""),45328.0)</f>
        <v>45328</v>
      </c>
      <c r="F8" s="1" t="str">
        <f>IFERROR(__xludf.DUMMYFUNCTION("""COMPUTED_VALUE"""),"LUCIA CAMILA ANNY")</f>
        <v>LUCIA CAMILA ANNY</v>
      </c>
      <c r="G8" s="1" t="str">
        <f>IFERROR(__xludf.DUMMYFUNCTION("""COMPUTED_VALUE"""),"MAYORCA FERNÁNDEZ")</f>
        <v>MAYORCA FERNÁNDEZ</v>
      </c>
      <c r="H8" s="1" t="str">
        <f>IFERROR(__xludf.DUMMYFUNCTION("""COMPUTED_VALUE"""),"Comunicación Audiovisual y Cine")</f>
        <v>Comunicación Audiovisual y Cine</v>
      </c>
      <c r="I8" s="1" t="str">
        <f>IFERROR(__xludf.DUMMYFUNCTION("""COMPUTED_VALUE"""),"CARGO")</f>
        <v>CARGO</v>
      </c>
      <c r="J8" s="1" t="str">
        <f>IFERROR(__xludf.DUMMYFUNCTION("""COMPUTED_VALUE"""),"Diurno")</f>
        <v>Diurno</v>
      </c>
      <c r="K8" s="1" t="str">
        <f>IFERROR(__xludf.DUMMYFUNCTION("""COMPUTED_VALUE"""),"NUEVO")</f>
        <v>NUEVO</v>
      </c>
      <c r="L8" s="1">
        <f>IFERROR(__xludf.DUMMYFUNCTION("""COMPUTED_VALUE"""),0.0)</f>
        <v>0</v>
      </c>
      <c r="M8" s="1">
        <f>IFERROR(__xludf.DUMMYFUNCTION("""COMPUTED_VALUE"""),0.0)</f>
        <v>0</v>
      </c>
      <c r="N8" s="1" t="str">
        <f>IFERROR(__xludf.DUMMYFUNCTION("""COMPUTED_VALUE"""),"ESCALA REGULAR")</f>
        <v>ESCALA REGULAR</v>
      </c>
      <c r="O8" s="1" t="str">
        <f>IFERROR(__xludf.DUMMYFUNCTION("""COMPUTED_VALUE"""),"NINGUNO")</f>
        <v>NINGUNO</v>
      </c>
      <c r="P8" s="4">
        <f>IFERROR(__xludf.DUMMYFUNCTION("""COMPUTED_VALUE"""),0.0)</f>
        <v>0</v>
      </c>
      <c r="Q8" s="4">
        <f>IFERROR(__xludf.DUMMYFUNCTION("""COMPUTED_VALUE"""),0.0)</f>
        <v>0</v>
      </c>
      <c r="R8" s="4">
        <f>IFERROR(__xludf.DUMMYFUNCTION("""COMPUTED_VALUE"""),1250.0)</f>
        <v>1250</v>
      </c>
      <c r="S8" s="4">
        <f>IFERROR(__xludf.DUMMYFUNCTION("""COMPUTED_VALUE"""),1250.0)</f>
        <v>1250</v>
      </c>
      <c r="T8" s="1" t="str">
        <f>IFERROR(__xludf.DUMMYFUNCTION("""COMPUTED_VALUE"""),"NINGUNO")</f>
        <v>NINGUNO</v>
      </c>
      <c r="U8" s="1" t="str">
        <f>IFERROR(__xludf.DUMMYFUNCTION("""COMPUTED_VALUE"""),"-")</f>
        <v>-</v>
      </c>
      <c r="V8" s="1" t="str">
        <f>IFERROR(__xludf.DUMMYFUNCTION("""COMPUTED_VALUE"""),"-")</f>
        <v>-</v>
      </c>
      <c r="W8" s="1" t="str">
        <f>IFERROR(__xludf.DUMMYFUNCTION("""COMPUTED_VALUE"""),"-")</f>
        <v>-</v>
      </c>
      <c r="X8" s="1" t="str">
        <f>IFERROR(__xludf.DUMMYFUNCTION("""COMPUTED_VALUE"""),"-")</f>
        <v>-</v>
      </c>
      <c r="Y8" s="1" t="str">
        <f>IFERROR(__xludf.DUMMYFUNCTION("""COMPUTED_VALUE"""),"PAGO COMPLETO")</f>
        <v>PAGO COMPLETO</v>
      </c>
      <c r="Z8" s="1">
        <f>IFERROR(__xludf.DUMMYFUNCTION("""COMPUTED_VALUE"""),0.0)</f>
        <v>0</v>
      </c>
      <c r="AA8" s="1" t="str">
        <f>IFERROR(__xludf.DUMMYFUNCTION("""COMPUTED_VALUE"""),"-")</f>
        <v>-</v>
      </c>
      <c r="AB8" s="1">
        <f>IFERROR(__xludf.DUMMYFUNCTION("""COMPUTED_VALUE"""),0.0)</f>
        <v>0</v>
      </c>
      <c r="AC8" s="1">
        <f>IFERROR(__xludf.DUMMYFUNCTION("""COMPUTED_VALUE"""),0.0)</f>
        <v>0</v>
      </c>
      <c r="AD8" s="1" t="str">
        <f>IFERROR(__xludf.DUMMYFUNCTION("""COMPUTED_VALUE"""),"Angelica Iparraguirre")</f>
        <v>Angelica Iparraguirre</v>
      </c>
      <c r="AE8" s="1" t="str">
        <f>IFERROR(__xludf.DUMMYFUNCTION("""COMPUTED_VALUE"""),"0")</f>
        <v>0</v>
      </c>
      <c r="AF8" s="1">
        <f>IFERROR(__xludf.DUMMYFUNCTION("""COMPUTED_VALUE"""),2023.0)</f>
        <v>2023</v>
      </c>
      <c r="AG8" s="1">
        <f>IFERROR(__xludf.DUMMYFUNCTION("""COMPUTED_VALUE"""),424523.0)</f>
        <v>424523</v>
      </c>
      <c r="AH8" s="1">
        <f>IFERROR(__xludf.DUMMYFUNCTION("""COMPUTED_VALUE"""),16.0)</f>
        <v>16</v>
      </c>
      <c r="AI8" s="1" t="str">
        <f>IFERROR(__xludf.DUMMYFUNCTION("""COMPUTED_VALUE"""),"0000061948")</f>
        <v>0000061948</v>
      </c>
      <c r="AJ8" s="1">
        <f>IFERROR(__xludf.DUMMYFUNCTION("""COMPUTED_VALUE"""),6.1272215E7)</f>
        <v>61272215</v>
      </c>
      <c r="AK8" s="1">
        <f>IFERROR(__xludf.DUMMYFUNCTION("""COMPUTED_VALUE"""),9.38110847E8)</f>
        <v>938110847</v>
      </c>
      <c r="AL8" s="1" t="str">
        <f>IFERROR(__xludf.DUMMYFUNCTION("""COMPUTED_VALUE"""),"jmayorca@gmail.com")</f>
        <v>jmayorca@gmail.com</v>
      </c>
      <c r="AM8" s="1" t="str">
        <f>IFERROR(__xludf.DUMMYFUNCTION("""COMPUTED_VALUE"""),"FEMENINO")</f>
        <v>FEMENINO</v>
      </c>
      <c r="AN8" s="1">
        <f>IFERROR(__xludf.DUMMYFUNCTION("""COMPUTED_VALUE"""),1250.0)</f>
        <v>1250</v>
      </c>
      <c r="AO8" s="1">
        <f>IFERROR(__xludf.DUMMYFUNCTION("""COMPUTED_VALUE"""),0.0)</f>
        <v>0</v>
      </c>
      <c r="AP8" s="1" t="str">
        <f>IFERROR(__xludf.DUMMYFUNCTION("""COMPUTED_VALUE"""),"OUTBOUND")</f>
        <v>OUTBOUND</v>
      </c>
      <c r="AQ8" s="1" t="str">
        <f>IFERROR(__xludf.DUMMYFUNCTION("""COMPUTED_VALUE"""),"OUTBOUND")</f>
        <v>OUTBOUND</v>
      </c>
      <c r="AR8" s="1" t="str">
        <f>IFERROR(__xludf.DUMMYFUNCTION("""COMPUTED_VALUE"""),"HEREDADO")</f>
        <v>HEREDADO</v>
      </c>
      <c r="AS8" s="1"/>
      <c r="AT8" s="2">
        <f>IFERROR(__xludf.DUMMYFUNCTION("""COMPUTED_VALUE"""),45131.0)</f>
        <v>45131</v>
      </c>
      <c r="AU8" s="1">
        <f>IFERROR(__xludf.DUMMYFUNCTION("""COMPUTED_VALUE"""),1.0)</f>
        <v>1</v>
      </c>
      <c r="AV8" s="1" t="str">
        <f>IFERROR(__xludf.DUMMYFUNCTION("""COMPUTED_VALUE"""),"NUEVO")</f>
        <v>NUEVO</v>
      </c>
      <c r="AW8" s="1" t="str">
        <f>IFERROR(__xludf.DUMMYFUNCTION("""COMPUTED_VALUE"""),"SI")</f>
        <v>SI</v>
      </c>
      <c r="AX8" s="1"/>
      <c r="AY8" s="1" t="str">
        <f>IFERROR(__xludf.DUMMYFUNCTION("""COMPUTED_VALUE"""),"PAGO COMPLETO")</f>
        <v>PAGO COMPLETO</v>
      </c>
      <c r="AZ8" s="5">
        <f>IFERROR(__xludf.DUMMYFUNCTION("""COMPUTED_VALUE"""),45328.0)</f>
        <v>45328</v>
      </c>
      <c r="BA8" s="1">
        <f>IFERROR(__xludf.DUMMYFUNCTION("""COMPUTED_VALUE"""),0.0)</f>
        <v>0</v>
      </c>
      <c r="BB8" s="1">
        <f>IFERROR(__xludf.DUMMYFUNCTION("""COMPUTED_VALUE"""),0.0)</f>
        <v>0</v>
      </c>
      <c r="BC8" s="4">
        <f>IFERROR(__xludf.DUMMYFUNCTION("""COMPUTED_VALUE"""),0.0)</f>
        <v>0</v>
      </c>
      <c r="BD8" s="4">
        <f>IFERROR(__xludf.DUMMYFUNCTION("""COMPUTED_VALUE"""),0.0)</f>
        <v>0</v>
      </c>
      <c r="BE8" s="1">
        <f>IFERROR(__xludf.DUMMYFUNCTION("""COMPUTED_VALUE"""),2.0)</f>
        <v>2</v>
      </c>
      <c r="BF8" s="6">
        <f>IFERROR(__xludf.DUMMYFUNCTION("""COMPUTED_VALUE"""),1.0)</f>
        <v>1</v>
      </c>
      <c r="BG8" s="1">
        <f>IFERROR(__xludf.DUMMYFUNCTION("""COMPUTED_VALUE"""),1.0)</f>
        <v>1</v>
      </c>
      <c r="BH8" s="1" t="str">
        <f>IFERROR(__xludf.DUMMYFUNCTION("""COMPUTED_VALUE"""),"0")</f>
        <v>0</v>
      </c>
      <c r="BI8" s="4">
        <f>IFERROR(__xludf.DUMMYFUNCTION("""COMPUTED_VALUE"""),0.0)</f>
        <v>0</v>
      </c>
      <c r="BJ8" s="1">
        <f>IFERROR(__xludf.DUMMYFUNCTION("""COMPUTED_VALUE"""),1.0)</f>
        <v>1</v>
      </c>
      <c r="BK8" s="4">
        <f>IFERROR(__xludf.DUMMYFUNCTION("""COMPUTED_VALUE"""),0.0)</f>
        <v>0</v>
      </c>
      <c r="BL8" s="1">
        <f>IFERROR(__xludf.DUMMYFUNCTION("""COMPUTED_VALUE"""),1250.0)</f>
        <v>1250</v>
      </c>
      <c r="BM8" s="1">
        <f>IFERROR(__xludf.DUMMYFUNCTION("""COMPUTED_VALUE"""),6.0)</f>
        <v>6</v>
      </c>
      <c r="BN8" s="2">
        <f>IFERROR(__xludf.DUMMYFUNCTION("""COMPUTED_VALUE"""),45327.0)</f>
        <v>45327</v>
      </c>
      <c r="BO8" s="1">
        <f>IFERROR(__xludf.DUMMYFUNCTION("""COMPUTED_VALUE"""),2.0)</f>
        <v>2</v>
      </c>
      <c r="BP8" s="1">
        <f>IFERROR(__xludf.DUMMYFUNCTION("""COMPUTED_VALUE"""),2024.0)</f>
        <v>2024</v>
      </c>
    </row>
    <row r="9">
      <c r="A9" s="1">
        <f>IFERROR(__xludf.DUMMYFUNCTION("""COMPUTED_VALUE"""),8.0)</f>
        <v>8</v>
      </c>
      <c r="B9" s="1">
        <f>IFERROR(__xludf.DUMMYFUNCTION("""COMPUTED_VALUE"""),2028780.0)</f>
        <v>2028780</v>
      </c>
      <c r="C9" s="1" t="str">
        <f>IFERROR(__xludf.DUMMYFUNCTION("""COMPUTED_VALUE"""),"2025-1")</f>
        <v>2025-1</v>
      </c>
      <c r="D9" s="1" t="str">
        <f>IFERROR(__xludf.DUMMYFUNCTION("""COMPUTED_VALUE"""),"Admisión de Alto Rendimiento")</f>
        <v>Admisión de Alto Rendimiento</v>
      </c>
      <c r="E9" s="2">
        <f>IFERROR(__xludf.DUMMYFUNCTION("""COMPUTED_VALUE"""),45335.0)</f>
        <v>45335</v>
      </c>
      <c r="F9" s="1" t="str">
        <f>IFERROR(__xludf.DUMMYFUNCTION("""COMPUTED_VALUE"""),"MARIAFE")</f>
        <v>MARIAFE</v>
      </c>
      <c r="G9" s="1" t="str">
        <f>IFERROR(__xludf.DUMMYFUNCTION("""COMPUTED_VALUE"""),"SOSA GARCIA")</f>
        <v>SOSA GARCIA</v>
      </c>
      <c r="H9" s="1" t="str">
        <f>IFERROR(__xludf.DUMMYFUNCTION("""COMPUTED_VALUE"""),"Comunicación Audiovisual y Cine")</f>
        <v>Comunicación Audiovisual y Cine</v>
      </c>
      <c r="I9" s="1" t="str">
        <f>IFERROR(__xludf.DUMMYFUNCTION("""COMPUTED_VALUE"""),"CARGO")</f>
        <v>CARGO</v>
      </c>
      <c r="J9" s="1" t="str">
        <f>IFERROR(__xludf.DUMMYFUNCTION("""COMPUTED_VALUE"""),"Diurno")</f>
        <v>Diurno</v>
      </c>
      <c r="K9" s="1" t="str">
        <f>IFERROR(__xludf.DUMMYFUNCTION("""COMPUTED_VALUE"""),"NUEVO")</f>
        <v>NUEVO</v>
      </c>
      <c r="L9" s="1">
        <f>IFERROR(__xludf.DUMMYFUNCTION("""COMPUTED_VALUE"""),0.0)</f>
        <v>0</v>
      </c>
      <c r="M9" s="1">
        <f>IFERROR(__xludf.DUMMYFUNCTION("""COMPUTED_VALUE"""),0.0)</f>
        <v>0</v>
      </c>
      <c r="N9" s="1" t="str">
        <f>IFERROR(__xludf.DUMMYFUNCTION("""COMPUTED_VALUE"""),"ESCALA REGULAR")</f>
        <v>ESCALA REGULAR</v>
      </c>
      <c r="O9" s="1" t="str">
        <f>IFERROR(__xludf.DUMMYFUNCTION("""COMPUTED_VALUE"""),"NINGUNO")</f>
        <v>NINGUNO</v>
      </c>
      <c r="P9" s="4">
        <f>IFERROR(__xludf.DUMMYFUNCTION("""COMPUTED_VALUE"""),0.0)</f>
        <v>0</v>
      </c>
      <c r="Q9" s="4">
        <f>IFERROR(__xludf.DUMMYFUNCTION("""COMPUTED_VALUE"""),0.0)</f>
        <v>0</v>
      </c>
      <c r="R9" s="4">
        <f>IFERROR(__xludf.DUMMYFUNCTION("""COMPUTED_VALUE"""),1450.0)</f>
        <v>1450</v>
      </c>
      <c r="S9" s="4">
        <f>IFERROR(__xludf.DUMMYFUNCTION("""COMPUTED_VALUE"""),1450.0)</f>
        <v>1450</v>
      </c>
      <c r="T9" s="1" t="str">
        <f>IFERROR(__xludf.DUMMYFUNCTION("""COMPUTED_VALUE"""),"PALANCA 500")</f>
        <v>PALANCA 500</v>
      </c>
      <c r="U9" s="1" t="str">
        <f>IFERROR(__xludf.DUMMYFUNCTION("""COMPUTED_VALUE"""),"-")</f>
        <v>-</v>
      </c>
      <c r="V9" s="1" t="str">
        <f>IFERROR(__xludf.DUMMYFUNCTION("""COMPUTED_VALUE"""),"-")</f>
        <v>-</v>
      </c>
      <c r="W9" s="1" t="str">
        <f>IFERROR(__xludf.DUMMYFUNCTION("""COMPUTED_VALUE"""),"-")</f>
        <v>-</v>
      </c>
      <c r="X9" s="1" t="str">
        <f>IFERROR(__xludf.DUMMYFUNCTION("""COMPUTED_VALUE"""),"-")</f>
        <v>-</v>
      </c>
      <c r="Y9" s="1" t="str">
        <f>IFERROR(__xludf.DUMMYFUNCTION("""COMPUTED_VALUE"""),"PAGO COMPLETO")</f>
        <v>PAGO COMPLETO</v>
      </c>
      <c r="Z9" s="1">
        <f>IFERROR(__xludf.DUMMYFUNCTION("""COMPUTED_VALUE"""),0.0)</f>
        <v>0</v>
      </c>
      <c r="AA9" s="1" t="str">
        <f>IFERROR(__xludf.DUMMYFUNCTION("""COMPUTED_VALUE"""),"-")</f>
        <v>-</v>
      </c>
      <c r="AB9" s="1">
        <f>IFERROR(__xludf.DUMMYFUNCTION("""COMPUTED_VALUE"""),1.0)</f>
        <v>1</v>
      </c>
      <c r="AC9" s="1">
        <f>IFERROR(__xludf.DUMMYFUNCTION("""COMPUTED_VALUE"""),0.0)</f>
        <v>0</v>
      </c>
      <c r="AD9" s="1" t="str">
        <f>IFERROR(__xludf.DUMMYFUNCTION("""COMPUTED_VALUE"""),"Stefano Napuri")</f>
        <v>Stefano Napuri</v>
      </c>
      <c r="AE9" s="1" t="str">
        <f>IFERROR(__xludf.DUMMYFUNCTION("""COMPUTED_VALUE"""),"0")</f>
        <v>0</v>
      </c>
      <c r="AF9" s="1">
        <f>IFERROR(__xludf.DUMMYFUNCTION("""COMPUTED_VALUE"""),2024.0)</f>
        <v>2024</v>
      </c>
      <c r="AG9" s="1">
        <f>IFERROR(__xludf.DUMMYFUNCTION("""COMPUTED_VALUE"""),1668953.0)</f>
        <v>1668953</v>
      </c>
      <c r="AH9" s="1">
        <f>IFERROR(__xludf.DUMMYFUNCTION("""COMPUTED_VALUE"""),16.0)</f>
        <v>16</v>
      </c>
      <c r="AI9" s="1" t="str">
        <f>IFERROR(__xludf.DUMMYFUNCTION("""COMPUTED_VALUE"""),"0000066877")</f>
        <v>0000066877</v>
      </c>
      <c r="AJ9" s="1">
        <f>IFERROR(__xludf.DUMMYFUNCTION("""COMPUTED_VALUE"""),7.1354456E7)</f>
        <v>71354456</v>
      </c>
      <c r="AK9" s="1">
        <f>IFERROR(__xludf.DUMMYFUNCTION("""COMPUTED_VALUE"""),9.54627203E8)</f>
        <v>954627203</v>
      </c>
      <c r="AL9" s="1" t="str">
        <f>IFERROR(__xludf.DUMMYFUNCTION("""COMPUTED_VALUE"""),"mafesg4@gmail.com")</f>
        <v>mafesg4@gmail.com</v>
      </c>
      <c r="AM9" s="1" t="str">
        <f>IFERROR(__xludf.DUMMYFUNCTION("""COMPUTED_VALUE"""),"FEMENINO")</f>
        <v>FEMENINO</v>
      </c>
      <c r="AN9" s="1">
        <f>IFERROR(__xludf.DUMMYFUNCTION("""COMPUTED_VALUE"""),1450.0)</f>
        <v>1450</v>
      </c>
      <c r="AO9" s="1">
        <f>IFERROR(__xludf.DUMMYFUNCTION("""COMPUTED_VALUE"""),190.0)</f>
        <v>190</v>
      </c>
      <c r="AP9" s="1" t="str">
        <f>IFERROR(__xludf.DUMMYFUNCTION("""COMPUTED_VALUE"""),"FORMULARIO")</f>
        <v>FORMULARIO</v>
      </c>
      <c r="AQ9" s="1" t="str">
        <f>IFERROR(__xludf.DUMMYFUNCTION("""COMPUTED_VALUE"""),"ORGANICO")</f>
        <v>ORGANICO</v>
      </c>
      <c r="AR9" s="1" t="str">
        <f>IFERROR(__xludf.DUMMYFUNCTION("""COMPUTED_VALUE"""),"HEREDADO")</f>
        <v>HEREDADO</v>
      </c>
      <c r="AS9" s="1"/>
      <c r="AT9" s="2">
        <f>IFERROR(__xludf.DUMMYFUNCTION("""COMPUTED_VALUE"""),45087.0)</f>
        <v>45087</v>
      </c>
      <c r="AU9" s="1">
        <f>IFERROR(__xludf.DUMMYFUNCTION("""COMPUTED_VALUE"""),1.0)</f>
        <v>1</v>
      </c>
      <c r="AV9" s="1" t="str">
        <f>IFERROR(__xludf.DUMMYFUNCTION("""COMPUTED_VALUE"""),"NUEVO")</f>
        <v>NUEVO</v>
      </c>
      <c r="AW9" s="1" t="str">
        <f>IFERROR(__xludf.DUMMYFUNCTION("""COMPUTED_VALUE"""),"SI")</f>
        <v>SI</v>
      </c>
      <c r="AX9" s="1"/>
      <c r="AY9" s="1" t="str">
        <f>IFERROR(__xludf.DUMMYFUNCTION("""COMPUTED_VALUE"""),"PAGO COMPLETO")</f>
        <v>PAGO COMPLETO</v>
      </c>
      <c r="AZ9" s="5">
        <f>IFERROR(__xludf.DUMMYFUNCTION("""COMPUTED_VALUE"""),45335.0)</f>
        <v>45335</v>
      </c>
      <c r="BA9" s="1">
        <f>IFERROR(__xludf.DUMMYFUNCTION("""COMPUTED_VALUE"""),0.0)</f>
        <v>0</v>
      </c>
      <c r="BB9" s="1">
        <f>IFERROR(__xludf.DUMMYFUNCTION("""COMPUTED_VALUE"""),0.0)</f>
        <v>0</v>
      </c>
      <c r="BC9" s="4">
        <f>IFERROR(__xludf.DUMMYFUNCTION("""COMPUTED_VALUE"""),0.0)</f>
        <v>0</v>
      </c>
      <c r="BD9" s="4">
        <f>IFERROR(__xludf.DUMMYFUNCTION("""COMPUTED_VALUE"""),950.0)</f>
        <v>950</v>
      </c>
      <c r="BE9" s="1">
        <f>IFERROR(__xludf.DUMMYFUNCTION("""COMPUTED_VALUE"""),2.0)</f>
        <v>2</v>
      </c>
      <c r="BF9" s="6">
        <f>IFERROR(__xludf.DUMMYFUNCTION("""COMPUTED_VALUE"""),1.0)</f>
        <v>1</v>
      </c>
      <c r="BG9" s="1">
        <f>IFERROR(__xludf.DUMMYFUNCTION("""COMPUTED_VALUE"""),1.0)</f>
        <v>1</v>
      </c>
      <c r="BH9" s="1" t="str">
        <f>IFERROR(__xludf.DUMMYFUNCTION("""COMPUTED_VALUE"""),"0")</f>
        <v>0</v>
      </c>
      <c r="BI9" s="4">
        <f>IFERROR(__xludf.DUMMYFUNCTION("""COMPUTED_VALUE"""),950.0)</f>
        <v>950</v>
      </c>
      <c r="BJ9" s="1">
        <f>IFERROR(__xludf.DUMMYFUNCTION("""COMPUTED_VALUE"""),1.0)</f>
        <v>1</v>
      </c>
      <c r="BK9" s="4">
        <f>IFERROR(__xludf.DUMMYFUNCTION("""COMPUTED_VALUE"""),950.0)</f>
        <v>950</v>
      </c>
      <c r="BL9" s="1">
        <f>IFERROR(__xludf.DUMMYFUNCTION("""COMPUTED_VALUE"""),1260.0)</f>
        <v>1260</v>
      </c>
      <c r="BM9" s="1">
        <f>IFERROR(__xludf.DUMMYFUNCTION("""COMPUTED_VALUE"""),7.0)</f>
        <v>7</v>
      </c>
      <c r="BN9" s="2">
        <f>IFERROR(__xludf.DUMMYFUNCTION("""COMPUTED_VALUE"""),45334.0)</f>
        <v>45334</v>
      </c>
      <c r="BO9" s="1">
        <f>IFERROR(__xludf.DUMMYFUNCTION("""COMPUTED_VALUE"""),2.0)</f>
        <v>2</v>
      </c>
      <c r="BP9" s="1">
        <f>IFERROR(__xludf.DUMMYFUNCTION("""COMPUTED_VALUE"""),2024.0)</f>
        <v>2024</v>
      </c>
    </row>
    <row r="10">
      <c r="A10" s="1">
        <f>IFERROR(__xludf.DUMMYFUNCTION("""COMPUTED_VALUE"""),9.0)</f>
        <v>9</v>
      </c>
      <c r="B10" s="1">
        <f>IFERROR(__xludf.DUMMYFUNCTION("""COMPUTED_VALUE"""),2523197.0)</f>
        <v>2523197</v>
      </c>
      <c r="C10" s="1" t="str">
        <f>IFERROR(__xludf.DUMMYFUNCTION("""COMPUTED_VALUE"""),"2025-1")</f>
        <v>2025-1</v>
      </c>
      <c r="D10" s="1" t="str">
        <f>IFERROR(__xludf.DUMMYFUNCTION("""COMPUTED_VALUE"""),"Admisión de Alto Rendimiento")</f>
        <v>Admisión de Alto Rendimiento</v>
      </c>
      <c r="E10" s="2">
        <f>IFERROR(__xludf.DUMMYFUNCTION("""COMPUTED_VALUE"""),45342.0)</f>
        <v>45342</v>
      </c>
      <c r="F10" s="1" t="str">
        <f>IFERROR(__xludf.DUMMYFUNCTION("""COMPUTED_VALUE"""),"AXL MARTÍN")</f>
        <v>AXL MARTÍN</v>
      </c>
      <c r="G10" s="1" t="str">
        <f>IFERROR(__xludf.DUMMYFUNCTION("""COMPUTED_VALUE"""),"SANTOS MENDOZA")</f>
        <v>SANTOS MENDOZA</v>
      </c>
      <c r="H10" s="1" t="str">
        <f>IFERROR(__xludf.DUMMYFUNCTION("""COMPUTED_VALUE"""),"Comunicación Audiovisual y Cine")</f>
        <v>Comunicación Audiovisual y Cine</v>
      </c>
      <c r="I10" s="1" t="str">
        <f>IFERROR(__xludf.DUMMYFUNCTION("""COMPUTED_VALUE"""),"POS")</f>
        <v>POS</v>
      </c>
      <c r="J10" s="1" t="str">
        <f>IFERROR(__xludf.DUMMYFUNCTION("""COMPUTED_VALUE"""),"Diurno")</f>
        <v>Diurno</v>
      </c>
      <c r="K10" s="1" t="str">
        <f>IFERROR(__xludf.DUMMYFUNCTION("""COMPUTED_VALUE"""),"NUEVO")</f>
        <v>NUEVO</v>
      </c>
      <c r="L10" s="1">
        <f>IFERROR(__xludf.DUMMYFUNCTION("""COMPUTED_VALUE"""),0.0)</f>
        <v>0</v>
      </c>
      <c r="M10" s="1">
        <f>IFERROR(__xludf.DUMMYFUNCTION("""COMPUTED_VALUE"""),0.0)</f>
        <v>0</v>
      </c>
      <c r="N10" s="1" t="str">
        <f>IFERROR(__xludf.DUMMYFUNCTION("""COMPUTED_VALUE"""),"RECA")</f>
        <v>RECA</v>
      </c>
      <c r="O10" s="1" t="str">
        <f>IFERROR(__xludf.DUMMYFUNCTION("""COMPUTED_VALUE"""),"RECATEGORIZACIÓN")</f>
        <v>RECATEGORIZACIÓN</v>
      </c>
      <c r="P10" s="4">
        <f>IFERROR(__xludf.DUMMYFUNCTION("""COMPUTED_VALUE"""),0.0)</f>
        <v>0</v>
      </c>
      <c r="Q10" s="4">
        <f>IFERROR(__xludf.DUMMYFUNCTION("""COMPUTED_VALUE"""),0.0)</f>
        <v>0</v>
      </c>
      <c r="R10" s="4">
        <f>IFERROR(__xludf.DUMMYFUNCTION("""COMPUTED_VALUE"""),1600.0)</f>
        <v>1600</v>
      </c>
      <c r="S10" s="4">
        <f>IFERROR(__xludf.DUMMYFUNCTION("""COMPUTED_VALUE"""),1450.0)</f>
        <v>1450</v>
      </c>
      <c r="T10" s="1" t="str">
        <f>IFERROR(__xludf.DUMMYFUNCTION("""COMPUTED_VALUE"""),"NINGUNO")</f>
        <v>NINGUNO</v>
      </c>
      <c r="U10" s="1" t="str">
        <f>IFERROR(__xludf.DUMMYFUNCTION("""COMPUTED_VALUE"""),"-")</f>
        <v>-</v>
      </c>
      <c r="V10" s="1" t="str">
        <f>IFERROR(__xludf.DUMMYFUNCTION("""COMPUTED_VALUE"""),"-")</f>
        <v>-</v>
      </c>
      <c r="W10" s="1" t="str">
        <f>IFERROR(__xludf.DUMMYFUNCTION("""COMPUTED_VALUE"""),"-")</f>
        <v>-</v>
      </c>
      <c r="X10" s="1" t="str">
        <f>IFERROR(__xludf.DUMMYFUNCTION("""COMPUTED_VALUE"""),"-")</f>
        <v>-</v>
      </c>
      <c r="Y10" s="1" t="str">
        <f>IFERROR(__xludf.DUMMYFUNCTION("""COMPUTED_VALUE"""),"PAGO COMPLETO")</f>
        <v>PAGO COMPLETO</v>
      </c>
      <c r="Z10" s="1">
        <f>IFERROR(__xludf.DUMMYFUNCTION("""COMPUTED_VALUE"""),0.0)</f>
        <v>0</v>
      </c>
      <c r="AA10" s="1" t="str">
        <f>IFERROR(__xludf.DUMMYFUNCTION("""COMPUTED_VALUE"""),"-")</f>
        <v>-</v>
      </c>
      <c r="AB10" s="1">
        <f>IFERROR(__xludf.DUMMYFUNCTION("""COMPUTED_VALUE"""),0.0)</f>
        <v>0</v>
      </c>
      <c r="AC10" s="1">
        <f>IFERROR(__xludf.DUMMYFUNCTION("""COMPUTED_VALUE"""),0.0)</f>
        <v>0</v>
      </c>
      <c r="AD10" s="1" t="str">
        <f>IFERROR(__xludf.DUMMYFUNCTION("""COMPUTED_VALUE"""),"Lohana Rivera")</f>
        <v>Lohana Rivera</v>
      </c>
      <c r="AE10" s="1" t="str">
        <f>IFERROR(__xludf.DUMMYFUNCTION("""COMPUTED_VALUE"""),"0")</f>
        <v>0</v>
      </c>
      <c r="AF10" s="1">
        <f>IFERROR(__xludf.DUMMYFUNCTION("""COMPUTED_VALUE"""),2024.0)</f>
        <v>2024</v>
      </c>
      <c r="AG10" s="1">
        <f>IFERROR(__xludf.DUMMYFUNCTION("""COMPUTED_VALUE"""),1461854.0)</f>
        <v>1461854</v>
      </c>
      <c r="AH10" s="1">
        <f>IFERROR(__xludf.DUMMYFUNCTION("""COMPUTED_VALUE"""),17.0)</f>
        <v>17</v>
      </c>
      <c r="AI10" s="1" t="str">
        <f>IFERROR(__xludf.DUMMYFUNCTION("""COMPUTED_VALUE"""),"0000067497")</f>
        <v>0000067497</v>
      </c>
      <c r="AJ10" s="1">
        <f>IFERROR(__xludf.DUMMYFUNCTION("""COMPUTED_VALUE"""),7.0961027E7)</f>
        <v>70961027</v>
      </c>
      <c r="AK10" s="1">
        <f>IFERROR(__xludf.DUMMYFUNCTION("""COMPUTED_VALUE"""),9.48971793E8)</f>
        <v>948971793</v>
      </c>
      <c r="AL10" s="1" t="str">
        <f>IFERROR(__xludf.DUMMYFUNCTION("""COMPUTED_VALUE"""),"santosmendozaaxlmartin90@gmail.com")</f>
        <v>santosmendozaaxlmartin90@gmail.com</v>
      </c>
      <c r="AM10" s="1" t="str">
        <f>IFERROR(__xludf.DUMMYFUNCTION("""COMPUTED_VALUE"""),"MASCULINO")</f>
        <v>MASCULINO</v>
      </c>
      <c r="AN10" s="1">
        <f>IFERROR(__xludf.DUMMYFUNCTION("""COMPUTED_VALUE"""),1600.0)</f>
        <v>1600</v>
      </c>
      <c r="AO10" s="1">
        <f>IFERROR(__xludf.DUMMYFUNCTION("""COMPUTED_VALUE"""),240.0)</f>
        <v>240</v>
      </c>
      <c r="AP10" s="1" t="str">
        <f>IFERROR(__xludf.DUMMYFUNCTION("""COMPUTED_VALUE"""),"FORMULARIO")</f>
        <v>FORMULARIO</v>
      </c>
      <c r="AQ10" s="1" t="str">
        <f>IFERROR(__xludf.DUMMYFUNCTION("""COMPUTED_VALUE"""),"ORGANICO")</f>
        <v>ORGANICO</v>
      </c>
      <c r="AR10" s="1" t="str">
        <f>IFERROR(__xludf.DUMMYFUNCTION("""COMPUTED_VALUE"""),"HEREDADO")</f>
        <v>HEREDADO</v>
      </c>
      <c r="AS10" s="1"/>
      <c r="AT10" s="2">
        <f>IFERROR(__xludf.DUMMYFUNCTION("""COMPUTED_VALUE"""),45338.0)</f>
        <v>45338</v>
      </c>
      <c r="AU10" s="1">
        <f>IFERROR(__xludf.DUMMYFUNCTION("""COMPUTED_VALUE"""),1.0)</f>
        <v>1</v>
      </c>
      <c r="AV10" s="1" t="str">
        <f>IFERROR(__xludf.DUMMYFUNCTION("""COMPUTED_VALUE"""),"NUEVO")</f>
        <v>NUEVO</v>
      </c>
      <c r="AW10" s="1" t="str">
        <f>IFERROR(__xludf.DUMMYFUNCTION("""COMPUTED_VALUE"""),"SI")</f>
        <v>SI</v>
      </c>
      <c r="AX10" s="1"/>
      <c r="AY10" s="1" t="str">
        <f>IFERROR(__xludf.DUMMYFUNCTION("""COMPUTED_VALUE"""),"PAGO COMPLETO")</f>
        <v>PAGO COMPLETO</v>
      </c>
      <c r="AZ10" s="5">
        <f>IFERROR(__xludf.DUMMYFUNCTION("""COMPUTED_VALUE"""),45342.0)</f>
        <v>45342</v>
      </c>
      <c r="BA10" s="1">
        <f>IFERROR(__xludf.DUMMYFUNCTION("""COMPUTED_VALUE"""),0.0)</f>
        <v>0</v>
      </c>
      <c r="BB10" s="1">
        <f>IFERROR(__xludf.DUMMYFUNCTION("""COMPUTED_VALUE"""),0.0)</f>
        <v>0</v>
      </c>
      <c r="BC10" s="4">
        <f>IFERROR(__xludf.DUMMYFUNCTION("""COMPUTED_VALUE"""),0.0)</f>
        <v>0</v>
      </c>
      <c r="BD10" s="4">
        <f>IFERROR(__xludf.DUMMYFUNCTION("""COMPUTED_VALUE"""),0.0)</f>
        <v>0</v>
      </c>
      <c r="BE10" s="1">
        <f>IFERROR(__xludf.DUMMYFUNCTION("""COMPUTED_VALUE"""),2.0)</f>
        <v>2</v>
      </c>
      <c r="BF10" s="6">
        <f>IFERROR(__xludf.DUMMYFUNCTION("""COMPUTED_VALUE"""),1.0)</f>
        <v>1</v>
      </c>
      <c r="BG10" s="1">
        <f>IFERROR(__xludf.DUMMYFUNCTION("""COMPUTED_VALUE"""),1.0)</f>
        <v>1</v>
      </c>
      <c r="BH10" s="1" t="str">
        <f>IFERROR(__xludf.DUMMYFUNCTION("""COMPUTED_VALUE"""),"0")</f>
        <v>0</v>
      </c>
      <c r="BI10" s="4">
        <f>IFERROR(__xludf.DUMMYFUNCTION("""COMPUTED_VALUE"""),0.0)</f>
        <v>0</v>
      </c>
      <c r="BJ10" s="1">
        <f>IFERROR(__xludf.DUMMYFUNCTION("""COMPUTED_VALUE"""),1.0)</f>
        <v>1</v>
      </c>
      <c r="BK10" s="4">
        <f>IFERROR(__xludf.DUMMYFUNCTION("""COMPUTED_VALUE"""),0.0)</f>
        <v>0</v>
      </c>
      <c r="BL10" s="1">
        <f>IFERROR(__xludf.DUMMYFUNCTION("""COMPUTED_VALUE"""),1450.0)</f>
        <v>1450</v>
      </c>
      <c r="BM10" s="1">
        <f>IFERROR(__xludf.DUMMYFUNCTION("""COMPUTED_VALUE"""),8.0)</f>
        <v>8</v>
      </c>
      <c r="BN10" s="2">
        <f>IFERROR(__xludf.DUMMYFUNCTION("""COMPUTED_VALUE"""),45341.0)</f>
        <v>45341</v>
      </c>
      <c r="BO10" s="1">
        <f>IFERROR(__xludf.DUMMYFUNCTION("""COMPUTED_VALUE"""),2.0)</f>
        <v>2</v>
      </c>
      <c r="BP10" s="1">
        <f>IFERROR(__xludf.DUMMYFUNCTION("""COMPUTED_VALUE"""),2024.0)</f>
        <v>2024</v>
      </c>
    </row>
    <row r="11">
      <c r="A11" s="1">
        <f>IFERROR(__xludf.DUMMYFUNCTION("""COMPUTED_VALUE"""),10.0)</f>
        <v>10</v>
      </c>
      <c r="B11" s="1">
        <f>IFERROR(__xludf.DUMMYFUNCTION("""COMPUTED_VALUE"""),735263.0)</f>
        <v>735263</v>
      </c>
      <c r="C11" s="1" t="str">
        <f>IFERROR(__xludf.DUMMYFUNCTION("""COMPUTED_VALUE"""),"2025-1")</f>
        <v>2025-1</v>
      </c>
      <c r="D11" s="1" t="str">
        <f>IFERROR(__xludf.DUMMYFUNCTION("""COMPUTED_VALUE"""),"Admisión Extraordinaria (Traslados)")</f>
        <v>Admisión Extraordinaria (Traslados)</v>
      </c>
      <c r="E11" s="2">
        <f>IFERROR(__xludf.DUMMYFUNCTION("""COMPUTED_VALUE"""),45346.0)</f>
        <v>45346</v>
      </c>
      <c r="F11" s="1" t="str">
        <f>IFERROR(__xludf.DUMMYFUNCTION("""COMPUTED_VALUE"""),"KATERINE FERNANDA")</f>
        <v>KATERINE FERNANDA</v>
      </c>
      <c r="G11" s="1" t="str">
        <f>IFERROR(__xludf.DUMMYFUNCTION("""COMPUTED_VALUE"""),"MURGA FALCON")</f>
        <v>MURGA FALCON</v>
      </c>
      <c r="H11" s="1" t="str">
        <f>IFERROR(__xludf.DUMMYFUNCTION("""COMPUTED_VALUE"""),"Arquitectura")</f>
        <v>Arquitectura</v>
      </c>
      <c r="I11" s="1" t="str">
        <f>IFERROR(__xludf.DUMMYFUNCTION("""COMPUTED_VALUE"""),"CARGO")</f>
        <v>CARGO</v>
      </c>
      <c r="J11" s="1" t="str">
        <f>IFERROR(__xludf.DUMMYFUNCTION("""COMPUTED_VALUE"""),"Diurno")</f>
        <v>Diurno</v>
      </c>
      <c r="K11" s="1" t="str">
        <f>IFERROR(__xludf.DUMMYFUNCTION("""COMPUTED_VALUE"""),"TRASLADO")</f>
        <v>TRASLADO</v>
      </c>
      <c r="L11" s="1">
        <f>IFERROR(__xludf.DUMMYFUNCTION("""COMPUTED_VALUE"""),1.0)</f>
        <v>1</v>
      </c>
      <c r="M11" s="1">
        <f>IFERROR(__xludf.DUMMYFUNCTION("""COMPUTED_VALUE"""),0.0)</f>
        <v>0</v>
      </c>
      <c r="N11" s="1" t="str">
        <f>IFERROR(__xludf.DUMMYFUNCTION("""COMPUTED_VALUE"""),"RECA")</f>
        <v>RECA</v>
      </c>
      <c r="O11" s="1" t="str">
        <f>IFERROR(__xludf.DUMMYFUNCTION("""COMPUTED_VALUE"""),"RECA TRASLADO CON CONVA")</f>
        <v>RECA TRASLADO CON CONVA</v>
      </c>
      <c r="P11" s="4">
        <f>IFERROR(__xludf.DUMMYFUNCTION("""COMPUTED_VALUE"""),0.0)</f>
        <v>0</v>
      </c>
      <c r="Q11" s="4">
        <f>IFERROR(__xludf.DUMMYFUNCTION("""COMPUTED_VALUE"""),0.0)</f>
        <v>0</v>
      </c>
      <c r="R11" s="4">
        <f>IFERROR(__xludf.DUMMYFUNCTION("""COMPUTED_VALUE"""),1250.0)</f>
        <v>1250</v>
      </c>
      <c r="S11" s="4">
        <f>IFERROR(__xludf.DUMMYFUNCTION("""COMPUTED_VALUE"""),900.0)</f>
        <v>900</v>
      </c>
      <c r="T11" s="1" t="str">
        <f>IFERROR(__xludf.DUMMYFUNCTION("""COMPUTED_VALUE"""),"Refirio")</f>
        <v>Refirio</v>
      </c>
      <c r="U11" s="1" t="str">
        <f>IFERROR(__xludf.DUMMYFUNCTION("""COMPUTED_VALUE"""),"-")</f>
        <v>-</v>
      </c>
      <c r="V11" s="1" t="str">
        <f>IFERROR(__xludf.DUMMYFUNCTION("""COMPUTED_VALUE"""),"-")</f>
        <v>-</v>
      </c>
      <c r="W11" s="1" t="str">
        <f>IFERROR(__xludf.DUMMYFUNCTION("""COMPUTED_VALUE"""),"-")</f>
        <v>-</v>
      </c>
      <c r="X11" s="1" t="str">
        <f>IFERROR(__xludf.DUMMYFUNCTION("""COMPUTED_VALUE"""),"Descuento del 100% en la ultima boleta por referir a Ariana Salvatierra")</f>
        <v>Descuento del 100% en la ultima boleta por referir a Ariana Salvatierra</v>
      </c>
      <c r="Y11" s="1" t="str">
        <f>IFERROR(__xludf.DUMMYFUNCTION("""COMPUTED_VALUE"""),"PAGO COMPLETO")</f>
        <v>PAGO COMPLETO</v>
      </c>
      <c r="Z11" s="1">
        <f>IFERROR(__xludf.DUMMYFUNCTION("""COMPUTED_VALUE"""),0.0)</f>
        <v>0</v>
      </c>
      <c r="AA11" s="1" t="str">
        <f>IFERROR(__xludf.DUMMYFUNCTION("""COMPUTED_VALUE"""),"-")</f>
        <v>-</v>
      </c>
      <c r="AB11" s="1">
        <f>IFERROR(__xludf.DUMMYFUNCTION("""COMPUTED_VALUE"""),1.0)</f>
        <v>1</v>
      </c>
      <c r="AC11" s="1">
        <f>IFERROR(__xludf.DUMMYFUNCTION("""COMPUTED_VALUE"""),1.0)</f>
        <v>1</v>
      </c>
      <c r="AD11" s="1" t="str">
        <f>IFERROR(__xludf.DUMMYFUNCTION("""COMPUTED_VALUE"""),"Fiorella Lanegra")</f>
        <v>Fiorella Lanegra</v>
      </c>
      <c r="AE11" s="1" t="str">
        <f>IFERROR(__xludf.DUMMYFUNCTION("""COMPUTED_VALUE"""),"Instituto de Educación Superior Tecnológico Privado Toulouse Lautrec")</f>
        <v>Instituto de Educación Superior Tecnológico Privado Toulouse Lautrec</v>
      </c>
      <c r="AF11" s="1">
        <f>IFERROR(__xludf.DUMMYFUNCTION("""COMPUTED_VALUE"""),2017.0)</f>
        <v>2017</v>
      </c>
      <c r="AG11" s="1">
        <f>IFERROR(__xludf.DUMMYFUNCTION("""COMPUTED_VALUE"""),583203.0)</f>
        <v>583203</v>
      </c>
      <c r="AH11" s="1">
        <f>IFERROR(__xludf.DUMMYFUNCTION("""COMPUTED_VALUE"""),23.0)</f>
        <v>23</v>
      </c>
      <c r="AI11" s="1" t="str">
        <f>IFERROR(__xludf.DUMMYFUNCTION("""COMPUTED_VALUE"""),"2019005412")</f>
        <v>2019005412</v>
      </c>
      <c r="AJ11" s="1">
        <f>IFERROR(__xludf.DUMMYFUNCTION("""COMPUTED_VALUE"""),7.6973687E7)</f>
        <v>76973687</v>
      </c>
      <c r="AK11" s="1">
        <f>IFERROR(__xludf.DUMMYFUNCTION("""COMPUTED_VALUE"""),9.24795825E8)</f>
        <v>924795825</v>
      </c>
      <c r="AL11" s="1" t="str">
        <f>IFERROR(__xludf.DUMMYFUNCTION("""COMPUTED_VALUE"""),"Katerinmurga02@hotmail.com")</f>
        <v>Katerinmurga02@hotmail.com</v>
      </c>
      <c r="AM11" s="1" t="str">
        <f>IFERROR(__xludf.DUMMYFUNCTION("""COMPUTED_VALUE"""),"FEMENINO")</f>
        <v>FEMENINO</v>
      </c>
      <c r="AN11" s="1">
        <f>IFERROR(__xludf.DUMMYFUNCTION("""COMPUTED_VALUE"""),1250.0)</f>
        <v>1250</v>
      </c>
      <c r="AO11" s="1">
        <f>IFERROR(__xludf.DUMMYFUNCTION("""COMPUTED_VALUE"""),0.0)</f>
        <v>0</v>
      </c>
      <c r="AP11" s="1" t="str">
        <f>IFERROR(__xludf.DUMMYFUNCTION("""COMPUTED_VALUE"""),"BIDIRECCIONAL")</f>
        <v>BIDIRECCIONAL</v>
      </c>
      <c r="AQ11" s="1" t="str">
        <f>IFERROR(__xludf.DUMMYFUNCTION("""COMPUTED_VALUE"""),"ORGANICO")</f>
        <v>ORGANICO</v>
      </c>
      <c r="AR11" s="1" t="str">
        <f>IFERROR(__xludf.DUMMYFUNCTION("""COMPUTED_VALUE"""),"HEREDADO")</f>
        <v>HEREDADO</v>
      </c>
      <c r="AS11" s="1"/>
      <c r="AT11" s="2">
        <f>IFERROR(__xludf.DUMMYFUNCTION("""COMPUTED_VALUE"""),45188.0)</f>
        <v>45188</v>
      </c>
      <c r="AU11" s="1">
        <f>IFERROR(__xludf.DUMMYFUNCTION("""COMPUTED_VALUE"""),1.0)</f>
        <v>1</v>
      </c>
      <c r="AV11" s="1" t="str">
        <f>IFERROR(__xludf.DUMMYFUNCTION("""COMPUTED_VALUE"""),"TRASLADO")</f>
        <v>TRASLADO</v>
      </c>
      <c r="AW11" s="1" t="str">
        <f>IFERROR(__xludf.DUMMYFUNCTION("""COMPUTED_VALUE"""),"SI")</f>
        <v>SI</v>
      </c>
      <c r="AX11" s="1"/>
      <c r="AY11" s="1" t="str">
        <f>IFERROR(__xludf.DUMMYFUNCTION("""COMPUTED_VALUE"""),"PAGO COMPLETO")</f>
        <v>PAGO COMPLETO</v>
      </c>
      <c r="AZ11" s="5">
        <f>IFERROR(__xludf.DUMMYFUNCTION("""COMPUTED_VALUE"""),45346.0)</f>
        <v>45346</v>
      </c>
      <c r="BA11" s="1">
        <f>IFERROR(__xludf.DUMMYFUNCTION("""COMPUTED_VALUE"""),0.0)</f>
        <v>0</v>
      </c>
      <c r="BB11" s="1">
        <f>IFERROR(__xludf.DUMMYFUNCTION("""COMPUTED_VALUE"""),0.0)</f>
        <v>0</v>
      </c>
      <c r="BC11" s="4">
        <f>IFERROR(__xludf.DUMMYFUNCTION("""COMPUTED_VALUE"""),0.0)</f>
        <v>0</v>
      </c>
      <c r="BD11" s="4">
        <f>IFERROR(__xludf.DUMMYFUNCTION("""COMPUTED_VALUE"""),0.0)</f>
        <v>0</v>
      </c>
      <c r="BE11" s="1">
        <f>IFERROR(__xludf.DUMMYFUNCTION("""COMPUTED_VALUE"""),2.0)</f>
        <v>2</v>
      </c>
      <c r="BF11" s="6">
        <f>IFERROR(__xludf.DUMMYFUNCTION("""COMPUTED_VALUE"""),1.0)</f>
        <v>1</v>
      </c>
      <c r="BG11" s="1">
        <f>IFERROR(__xludf.DUMMYFUNCTION("""COMPUTED_VALUE"""),1.0)</f>
        <v>1</v>
      </c>
      <c r="BH11" s="1" t="str">
        <f>IFERROR(__xludf.DUMMYFUNCTION("""COMPUTED_VALUE"""),"1")</f>
        <v>1</v>
      </c>
      <c r="BI11" s="4">
        <f>IFERROR(__xludf.DUMMYFUNCTION("""COMPUTED_VALUE"""),0.0)</f>
        <v>0</v>
      </c>
      <c r="BJ11" s="1">
        <f>IFERROR(__xludf.DUMMYFUNCTION("""COMPUTED_VALUE"""),1.0)</f>
        <v>1</v>
      </c>
      <c r="BK11" s="4">
        <f>IFERROR(__xludf.DUMMYFUNCTION("""COMPUTED_VALUE"""),900.0)</f>
        <v>900</v>
      </c>
      <c r="BL11" s="1">
        <f>IFERROR(__xludf.DUMMYFUNCTION("""COMPUTED_VALUE"""),720.0)</f>
        <v>720</v>
      </c>
      <c r="BM11" s="1">
        <f>IFERROR(__xludf.DUMMYFUNCTION("""COMPUTED_VALUE"""),8.0)</f>
        <v>8</v>
      </c>
      <c r="BN11" s="2">
        <f>IFERROR(__xludf.DUMMYFUNCTION("""COMPUTED_VALUE"""),45341.0)</f>
        <v>45341</v>
      </c>
      <c r="BO11" s="1">
        <f>IFERROR(__xludf.DUMMYFUNCTION("""COMPUTED_VALUE"""),2.0)</f>
        <v>2</v>
      </c>
      <c r="BP11" s="1">
        <f>IFERROR(__xludf.DUMMYFUNCTION("""COMPUTED_VALUE"""),2024.0)</f>
        <v>2024</v>
      </c>
    </row>
    <row r="12">
      <c r="A12" s="1">
        <f>IFERROR(__xludf.DUMMYFUNCTION("""COMPUTED_VALUE"""),11.0)</f>
        <v>11</v>
      </c>
      <c r="B12" s="1">
        <f>IFERROR(__xludf.DUMMYFUNCTION("""COMPUTED_VALUE"""),2537507.0)</f>
        <v>2537507</v>
      </c>
      <c r="C12" s="1" t="str">
        <f>IFERROR(__xludf.DUMMYFUNCTION("""COMPUTED_VALUE"""),"2025-1")</f>
        <v>2025-1</v>
      </c>
      <c r="D12" s="1" t="str">
        <f>IFERROR(__xludf.DUMMYFUNCTION("""COMPUTED_VALUE"""),"Admisión Ordinaria")</f>
        <v>Admisión Ordinaria</v>
      </c>
      <c r="E12" s="2">
        <f>IFERROR(__xludf.DUMMYFUNCTION("""COMPUTED_VALUE"""),45346.0)</f>
        <v>45346</v>
      </c>
      <c r="F12" s="1" t="str">
        <f>IFERROR(__xludf.DUMMYFUNCTION("""COMPUTED_VALUE"""),"DENISSE MAYRA")</f>
        <v>DENISSE MAYRA</v>
      </c>
      <c r="G12" s="1" t="str">
        <f>IFERROR(__xludf.DUMMYFUNCTION("""COMPUTED_VALUE"""),"DE LA CRUZ PERALTA")</f>
        <v>DE LA CRUZ PERALTA</v>
      </c>
      <c r="H12" s="1" t="str">
        <f>IFERROR(__xludf.DUMMYFUNCTION("""COMPUTED_VALUE"""),"Arquitectura")</f>
        <v>Arquitectura</v>
      </c>
      <c r="I12" s="1" t="str">
        <f>IFERROR(__xludf.DUMMYFUNCTION("""COMPUTED_VALUE"""),"POS")</f>
        <v>POS</v>
      </c>
      <c r="J12" s="1" t="str">
        <f>IFERROR(__xludf.DUMMYFUNCTION("""COMPUTED_VALUE"""),"Diurno")</f>
        <v>Diurno</v>
      </c>
      <c r="K12" s="1" t="str">
        <f>IFERROR(__xludf.DUMMYFUNCTION("""COMPUTED_VALUE"""),"TRASLADO")</f>
        <v>TRASLADO</v>
      </c>
      <c r="L12" s="1">
        <f>IFERROR(__xludf.DUMMYFUNCTION("""COMPUTED_VALUE"""),1.0)</f>
        <v>1</v>
      </c>
      <c r="M12" s="1">
        <f>IFERROR(__xludf.DUMMYFUNCTION("""COMPUTED_VALUE"""),0.0)</f>
        <v>0</v>
      </c>
      <c r="N12" s="1" t="str">
        <f>IFERROR(__xludf.DUMMYFUNCTION("""COMPUTED_VALUE"""),"RECA")</f>
        <v>RECA</v>
      </c>
      <c r="O12" s="1" t="str">
        <f>IFERROR(__xludf.DUMMYFUNCTION("""COMPUTED_VALUE"""),"RECA TRASLADO CON CONVA")</f>
        <v>RECA TRASLADO CON CONVA</v>
      </c>
      <c r="P12" s="4">
        <f>IFERROR(__xludf.DUMMYFUNCTION("""COMPUTED_VALUE"""),0.0)</f>
        <v>0</v>
      </c>
      <c r="Q12" s="4">
        <f>IFERROR(__xludf.DUMMYFUNCTION("""COMPUTED_VALUE"""),0.0)</f>
        <v>0</v>
      </c>
      <c r="R12" s="4">
        <f>IFERROR(__xludf.DUMMYFUNCTION("""COMPUTED_VALUE"""),1700.0)</f>
        <v>1700</v>
      </c>
      <c r="S12" s="4">
        <f>IFERROR(__xludf.DUMMYFUNCTION("""COMPUTED_VALUE"""),900.0)</f>
        <v>900</v>
      </c>
      <c r="T12" s="1" t="str">
        <f>IFERROR(__xludf.DUMMYFUNCTION("""COMPUTED_VALUE"""),"NINGUNO")</f>
        <v>NINGUNO</v>
      </c>
      <c r="U12" s="1" t="str">
        <f>IFERROR(__xludf.DUMMYFUNCTION("""COMPUTED_VALUE"""),"-")</f>
        <v>-</v>
      </c>
      <c r="V12" s="1" t="str">
        <f>IFERROR(__xludf.DUMMYFUNCTION("""COMPUTED_VALUE"""),"-")</f>
        <v>-</v>
      </c>
      <c r="W12" s="1" t="str">
        <f>IFERROR(__xludf.DUMMYFUNCTION("""COMPUTED_VALUE"""),"-")</f>
        <v>-</v>
      </c>
      <c r="X12" s="1" t="str">
        <f>IFERROR(__xludf.DUMMYFUNCTION("""COMPUTED_VALUE"""),"se le hizo visita pero no se le dio descuento de 100 soles ")</f>
        <v>se le hizo visita pero no se le dio descuento de 100 soles </v>
      </c>
      <c r="Y12" s="1" t="str">
        <f>IFERROR(__xludf.DUMMYFUNCTION("""COMPUTED_VALUE"""),"PAGO COMPLETO")</f>
        <v>PAGO COMPLETO</v>
      </c>
      <c r="Z12" s="1">
        <f>IFERROR(__xludf.DUMMYFUNCTION("""COMPUTED_VALUE"""),0.0)</f>
        <v>0</v>
      </c>
      <c r="AA12" s="1" t="str">
        <f>IFERROR(__xludf.DUMMYFUNCTION("""COMPUTED_VALUE"""),"-")</f>
        <v>-</v>
      </c>
      <c r="AB12" s="1">
        <f>IFERROR(__xludf.DUMMYFUNCTION("""COMPUTED_VALUE"""),0.0)</f>
        <v>0</v>
      </c>
      <c r="AC12" s="1">
        <f>IFERROR(__xludf.DUMMYFUNCTION("""COMPUTED_VALUE"""),0.0)</f>
        <v>0</v>
      </c>
      <c r="AD12" s="1" t="str">
        <f>IFERROR(__xludf.DUMMYFUNCTION("""COMPUTED_VALUE"""),"Ingrid Guillermo Rivera")</f>
        <v>Ingrid Guillermo Rivera</v>
      </c>
      <c r="AE12" s="1" t="str">
        <f>IFERROR(__xludf.DUMMYFUNCTION("""COMPUTED_VALUE"""),"Instituto de Educación Superior Tecnológico Privado Toulouse Lautrec")</f>
        <v>Instituto de Educación Superior Tecnológico Privado Toulouse Lautrec</v>
      </c>
      <c r="AF12" s="1">
        <f>IFERROR(__xludf.DUMMYFUNCTION("""COMPUTED_VALUE"""),2009.0)</f>
        <v>2009</v>
      </c>
      <c r="AG12" s="1">
        <f>IFERROR(__xludf.DUMMYFUNCTION("""COMPUTED_VALUE"""),1609841.0)</f>
        <v>1609841</v>
      </c>
      <c r="AH12" s="1">
        <f>IFERROR(__xludf.DUMMYFUNCTION("""COMPUTED_VALUE"""),30.0)</f>
        <v>30</v>
      </c>
      <c r="AI12" s="1" t="str">
        <f>IFERROR(__xludf.DUMMYFUNCTION("""COMPUTED_VALUE"""),"2013013131")</f>
        <v>2013013131</v>
      </c>
      <c r="AJ12" s="1">
        <f>IFERROR(__xludf.DUMMYFUNCTION("""COMPUTED_VALUE"""),4.8358947E7)</f>
        <v>48358947</v>
      </c>
      <c r="AK12" s="1">
        <f>IFERROR(__xludf.DUMMYFUNCTION("""COMPUTED_VALUE"""),9.44184085E8)</f>
        <v>944184085</v>
      </c>
      <c r="AL12" s="1" t="str">
        <f>IFERROR(__xludf.DUMMYFUNCTION("""COMPUTED_VALUE"""),"arqint.denissedelacruzp@gmail.com")</f>
        <v>arqint.denissedelacruzp@gmail.com</v>
      </c>
      <c r="AM12" s="1" t="str">
        <f>IFERROR(__xludf.DUMMYFUNCTION("""COMPUTED_VALUE"""),"FEMENINO")</f>
        <v>FEMENINO</v>
      </c>
      <c r="AN12" s="1">
        <f>IFERROR(__xludf.DUMMYFUNCTION("""COMPUTED_VALUE"""),1700.0)</f>
        <v>1700</v>
      </c>
      <c r="AO12" s="1">
        <f>IFERROR(__xludf.DUMMYFUNCTION("""COMPUTED_VALUE"""),470.0)</f>
        <v>470</v>
      </c>
      <c r="AP12" s="1" t="str">
        <f>IFERROR(__xludf.DUMMYFUNCTION("""COMPUTED_VALUE"""),"VISITA")</f>
        <v>VISITA</v>
      </c>
      <c r="AQ12" s="1" t="str">
        <f>IFERROR(__xludf.DUMMYFUNCTION("""COMPUTED_VALUE"""),"VISITA")</f>
        <v>VISITA</v>
      </c>
      <c r="AR12" s="1" t="str">
        <f>IFERROR(__xludf.DUMMYFUNCTION("""COMPUTED_VALUE"""),"HEREDADO")</f>
        <v>HEREDADO</v>
      </c>
      <c r="AS12" s="1"/>
      <c r="AT12" s="2">
        <f>IFERROR(__xludf.DUMMYFUNCTION("""COMPUTED_VALUE"""),45346.0)</f>
        <v>45346</v>
      </c>
      <c r="AU12" s="1">
        <f>IFERROR(__xludf.DUMMYFUNCTION("""COMPUTED_VALUE"""),1.0)</f>
        <v>1</v>
      </c>
      <c r="AV12" s="1" t="str">
        <f>IFERROR(__xludf.DUMMYFUNCTION("""COMPUTED_VALUE"""),"TRASLADO")</f>
        <v>TRASLADO</v>
      </c>
      <c r="AW12" s="1" t="str">
        <f>IFERROR(__xludf.DUMMYFUNCTION("""COMPUTED_VALUE"""),"SI")</f>
        <v>SI</v>
      </c>
      <c r="AX12" s="1"/>
      <c r="AY12" s="1" t="str">
        <f>IFERROR(__xludf.DUMMYFUNCTION("""COMPUTED_VALUE"""),"PAGO COMPLETO")</f>
        <v>PAGO COMPLETO</v>
      </c>
      <c r="AZ12" s="5">
        <f>IFERROR(__xludf.DUMMYFUNCTION("""COMPUTED_VALUE"""),45346.0)</f>
        <v>45346</v>
      </c>
      <c r="BA12" s="1">
        <f>IFERROR(__xludf.DUMMYFUNCTION("""COMPUTED_VALUE"""),0.0)</f>
        <v>0</v>
      </c>
      <c r="BB12" s="1">
        <f>IFERROR(__xludf.DUMMYFUNCTION("""COMPUTED_VALUE"""),0.0)</f>
        <v>0</v>
      </c>
      <c r="BC12" s="4">
        <f>IFERROR(__xludf.DUMMYFUNCTION("""COMPUTED_VALUE"""),0.0)</f>
        <v>0</v>
      </c>
      <c r="BD12" s="4">
        <f>IFERROR(__xludf.DUMMYFUNCTION("""COMPUTED_VALUE"""),0.0)</f>
        <v>0</v>
      </c>
      <c r="BE12" s="1">
        <f>IFERROR(__xludf.DUMMYFUNCTION("""COMPUTED_VALUE"""),2.0)</f>
        <v>2</v>
      </c>
      <c r="BF12" s="6">
        <f>IFERROR(__xludf.DUMMYFUNCTION("""COMPUTED_VALUE"""),1.0)</f>
        <v>1</v>
      </c>
      <c r="BG12" s="1">
        <f>IFERROR(__xludf.DUMMYFUNCTION("""COMPUTED_VALUE"""),1.0)</f>
        <v>1</v>
      </c>
      <c r="BH12" s="1" t="str">
        <f>IFERROR(__xludf.DUMMYFUNCTION("""COMPUTED_VALUE"""),"1")</f>
        <v>1</v>
      </c>
      <c r="BI12" s="4">
        <f>IFERROR(__xludf.DUMMYFUNCTION("""COMPUTED_VALUE"""),0.0)</f>
        <v>0</v>
      </c>
      <c r="BJ12" s="1">
        <f>IFERROR(__xludf.DUMMYFUNCTION("""COMPUTED_VALUE"""),1.0)</f>
        <v>1</v>
      </c>
      <c r="BK12" s="4">
        <f>IFERROR(__xludf.DUMMYFUNCTION("""COMPUTED_VALUE"""),0.0)</f>
        <v>0</v>
      </c>
      <c r="BL12" s="1">
        <f>IFERROR(__xludf.DUMMYFUNCTION("""COMPUTED_VALUE"""),900.0)</f>
        <v>900</v>
      </c>
      <c r="BM12" s="1">
        <f>IFERROR(__xludf.DUMMYFUNCTION("""COMPUTED_VALUE"""),8.0)</f>
        <v>8</v>
      </c>
      <c r="BN12" s="2">
        <f>IFERROR(__xludf.DUMMYFUNCTION("""COMPUTED_VALUE"""),45341.0)</f>
        <v>45341</v>
      </c>
      <c r="BO12" s="1">
        <f>IFERROR(__xludf.DUMMYFUNCTION("""COMPUTED_VALUE"""),2.0)</f>
        <v>2</v>
      </c>
      <c r="BP12" s="1">
        <f>IFERROR(__xludf.DUMMYFUNCTION("""COMPUTED_VALUE"""),2024.0)</f>
        <v>2024</v>
      </c>
    </row>
    <row r="13">
      <c r="A13" s="1">
        <f>IFERROR(__xludf.DUMMYFUNCTION("""COMPUTED_VALUE"""),12.0)</f>
        <v>12</v>
      </c>
      <c r="B13" s="1">
        <f>IFERROR(__xludf.DUMMYFUNCTION("""COMPUTED_VALUE"""),1615177.0)</f>
        <v>1615177</v>
      </c>
      <c r="C13" s="1" t="str">
        <f>IFERROR(__xludf.DUMMYFUNCTION("""COMPUTED_VALUE"""),"2025-1")</f>
        <v>2025-1</v>
      </c>
      <c r="D13" s="1" t="str">
        <f>IFERROR(__xludf.DUMMYFUNCTION("""COMPUTED_VALUE"""),"Admisión Ordinaria")</f>
        <v>Admisión Ordinaria</v>
      </c>
      <c r="E13" s="2">
        <f>IFERROR(__xludf.DUMMYFUNCTION("""COMPUTED_VALUE"""),45348.0)</f>
        <v>45348</v>
      </c>
      <c r="F13" s="1" t="str">
        <f>IFERROR(__xludf.DUMMYFUNCTION("""COMPUTED_VALUE"""),"CAROLINE ALEXANDRA")</f>
        <v>CAROLINE ALEXANDRA</v>
      </c>
      <c r="G13" s="1" t="str">
        <f>IFERROR(__xludf.DUMMYFUNCTION("""COMPUTED_VALUE"""),"BOZZETA MALAGA")</f>
        <v>BOZZETA MALAGA</v>
      </c>
      <c r="H13" s="1" t="str">
        <f>IFERROR(__xludf.DUMMYFUNCTION("""COMPUTED_VALUE"""),"Comunicación Audiovisual y Cine")</f>
        <v>Comunicación Audiovisual y Cine</v>
      </c>
      <c r="I13" s="1" t="str">
        <f>IFERROR(__xludf.DUMMYFUNCTION("""COMPUTED_VALUE"""),"CARGO")</f>
        <v>CARGO</v>
      </c>
      <c r="J13" s="1" t="str">
        <f>IFERROR(__xludf.DUMMYFUNCTION("""COMPUTED_VALUE"""),"Diurno")</f>
        <v>Diurno</v>
      </c>
      <c r="K13" s="1" t="str">
        <f>IFERROR(__xludf.DUMMYFUNCTION("""COMPUTED_VALUE"""),"TRASLADO")</f>
        <v>TRASLADO</v>
      </c>
      <c r="L13" s="1">
        <f>IFERROR(__xludf.DUMMYFUNCTION("""COMPUTED_VALUE"""),1.0)</f>
        <v>1</v>
      </c>
      <c r="M13" s="1">
        <f>IFERROR(__xludf.DUMMYFUNCTION("""COMPUTED_VALUE"""),0.0)</f>
        <v>0</v>
      </c>
      <c r="N13" s="1" t="str">
        <f>IFERROR(__xludf.DUMMYFUNCTION("""COMPUTED_VALUE"""),"RECA")</f>
        <v>RECA</v>
      </c>
      <c r="O13" s="1" t="str">
        <f>IFERROR(__xludf.DUMMYFUNCTION("""COMPUTED_VALUE"""),"RECA TRASLADO CON CONVA")</f>
        <v>RECA TRASLADO CON CONVA</v>
      </c>
      <c r="P13" s="4">
        <f>IFERROR(__xludf.DUMMYFUNCTION("""COMPUTED_VALUE"""),0.0)</f>
        <v>0</v>
      </c>
      <c r="Q13" s="4">
        <f>IFERROR(__xludf.DUMMYFUNCTION("""COMPUTED_VALUE"""),0.0)</f>
        <v>0</v>
      </c>
      <c r="R13" s="4">
        <f>IFERROR(__xludf.DUMMYFUNCTION("""COMPUTED_VALUE"""),1600.0)</f>
        <v>1600</v>
      </c>
      <c r="S13" s="4">
        <f>IFERROR(__xludf.DUMMYFUNCTION("""COMPUTED_VALUE"""),900.0)</f>
        <v>900</v>
      </c>
      <c r="T13" s="1" t="str">
        <f>IFERROR(__xludf.DUMMYFUNCTION("""COMPUTED_VALUE"""),"PALANCA 500")</f>
        <v>PALANCA 500</v>
      </c>
      <c r="U13" s="1" t="str">
        <f>IFERROR(__xludf.DUMMYFUNCTION("""COMPUTED_VALUE"""),"-")</f>
        <v>-</v>
      </c>
      <c r="V13" s="1" t="str">
        <f>IFERROR(__xludf.DUMMYFUNCTION("""COMPUTED_VALUE"""),"-")</f>
        <v>-</v>
      </c>
      <c r="W13" s="1" t="str">
        <f>IFERROR(__xludf.DUMMYFUNCTION("""COMPUTED_VALUE"""),"-")</f>
        <v>-</v>
      </c>
      <c r="X13" s="1" t="str">
        <f>IFERROR(__xludf.DUMMYFUNCTION("""COMPUTED_VALUE"""),"PROMOCION YAPE 500 SOLES 1RA CUOTA")</f>
        <v>PROMOCION YAPE 500 SOLES 1RA CUOTA</v>
      </c>
      <c r="Y13" s="1" t="str">
        <f>IFERROR(__xludf.DUMMYFUNCTION("""COMPUTED_VALUE"""),"PAGO COMPLETO")</f>
        <v>PAGO COMPLETO</v>
      </c>
      <c r="Z13" s="1">
        <f>IFERROR(__xludf.DUMMYFUNCTION("""COMPUTED_VALUE"""),0.0)</f>
        <v>0</v>
      </c>
      <c r="AA13" s="1" t="str">
        <f>IFERROR(__xludf.DUMMYFUNCTION("""COMPUTED_VALUE"""),"-")</f>
        <v>-</v>
      </c>
      <c r="AB13" s="1">
        <f>IFERROR(__xludf.DUMMYFUNCTION("""COMPUTED_VALUE"""),1.0)</f>
        <v>1</v>
      </c>
      <c r="AC13" s="1">
        <f>IFERROR(__xludf.DUMMYFUNCTION("""COMPUTED_VALUE"""),0.0)</f>
        <v>0</v>
      </c>
      <c r="AD13" s="1" t="str">
        <f>IFERROR(__xludf.DUMMYFUNCTION("""COMPUTED_VALUE"""),"Stefano Napuri")</f>
        <v>Stefano Napuri</v>
      </c>
      <c r="AE13" s="1" t="str">
        <f>IFERROR(__xludf.DUMMYFUNCTION("""COMPUTED_VALUE"""),"INSTITUTO SAN IGNACIO DE LOYOLA - ISIL")</f>
        <v>INSTITUTO SAN IGNACIO DE LOYOLA - ISIL</v>
      </c>
      <c r="AF13" s="1">
        <f>IFERROR(__xludf.DUMMYFUNCTION("""COMPUTED_VALUE"""),2018.0)</f>
        <v>2018</v>
      </c>
      <c r="AG13" s="1">
        <f>IFERROR(__xludf.DUMMYFUNCTION("""COMPUTED_VALUE"""),1769777.0)</f>
        <v>1769777</v>
      </c>
      <c r="AH13" s="1">
        <f>IFERROR(__xludf.DUMMYFUNCTION("""COMPUTED_VALUE"""),21.0)</f>
        <v>21</v>
      </c>
      <c r="AI13" s="1" t="str">
        <f>IFERROR(__xludf.DUMMYFUNCTION("""COMPUTED_VALUE"""),"0000068221")</f>
        <v>0000068221</v>
      </c>
      <c r="AJ13" s="1">
        <f>IFERROR(__xludf.DUMMYFUNCTION("""COMPUTED_VALUE"""),7.5711734E7)</f>
        <v>75711734</v>
      </c>
      <c r="AK13" s="1">
        <f>IFERROR(__xludf.DUMMYFUNCTION("""COMPUTED_VALUE"""),9.28665919E8)</f>
        <v>928665919</v>
      </c>
      <c r="AL13" s="1" t="str">
        <f>IFERROR(__xludf.DUMMYFUNCTION("""COMPUTED_VALUE"""),"cbozzeta@gmail.com")</f>
        <v>cbozzeta@gmail.com</v>
      </c>
      <c r="AM13" s="1" t="str">
        <f>IFERROR(__xludf.DUMMYFUNCTION("""COMPUTED_VALUE"""),"MASCULINO")</f>
        <v>MASCULINO</v>
      </c>
      <c r="AN13" s="1">
        <f>IFERROR(__xludf.DUMMYFUNCTION("""COMPUTED_VALUE"""),1600.0)</f>
        <v>1600</v>
      </c>
      <c r="AO13" s="1">
        <f>IFERROR(__xludf.DUMMYFUNCTION("""COMPUTED_VALUE"""),250.0)</f>
        <v>250</v>
      </c>
      <c r="AP13" s="1" t="str">
        <f>IFERROR(__xludf.DUMMYFUNCTION("""COMPUTED_VALUE"""),"BIDIRECCIONAL")</f>
        <v>BIDIRECCIONAL</v>
      </c>
      <c r="AQ13" s="1" t="str">
        <f>IFERROR(__xludf.DUMMYFUNCTION("""COMPUTED_VALUE"""),"ORGANICO")</f>
        <v>ORGANICO</v>
      </c>
      <c r="AR13" s="1" t="str">
        <f>IFERROR(__xludf.DUMMYFUNCTION("""COMPUTED_VALUE"""),"HEREDADO")</f>
        <v>HEREDADO</v>
      </c>
      <c r="AS13" s="1"/>
      <c r="AT13" s="2">
        <f>IFERROR(__xludf.DUMMYFUNCTION("""COMPUTED_VALUE"""),45348.0)</f>
        <v>45348</v>
      </c>
      <c r="AU13" s="1">
        <f>IFERROR(__xludf.DUMMYFUNCTION("""COMPUTED_VALUE"""),1.0)</f>
        <v>1</v>
      </c>
      <c r="AV13" s="1" t="str">
        <f>IFERROR(__xludf.DUMMYFUNCTION("""COMPUTED_VALUE"""),"TRASLADO")</f>
        <v>TRASLADO</v>
      </c>
      <c r="AW13" s="1" t="str">
        <f>IFERROR(__xludf.DUMMYFUNCTION("""COMPUTED_VALUE"""),"SI")</f>
        <v>SI</v>
      </c>
      <c r="AX13" s="1"/>
      <c r="AY13" s="1" t="str">
        <f>IFERROR(__xludf.DUMMYFUNCTION("""COMPUTED_VALUE"""),"PAGO COMPLETO")</f>
        <v>PAGO COMPLETO</v>
      </c>
      <c r="AZ13" s="5">
        <f>IFERROR(__xludf.DUMMYFUNCTION("""COMPUTED_VALUE"""),45348.0)</f>
        <v>45348</v>
      </c>
      <c r="BA13" s="1">
        <f>IFERROR(__xludf.DUMMYFUNCTION("""COMPUTED_VALUE"""),0.0)</f>
        <v>0</v>
      </c>
      <c r="BB13" s="1">
        <f>IFERROR(__xludf.DUMMYFUNCTION("""COMPUTED_VALUE"""),0.0)</f>
        <v>0</v>
      </c>
      <c r="BC13" s="4">
        <f>IFERROR(__xludf.DUMMYFUNCTION("""COMPUTED_VALUE"""),0.0)</f>
        <v>0</v>
      </c>
      <c r="BD13" s="4">
        <f>IFERROR(__xludf.DUMMYFUNCTION("""COMPUTED_VALUE"""),400.0)</f>
        <v>400</v>
      </c>
      <c r="BE13" s="1">
        <f>IFERROR(__xludf.DUMMYFUNCTION("""COMPUTED_VALUE"""),2.0)</f>
        <v>2</v>
      </c>
      <c r="BF13" s="6">
        <f>IFERROR(__xludf.DUMMYFUNCTION("""COMPUTED_VALUE"""),1.0)</f>
        <v>1</v>
      </c>
      <c r="BG13" s="1">
        <f>IFERROR(__xludf.DUMMYFUNCTION("""COMPUTED_VALUE"""),1.0)</f>
        <v>1</v>
      </c>
      <c r="BH13" s="1" t="str">
        <f>IFERROR(__xludf.DUMMYFUNCTION("""COMPUTED_VALUE"""),"1")</f>
        <v>1</v>
      </c>
      <c r="BI13" s="4">
        <f>IFERROR(__xludf.DUMMYFUNCTION("""COMPUTED_VALUE"""),400.0)</f>
        <v>400</v>
      </c>
      <c r="BJ13" s="1">
        <f>IFERROR(__xludf.DUMMYFUNCTION("""COMPUTED_VALUE"""),1.0)</f>
        <v>1</v>
      </c>
      <c r="BK13" s="4">
        <f>IFERROR(__xludf.DUMMYFUNCTION("""COMPUTED_VALUE"""),400.0)</f>
        <v>400</v>
      </c>
      <c r="BL13" s="1">
        <f>IFERROR(__xludf.DUMMYFUNCTION("""COMPUTED_VALUE"""),820.0)</f>
        <v>820</v>
      </c>
      <c r="BM13" s="1">
        <f>IFERROR(__xludf.DUMMYFUNCTION("""COMPUTED_VALUE"""),9.0)</f>
        <v>9</v>
      </c>
      <c r="BN13" s="2">
        <f>IFERROR(__xludf.DUMMYFUNCTION("""COMPUTED_VALUE"""),45348.0)</f>
        <v>45348</v>
      </c>
      <c r="BO13" s="1">
        <f>IFERROR(__xludf.DUMMYFUNCTION("""COMPUTED_VALUE"""),2.0)</f>
        <v>2</v>
      </c>
      <c r="BP13" s="1">
        <f>IFERROR(__xludf.DUMMYFUNCTION("""COMPUTED_VALUE"""),2024.0)</f>
        <v>2024</v>
      </c>
    </row>
    <row r="14">
      <c r="A14" s="1">
        <f>IFERROR(__xludf.DUMMYFUNCTION("""COMPUTED_VALUE"""),13.0)</f>
        <v>13</v>
      </c>
      <c r="B14" s="1">
        <f>IFERROR(__xludf.DUMMYFUNCTION("""COMPUTED_VALUE"""),2516436.0)</f>
        <v>2516436</v>
      </c>
      <c r="C14" s="1" t="str">
        <f>IFERROR(__xludf.DUMMYFUNCTION("""COMPUTED_VALUE"""),"2025-1")</f>
        <v>2025-1</v>
      </c>
      <c r="D14" s="1" t="str">
        <f>IFERROR(__xludf.DUMMYFUNCTION("""COMPUTED_VALUE"""),"Admisión de Alto Rendimiento")</f>
        <v>Admisión de Alto Rendimiento</v>
      </c>
      <c r="E14" s="2">
        <f>IFERROR(__xludf.DUMMYFUNCTION("""COMPUTED_VALUE"""),45364.0)</f>
        <v>45364</v>
      </c>
      <c r="F14" s="1" t="str">
        <f>IFERROR(__xludf.DUMMYFUNCTION("""COMPUTED_VALUE"""),"LUCIA")</f>
        <v>LUCIA</v>
      </c>
      <c r="G14" s="1" t="str">
        <f>IFERROR(__xludf.DUMMYFUNCTION("""COMPUTED_VALUE"""),"NUÑEZ CUETO")</f>
        <v>NUÑEZ CUETO</v>
      </c>
      <c r="H14" s="1" t="str">
        <f>IFERROR(__xludf.DUMMYFUNCTION("""COMPUTED_VALUE"""),"Arquitectura de Interiores")</f>
        <v>Arquitectura de Interiores</v>
      </c>
      <c r="I14" s="1" t="str">
        <f>IFERROR(__xludf.DUMMYFUNCTION("""COMPUTED_VALUE"""),"POS")</f>
        <v>POS</v>
      </c>
      <c r="J14" s="1" t="str">
        <f>IFERROR(__xludf.DUMMYFUNCTION("""COMPUTED_VALUE"""),"Diurno")</f>
        <v>Diurno</v>
      </c>
      <c r="K14" s="1" t="str">
        <f>IFERROR(__xludf.DUMMYFUNCTION("""COMPUTED_VALUE"""),"NUEVO")</f>
        <v>NUEVO</v>
      </c>
      <c r="L14" s="1">
        <f>IFERROR(__xludf.DUMMYFUNCTION("""COMPUTED_VALUE"""),0.0)</f>
        <v>0</v>
      </c>
      <c r="M14" s="1">
        <f>IFERROR(__xludf.DUMMYFUNCTION("""COMPUTED_VALUE"""),0.0)</f>
        <v>0</v>
      </c>
      <c r="N14" s="1" t="str">
        <f>IFERROR(__xludf.DUMMYFUNCTION("""COMPUTED_VALUE"""),"ESCALA REGULAR")</f>
        <v>ESCALA REGULAR</v>
      </c>
      <c r="O14" s="1" t="str">
        <f>IFERROR(__xludf.DUMMYFUNCTION("""COMPUTED_VALUE"""),"NINGUNO")</f>
        <v>NINGUNO</v>
      </c>
      <c r="P14" s="4">
        <f>IFERROR(__xludf.DUMMYFUNCTION("""COMPUTED_VALUE"""),0.0)</f>
        <v>0</v>
      </c>
      <c r="Q14" s="4">
        <f>IFERROR(__xludf.DUMMYFUNCTION("""COMPUTED_VALUE"""),0.0)</f>
        <v>0</v>
      </c>
      <c r="R14" s="4">
        <f>IFERROR(__xludf.DUMMYFUNCTION("""COMPUTED_VALUE"""),1450.0)</f>
        <v>1450</v>
      </c>
      <c r="S14" s="4">
        <f>IFERROR(__xludf.DUMMYFUNCTION("""COMPUTED_VALUE"""),1450.0)</f>
        <v>1450</v>
      </c>
      <c r="T14" s="1" t="str">
        <f>IFERROR(__xludf.DUMMYFUNCTION("""COMPUTED_VALUE"""),"PALANCA 500")</f>
        <v>PALANCA 500</v>
      </c>
      <c r="U14" s="1" t="str">
        <f>IFERROR(__xludf.DUMMYFUNCTION("""COMPUTED_VALUE"""),"-")</f>
        <v>-</v>
      </c>
      <c r="V14" s="1" t="str">
        <f>IFERROR(__xludf.DUMMYFUNCTION("""COMPUTED_VALUE"""),"-")</f>
        <v>-</v>
      </c>
      <c r="W14" s="1" t="str">
        <f>IFERROR(__xludf.DUMMYFUNCTION("""COMPUTED_VALUE"""),"-")</f>
        <v>-</v>
      </c>
      <c r="X14" s="1" t="str">
        <f>IFERROR(__xludf.DUMMYFUNCTION("""COMPUTED_VALUE"""),"PROMOCION YAPE 500 SOLES 1RA CUOTA")</f>
        <v>PROMOCION YAPE 500 SOLES 1RA CUOTA</v>
      </c>
      <c r="Y14" s="1" t="str">
        <f>IFERROR(__xludf.DUMMYFUNCTION("""COMPUTED_VALUE"""),"PAGO COMPLETO")</f>
        <v>PAGO COMPLETO</v>
      </c>
      <c r="Z14" s="1">
        <f>IFERROR(__xludf.DUMMYFUNCTION("""COMPUTED_VALUE"""),0.0)</f>
        <v>0</v>
      </c>
      <c r="AA14" s="1" t="str">
        <f>IFERROR(__xludf.DUMMYFUNCTION("""COMPUTED_VALUE"""),"-")</f>
        <v>-</v>
      </c>
      <c r="AB14" s="1">
        <f>IFERROR(__xludf.DUMMYFUNCTION("""COMPUTED_VALUE"""),1.0)</f>
        <v>1</v>
      </c>
      <c r="AC14" s="1">
        <f>IFERROR(__xludf.DUMMYFUNCTION("""COMPUTED_VALUE"""),0.0)</f>
        <v>0</v>
      </c>
      <c r="AD14" s="1" t="str">
        <f>IFERROR(__xludf.DUMMYFUNCTION("""COMPUTED_VALUE"""),"Stefano Napuri")</f>
        <v>Stefano Napuri</v>
      </c>
      <c r="AE14" s="1" t="str">
        <f>IFERROR(__xludf.DUMMYFUNCTION("""COMPUTED_VALUE"""),"0")</f>
        <v>0</v>
      </c>
      <c r="AF14" s="1">
        <f>IFERROR(__xludf.DUMMYFUNCTION("""COMPUTED_VALUE"""),2024.0)</f>
        <v>2024</v>
      </c>
      <c r="AG14" s="1">
        <f>IFERROR(__xludf.DUMMYFUNCTION("""COMPUTED_VALUE"""),1268689.0)</f>
        <v>1268689</v>
      </c>
      <c r="AH14" s="1">
        <f>IFERROR(__xludf.DUMMYFUNCTION("""COMPUTED_VALUE"""),16.0)</f>
        <v>16</v>
      </c>
      <c r="AI14" s="1" t="str">
        <f>IFERROR(__xludf.DUMMYFUNCTION("""COMPUTED_VALUE"""),"0000069948")</f>
        <v>0000069948</v>
      </c>
      <c r="AJ14" s="1">
        <f>IFERROR(__xludf.DUMMYFUNCTION("""COMPUTED_VALUE"""),6.1349225E7)</f>
        <v>61349225</v>
      </c>
      <c r="AK14" s="1">
        <f>IFERROR(__xludf.DUMMYFUNCTION("""COMPUTED_VALUE"""),9.34288221E8)</f>
        <v>934288221</v>
      </c>
      <c r="AL14" s="1" t="str">
        <f>IFERROR(__xludf.DUMMYFUNCTION("""COMPUTED_VALUE"""),"luciancueto3005@gmail.com")</f>
        <v>luciancueto3005@gmail.com</v>
      </c>
      <c r="AM14" s="1" t="str">
        <f>IFERROR(__xludf.DUMMYFUNCTION("""COMPUTED_VALUE"""),"FEMENINO")</f>
        <v>FEMENINO</v>
      </c>
      <c r="AN14" s="1">
        <f>IFERROR(__xludf.DUMMYFUNCTION("""COMPUTED_VALUE"""),1450.0)</f>
        <v>1450</v>
      </c>
      <c r="AO14" s="1">
        <f>IFERROR(__xludf.DUMMYFUNCTION("""COMPUTED_VALUE"""),150.0)</f>
        <v>150</v>
      </c>
      <c r="AP14" s="1" t="str">
        <f>IFERROR(__xludf.DUMMYFUNCTION("""COMPUTED_VALUE"""),"VISITA")</f>
        <v>VISITA</v>
      </c>
      <c r="AQ14" s="1" t="str">
        <f>IFERROR(__xludf.DUMMYFUNCTION("""COMPUTED_VALUE"""),"VISITA")</f>
        <v>VISITA</v>
      </c>
      <c r="AR14" s="1" t="str">
        <f>IFERROR(__xludf.DUMMYFUNCTION("""COMPUTED_VALUE"""),"HEREDADO")</f>
        <v>HEREDADO</v>
      </c>
      <c r="AS14" s="1"/>
      <c r="AT14" s="2">
        <f>IFERROR(__xludf.DUMMYFUNCTION("""COMPUTED_VALUE"""),45334.0)</f>
        <v>45334</v>
      </c>
      <c r="AU14" s="1">
        <f>IFERROR(__xludf.DUMMYFUNCTION("""COMPUTED_VALUE"""),1.0)</f>
        <v>1</v>
      </c>
      <c r="AV14" s="1" t="str">
        <f>IFERROR(__xludf.DUMMYFUNCTION("""COMPUTED_VALUE"""),"NUEVO")</f>
        <v>NUEVO</v>
      </c>
      <c r="AW14" s="1" t="str">
        <f>IFERROR(__xludf.DUMMYFUNCTION("""COMPUTED_VALUE"""),"SI")</f>
        <v>SI</v>
      </c>
      <c r="AX14" s="1"/>
      <c r="AY14" s="1" t="str">
        <f>IFERROR(__xludf.DUMMYFUNCTION("""COMPUTED_VALUE"""),"PAGO COMPLETO")</f>
        <v>PAGO COMPLETO</v>
      </c>
      <c r="AZ14" s="5">
        <f>IFERROR(__xludf.DUMMYFUNCTION("""COMPUTED_VALUE"""),45364.0)</f>
        <v>45364</v>
      </c>
      <c r="BA14" s="1">
        <f>IFERROR(__xludf.DUMMYFUNCTION("""COMPUTED_VALUE"""),0.0)</f>
        <v>0</v>
      </c>
      <c r="BB14" s="1">
        <f>IFERROR(__xludf.DUMMYFUNCTION("""COMPUTED_VALUE"""),0.0)</f>
        <v>0</v>
      </c>
      <c r="BC14" s="4">
        <f>IFERROR(__xludf.DUMMYFUNCTION("""COMPUTED_VALUE"""),0.0)</f>
        <v>0</v>
      </c>
      <c r="BD14" s="4">
        <f>IFERROR(__xludf.DUMMYFUNCTION("""COMPUTED_VALUE"""),950.0)</f>
        <v>950</v>
      </c>
      <c r="BE14" s="1">
        <f>IFERROR(__xludf.DUMMYFUNCTION("""COMPUTED_VALUE"""),3.0)</f>
        <v>3</v>
      </c>
      <c r="BF14" s="6">
        <f>IFERROR(__xludf.DUMMYFUNCTION("""COMPUTED_VALUE"""),1.0)</f>
        <v>1</v>
      </c>
      <c r="BG14" s="1">
        <f>IFERROR(__xludf.DUMMYFUNCTION("""COMPUTED_VALUE"""),1.0)</f>
        <v>1</v>
      </c>
      <c r="BH14" s="1" t="str">
        <f>IFERROR(__xludf.DUMMYFUNCTION("""COMPUTED_VALUE"""),"0")</f>
        <v>0</v>
      </c>
      <c r="BI14" s="4">
        <f>IFERROR(__xludf.DUMMYFUNCTION("""COMPUTED_VALUE"""),950.0)</f>
        <v>950</v>
      </c>
      <c r="BJ14" s="1">
        <f>IFERROR(__xludf.DUMMYFUNCTION("""COMPUTED_VALUE"""),1.0)</f>
        <v>1</v>
      </c>
      <c r="BK14" s="4">
        <f>IFERROR(__xludf.DUMMYFUNCTION("""COMPUTED_VALUE"""),950.0)</f>
        <v>950</v>
      </c>
      <c r="BL14" s="1">
        <f>IFERROR(__xludf.DUMMYFUNCTION("""COMPUTED_VALUE"""),1260.0)</f>
        <v>1260</v>
      </c>
      <c r="BM14" s="1">
        <f>IFERROR(__xludf.DUMMYFUNCTION("""COMPUTED_VALUE"""),11.0)</f>
        <v>11</v>
      </c>
      <c r="BN14" s="2">
        <f>IFERROR(__xludf.DUMMYFUNCTION("""COMPUTED_VALUE"""),45362.0)</f>
        <v>45362</v>
      </c>
      <c r="BO14" s="1">
        <f>IFERROR(__xludf.DUMMYFUNCTION("""COMPUTED_VALUE"""),3.0)</f>
        <v>3</v>
      </c>
      <c r="BP14" s="1">
        <f>IFERROR(__xludf.DUMMYFUNCTION("""COMPUTED_VALUE"""),2024.0)</f>
        <v>2024</v>
      </c>
    </row>
    <row r="15">
      <c r="A15" s="1">
        <f>IFERROR(__xludf.DUMMYFUNCTION("""COMPUTED_VALUE"""),14.0)</f>
        <v>14</v>
      </c>
      <c r="B15" s="1">
        <f>IFERROR(__xludf.DUMMYFUNCTION("""COMPUTED_VALUE"""),2045310.0)</f>
        <v>2045310</v>
      </c>
      <c r="C15" s="1" t="str">
        <f>IFERROR(__xludf.DUMMYFUNCTION("""COMPUTED_VALUE"""),"2025-1")</f>
        <v>2025-1</v>
      </c>
      <c r="D15" s="1" t="str">
        <f>IFERROR(__xludf.DUMMYFUNCTION("""COMPUTED_VALUE"""),"Admisión de Alto Rendimiento")</f>
        <v>Admisión de Alto Rendimiento</v>
      </c>
      <c r="E15" s="2">
        <f>IFERROR(__xludf.DUMMYFUNCTION("""COMPUTED_VALUE"""),45365.0)</f>
        <v>45365</v>
      </c>
      <c r="F15" s="1" t="str">
        <f>IFERROR(__xludf.DUMMYFUNCTION("""COMPUTED_VALUE"""),"FLOR DE MARÍA")</f>
        <v>FLOR DE MARÍA</v>
      </c>
      <c r="G15" s="1" t="str">
        <f>IFERROR(__xludf.DUMMYFUNCTION("""COMPUTED_VALUE"""),"PACHECO PATIÑO")</f>
        <v>PACHECO PATIÑO</v>
      </c>
      <c r="H15" s="1" t="str">
        <f>IFERROR(__xludf.DUMMYFUNCTION("""COMPUTED_VALUE"""),"Comunicación Audiovisual y Cine")</f>
        <v>Comunicación Audiovisual y Cine</v>
      </c>
      <c r="I15" s="1" t="str">
        <f>IFERROR(__xludf.DUMMYFUNCTION("""COMPUTED_VALUE"""),"CARGO")</f>
        <v>CARGO</v>
      </c>
      <c r="J15" s="1" t="str">
        <f>IFERROR(__xludf.DUMMYFUNCTION("""COMPUTED_VALUE"""),"Diurno")</f>
        <v>Diurno</v>
      </c>
      <c r="K15" s="1" t="str">
        <f>IFERROR(__xludf.DUMMYFUNCTION("""COMPUTED_VALUE"""),"NUEVO")</f>
        <v>NUEVO</v>
      </c>
      <c r="L15" s="1">
        <f>IFERROR(__xludf.DUMMYFUNCTION("""COMPUTED_VALUE"""),0.0)</f>
        <v>0</v>
      </c>
      <c r="M15" s="1">
        <f>IFERROR(__xludf.DUMMYFUNCTION("""COMPUTED_VALUE"""),0.0)</f>
        <v>0</v>
      </c>
      <c r="N15" s="1" t="str">
        <f>IFERROR(__xludf.DUMMYFUNCTION("""COMPUTED_VALUE"""),"RECA")</f>
        <v>RECA</v>
      </c>
      <c r="O15" s="1" t="str">
        <f>IFERROR(__xludf.DUMMYFUNCTION("""COMPUTED_VALUE"""),"RECATEGORIZACIÓN")</f>
        <v>RECATEGORIZACIÓN</v>
      </c>
      <c r="P15" s="4">
        <f>IFERROR(__xludf.DUMMYFUNCTION("""COMPUTED_VALUE"""),0.0)</f>
        <v>0</v>
      </c>
      <c r="Q15" s="4">
        <f>IFERROR(__xludf.DUMMYFUNCTION("""COMPUTED_VALUE"""),0.0)</f>
        <v>0</v>
      </c>
      <c r="R15" s="4">
        <f>IFERROR(__xludf.DUMMYFUNCTION("""COMPUTED_VALUE"""),1850.0)</f>
        <v>1850</v>
      </c>
      <c r="S15" s="4">
        <f>IFERROR(__xludf.DUMMYFUNCTION("""COMPUTED_VALUE"""),1450.0)</f>
        <v>1450</v>
      </c>
      <c r="T15" s="1" t="str">
        <f>IFERROR(__xludf.DUMMYFUNCTION("""COMPUTED_VALUE"""),"NINGUNO")</f>
        <v>NINGUNO</v>
      </c>
      <c r="U15" s="1" t="str">
        <f>IFERROR(__xludf.DUMMYFUNCTION("""COMPUTED_VALUE"""),"-")</f>
        <v>-</v>
      </c>
      <c r="V15" s="1" t="str">
        <f>IFERROR(__xludf.DUMMYFUNCTION("""COMPUTED_VALUE"""),"-")</f>
        <v>-</v>
      </c>
      <c r="W15" s="1" t="str">
        <f>IFERROR(__xludf.DUMMYFUNCTION("""COMPUTED_VALUE"""),"-")</f>
        <v>-</v>
      </c>
      <c r="X15" s="1" t="str">
        <f>IFERROR(__xludf.DUMMYFUNCTION("""COMPUTED_VALUE"""),"-")</f>
        <v>-</v>
      </c>
      <c r="Y15" s="1" t="str">
        <f>IFERROR(__xludf.DUMMYFUNCTION("""COMPUTED_VALUE"""),"PAGO COMPLETO")</f>
        <v>PAGO COMPLETO</v>
      </c>
      <c r="Z15" s="1">
        <f>IFERROR(__xludf.DUMMYFUNCTION("""COMPUTED_VALUE"""),0.0)</f>
        <v>0</v>
      </c>
      <c r="AA15" s="1" t="str">
        <f>IFERROR(__xludf.DUMMYFUNCTION("""COMPUTED_VALUE"""),"-")</f>
        <v>-</v>
      </c>
      <c r="AB15" s="1">
        <f>IFERROR(__xludf.DUMMYFUNCTION("""COMPUTED_VALUE"""),0.0)</f>
        <v>0</v>
      </c>
      <c r="AC15" s="1">
        <f>IFERROR(__xludf.DUMMYFUNCTION("""COMPUTED_VALUE"""),0.0)</f>
        <v>0</v>
      </c>
      <c r="AD15" s="1" t="str">
        <f>IFERROR(__xludf.DUMMYFUNCTION("""COMPUTED_VALUE"""),"Ingrid Guillermo Rivera")</f>
        <v>Ingrid Guillermo Rivera</v>
      </c>
      <c r="AE15" s="1" t="str">
        <f>IFERROR(__xludf.DUMMYFUNCTION("""COMPUTED_VALUE"""),"0")</f>
        <v>0</v>
      </c>
      <c r="AF15" s="1">
        <f>IFERROR(__xludf.DUMMYFUNCTION("""COMPUTED_VALUE"""),2025.0)</f>
        <v>2025</v>
      </c>
      <c r="AG15" s="1">
        <f>IFERROR(__xludf.DUMMYFUNCTION("""COMPUTED_VALUE"""),1039668.0)</f>
        <v>1039668</v>
      </c>
      <c r="AH15" s="1">
        <f>IFERROR(__xludf.DUMMYFUNCTION("""COMPUTED_VALUE"""),17.0)</f>
        <v>17</v>
      </c>
      <c r="AI15" s="1" t="str">
        <f>IFERROR(__xludf.DUMMYFUNCTION("""COMPUTED_VALUE"""),"0000070093")</f>
        <v>0000070093</v>
      </c>
      <c r="AJ15" s="1">
        <f>IFERROR(__xludf.DUMMYFUNCTION("""COMPUTED_VALUE"""),7.1145273E7)</f>
        <v>71145273</v>
      </c>
      <c r="AK15" s="1">
        <f>IFERROR(__xludf.DUMMYFUNCTION("""COMPUTED_VALUE"""),9.99525361E8)</f>
        <v>999525361</v>
      </c>
      <c r="AL15" s="1" t="str">
        <f>IFERROR(__xludf.DUMMYFUNCTION("""COMPUTED_VALUE"""),"javierorlando15@hotmail.com")</f>
        <v>javierorlando15@hotmail.com</v>
      </c>
      <c r="AM15" s="1" t="str">
        <f>IFERROR(__xludf.DUMMYFUNCTION("""COMPUTED_VALUE"""),"FEMENINO")</f>
        <v>FEMENINO</v>
      </c>
      <c r="AN15" s="1">
        <f>IFERROR(__xludf.DUMMYFUNCTION("""COMPUTED_VALUE"""),1850.0)</f>
        <v>1850</v>
      </c>
      <c r="AO15" s="1">
        <f>IFERROR(__xludf.DUMMYFUNCTION("""COMPUTED_VALUE"""),0.0)</f>
        <v>0</v>
      </c>
      <c r="AP15" s="1" t="str">
        <f>IFERROR(__xludf.DUMMYFUNCTION("""COMPUTED_VALUE"""),"OUTBOUND")</f>
        <v>OUTBOUND</v>
      </c>
      <c r="AQ15" s="1" t="str">
        <f>IFERROR(__xludf.DUMMYFUNCTION("""COMPUTED_VALUE"""),"OUTBOUND")</f>
        <v>OUTBOUND</v>
      </c>
      <c r="AR15" s="1" t="str">
        <f>IFERROR(__xludf.DUMMYFUNCTION("""COMPUTED_VALUE"""),"HEREDADO")</f>
        <v>HEREDADO</v>
      </c>
      <c r="AS15" s="1"/>
      <c r="AT15" s="2">
        <f>IFERROR(__xludf.DUMMYFUNCTION("""COMPUTED_VALUE"""),45140.0)</f>
        <v>45140</v>
      </c>
      <c r="AU15" s="1">
        <f>IFERROR(__xludf.DUMMYFUNCTION("""COMPUTED_VALUE"""),1.0)</f>
        <v>1</v>
      </c>
      <c r="AV15" s="1" t="str">
        <f>IFERROR(__xludf.DUMMYFUNCTION("""COMPUTED_VALUE"""),"NUEVO")</f>
        <v>NUEVO</v>
      </c>
      <c r="AW15" s="1" t="str">
        <f>IFERROR(__xludf.DUMMYFUNCTION("""COMPUTED_VALUE"""),"SI")</f>
        <v>SI</v>
      </c>
      <c r="AX15" s="1"/>
      <c r="AY15" s="1" t="str">
        <f>IFERROR(__xludf.DUMMYFUNCTION("""COMPUTED_VALUE"""),"PAGO COMPLETO")</f>
        <v>PAGO COMPLETO</v>
      </c>
      <c r="AZ15" s="5">
        <f>IFERROR(__xludf.DUMMYFUNCTION("""COMPUTED_VALUE"""),45365.0)</f>
        <v>45365</v>
      </c>
      <c r="BA15" s="1">
        <f>IFERROR(__xludf.DUMMYFUNCTION("""COMPUTED_VALUE"""),0.0)</f>
        <v>0</v>
      </c>
      <c r="BB15" s="1">
        <f>IFERROR(__xludf.DUMMYFUNCTION("""COMPUTED_VALUE"""),0.0)</f>
        <v>0</v>
      </c>
      <c r="BC15" s="4">
        <f>IFERROR(__xludf.DUMMYFUNCTION("""COMPUTED_VALUE"""),0.0)</f>
        <v>0</v>
      </c>
      <c r="BD15" s="4">
        <f>IFERROR(__xludf.DUMMYFUNCTION("""COMPUTED_VALUE"""),0.0)</f>
        <v>0</v>
      </c>
      <c r="BE15" s="1">
        <f>IFERROR(__xludf.DUMMYFUNCTION("""COMPUTED_VALUE"""),3.0)</f>
        <v>3</v>
      </c>
      <c r="BF15" s="6">
        <f>IFERROR(__xludf.DUMMYFUNCTION("""COMPUTED_VALUE"""),1.0)</f>
        <v>1</v>
      </c>
      <c r="BG15" s="1">
        <f>IFERROR(__xludf.DUMMYFUNCTION("""COMPUTED_VALUE"""),1.0)</f>
        <v>1</v>
      </c>
      <c r="BH15" s="1" t="str">
        <f>IFERROR(__xludf.DUMMYFUNCTION("""COMPUTED_VALUE"""),"0")</f>
        <v>0</v>
      </c>
      <c r="BI15" s="4">
        <f>IFERROR(__xludf.DUMMYFUNCTION("""COMPUTED_VALUE"""),0.0)</f>
        <v>0</v>
      </c>
      <c r="BJ15" s="1">
        <f>IFERROR(__xludf.DUMMYFUNCTION("""COMPUTED_VALUE"""),1.0)</f>
        <v>1</v>
      </c>
      <c r="BK15" s="4">
        <f>IFERROR(__xludf.DUMMYFUNCTION("""COMPUTED_VALUE"""),0.0)</f>
        <v>0</v>
      </c>
      <c r="BL15" s="1">
        <f>IFERROR(__xludf.DUMMYFUNCTION("""COMPUTED_VALUE"""),1450.0)</f>
        <v>1450</v>
      </c>
      <c r="BM15" s="1">
        <f>IFERROR(__xludf.DUMMYFUNCTION("""COMPUTED_VALUE"""),11.0)</f>
        <v>11</v>
      </c>
      <c r="BN15" s="2">
        <f>IFERROR(__xludf.DUMMYFUNCTION("""COMPUTED_VALUE"""),45362.0)</f>
        <v>45362</v>
      </c>
      <c r="BO15" s="1">
        <f>IFERROR(__xludf.DUMMYFUNCTION("""COMPUTED_VALUE"""),3.0)</f>
        <v>3</v>
      </c>
      <c r="BP15" s="1">
        <f>IFERROR(__xludf.DUMMYFUNCTION("""COMPUTED_VALUE"""),2024.0)</f>
        <v>2024</v>
      </c>
    </row>
    <row r="16">
      <c r="A16" s="1">
        <f>IFERROR(__xludf.DUMMYFUNCTION("""COMPUTED_VALUE"""),15.0)</f>
        <v>15</v>
      </c>
      <c r="B16" s="1">
        <f>IFERROR(__xludf.DUMMYFUNCTION("""COMPUTED_VALUE"""),1059710.0)</f>
        <v>1059710</v>
      </c>
      <c r="C16" s="1" t="str">
        <f>IFERROR(__xludf.DUMMYFUNCTION("""COMPUTED_VALUE"""),"2025-1")</f>
        <v>2025-1</v>
      </c>
      <c r="D16" s="1" t="str">
        <f>IFERROR(__xludf.DUMMYFUNCTION("""COMPUTED_VALUE"""),"Admisión Extraordinaria (Traslados)")</f>
        <v>Admisión Extraordinaria (Traslados)</v>
      </c>
      <c r="E16" s="2">
        <f>IFERROR(__xludf.DUMMYFUNCTION("""COMPUTED_VALUE"""),45367.0)</f>
        <v>45367</v>
      </c>
      <c r="F16" s="1" t="str">
        <f>IFERROR(__xludf.DUMMYFUNCTION("""COMPUTED_VALUE"""),"ELMER GABRIEL ALONSO")</f>
        <v>ELMER GABRIEL ALONSO</v>
      </c>
      <c r="G16" s="1" t="str">
        <f>IFERROR(__xludf.DUMMYFUNCTION("""COMPUTED_VALUE"""),"MOROCHO BARRIENTOS")</f>
        <v>MOROCHO BARRIENTOS</v>
      </c>
      <c r="H16" s="1" t="str">
        <f>IFERROR(__xludf.DUMMYFUNCTION("""COMPUTED_VALUE"""),"Arquitectura de Interiores")</f>
        <v>Arquitectura de Interiores</v>
      </c>
      <c r="I16" s="1" t="str">
        <f>IFERROR(__xludf.DUMMYFUNCTION("""COMPUTED_VALUE"""),"Pago Link")</f>
        <v>Pago Link</v>
      </c>
      <c r="J16" s="1" t="str">
        <f>IFERROR(__xludf.DUMMYFUNCTION("""COMPUTED_VALUE"""),"Diurno")</f>
        <v>Diurno</v>
      </c>
      <c r="K16" s="1" t="str">
        <f>IFERROR(__xludf.DUMMYFUNCTION("""COMPUTED_VALUE"""),"NUEVO")</f>
        <v>NUEVO</v>
      </c>
      <c r="L16" s="1">
        <f>IFERROR(__xludf.DUMMYFUNCTION("""COMPUTED_VALUE"""),0.0)</f>
        <v>0</v>
      </c>
      <c r="M16" s="1">
        <f>IFERROR(__xludf.DUMMYFUNCTION("""COMPUTED_VALUE"""),0.0)</f>
        <v>0</v>
      </c>
      <c r="N16" s="1" t="str">
        <f>IFERROR(__xludf.DUMMYFUNCTION("""COMPUTED_VALUE"""),"BECA")</f>
        <v>BECA</v>
      </c>
      <c r="O16" s="1" t="str">
        <f>IFERROR(__xludf.DUMMYFUNCTION("""COMPUTED_VALUE"""),"BECA CARRERAS CORE")</f>
        <v>BECA CARRERAS CORE</v>
      </c>
      <c r="P16" s="4">
        <f>IFERROR(__xludf.DUMMYFUNCTION("""COMPUTED_VALUE"""),0.0)</f>
        <v>0</v>
      </c>
      <c r="Q16" s="4">
        <f>IFERROR(__xludf.DUMMYFUNCTION("""COMPUTED_VALUE"""),0.0)</f>
        <v>0</v>
      </c>
      <c r="R16" s="4">
        <f>IFERROR(__xludf.DUMMYFUNCTION("""COMPUTED_VALUE"""),1700.0)</f>
        <v>1700</v>
      </c>
      <c r="S16" s="4">
        <f>IFERROR(__xludf.DUMMYFUNCTION("""COMPUTED_VALUE"""),1250.0)</f>
        <v>1250</v>
      </c>
      <c r="T16" s="1" t="str">
        <f>IFERROR(__xludf.DUMMYFUNCTION("""COMPUTED_VALUE"""),"PALANCA 500")</f>
        <v>PALANCA 500</v>
      </c>
      <c r="U16" s="1" t="str">
        <f>IFERROR(__xludf.DUMMYFUNCTION("""COMPUTED_VALUE"""),"-")</f>
        <v>-</v>
      </c>
      <c r="V16" s="1" t="str">
        <f>IFERROR(__xludf.DUMMYFUNCTION("""COMPUTED_VALUE"""),"-")</f>
        <v>-</v>
      </c>
      <c r="W16" s="1" t="str">
        <f>IFERROR(__xludf.DUMMYFUNCTION("""COMPUTED_VALUE"""),"-")</f>
        <v>-</v>
      </c>
      <c r="X16" s="1" t="str">
        <f>IFERROR(__xludf.DUMMYFUNCTION("""COMPUTED_VALUE"""),"PROMOCION YAPE 500 SOLES 1RA CUOTA")</f>
        <v>PROMOCION YAPE 500 SOLES 1RA CUOTA</v>
      </c>
      <c r="Y16" s="1" t="str">
        <f>IFERROR(__xludf.DUMMYFUNCTION("""COMPUTED_VALUE"""),"PAGO COMPLETO")</f>
        <v>PAGO COMPLETO</v>
      </c>
      <c r="Z16" s="1">
        <f>IFERROR(__xludf.DUMMYFUNCTION("""COMPUTED_VALUE"""),0.0)</f>
        <v>0</v>
      </c>
      <c r="AA16" s="1" t="str">
        <f>IFERROR(__xludf.DUMMYFUNCTION("""COMPUTED_VALUE"""),"-")</f>
        <v>-</v>
      </c>
      <c r="AB16" s="1">
        <f>IFERROR(__xludf.DUMMYFUNCTION("""COMPUTED_VALUE"""),0.0)</f>
        <v>0</v>
      </c>
      <c r="AC16" s="1">
        <f>IFERROR(__xludf.DUMMYFUNCTION("""COMPUTED_VALUE"""),0.0)</f>
        <v>0</v>
      </c>
      <c r="AD16" s="1" t="str">
        <f>IFERROR(__xludf.DUMMYFUNCTION("""COMPUTED_VALUE"""),"Rosmery Enriquez")</f>
        <v>Rosmery Enriquez</v>
      </c>
      <c r="AE16" s="1" t="str">
        <f>IFERROR(__xludf.DUMMYFUNCTION("""COMPUTED_VALUE"""),"0")</f>
        <v>0</v>
      </c>
      <c r="AF16" s="1">
        <f>IFERROR(__xludf.DUMMYFUNCTION("""COMPUTED_VALUE"""),2017.0)</f>
        <v>2017</v>
      </c>
      <c r="AG16" s="1">
        <f>IFERROR(__xludf.DUMMYFUNCTION("""COMPUTED_VALUE"""),886275.0)</f>
        <v>886275</v>
      </c>
      <c r="AH16" s="1">
        <f>IFERROR(__xludf.DUMMYFUNCTION("""COMPUTED_VALUE"""),24.0)</f>
        <v>24</v>
      </c>
      <c r="AI16" s="1" t="str">
        <f>IFERROR(__xludf.DUMMYFUNCTION("""COMPUTED_VALUE"""),"2019007441")</f>
        <v>2019007441</v>
      </c>
      <c r="AJ16" s="1">
        <f>IFERROR(__xludf.DUMMYFUNCTION("""COMPUTED_VALUE"""),7.4826548E7)</f>
        <v>74826548</v>
      </c>
      <c r="AK16" s="1">
        <f>IFERROR(__xludf.DUMMYFUNCTION("""COMPUTED_VALUE"""),9.88615451E8)</f>
        <v>988615451</v>
      </c>
      <c r="AL16" s="1" t="str">
        <f>IFERROR(__xludf.DUMMYFUNCTION("""COMPUTED_VALUE"""),"egabrielalonsombarrientos@gmail.com")</f>
        <v>egabrielalonsombarrientos@gmail.com</v>
      </c>
      <c r="AM16" s="1" t="str">
        <f>IFERROR(__xludf.DUMMYFUNCTION("""COMPUTED_VALUE"""),"MASCULINO")</f>
        <v>MASCULINO</v>
      </c>
      <c r="AN16" s="1">
        <f>IFERROR(__xludf.DUMMYFUNCTION("""COMPUTED_VALUE"""),1700.0)</f>
        <v>1700</v>
      </c>
      <c r="AO16" s="1">
        <f>IFERROR(__xludf.DUMMYFUNCTION("""COMPUTED_VALUE"""),505.0)</f>
        <v>505</v>
      </c>
      <c r="AP16" s="1" t="str">
        <f>IFERROR(__xludf.DUMMYFUNCTION("""COMPUTED_VALUE"""),"VISITA")</f>
        <v>VISITA</v>
      </c>
      <c r="AQ16" s="1" t="str">
        <f>IFERROR(__xludf.DUMMYFUNCTION("""COMPUTED_VALUE"""),"VISITA")</f>
        <v>VISITA</v>
      </c>
      <c r="AR16" s="1" t="str">
        <f>IFERROR(__xludf.DUMMYFUNCTION("""COMPUTED_VALUE"""),"HEREDADO")</f>
        <v>HEREDADO</v>
      </c>
      <c r="AS16" s="1"/>
      <c r="AT16" s="2">
        <f>IFERROR(__xludf.DUMMYFUNCTION("""COMPUTED_VALUE"""),45367.0)</f>
        <v>45367</v>
      </c>
      <c r="AU16" s="1">
        <f>IFERROR(__xludf.DUMMYFUNCTION("""COMPUTED_VALUE"""),1.0)</f>
        <v>1</v>
      </c>
      <c r="AV16" s="1" t="str">
        <f>IFERROR(__xludf.DUMMYFUNCTION("""COMPUTED_VALUE"""),"NUEVO")</f>
        <v>NUEVO</v>
      </c>
      <c r="AW16" s="1" t="str">
        <f>IFERROR(__xludf.DUMMYFUNCTION("""COMPUTED_VALUE"""),"SI")</f>
        <v>SI</v>
      </c>
      <c r="AX16" s="1"/>
      <c r="AY16" s="1" t="str">
        <f>IFERROR(__xludf.DUMMYFUNCTION("""COMPUTED_VALUE"""),"PAGO COMPLETO")</f>
        <v>PAGO COMPLETO</v>
      </c>
      <c r="AZ16" s="5">
        <f>IFERROR(__xludf.DUMMYFUNCTION("""COMPUTED_VALUE"""),45367.0)</f>
        <v>45367</v>
      </c>
      <c r="BA16" s="1">
        <f>IFERROR(__xludf.DUMMYFUNCTION("""COMPUTED_VALUE"""),0.0)</f>
        <v>0</v>
      </c>
      <c r="BB16" s="1">
        <f>IFERROR(__xludf.DUMMYFUNCTION("""COMPUTED_VALUE"""),0.0)</f>
        <v>0</v>
      </c>
      <c r="BC16" s="4">
        <f>IFERROR(__xludf.DUMMYFUNCTION("""COMPUTED_VALUE"""),0.0)</f>
        <v>0</v>
      </c>
      <c r="BD16" s="4">
        <f>IFERROR(__xludf.DUMMYFUNCTION("""COMPUTED_VALUE"""),750.0)</f>
        <v>750</v>
      </c>
      <c r="BE16" s="1">
        <f>IFERROR(__xludf.DUMMYFUNCTION("""COMPUTED_VALUE"""),3.0)</f>
        <v>3</v>
      </c>
      <c r="BF16" s="6">
        <f>IFERROR(__xludf.DUMMYFUNCTION("""COMPUTED_VALUE"""),1.0)</f>
        <v>1</v>
      </c>
      <c r="BG16" s="1">
        <f>IFERROR(__xludf.DUMMYFUNCTION("""COMPUTED_VALUE"""),1.0)</f>
        <v>1</v>
      </c>
      <c r="BH16" s="1" t="str">
        <f>IFERROR(__xludf.DUMMYFUNCTION("""COMPUTED_VALUE"""),"0")</f>
        <v>0</v>
      </c>
      <c r="BI16" s="4">
        <f>IFERROR(__xludf.DUMMYFUNCTION("""COMPUTED_VALUE"""),750.0)</f>
        <v>750</v>
      </c>
      <c r="BJ16" s="1">
        <f>IFERROR(__xludf.DUMMYFUNCTION("""COMPUTED_VALUE"""),1.0)</f>
        <v>1</v>
      </c>
      <c r="BK16" s="4">
        <f>IFERROR(__xludf.DUMMYFUNCTION("""COMPUTED_VALUE"""),750.0)</f>
        <v>750</v>
      </c>
      <c r="BL16" s="1">
        <f>IFERROR(__xludf.DUMMYFUNCTION("""COMPUTED_VALUE"""),1100.0)</f>
        <v>1100</v>
      </c>
      <c r="BM16" s="1">
        <f>IFERROR(__xludf.DUMMYFUNCTION("""COMPUTED_VALUE"""),11.0)</f>
        <v>11</v>
      </c>
      <c r="BN16" s="2">
        <f>IFERROR(__xludf.DUMMYFUNCTION("""COMPUTED_VALUE"""),45362.0)</f>
        <v>45362</v>
      </c>
      <c r="BO16" s="1">
        <f>IFERROR(__xludf.DUMMYFUNCTION("""COMPUTED_VALUE"""),3.0)</f>
        <v>3</v>
      </c>
      <c r="BP16" s="1">
        <f>IFERROR(__xludf.DUMMYFUNCTION("""COMPUTED_VALUE"""),2024.0)</f>
        <v>2024</v>
      </c>
    </row>
    <row r="17">
      <c r="A17" s="1">
        <f>IFERROR(__xludf.DUMMYFUNCTION("""COMPUTED_VALUE"""),16.0)</f>
        <v>16</v>
      </c>
      <c r="B17" s="1">
        <f>IFERROR(__xludf.DUMMYFUNCTION("""COMPUTED_VALUE"""),2574238.0)</f>
        <v>2574238</v>
      </c>
      <c r="C17" s="1" t="str">
        <f>IFERROR(__xludf.DUMMYFUNCTION("""COMPUTED_VALUE"""),"2025-1")</f>
        <v>2025-1</v>
      </c>
      <c r="D17" s="1" t="str">
        <f>IFERROR(__xludf.DUMMYFUNCTION("""COMPUTED_VALUE"""),"Admisión de Alto Rendimiento")</f>
        <v>Admisión de Alto Rendimiento</v>
      </c>
      <c r="E17" s="2">
        <f>IFERROR(__xludf.DUMMYFUNCTION("""COMPUTED_VALUE"""),45369.0)</f>
        <v>45369</v>
      </c>
      <c r="F17" s="1" t="str">
        <f>IFERROR(__xludf.DUMMYFUNCTION("""COMPUTED_VALUE"""),"JOAQUÍN SEBASTIÁN")</f>
        <v>JOAQUÍN SEBASTIÁN</v>
      </c>
      <c r="G17" s="1" t="str">
        <f>IFERROR(__xludf.DUMMYFUNCTION("""COMPUTED_VALUE"""),"VALVERDE JACINTO")</f>
        <v>VALVERDE JACINTO</v>
      </c>
      <c r="H17" s="1" t="str">
        <f>IFERROR(__xludf.DUMMYFUNCTION("""COMPUTED_VALUE"""),"Comunicación Audiovisual y Cine")</f>
        <v>Comunicación Audiovisual y Cine</v>
      </c>
      <c r="I17" s="1" t="str">
        <f>IFERROR(__xludf.DUMMYFUNCTION("""COMPUTED_VALUE"""),"CARGO")</f>
        <v>CARGO</v>
      </c>
      <c r="J17" s="1" t="str">
        <f>IFERROR(__xludf.DUMMYFUNCTION("""COMPUTED_VALUE"""),"Diurno")</f>
        <v>Diurno</v>
      </c>
      <c r="K17" s="1" t="str">
        <f>IFERROR(__xludf.DUMMYFUNCTION("""COMPUTED_VALUE"""),"NUEVO")</f>
        <v>NUEVO</v>
      </c>
      <c r="L17" s="1">
        <f>IFERROR(__xludf.DUMMYFUNCTION("""COMPUTED_VALUE"""),0.0)</f>
        <v>0</v>
      </c>
      <c r="M17" s="1">
        <f>IFERROR(__xludf.DUMMYFUNCTION("""COMPUTED_VALUE"""),0.0)</f>
        <v>0</v>
      </c>
      <c r="N17" s="1" t="str">
        <f>IFERROR(__xludf.DUMMYFUNCTION("""COMPUTED_VALUE"""),"RECA")</f>
        <v>RECA</v>
      </c>
      <c r="O17" s="1" t="str">
        <f>IFERROR(__xludf.DUMMYFUNCTION("""COMPUTED_VALUE"""),"RECATEGORIZACIÓN")</f>
        <v>RECATEGORIZACIÓN</v>
      </c>
      <c r="P17" s="4">
        <f>IFERROR(__xludf.DUMMYFUNCTION("""COMPUTED_VALUE"""),0.0)</f>
        <v>0</v>
      </c>
      <c r="Q17" s="4">
        <f>IFERROR(__xludf.DUMMYFUNCTION("""COMPUTED_VALUE"""),0.0)</f>
        <v>0</v>
      </c>
      <c r="R17" s="4">
        <f>IFERROR(__xludf.DUMMYFUNCTION("""COMPUTED_VALUE"""),2700.0)</f>
        <v>2700</v>
      </c>
      <c r="S17" s="4">
        <f>IFERROR(__xludf.DUMMYFUNCTION("""COMPUTED_VALUE"""),1850.0)</f>
        <v>1850</v>
      </c>
      <c r="T17" s="1" t="str">
        <f>IFERROR(__xludf.DUMMYFUNCTION("""COMPUTED_VALUE"""),"PALANCA 500")</f>
        <v>PALANCA 500</v>
      </c>
      <c r="U17" s="1" t="str">
        <f>IFERROR(__xludf.DUMMYFUNCTION("""COMPUTED_VALUE"""),"-")</f>
        <v>-</v>
      </c>
      <c r="V17" s="1" t="str">
        <f>IFERROR(__xludf.DUMMYFUNCTION("""COMPUTED_VALUE"""),"-")</f>
        <v>-</v>
      </c>
      <c r="W17" s="1" t="str">
        <f>IFERROR(__xludf.DUMMYFUNCTION("""COMPUTED_VALUE"""),"-")</f>
        <v>-</v>
      </c>
      <c r="X17" s="1" t="str">
        <f>IFERROR(__xludf.DUMMYFUNCTION("""COMPUTED_VALUE"""),"-")</f>
        <v>-</v>
      </c>
      <c r="Y17" s="1" t="str">
        <f>IFERROR(__xludf.DUMMYFUNCTION("""COMPUTED_VALUE"""),"PAGO COMPLETO")</f>
        <v>PAGO COMPLETO</v>
      </c>
      <c r="Z17" s="1">
        <f>IFERROR(__xludf.DUMMYFUNCTION("""COMPUTED_VALUE"""),0.0)</f>
        <v>0</v>
      </c>
      <c r="AA17" s="1" t="str">
        <f>IFERROR(__xludf.DUMMYFUNCTION("""COMPUTED_VALUE"""),"-")</f>
        <v>-</v>
      </c>
      <c r="AB17" s="1">
        <f>IFERROR(__xludf.DUMMYFUNCTION("""COMPUTED_VALUE"""),0.0)</f>
        <v>0</v>
      </c>
      <c r="AC17" s="1">
        <f>IFERROR(__xludf.DUMMYFUNCTION("""COMPUTED_VALUE"""),0.0)</f>
        <v>0</v>
      </c>
      <c r="AD17" s="1" t="str">
        <f>IFERROR(__xludf.DUMMYFUNCTION("""COMPUTED_VALUE"""),"Rosmery Enriquez")</f>
        <v>Rosmery Enriquez</v>
      </c>
      <c r="AE17" s="1" t="str">
        <f>IFERROR(__xludf.DUMMYFUNCTION("""COMPUTED_VALUE"""),"0")</f>
        <v>0</v>
      </c>
      <c r="AF17" s="1">
        <f>IFERROR(__xludf.DUMMYFUNCTION("""COMPUTED_VALUE"""),2024.0)</f>
        <v>2024</v>
      </c>
      <c r="AG17" s="1">
        <f>IFERROR(__xludf.DUMMYFUNCTION("""COMPUTED_VALUE"""),643197.0)</f>
        <v>643197</v>
      </c>
      <c r="AH17" s="1">
        <f>IFERROR(__xludf.DUMMYFUNCTION("""COMPUTED_VALUE"""),18.0)</f>
        <v>18</v>
      </c>
      <c r="AI17" s="1" t="str">
        <f>IFERROR(__xludf.DUMMYFUNCTION("""COMPUTED_VALUE"""),"0000070523")</f>
        <v>0000070523</v>
      </c>
      <c r="AJ17" s="1">
        <f>IFERROR(__xludf.DUMMYFUNCTION("""COMPUTED_VALUE"""),7.1167638E7)</f>
        <v>71167638</v>
      </c>
      <c r="AK17" s="1">
        <f>IFERROR(__xludf.DUMMYFUNCTION("""COMPUTED_VALUE"""),9.68918123E8)</f>
        <v>968918123</v>
      </c>
      <c r="AL17" s="1" t="str">
        <f>IFERROR(__xludf.DUMMYFUNCTION("""COMPUTED_VALUE"""),"am.jacintoy@hotmail.com")</f>
        <v>am.jacintoy@hotmail.com</v>
      </c>
      <c r="AM17" s="1" t="str">
        <f>IFERROR(__xludf.DUMMYFUNCTION("""COMPUTED_VALUE"""),"MASCULINO")</f>
        <v>MASCULINO</v>
      </c>
      <c r="AN17" s="1">
        <f>IFERROR(__xludf.DUMMYFUNCTION("""COMPUTED_VALUE"""),2700.0)</f>
        <v>2700</v>
      </c>
      <c r="AO17" s="1">
        <f>IFERROR(__xludf.DUMMYFUNCTION("""COMPUTED_VALUE"""),1600.0)</f>
        <v>1600</v>
      </c>
      <c r="AP17" s="1" t="str">
        <f>IFERROR(__xludf.DUMMYFUNCTION("""COMPUTED_VALUE"""),"OUTBOUND")</f>
        <v>OUTBOUND</v>
      </c>
      <c r="AQ17" s="1" t="str">
        <f>IFERROR(__xludf.DUMMYFUNCTION("""COMPUTED_VALUE"""),"OUTBOUND")</f>
        <v>OUTBOUND</v>
      </c>
      <c r="AR17" s="1" t="str">
        <f>IFERROR(__xludf.DUMMYFUNCTION("""COMPUTED_VALUE"""),"HEREDADO")</f>
        <v>HEREDADO</v>
      </c>
      <c r="AS17" s="1"/>
      <c r="AT17" s="2">
        <f>IFERROR(__xludf.DUMMYFUNCTION("""COMPUTED_VALUE"""),45567.0)</f>
        <v>45567</v>
      </c>
      <c r="AU17" s="1">
        <f>IFERROR(__xludf.DUMMYFUNCTION("""COMPUTED_VALUE"""),1.0)</f>
        <v>1</v>
      </c>
      <c r="AV17" s="1" t="str">
        <f>IFERROR(__xludf.DUMMYFUNCTION("""COMPUTED_VALUE"""),"NUEVO")</f>
        <v>NUEVO</v>
      </c>
      <c r="AW17" s="1" t="str">
        <f>IFERROR(__xludf.DUMMYFUNCTION("""COMPUTED_VALUE"""),"SI")</f>
        <v>SI</v>
      </c>
      <c r="AX17" s="1"/>
      <c r="AY17" s="1" t="str">
        <f>IFERROR(__xludf.DUMMYFUNCTION("""COMPUTED_VALUE"""),"PAGO COMPLETO")</f>
        <v>PAGO COMPLETO</v>
      </c>
      <c r="AZ17" s="5">
        <f>IFERROR(__xludf.DUMMYFUNCTION("""COMPUTED_VALUE"""),45369.0)</f>
        <v>45369</v>
      </c>
      <c r="BA17" s="1">
        <f>IFERROR(__xludf.DUMMYFUNCTION("""COMPUTED_VALUE"""),0.0)</f>
        <v>0</v>
      </c>
      <c r="BB17" s="1">
        <f>IFERROR(__xludf.DUMMYFUNCTION("""COMPUTED_VALUE"""),0.0)</f>
        <v>0</v>
      </c>
      <c r="BC17" s="4">
        <f>IFERROR(__xludf.DUMMYFUNCTION("""COMPUTED_VALUE"""),0.0)</f>
        <v>0</v>
      </c>
      <c r="BD17" s="4">
        <f>IFERROR(__xludf.DUMMYFUNCTION("""COMPUTED_VALUE"""),1350.0)</f>
        <v>1350</v>
      </c>
      <c r="BE17" s="1">
        <f>IFERROR(__xludf.DUMMYFUNCTION("""COMPUTED_VALUE"""),3.0)</f>
        <v>3</v>
      </c>
      <c r="BF17" s="6">
        <f>IFERROR(__xludf.DUMMYFUNCTION("""COMPUTED_VALUE"""),1.0)</f>
        <v>1</v>
      </c>
      <c r="BG17" s="1">
        <f>IFERROR(__xludf.DUMMYFUNCTION("""COMPUTED_VALUE"""),1.0)</f>
        <v>1</v>
      </c>
      <c r="BH17" s="1" t="str">
        <f>IFERROR(__xludf.DUMMYFUNCTION("""COMPUTED_VALUE"""),"0")</f>
        <v>0</v>
      </c>
      <c r="BI17" s="4">
        <f>IFERROR(__xludf.DUMMYFUNCTION("""COMPUTED_VALUE"""),1350.0)</f>
        <v>1350</v>
      </c>
      <c r="BJ17" s="1">
        <f>IFERROR(__xludf.DUMMYFUNCTION("""COMPUTED_VALUE"""),1.0)</f>
        <v>1</v>
      </c>
      <c r="BK17" s="4">
        <f>IFERROR(__xludf.DUMMYFUNCTION("""COMPUTED_VALUE"""),1350.0)</f>
        <v>1350</v>
      </c>
      <c r="BL17" s="1">
        <f>IFERROR(__xludf.DUMMYFUNCTION("""COMPUTED_VALUE"""),1580.0)</f>
        <v>1580</v>
      </c>
      <c r="BM17" s="1">
        <f>IFERROR(__xludf.DUMMYFUNCTION("""COMPUTED_VALUE"""),12.0)</f>
        <v>12</v>
      </c>
      <c r="BN17" s="2">
        <f>IFERROR(__xludf.DUMMYFUNCTION("""COMPUTED_VALUE"""),45369.0)</f>
        <v>45369</v>
      </c>
      <c r="BO17" s="1">
        <f>IFERROR(__xludf.DUMMYFUNCTION("""COMPUTED_VALUE"""),3.0)</f>
        <v>3</v>
      </c>
      <c r="BP17" s="1">
        <f>IFERROR(__xludf.DUMMYFUNCTION("""COMPUTED_VALUE"""),2024.0)</f>
        <v>2024</v>
      </c>
    </row>
    <row r="18">
      <c r="A18" s="1">
        <f>IFERROR(__xludf.DUMMYFUNCTION("""COMPUTED_VALUE"""),17.0)</f>
        <v>17</v>
      </c>
      <c r="B18" s="1">
        <f>IFERROR(__xludf.DUMMYFUNCTION("""COMPUTED_VALUE"""),2162268.0)</f>
        <v>2162268</v>
      </c>
      <c r="C18" s="1" t="str">
        <f>IFERROR(__xludf.DUMMYFUNCTION("""COMPUTED_VALUE"""),"2025-1")</f>
        <v>2025-1</v>
      </c>
      <c r="D18" s="1" t="str">
        <f>IFERROR(__xludf.DUMMYFUNCTION("""COMPUTED_VALUE"""),"Admisión Extraordinaria (Traslados)")</f>
        <v>Admisión Extraordinaria (Traslados)</v>
      </c>
      <c r="E18" s="2">
        <f>IFERROR(__xludf.DUMMYFUNCTION("""COMPUTED_VALUE"""),45372.0)</f>
        <v>45372</v>
      </c>
      <c r="F18" s="1" t="str">
        <f>IFERROR(__xludf.DUMMYFUNCTION("""COMPUTED_VALUE"""),"JESUS ALONZO")</f>
        <v>JESUS ALONZO</v>
      </c>
      <c r="G18" s="1" t="str">
        <f>IFERROR(__xludf.DUMMYFUNCTION("""COMPUTED_VALUE"""),"BOJORQUEZ PEÑA")</f>
        <v>BOJORQUEZ PEÑA</v>
      </c>
      <c r="H18" s="1" t="str">
        <f>IFERROR(__xludf.DUMMYFUNCTION("""COMPUTED_VALUE"""),"Administración y Negocios Internacionales")</f>
        <v>Administración y Negocios Internacionales</v>
      </c>
      <c r="I18" s="1" t="str">
        <f>IFERROR(__xludf.DUMMYFUNCTION("""COMPUTED_VALUE"""),"CARGO")</f>
        <v>CARGO</v>
      </c>
      <c r="J18" s="1" t="str">
        <f>IFERROR(__xludf.DUMMYFUNCTION("""COMPUTED_VALUE"""),"Diurno")</f>
        <v>Diurno</v>
      </c>
      <c r="K18" s="1" t="str">
        <f>IFERROR(__xludf.DUMMYFUNCTION("""COMPUTED_VALUE"""),"NUEVO")</f>
        <v>NUEVO</v>
      </c>
      <c r="L18" s="1">
        <f>IFERROR(__xludf.DUMMYFUNCTION("""COMPUTED_VALUE"""),0.0)</f>
        <v>0</v>
      </c>
      <c r="M18" s="1">
        <f>IFERROR(__xludf.DUMMYFUNCTION("""COMPUTED_VALUE"""),0.0)</f>
        <v>0</v>
      </c>
      <c r="N18" s="1" t="str">
        <f>IFERROR(__xludf.DUMMYFUNCTION("""COMPUTED_VALUE"""),"RECA")</f>
        <v>RECA</v>
      </c>
      <c r="O18" s="1" t="str">
        <f>IFERROR(__xludf.DUMMYFUNCTION("""COMPUTED_VALUE"""),"RECATEGORIZACIÓN")</f>
        <v>RECATEGORIZACIÓN</v>
      </c>
      <c r="P18" s="4">
        <f>IFERROR(__xludf.DUMMYFUNCTION("""COMPUTED_VALUE"""),0.0)</f>
        <v>0</v>
      </c>
      <c r="Q18" s="4">
        <f>IFERROR(__xludf.DUMMYFUNCTION("""COMPUTED_VALUE"""),0.0)</f>
        <v>0</v>
      </c>
      <c r="R18" s="4">
        <f>IFERROR(__xludf.DUMMYFUNCTION("""COMPUTED_VALUE"""),1700.0)</f>
        <v>1700</v>
      </c>
      <c r="S18" s="4">
        <f>IFERROR(__xludf.DUMMYFUNCTION("""COMPUTED_VALUE"""),1450.0)</f>
        <v>1450</v>
      </c>
      <c r="T18" s="1" t="str">
        <f>IFERROR(__xludf.DUMMYFUNCTION("""COMPUTED_VALUE"""),"PALANCA 500")</f>
        <v>PALANCA 500</v>
      </c>
      <c r="U18" s="1" t="str">
        <f>IFERROR(__xludf.DUMMYFUNCTION("""COMPUTED_VALUE"""),"-")</f>
        <v>-</v>
      </c>
      <c r="V18" s="1" t="str">
        <f>IFERROR(__xludf.DUMMYFUNCTION("""COMPUTED_VALUE"""),"-")</f>
        <v>-</v>
      </c>
      <c r="W18" s="1" t="str">
        <f>IFERROR(__xludf.DUMMYFUNCTION("""COMPUTED_VALUE"""),"-")</f>
        <v>-</v>
      </c>
      <c r="X18" s="1" t="str">
        <f>IFERROR(__xludf.DUMMYFUNCTION("""COMPUTED_VALUE"""),"PROMOCION YAPE 500 SOLES 1RA CUOTA")</f>
        <v>PROMOCION YAPE 500 SOLES 1RA CUOTA</v>
      </c>
      <c r="Y18" s="1" t="str">
        <f>IFERROR(__xludf.DUMMYFUNCTION("""COMPUTED_VALUE"""),"PAGO COMPLETO")</f>
        <v>PAGO COMPLETO</v>
      </c>
      <c r="Z18" s="1">
        <f>IFERROR(__xludf.DUMMYFUNCTION("""COMPUTED_VALUE"""),0.0)</f>
        <v>0</v>
      </c>
      <c r="AA18" s="1" t="str">
        <f>IFERROR(__xludf.DUMMYFUNCTION("""COMPUTED_VALUE"""),"-")</f>
        <v>-</v>
      </c>
      <c r="AB18" s="1">
        <f>IFERROR(__xludf.DUMMYFUNCTION("""COMPUTED_VALUE"""),0.0)</f>
        <v>0</v>
      </c>
      <c r="AC18" s="1">
        <f>IFERROR(__xludf.DUMMYFUNCTION("""COMPUTED_VALUE"""),0.0)</f>
        <v>0</v>
      </c>
      <c r="AD18" s="1" t="str">
        <f>IFERROR(__xludf.DUMMYFUNCTION("""COMPUTED_VALUE"""),"Lohana Rivera")</f>
        <v>Lohana Rivera</v>
      </c>
      <c r="AE18" s="1" t="str">
        <f>IFERROR(__xludf.DUMMYFUNCTION("""COMPUTED_VALUE"""),"0")</f>
        <v>0</v>
      </c>
      <c r="AF18" s="1">
        <f>IFERROR(__xludf.DUMMYFUNCTION("""COMPUTED_VALUE"""),2023.0)</f>
        <v>2023</v>
      </c>
      <c r="AG18" s="1">
        <f>IFERROR(__xludf.DUMMYFUNCTION("""COMPUTED_VALUE"""),1728757.0)</f>
        <v>1728757</v>
      </c>
      <c r="AH18" s="1">
        <f>IFERROR(__xludf.DUMMYFUNCTION("""COMPUTED_VALUE"""),18.0)</f>
        <v>18</v>
      </c>
      <c r="AI18" s="1" t="str">
        <f>IFERROR(__xludf.DUMMYFUNCTION("""COMPUTED_VALUE"""),"0000070985")</f>
        <v>0000070985</v>
      </c>
      <c r="AJ18" s="1">
        <f>IFERROR(__xludf.DUMMYFUNCTION("""COMPUTED_VALUE"""),7.7549118E7)</f>
        <v>77549118</v>
      </c>
      <c r="AK18" s="1">
        <f>IFERROR(__xludf.DUMMYFUNCTION("""COMPUTED_VALUE"""),9.45062561E8)</f>
        <v>945062561</v>
      </c>
      <c r="AL18" s="1" t="str">
        <f>IFERROR(__xludf.DUMMYFUNCTION("""COMPUTED_VALUE"""),"crispalo325@gmail.com")</f>
        <v>crispalo325@gmail.com</v>
      </c>
      <c r="AM18" s="1" t="str">
        <f>IFERROR(__xludf.DUMMYFUNCTION("""COMPUTED_VALUE"""),"MASCULINO")</f>
        <v>MASCULINO</v>
      </c>
      <c r="AN18" s="1">
        <f>IFERROR(__xludf.DUMMYFUNCTION("""COMPUTED_VALUE"""),1775.0)</f>
        <v>1775</v>
      </c>
      <c r="AO18" s="1">
        <f>IFERROR(__xludf.DUMMYFUNCTION("""COMPUTED_VALUE"""),400.0)</f>
        <v>400</v>
      </c>
      <c r="AP18" s="1" t="str">
        <f>IFERROR(__xludf.DUMMYFUNCTION("""COMPUTED_VALUE"""),"OUTBOUND")</f>
        <v>OUTBOUND</v>
      </c>
      <c r="AQ18" s="1" t="str">
        <f>IFERROR(__xludf.DUMMYFUNCTION("""COMPUTED_VALUE"""),"OUTBOUND")</f>
        <v>OUTBOUND</v>
      </c>
      <c r="AR18" s="1" t="str">
        <f>IFERROR(__xludf.DUMMYFUNCTION("""COMPUTED_VALUE"""),"HEREDADO")</f>
        <v>HEREDADO</v>
      </c>
      <c r="AS18" s="1"/>
      <c r="AT18" s="2">
        <f>IFERROR(__xludf.DUMMYFUNCTION("""COMPUTED_VALUE"""),45372.0)</f>
        <v>45372</v>
      </c>
      <c r="AU18" s="1">
        <f>IFERROR(__xludf.DUMMYFUNCTION("""COMPUTED_VALUE"""),1.0)</f>
        <v>1</v>
      </c>
      <c r="AV18" s="1" t="str">
        <f>IFERROR(__xludf.DUMMYFUNCTION("""COMPUTED_VALUE"""),"NUEVO")</f>
        <v>NUEVO</v>
      </c>
      <c r="AW18" s="1" t="str">
        <f>IFERROR(__xludf.DUMMYFUNCTION("""COMPUTED_VALUE"""),"SI")</f>
        <v>SI</v>
      </c>
      <c r="AX18" s="1"/>
      <c r="AY18" s="1" t="str">
        <f>IFERROR(__xludf.DUMMYFUNCTION("""COMPUTED_VALUE"""),"PAGO COMPLETO")</f>
        <v>PAGO COMPLETO</v>
      </c>
      <c r="AZ18" s="5">
        <f>IFERROR(__xludf.DUMMYFUNCTION("""COMPUTED_VALUE"""),45372.0)</f>
        <v>45372</v>
      </c>
      <c r="BA18" s="1">
        <f>IFERROR(__xludf.DUMMYFUNCTION("""COMPUTED_VALUE"""),0.0)</f>
        <v>0</v>
      </c>
      <c r="BB18" s="1">
        <f>IFERROR(__xludf.DUMMYFUNCTION("""COMPUTED_VALUE"""),0.0)</f>
        <v>0</v>
      </c>
      <c r="BC18" s="4">
        <f>IFERROR(__xludf.DUMMYFUNCTION("""COMPUTED_VALUE"""),0.0)</f>
        <v>0</v>
      </c>
      <c r="BD18" s="4">
        <f>IFERROR(__xludf.DUMMYFUNCTION("""COMPUTED_VALUE"""),950.0)</f>
        <v>950</v>
      </c>
      <c r="BE18" s="1">
        <f>IFERROR(__xludf.DUMMYFUNCTION("""COMPUTED_VALUE"""),3.0)</f>
        <v>3</v>
      </c>
      <c r="BF18" s="6">
        <f>IFERROR(__xludf.DUMMYFUNCTION("""COMPUTED_VALUE"""),1.0)</f>
        <v>1</v>
      </c>
      <c r="BG18" s="1">
        <f>IFERROR(__xludf.DUMMYFUNCTION("""COMPUTED_VALUE"""),1.0)</f>
        <v>1</v>
      </c>
      <c r="BH18" s="1" t="str">
        <f>IFERROR(__xludf.DUMMYFUNCTION("""COMPUTED_VALUE"""),"0")</f>
        <v>0</v>
      </c>
      <c r="BI18" s="4">
        <f>IFERROR(__xludf.DUMMYFUNCTION("""COMPUTED_VALUE"""),950.0)</f>
        <v>950</v>
      </c>
      <c r="BJ18" s="1">
        <f>IFERROR(__xludf.DUMMYFUNCTION("""COMPUTED_VALUE"""),1.0)</f>
        <v>1</v>
      </c>
      <c r="BK18" s="4">
        <f>IFERROR(__xludf.DUMMYFUNCTION("""COMPUTED_VALUE"""),950.0)</f>
        <v>950</v>
      </c>
      <c r="BL18" s="1">
        <f>IFERROR(__xludf.DUMMYFUNCTION("""COMPUTED_VALUE"""),1260.0)</f>
        <v>1260</v>
      </c>
      <c r="BM18" s="1">
        <f>IFERROR(__xludf.DUMMYFUNCTION("""COMPUTED_VALUE"""),12.0)</f>
        <v>12</v>
      </c>
      <c r="BN18" s="2">
        <f>IFERROR(__xludf.DUMMYFUNCTION("""COMPUTED_VALUE"""),45369.0)</f>
        <v>45369</v>
      </c>
      <c r="BO18" s="1">
        <f>IFERROR(__xludf.DUMMYFUNCTION("""COMPUTED_VALUE"""),3.0)</f>
        <v>3</v>
      </c>
      <c r="BP18" s="1">
        <f>IFERROR(__xludf.DUMMYFUNCTION("""COMPUTED_VALUE"""),2024.0)</f>
        <v>2024</v>
      </c>
    </row>
    <row r="19">
      <c r="A19" s="1">
        <f>IFERROR(__xludf.DUMMYFUNCTION("""COMPUTED_VALUE"""),18.0)</f>
        <v>18</v>
      </c>
      <c r="B19" s="1">
        <f>IFERROR(__xludf.DUMMYFUNCTION("""COMPUTED_VALUE"""),2433874.0)</f>
        <v>2433874</v>
      </c>
      <c r="C19" s="1" t="str">
        <f>IFERROR(__xludf.DUMMYFUNCTION("""COMPUTED_VALUE"""),"2025-1")</f>
        <v>2025-1</v>
      </c>
      <c r="D19" s="1" t="str">
        <f>IFERROR(__xludf.DUMMYFUNCTION("""COMPUTED_VALUE"""),"Admisión de Alto Rendimiento")</f>
        <v>Admisión de Alto Rendimiento</v>
      </c>
      <c r="E19" s="2">
        <f>IFERROR(__xludf.DUMMYFUNCTION("""COMPUTED_VALUE"""),45372.0)</f>
        <v>45372</v>
      </c>
      <c r="F19" s="1" t="str">
        <f>IFERROR(__xludf.DUMMYFUNCTION("""COMPUTED_VALUE"""),"THAURIMAR JAZMIN")</f>
        <v>THAURIMAR JAZMIN</v>
      </c>
      <c r="G19" s="1" t="str">
        <f>IFERROR(__xludf.DUMMYFUNCTION("""COMPUTED_VALUE"""),"JOYO CARDENAS")</f>
        <v>JOYO CARDENAS</v>
      </c>
      <c r="H19" s="1" t="str">
        <f>IFERROR(__xludf.DUMMYFUNCTION("""COMPUTED_VALUE"""),"Administración y Marketing")</f>
        <v>Administración y Marketing</v>
      </c>
      <c r="I19" s="1" t="str">
        <f>IFERROR(__xludf.DUMMYFUNCTION("""COMPUTED_VALUE"""),"CARGO")</f>
        <v>CARGO</v>
      </c>
      <c r="J19" s="1" t="str">
        <f>IFERROR(__xludf.DUMMYFUNCTION("""COMPUTED_VALUE"""),"Diurno")</f>
        <v>Diurno</v>
      </c>
      <c r="K19" s="1" t="str">
        <f>IFERROR(__xludf.DUMMYFUNCTION("""COMPUTED_VALUE"""),"NUEVO")</f>
        <v>NUEVO</v>
      </c>
      <c r="L19" s="1">
        <f>IFERROR(__xludf.DUMMYFUNCTION("""COMPUTED_VALUE"""),0.0)</f>
        <v>0</v>
      </c>
      <c r="M19" s="1">
        <f>IFERROR(__xludf.DUMMYFUNCTION("""COMPUTED_VALUE"""),0.0)</f>
        <v>0</v>
      </c>
      <c r="N19" s="1" t="str">
        <f>IFERROR(__xludf.DUMMYFUNCTION("""COMPUTED_VALUE"""),"RECA")</f>
        <v>RECA</v>
      </c>
      <c r="O19" s="1" t="str">
        <f>IFERROR(__xludf.DUMMYFUNCTION("""COMPUTED_VALUE"""),"RECATEGORIZACIÓN")</f>
        <v>RECATEGORIZACIÓN</v>
      </c>
      <c r="P19" s="4">
        <f>IFERROR(__xludf.DUMMYFUNCTION("""COMPUTED_VALUE"""),0.0)</f>
        <v>0</v>
      </c>
      <c r="Q19" s="4">
        <f>IFERROR(__xludf.DUMMYFUNCTION("""COMPUTED_VALUE"""),0.0)</f>
        <v>0</v>
      </c>
      <c r="R19" s="4">
        <f>IFERROR(__xludf.DUMMYFUNCTION("""COMPUTED_VALUE"""),1700.0)</f>
        <v>1700</v>
      </c>
      <c r="S19" s="4">
        <f>IFERROR(__xludf.DUMMYFUNCTION("""COMPUTED_VALUE"""),1450.0)</f>
        <v>1450</v>
      </c>
      <c r="T19" s="1" t="str">
        <f>IFERROR(__xludf.DUMMYFUNCTION("""COMPUTED_VALUE"""),"PALANCA 500")</f>
        <v>PALANCA 500</v>
      </c>
      <c r="U19" s="1" t="str">
        <f>IFERROR(__xludf.DUMMYFUNCTION("""COMPUTED_VALUE"""),"-")</f>
        <v>-</v>
      </c>
      <c r="V19" s="1" t="str">
        <f>IFERROR(__xludf.DUMMYFUNCTION("""COMPUTED_VALUE"""),"-")</f>
        <v>-</v>
      </c>
      <c r="W19" s="1" t="str">
        <f>IFERROR(__xludf.DUMMYFUNCTION("""COMPUTED_VALUE"""),"-")</f>
        <v>-</v>
      </c>
      <c r="X19" s="1" t="str">
        <f>IFERROR(__xludf.DUMMYFUNCTION("""COMPUTED_VALUE"""),"PROMOCION YAPE 500 SOLES 1RA CUOTA")</f>
        <v>PROMOCION YAPE 500 SOLES 1RA CUOTA</v>
      </c>
      <c r="Y19" s="1" t="str">
        <f>IFERROR(__xludf.DUMMYFUNCTION("""COMPUTED_VALUE"""),"PAGO COMPLETO")</f>
        <v>PAGO COMPLETO</v>
      </c>
      <c r="Z19" s="1">
        <f>IFERROR(__xludf.DUMMYFUNCTION("""COMPUTED_VALUE"""),0.0)</f>
        <v>0</v>
      </c>
      <c r="AA19" s="1" t="str">
        <f>IFERROR(__xludf.DUMMYFUNCTION("""COMPUTED_VALUE"""),"-")</f>
        <v>-</v>
      </c>
      <c r="AB19" s="1">
        <f>IFERROR(__xludf.DUMMYFUNCTION("""COMPUTED_VALUE"""),0.0)</f>
        <v>0</v>
      </c>
      <c r="AC19" s="1">
        <f>IFERROR(__xludf.DUMMYFUNCTION("""COMPUTED_VALUE"""),0.0)</f>
        <v>0</v>
      </c>
      <c r="AD19" s="1" t="str">
        <f>IFERROR(__xludf.DUMMYFUNCTION("""COMPUTED_VALUE"""),"Lohana Rivera")</f>
        <v>Lohana Rivera</v>
      </c>
      <c r="AE19" s="1" t="str">
        <f>IFERROR(__xludf.DUMMYFUNCTION("""COMPUTED_VALUE"""),"0")</f>
        <v>0</v>
      </c>
      <c r="AF19" s="1">
        <f>IFERROR(__xludf.DUMMYFUNCTION("""COMPUTED_VALUE"""),2023.0)</f>
        <v>2023</v>
      </c>
      <c r="AG19" s="1">
        <f>IFERROR(__xludf.DUMMYFUNCTION("""COMPUTED_VALUE"""),1728757.0)</f>
        <v>1728757</v>
      </c>
      <c r="AH19" s="1">
        <f>IFERROR(__xludf.DUMMYFUNCTION("""COMPUTED_VALUE"""),17.0)</f>
        <v>17</v>
      </c>
      <c r="AI19" s="1" t="str">
        <f>IFERROR(__xludf.DUMMYFUNCTION("""COMPUTED_VALUE"""),"0000070984")</f>
        <v>0000070984</v>
      </c>
      <c r="AJ19" s="1">
        <f>IFERROR(__xludf.DUMMYFUNCTION("""COMPUTED_VALUE"""),6.2616952E7)</f>
        <v>62616952</v>
      </c>
      <c r="AK19" s="1">
        <f>IFERROR(__xludf.DUMMYFUNCTION("""COMPUTED_VALUE"""),9.61889687E8)</f>
        <v>961889687</v>
      </c>
      <c r="AL19" s="1" t="str">
        <f>IFERROR(__xludf.DUMMYFUNCTION("""COMPUTED_VALUE"""),"thaurimarjoyocardenas@gmail.com")</f>
        <v>thaurimarjoyocardenas@gmail.com</v>
      </c>
      <c r="AM19" s="1" t="str">
        <f>IFERROR(__xludf.DUMMYFUNCTION("""COMPUTED_VALUE"""),"FEMENINO")</f>
        <v>FEMENINO</v>
      </c>
      <c r="AN19" s="1">
        <f>IFERROR(__xludf.DUMMYFUNCTION("""COMPUTED_VALUE"""),1700.0)</f>
        <v>1700</v>
      </c>
      <c r="AO19" s="1">
        <f>IFERROR(__xludf.DUMMYFUNCTION("""COMPUTED_VALUE"""),400.0)</f>
        <v>400</v>
      </c>
      <c r="AP19" s="1" t="str">
        <f>IFERROR(__xludf.DUMMYFUNCTION("""COMPUTED_VALUE"""),"BIDIRECCIONAL")</f>
        <v>BIDIRECCIONAL</v>
      </c>
      <c r="AQ19" s="1" t="str">
        <f>IFERROR(__xludf.DUMMYFUNCTION("""COMPUTED_VALUE"""),"ORGANICO")</f>
        <v>ORGANICO</v>
      </c>
      <c r="AR19" s="1" t="str">
        <f>IFERROR(__xludf.DUMMYFUNCTION("""COMPUTED_VALUE"""),"HEREDADO")</f>
        <v>HEREDADO</v>
      </c>
      <c r="AS19" s="1"/>
      <c r="AT19" s="2">
        <f>IFERROR(__xludf.DUMMYFUNCTION("""COMPUTED_VALUE"""),45625.0)</f>
        <v>45625</v>
      </c>
      <c r="AU19" s="1">
        <f>IFERROR(__xludf.DUMMYFUNCTION("""COMPUTED_VALUE"""),1.0)</f>
        <v>1</v>
      </c>
      <c r="AV19" s="1" t="str">
        <f>IFERROR(__xludf.DUMMYFUNCTION("""COMPUTED_VALUE"""),"NUEVO")</f>
        <v>NUEVO</v>
      </c>
      <c r="AW19" s="1" t="str">
        <f>IFERROR(__xludf.DUMMYFUNCTION("""COMPUTED_VALUE"""),"SI")</f>
        <v>SI</v>
      </c>
      <c r="AX19" s="1"/>
      <c r="AY19" s="1" t="str">
        <f>IFERROR(__xludf.DUMMYFUNCTION("""COMPUTED_VALUE"""),"PAGO COMPLETO")</f>
        <v>PAGO COMPLETO</v>
      </c>
      <c r="AZ19" s="5">
        <f>IFERROR(__xludf.DUMMYFUNCTION("""COMPUTED_VALUE"""),45372.0)</f>
        <v>45372</v>
      </c>
      <c r="BA19" s="1">
        <f>IFERROR(__xludf.DUMMYFUNCTION("""COMPUTED_VALUE"""),0.0)</f>
        <v>0</v>
      </c>
      <c r="BB19" s="1">
        <f>IFERROR(__xludf.DUMMYFUNCTION("""COMPUTED_VALUE"""),0.0)</f>
        <v>0</v>
      </c>
      <c r="BC19" s="4">
        <f>IFERROR(__xludf.DUMMYFUNCTION("""COMPUTED_VALUE"""),0.0)</f>
        <v>0</v>
      </c>
      <c r="BD19" s="4">
        <f>IFERROR(__xludf.DUMMYFUNCTION("""COMPUTED_VALUE"""),950.0)</f>
        <v>950</v>
      </c>
      <c r="BE19" s="1">
        <f>IFERROR(__xludf.DUMMYFUNCTION("""COMPUTED_VALUE"""),3.0)</f>
        <v>3</v>
      </c>
      <c r="BF19" s="6">
        <f>IFERROR(__xludf.DUMMYFUNCTION("""COMPUTED_VALUE"""),1.0)</f>
        <v>1</v>
      </c>
      <c r="BG19" s="1">
        <f>IFERROR(__xludf.DUMMYFUNCTION("""COMPUTED_VALUE"""),1.0)</f>
        <v>1</v>
      </c>
      <c r="BH19" s="1" t="str">
        <f>IFERROR(__xludf.DUMMYFUNCTION("""COMPUTED_VALUE"""),"0")</f>
        <v>0</v>
      </c>
      <c r="BI19" s="4">
        <f>IFERROR(__xludf.DUMMYFUNCTION("""COMPUTED_VALUE"""),950.0)</f>
        <v>950</v>
      </c>
      <c r="BJ19" s="1">
        <f>IFERROR(__xludf.DUMMYFUNCTION("""COMPUTED_VALUE"""),1.0)</f>
        <v>1</v>
      </c>
      <c r="BK19" s="4">
        <f>IFERROR(__xludf.DUMMYFUNCTION("""COMPUTED_VALUE"""),950.0)</f>
        <v>950</v>
      </c>
      <c r="BL19" s="1">
        <f>IFERROR(__xludf.DUMMYFUNCTION("""COMPUTED_VALUE"""),1260.0)</f>
        <v>1260</v>
      </c>
      <c r="BM19" s="1">
        <f>IFERROR(__xludf.DUMMYFUNCTION("""COMPUTED_VALUE"""),12.0)</f>
        <v>12</v>
      </c>
      <c r="BN19" s="2">
        <f>IFERROR(__xludf.DUMMYFUNCTION("""COMPUTED_VALUE"""),45369.0)</f>
        <v>45369</v>
      </c>
      <c r="BO19" s="1">
        <f>IFERROR(__xludf.DUMMYFUNCTION("""COMPUTED_VALUE"""),3.0)</f>
        <v>3</v>
      </c>
      <c r="BP19" s="1">
        <f>IFERROR(__xludf.DUMMYFUNCTION("""COMPUTED_VALUE"""),2024.0)</f>
        <v>2024</v>
      </c>
    </row>
    <row r="20">
      <c r="A20" s="1">
        <f>IFERROR(__xludf.DUMMYFUNCTION("""COMPUTED_VALUE"""),19.0)</f>
        <v>19</v>
      </c>
      <c r="B20" s="1">
        <f>IFERROR(__xludf.DUMMYFUNCTION("""COMPUTED_VALUE"""),2628894.0)</f>
        <v>2628894</v>
      </c>
      <c r="C20" s="1" t="str">
        <f>IFERROR(__xludf.DUMMYFUNCTION("""COMPUTED_VALUE"""),"2025-1")</f>
        <v>2025-1</v>
      </c>
      <c r="D20" s="1" t="str">
        <f>IFERROR(__xludf.DUMMYFUNCTION("""COMPUTED_VALUE"""),"Admisión Ordinaria")</f>
        <v>Admisión Ordinaria</v>
      </c>
      <c r="E20" s="2">
        <f>IFERROR(__xludf.DUMMYFUNCTION("""COMPUTED_VALUE"""),45376.0)</f>
        <v>45376</v>
      </c>
      <c r="F20" s="1" t="str">
        <f>IFERROR(__xludf.DUMMYFUNCTION("""COMPUTED_VALUE"""),"JENNIFER SHIRLAY")</f>
        <v>JENNIFER SHIRLAY</v>
      </c>
      <c r="G20" s="1" t="str">
        <f>IFERROR(__xludf.DUMMYFUNCTION("""COMPUTED_VALUE"""),"MARAVI CAYETANO")</f>
        <v>MARAVI CAYETANO</v>
      </c>
      <c r="H20" s="1" t="str">
        <f>IFERROR(__xludf.DUMMYFUNCTION("""COMPUTED_VALUE"""),"Arquitectura de Interiores")</f>
        <v>Arquitectura de Interiores</v>
      </c>
      <c r="I20" s="1" t="str">
        <f>IFERROR(__xludf.DUMMYFUNCTION("""COMPUTED_VALUE"""),"CARGO")</f>
        <v>CARGO</v>
      </c>
      <c r="J20" s="1" t="str">
        <f>IFERROR(__xludf.DUMMYFUNCTION("""COMPUTED_VALUE"""),"Diurno")</f>
        <v>Diurno</v>
      </c>
      <c r="K20" s="1" t="str">
        <f>IFERROR(__xludf.DUMMYFUNCTION("""COMPUTED_VALUE"""),"NUEVO")</f>
        <v>NUEVO</v>
      </c>
      <c r="L20" s="1">
        <f>IFERROR(__xludf.DUMMYFUNCTION("""COMPUTED_VALUE"""),0.0)</f>
        <v>0</v>
      </c>
      <c r="M20" s="1">
        <f>IFERROR(__xludf.DUMMYFUNCTION("""COMPUTED_VALUE"""),0.0)</f>
        <v>0</v>
      </c>
      <c r="N20" s="1" t="str">
        <f>IFERROR(__xludf.DUMMYFUNCTION("""COMPUTED_VALUE"""),"RECA")</f>
        <v>RECA</v>
      </c>
      <c r="O20" s="1" t="str">
        <f>IFERROR(__xludf.DUMMYFUNCTION("""COMPUTED_VALUE"""),"RECATEGORIZACIÓN")</f>
        <v>RECATEGORIZACIÓN</v>
      </c>
      <c r="P20" s="4">
        <f>IFERROR(__xludf.DUMMYFUNCTION("""COMPUTED_VALUE"""),0.0)</f>
        <v>0</v>
      </c>
      <c r="Q20" s="4">
        <f>IFERROR(__xludf.DUMMYFUNCTION("""COMPUTED_VALUE"""),0.0)</f>
        <v>0</v>
      </c>
      <c r="R20" s="4">
        <f>IFERROR(__xludf.DUMMYFUNCTION("""COMPUTED_VALUE"""),1850.0)</f>
        <v>1850</v>
      </c>
      <c r="S20" s="4">
        <f>IFERROR(__xludf.DUMMYFUNCTION("""COMPUTED_VALUE"""),1450.0)</f>
        <v>1450</v>
      </c>
      <c r="T20" s="1" t="str">
        <f>IFERROR(__xludf.DUMMYFUNCTION("""COMPUTED_VALUE"""),"PALANCA 500")</f>
        <v>PALANCA 500</v>
      </c>
      <c r="U20" s="1" t="str">
        <f>IFERROR(__xludf.DUMMYFUNCTION("""COMPUTED_VALUE"""),"-")</f>
        <v>-</v>
      </c>
      <c r="V20" s="1" t="str">
        <f>IFERROR(__xludf.DUMMYFUNCTION("""COMPUTED_VALUE"""),"-")</f>
        <v>-</v>
      </c>
      <c r="W20" s="1" t="str">
        <f>IFERROR(__xludf.DUMMYFUNCTION("""COMPUTED_VALUE"""),"-")</f>
        <v>-</v>
      </c>
      <c r="X20" s="1" t="str">
        <f>IFERROR(__xludf.DUMMYFUNCTION("""COMPUTED_VALUE"""),"PROMOCION YAPE 500 SOLES 1RA CUOTA &amp; VISITA GUIADA")</f>
        <v>PROMOCION YAPE 500 SOLES 1RA CUOTA &amp; VISITA GUIADA</v>
      </c>
      <c r="Y20" s="1" t="str">
        <f>IFERROR(__xludf.DUMMYFUNCTION("""COMPUTED_VALUE"""),"PAGO COMPLETO")</f>
        <v>PAGO COMPLETO</v>
      </c>
      <c r="Z20" s="1">
        <f>IFERROR(__xludf.DUMMYFUNCTION("""COMPUTED_VALUE"""),0.0)</f>
        <v>0</v>
      </c>
      <c r="AA20" s="1" t="str">
        <f>IFERROR(__xludf.DUMMYFUNCTION("""COMPUTED_VALUE"""),"-")</f>
        <v>-</v>
      </c>
      <c r="AB20" s="1">
        <f>IFERROR(__xludf.DUMMYFUNCTION("""COMPUTED_VALUE"""),0.0)</f>
        <v>0</v>
      </c>
      <c r="AC20" s="1">
        <f>IFERROR(__xludf.DUMMYFUNCTION("""COMPUTED_VALUE"""),0.0)</f>
        <v>0</v>
      </c>
      <c r="AD20" s="1" t="str">
        <f>IFERROR(__xludf.DUMMYFUNCTION("""COMPUTED_VALUE"""),"Cinthia Mariella Orosco")</f>
        <v>Cinthia Mariella Orosco</v>
      </c>
      <c r="AE20" s="1" t="str">
        <f>IFERROR(__xludf.DUMMYFUNCTION("""COMPUTED_VALUE"""),"0")</f>
        <v>0</v>
      </c>
      <c r="AF20" s="1">
        <f>IFERROR(__xludf.DUMMYFUNCTION("""COMPUTED_VALUE"""),2020.0)</f>
        <v>2020</v>
      </c>
      <c r="AG20" s="1">
        <f>IFERROR(__xludf.DUMMYFUNCTION("""COMPUTED_VALUE"""),1505684.0)</f>
        <v>1505684</v>
      </c>
      <c r="AH20" s="1">
        <f>IFERROR(__xludf.DUMMYFUNCTION("""COMPUTED_VALUE"""),21.0)</f>
        <v>21</v>
      </c>
      <c r="AI20" s="1" t="str">
        <f>IFERROR(__xludf.DUMMYFUNCTION("""COMPUTED_VALUE"""),"0000071263")</f>
        <v>0000071263</v>
      </c>
      <c r="AJ20" s="1">
        <f>IFERROR(__xludf.DUMMYFUNCTION("""COMPUTED_VALUE"""),7.5129008E7)</f>
        <v>75129008</v>
      </c>
      <c r="AK20" s="1">
        <f>IFERROR(__xludf.DUMMYFUNCTION("""COMPUTED_VALUE"""),9.31839501E8)</f>
        <v>931839501</v>
      </c>
      <c r="AL20" s="1" t="str">
        <f>IFERROR(__xludf.DUMMYFUNCTION("""COMPUTED_VALUE"""),"jennishi333@gmail.com")</f>
        <v>jennishi333@gmail.com</v>
      </c>
      <c r="AM20" s="1" t="str">
        <f>IFERROR(__xludf.DUMMYFUNCTION("""COMPUTED_VALUE"""),"FEMENINO")</f>
        <v>FEMENINO</v>
      </c>
      <c r="AN20" s="1">
        <f>IFERROR(__xludf.DUMMYFUNCTION("""COMPUTED_VALUE"""),1850.0)</f>
        <v>1850</v>
      </c>
      <c r="AO20" s="1">
        <f>IFERROR(__xludf.DUMMYFUNCTION("""COMPUTED_VALUE"""),580.0)</f>
        <v>580</v>
      </c>
      <c r="AP20" s="1" t="str">
        <f>IFERROR(__xludf.DUMMYFUNCTION("""COMPUTED_VALUE"""),"EVENTOS")</f>
        <v>EVENTOS</v>
      </c>
      <c r="AQ20" s="1" t="str">
        <f>IFERROR(__xludf.DUMMYFUNCTION("""COMPUTED_VALUE"""),"EVENTOS")</f>
        <v>EVENTOS</v>
      </c>
      <c r="AR20" s="1" t="str">
        <f>IFERROR(__xludf.DUMMYFUNCTION("""COMPUTED_VALUE"""),"HEREDADO")</f>
        <v>HEREDADO</v>
      </c>
      <c r="AS20" s="1" t="str">
        <f>IFERROR(__xludf.DUMMYFUNCTION("""COMPUTED_VALUE"""),"ucal-pg-branding-sedes-bbdd-no_aplica-explora_ucal-20241112")</f>
        <v>ucal-pg-branding-sedes-bbdd-no_aplica-explora_ucal-20241112</v>
      </c>
      <c r="AT20" s="2">
        <f>IFERROR(__xludf.DUMMYFUNCTION("""COMPUTED_VALUE"""),45614.0)</f>
        <v>45614</v>
      </c>
      <c r="AU20" s="1">
        <f>IFERROR(__xludf.DUMMYFUNCTION("""COMPUTED_VALUE"""),1.0)</f>
        <v>1</v>
      </c>
      <c r="AV20" s="1" t="str">
        <f>IFERROR(__xludf.DUMMYFUNCTION("""COMPUTED_VALUE"""),"NUEVO")</f>
        <v>NUEVO</v>
      </c>
      <c r="AW20" s="1" t="str">
        <f>IFERROR(__xludf.DUMMYFUNCTION("""COMPUTED_VALUE"""),"SI")</f>
        <v>SI</v>
      </c>
      <c r="AX20" s="1"/>
      <c r="AY20" s="1" t="str">
        <f>IFERROR(__xludf.DUMMYFUNCTION("""COMPUTED_VALUE"""),"PAGO COMPLETO")</f>
        <v>PAGO COMPLETO</v>
      </c>
      <c r="AZ20" s="5">
        <f>IFERROR(__xludf.DUMMYFUNCTION("""COMPUTED_VALUE"""),45376.0)</f>
        <v>45376</v>
      </c>
      <c r="BA20" s="1">
        <f>IFERROR(__xludf.DUMMYFUNCTION("""COMPUTED_VALUE"""),0.0)</f>
        <v>0</v>
      </c>
      <c r="BB20" s="1">
        <f>IFERROR(__xludf.DUMMYFUNCTION("""COMPUTED_VALUE"""),0.0)</f>
        <v>0</v>
      </c>
      <c r="BC20" s="4">
        <f>IFERROR(__xludf.DUMMYFUNCTION("""COMPUTED_VALUE"""),0.0)</f>
        <v>0</v>
      </c>
      <c r="BD20" s="4">
        <f>IFERROR(__xludf.DUMMYFUNCTION("""COMPUTED_VALUE"""),950.0)</f>
        <v>950</v>
      </c>
      <c r="BE20" s="1">
        <f>IFERROR(__xludf.DUMMYFUNCTION("""COMPUTED_VALUE"""),3.0)</f>
        <v>3</v>
      </c>
      <c r="BF20" s="6">
        <f>IFERROR(__xludf.DUMMYFUNCTION("""COMPUTED_VALUE"""),1.0)</f>
        <v>1</v>
      </c>
      <c r="BG20" s="1">
        <f>IFERROR(__xludf.DUMMYFUNCTION("""COMPUTED_VALUE"""),1.0)</f>
        <v>1</v>
      </c>
      <c r="BH20" s="1" t="str">
        <f>IFERROR(__xludf.DUMMYFUNCTION("""COMPUTED_VALUE"""),"0")</f>
        <v>0</v>
      </c>
      <c r="BI20" s="4">
        <f>IFERROR(__xludf.DUMMYFUNCTION("""COMPUTED_VALUE"""),950.0)</f>
        <v>950</v>
      </c>
      <c r="BJ20" s="1">
        <f>IFERROR(__xludf.DUMMYFUNCTION("""COMPUTED_VALUE"""),1.0)</f>
        <v>1</v>
      </c>
      <c r="BK20" s="4">
        <f>IFERROR(__xludf.DUMMYFUNCTION("""COMPUTED_VALUE"""),950.0)</f>
        <v>950</v>
      </c>
      <c r="BL20" s="1">
        <f>IFERROR(__xludf.DUMMYFUNCTION("""COMPUTED_VALUE"""),1260.0)</f>
        <v>1260</v>
      </c>
      <c r="BM20" s="1">
        <f>IFERROR(__xludf.DUMMYFUNCTION("""COMPUTED_VALUE"""),13.0)</f>
        <v>13</v>
      </c>
      <c r="BN20" s="2">
        <f>IFERROR(__xludf.DUMMYFUNCTION("""COMPUTED_VALUE"""),45376.0)</f>
        <v>45376</v>
      </c>
      <c r="BO20" s="1">
        <f>IFERROR(__xludf.DUMMYFUNCTION("""COMPUTED_VALUE"""),3.0)</f>
        <v>3</v>
      </c>
      <c r="BP20" s="1">
        <f>IFERROR(__xludf.DUMMYFUNCTION("""COMPUTED_VALUE"""),2024.0)</f>
        <v>2024</v>
      </c>
    </row>
    <row r="21">
      <c r="A21" s="1">
        <f>IFERROR(__xludf.DUMMYFUNCTION("""COMPUTED_VALUE"""),20.0)</f>
        <v>20</v>
      </c>
      <c r="B21" s="1">
        <f>IFERROR(__xludf.DUMMYFUNCTION("""COMPUTED_VALUE"""),2338890.0)</f>
        <v>2338890</v>
      </c>
      <c r="C21" s="1" t="str">
        <f>IFERROR(__xludf.DUMMYFUNCTION("""COMPUTED_VALUE"""),"2025-1")</f>
        <v>2025-1</v>
      </c>
      <c r="D21" s="1" t="str">
        <f>IFERROR(__xludf.DUMMYFUNCTION("""COMPUTED_VALUE"""),"Admisión de Alto Rendimiento")</f>
        <v>Admisión de Alto Rendimiento</v>
      </c>
      <c r="E21" s="2">
        <f>IFERROR(__xludf.DUMMYFUNCTION("""COMPUTED_VALUE"""),45378.0)</f>
        <v>45378</v>
      </c>
      <c r="F21" s="1" t="str">
        <f>IFERROR(__xludf.DUMMYFUNCTION("""COMPUTED_VALUE"""),"ENZO ENRIQUE")</f>
        <v>ENZO ENRIQUE</v>
      </c>
      <c r="G21" s="1" t="str">
        <f>IFERROR(__xludf.DUMMYFUNCTION("""COMPUTED_VALUE"""),"RIOS VASQUEZ")</f>
        <v>RIOS VASQUEZ</v>
      </c>
      <c r="H21" s="1" t="str">
        <f>IFERROR(__xludf.DUMMYFUNCTION("""COMPUTED_VALUE"""),"Comunicación Audiovisual y Cine")</f>
        <v>Comunicación Audiovisual y Cine</v>
      </c>
      <c r="I21" s="1" t="str">
        <f>IFERROR(__xludf.DUMMYFUNCTION("""COMPUTED_VALUE"""),"POS")</f>
        <v>POS</v>
      </c>
      <c r="J21" s="1" t="str">
        <f>IFERROR(__xludf.DUMMYFUNCTION("""COMPUTED_VALUE"""),"Diurno")</f>
        <v>Diurno</v>
      </c>
      <c r="K21" s="1" t="str">
        <f>IFERROR(__xludf.DUMMYFUNCTION("""COMPUTED_VALUE"""),"NUEVO")</f>
        <v>NUEVO</v>
      </c>
      <c r="L21" s="1">
        <f>IFERROR(__xludf.DUMMYFUNCTION("""COMPUTED_VALUE"""),0.0)</f>
        <v>0</v>
      </c>
      <c r="M21" s="1">
        <f>IFERROR(__xludf.DUMMYFUNCTION("""COMPUTED_VALUE"""),0.0)</f>
        <v>0</v>
      </c>
      <c r="N21" s="1" t="str">
        <f>IFERROR(__xludf.DUMMYFUNCTION("""COMPUTED_VALUE"""),"RECA")</f>
        <v>RECA</v>
      </c>
      <c r="O21" s="1" t="str">
        <f>IFERROR(__xludf.DUMMYFUNCTION("""COMPUTED_VALUE"""),"RECATEGORIZACIÓN")</f>
        <v>RECATEGORIZACIÓN</v>
      </c>
      <c r="P21" s="4">
        <f>IFERROR(__xludf.DUMMYFUNCTION("""COMPUTED_VALUE"""),0.0)</f>
        <v>0</v>
      </c>
      <c r="Q21" s="4">
        <f>IFERROR(__xludf.DUMMYFUNCTION("""COMPUTED_VALUE"""),0.0)</f>
        <v>0</v>
      </c>
      <c r="R21" s="4">
        <f>IFERROR(__xludf.DUMMYFUNCTION("""COMPUTED_VALUE"""),1700.0)</f>
        <v>1700</v>
      </c>
      <c r="S21" s="4">
        <f>IFERROR(__xludf.DUMMYFUNCTION("""COMPUTED_VALUE"""),1450.0)</f>
        <v>1450</v>
      </c>
      <c r="T21" s="1" t="str">
        <f>IFERROR(__xludf.DUMMYFUNCTION("""COMPUTED_VALUE"""),"PALANCA 500")</f>
        <v>PALANCA 500</v>
      </c>
      <c r="U21" s="1" t="str">
        <f>IFERROR(__xludf.DUMMYFUNCTION("""COMPUTED_VALUE"""),"-")</f>
        <v>-</v>
      </c>
      <c r="V21" s="1" t="str">
        <f>IFERROR(__xludf.DUMMYFUNCTION("""COMPUTED_VALUE"""),"-")</f>
        <v>-</v>
      </c>
      <c r="W21" s="1" t="str">
        <f>IFERROR(__xludf.DUMMYFUNCTION("""COMPUTED_VALUE"""),"-")</f>
        <v>-</v>
      </c>
      <c r="X21" s="1" t="str">
        <f>IFERROR(__xludf.DUMMYFUNCTION("""COMPUTED_VALUE"""),"PROMOCION YAPE 500 SOLES 1RA CUOTA")</f>
        <v>PROMOCION YAPE 500 SOLES 1RA CUOTA</v>
      </c>
      <c r="Y21" s="1" t="str">
        <f>IFERROR(__xludf.DUMMYFUNCTION("""COMPUTED_VALUE"""),"PAGO COMPLETO")</f>
        <v>PAGO COMPLETO</v>
      </c>
      <c r="Z21" s="1">
        <f>IFERROR(__xludf.DUMMYFUNCTION("""COMPUTED_VALUE"""),0.0)</f>
        <v>0</v>
      </c>
      <c r="AA21" s="1" t="str">
        <f>IFERROR(__xludf.DUMMYFUNCTION("""COMPUTED_VALUE"""),"-")</f>
        <v>-</v>
      </c>
      <c r="AB21" s="1">
        <f>IFERROR(__xludf.DUMMYFUNCTION("""COMPUTED_VALUE"""),0.0)</f>
        <v>0</v>
      </c>
      <c r="AC21" s="1">
        <f>IFERROR(__xludf.DUMMYFUNCTION("""COMPUTED_VALUE"""),0.0)</f>
        <v>0</v>
      </c>
      <c r="AD21" s="1" t="str">
        <f>IFERROR(__xludf.DUMMYFUNCTION("""COMPUTED_VALUE"""),"Cinthia Mariella Orosco")</f>
        <v>Cinthia Mariella Orosco</v>
      </c>
      <c r="AE21" s="1" t="str">
        <f>IFERROR(__xludf.DUMMYFUNCTION("""COMPUTED_VALUE"""),"0")</f>
        <v>0</v>
      </c>
      <c r="AF21" s="1">
        <f>IFERROR(__xludf.DUMMYFUNCTION("""COMPUTED_VALUE"""),2024.0)</f>
        <v>2024</v>
      </c>
      <c r="AG21" s="1">
        <f>IFERROR(__xludf.DUMMYFUNCTION("""COMPUTED_VALUE"""),1399674.0)</f>
        <v>1399674</v>
      </c>
      <c r="AH21" s="1">
        <f>IFERROR(__xludf.DUMMYFUNCTION("""COMPUTED_VALUE"""),17.0)</f>
        <v>17</v>
      </c>
      <c r="AI21" s="1" t="str">
        <f>IFERROR(__xludf.DUMMYFUNCTION("""COMPUTED_VALUE"""),"0000071496")</f>
        <v>0000071496</v>
      </c>
      <c r="AJ21" s="1">
        <f>IFERROR(__xludf.DUMMYFUNCTION("""COMPUTED_VALUE"""),6.1245373E7)</f>
        <v>61245373</v>
      </c>
      <c r="AK21" s="1">
        <f>IFERROR(__xludf.DUMMYFUNCTION("""COMPUTED_VALUE"""),9.32279871E8)</f>
        <v>932279871</v>
      </c>
      <c r="AL21" s="1" t="str">
        <f>IFERROR(__xludf.DUMMYFUNCTION("""COMPUTED_VALUE"""),"enzoprox77@gmail.com")</f>
        <v>enzoprox77@gmail.com</v>
      </c>
      <c r="AM21" s="1" t="str">
        <f>IFERROR(__xludf.DUMMYFUNCTION("""COMPUTED_VALUE"""),"MASCULINO")</f>
        <v>MASCULINO</v>
      </c>
      <c r="AN21" s="1">
        <f>IFERROR(__xludf.DUMMYFUNCTION("""COMPUTED_VALUE"""),1700.0)</f>
        <v>1700</v>
      </c>
      <c r="AO21" s="1">
        <f>IFERROR(__xludf.DUMMYFUNCTION("""COMPUTED_VALUE"""),550.0)</f>
        <v>550</v>
      </c>
      <c r="AP21" s="1" t="str">
        <f>IFERROR(__xludf.DUMMYFUNCTION("""COMPUTED_VALUE"""),"VISITA")</f>
        <v>VISITA</v>
      </c>
      <c r="AQ21" s="1" t="str">
        <f>IFERROR(__xludf.DUMMYFUNCTION("""COMPUTED_VALUE"""),"VISITA")</f>
        <v>VISITA</v>
      </c>
      <c r="AR21" s="1" t="str">
        <f>IFERROR(__xludf.DUMMYFUNCTION("""COMPUTED_VALUE"""),"HEREDADO")</f>
        <v>HEREDADO</v>
      </c>
      <c r="AS21" s="1"/>
      <c r="AT21" s="2">
        <f>IFERROR(__xludf.DUMMYFUNCTION("""COMPUTED_VALUE"""),45376.0)</f>
        <v>45376</v>
      </c>
      <c r="AU21" s="1">
        <f>IFERROR(__xludf.DUMMYFUNCTION("""COMPUTED_VALUE"""),1.0)</f>
        <v>1</v>
      </c>
      <c r="AV21" s="1" t="str">
        <f>IFERROR(__xludf.DUMMYFUNCTION("""COMPUTED_VALUE"""),"NUEVO")</f>
        <v>NUEVO</v>
      </c>
      <c r="AW21" s="1" t="str">
        <f>IFERROR(__xludf.DUMMYFUNCTION("""COMPUTED_VALUE"""),"SI")</f>
        <v>SI</v>
      </c>
      <c r="AX21" s="1"/>
      <c r="AY21" s="1" t="str">
        <f>IFERROR(__xludf.DUMMYFUNCTION("""COMPUTED_VALUE"""),"PAGO COMPLETO")</f>
        <v>PAGO COMPLETO</v>
      </c>
      <c r="AZ21" s="5">
        <f>IFERROR(__xludf.DUMMYFUNCTION("""COMPUTED_VALUE"""),45378.0)</f>
        <v>45378</v>
      </c>
      <c r="BA21" s="1">
        <f>IFERROR(__xludf.DUMMYFUNCTION("""COMPUTED_VALUE"""),0.0)</f>
        <v>0</v>
      </c>
      <c r="BB21" s="1">
        <f>IFERROR(__xludf.DUMMYFUNCTION("""COMPUTED_VALUE"""),0.0)</f>
        <v>0</v>
      </c>
      <c r="BC21" s="4">
        <f>IFERROR(__xludf.DUMMYFUNCTION("""COMPUTED_VALUE"""),0.0)</f>
        <v>0</v>
      </c>
      <c r="BD21" s="4">
        <f>IFERROR(__xludf.DUMMYFUNCTION("""COMPUTED_VALUE"""),950.0)</f>
        <v>950</v>
      </c>
      <c r="BE21" s="1">
        <f>IFERROR(__xludf.DUMMYFUNCTION("""COMPUTED_VALUE"""),3.0)</f>
        <v>3</v>
      </c>
      <c r="BF21" s="6">
        <f>IFERROR(__xludf.DUMMYFUNCTION("""COMPUTED_VALUE"""),1.0)</f>
        <v>1</v>
      </c>
      <c r="BG21" s="1">
        <f>IFERROR(__xludf.DUMMYFUNCTION("""COMPUTED_VALUE"""),1.0)</f>
        <v>1</v>
      </c>
      <c r="BH21" s="1" t="str">
        <f>IFERROR(__xludf.DUMMYFUNCTION("""COMPUTED_VALUE"""),"0")</f>
        <v>0</v>
      </c>
      <c r="BI21" s="4">
        <f>IFERROR(__xludf.DUMMYFUNCTION("""COMPUTED_VALUE"""),950.0)</f>
        <v>950</v>
      </c>
      <c r="BJ21" s="1">
        <f>IFERROR(__xludf.DUMMYFUNCTION("""COMPUTED_VALUE"""),1.0)</f>
        <v>1</v>
      </c>
      <c r="BK21" s="4">
        <f>IFERROR(__xludf.DUMMYFUNCTION("""COMPUTED_VALUE"""),950.0)</f>
        <v>950</v>
      </c>
      <c r="BL21" s="1">
        <f>IFERROR(__xludf.DUMMYFUNCTION("""COMPUTED_VALUE"""),1260.0)</f>
        <v>1260</v>
      </c>
      <c r="BM21" s="1">
        <f>IFERROR(__xludf.DUMMYFUNCTION("""COMPUTED_VALUE"""),13.0)</f>
        <v>13</v>
      </c>
      <c r="BN21" s="2">
        <f>IFERROR(__xludf.DUMMYFUNCTION("""COMPUTED_VALUE"""),45376.0)</f>
        <v>45376</v>
      </c>
      <c r="BO21" s="1">
        <f>IFERROR(__xludf.DUMMYFUNCTION("""COMPUTED_VALUE"""),3.0)</f>
        <v>3</v>
      </c>
      <c r="BP21" s="1">
        <f>IFERROR(__xludf.DUMMYFUNCTION("""COMPUTED_VALUE"""),2024.0)</f>
        <v>2024</v>
      </c>
    </row>
    <row r="22">
      <c r="A22" s="1">
        <f>IFERROR(__xludf.DUMMYFUNCTION("""COMPUTED_VALUE"""),21.0)</f>
        <v>21</v>
      </c>
      <c r="B22" s="1">
        <f>IFERROR(__xludf.DUMMYFUNCTION("""COMPUTED_VALUE"""),2685314.0)</f>
        <v>2685314</v>
      </c>
      <c r="C22" s="1" t="str">
        <f>IFERROR(__xludf.DUMMYFUNCTION("""COMPUTED_VALUE"""),"2025-1")</f>
        <v>2025-1</v>
      </c>
      <c r="D22" s="1" t="str">
        <f>IFERROR(__xludf.DUMMYFUNCTION("""COMPUTED_VALUE"""),"Admisión de Alto Rendimiento")</f>
        <v>Admisión de Alto Rendimiento</v>
      </c>
      <c r="E22" s="2">
        <f>IFERROR(__xludf.DUMMYFUNCTION("""COMPUTED_VALUE"""),45398.0)</f>
        <v>45398</v>
      </c>
      <c r="F22" s="1" t="str">
        <f>IFERROR(__xludf.DUMMYFUNCTION("""COMPUTED_VALUE"""),"VANESSA")</f>
        <v>VANESSA</v>
      </c>
      <c r="G22" s="1" t="str">
        <f>IFERROR(__xludf.DUMMYFUNCTION("""COMPUTED_VALUE"""),"MAYTA CORREA")</f>
        <v>MAYTA CORREA</v>
      </c>
      <c r="H22" s="1" t="str">
        <f>IFERROR(__xludf.DUMMYFUNCTION("""COMPUTED_VALUE"""),"Comunicación Audiovisual y Cine")</f>
        <v>Comunicación Audiovisual y Cine</v>
      </c>
      <c r="I22" s="1" t="str">
        <f>IFERROR(__xludf.DUMMYFUNCTION("""COMPUTED_VALUE"""),"Pago Link")</f>
        <v>Pago Link</v>
      </c>
      <c r="J22" s="1" t="str">
        <f>IFERROR(__xludf.DUMMYFUNCTION("""COMPUTED_VALUE"""),"Diurno")</f>
        <v>Diurno</v>
      </c>
      <c r="K22" s="1" t="str">
        <f>IFERROR(__xludf.DUMMYFUNCTION("""COMPUTED_VALUE"""),"NUEVO")</f>
        <v>NUEVO</v>
      </c>
      <c r="L22" s="1">
        <f>IFERROR(__xludf.DUMMYFUNCTION("""COMPUTED_VALUE"""),0.0)</f>
        <v>0</v>
      </c>
      <c r="M22" s="1">
        <f>IFERROR(__xludf.DUMMYFUNCTION("""COMPUTED_VALUE"""),0.0)</f>
        <v>0</v>
      </c>
      <c r="N22" s="1" t="str">
        <f>IFERROR(__xludf.DUMMYFUNCTION("""COMPUTED_VALUE"""),"BECA")</f>
        <v>BECA</v>
      </c>
      <c r="O22" s="1" t="str">
        <f>IFERROR(__xludf.DUMMYFUNCTION("""COMPUTED_VALUE"""),"BECA CARRERAS CORE")</f>
        <v>BECA CARRERAS CORE</v>
      </c>
      <c r="P22" s="4">
        <f>IFERROR(__xludf.DUMMYFUNCTION("""COMPUTED_VALUE"""),0.0)</f>
        <v>0</v>
      </c>
      <c r="Q22" s="4">
        <f>IFERROR(__xludf.DUMMYFUNCTION("""COMPUTED_VALUE"""),0.0)</f>
        <v>0</v>
      </c>
      <c r="R22" s="4">
        <f>IFERROR(__xludf.DUMMYFUNCTION("""COMPUTED_VALUE"""),1250.0)</f>
        <v>1250</v>
      </c>
      <c r="S22" s="4">
        <f>IFERROR(__xludf.DUMMYFUNCTION("""COMPUTED_VALUE"""),900.0)</f>
        <v>900</v>
      </c>
      <c r="T22" s="1" t="str">
        <f>IFERROR(__xludf.DUMMYFUNCTION("""COMPUTED_VALUE"""),"NINGUNO")</f>
        <v>NINGUNO</v>
      </c>
      <c r="U22" s="1" t="str">
        <f>IFERROR(__xludf.DUMMYFUNCTION("""COMPUTED_VALUE"""),"LORENA")</f>
        <v>LORENA</v>
      </c>
      <c r="V22" s="1" t="str">
        <f>IFERROR(__xludf.DUMMYFUNCTION("""COMPUTED_VALUE"""),"-")</f>
        <v>-</v>
      </c>
      <c r="W22" s="1" t="str">
        <f>IFERROR(__xludf.DUMMYFUNCTION("""COMPUTED_VALUE"""),"-")</f>
        <v>-</v>
      </c>
      <c r="X22" s="1" t="str">
        <f>IFERROR(__xludf.DUMMYFUNCTION("""COMPUTED_VALUE"""),"-")</f>
        <v>-</v>
      </c>
      <c r="Y22" s="1" t="str">
        <f>IFERROR(__xludf.DUMMYFUNCTION("""COMPUTED_VALUE"""),"PAGO COMPLETO")</f>
        <v>PAGO COMPLETO</v>
      </c>
      <c r="Z22" s="1">
        <f>IFERROR(__xludf.DUMMYFUNCTION("""COMPUTED_VALUE"""),500.0)</f>
        <v>500</v>
      </c>
      <c r="AA22" s="1" t="str">
        <f>IFERROR(__xludf.DUMMYFUNCTION("""COMPUTED_VALUE"""),"16/04/2024")</f>
        <v>16/04/2024</v>
      </c>
      <c r="AB22" s="1">
        <f>IFERROR(__xludf.DUMMYFUNCTION("""COMPUTED_VALUE"""),0.0)</f>
        <v>0</v>
      </c>
      <c r="AC22" s="1">
        <f>IFERROR(__xludf.DUMMYFUNCTION("""COMPUTED_VALUE"""),0.0)</f>
        <v>0</v>
      </c>
      <c r="AD22" s="1" t="str">
        <f>IFERROR(__xludf.DUMMYFUNCTION("""COMPUTED_VALUE"""),"Dina Chuquipoma")</f>
        <v>Dina Chuquipoma</v>
      </c>
      <c r="AE22" s="1" t="str">
        <f>IFERROR(__xludf.DUMMYFUNCTION("""COMPUTED_VALUE"""),"0")</f>
        <v>0</v>
      </c>
      <c r="AF22" s="1">
        <f>IFERROR(__xludf.DUMMYFUNCTION("""COMPUTED_VALUE"""),2024.0)</f>
        <v>2024</v>
      </c>
      <c r="AG22" s="1">
        <f>IFERROR(__xludf.DUMMYFUNCTION("""COMPUTED_VALUE"""),523621.0)</f>
        <v>523621</v>
      </c>
      <c r="AH22" s="1">
        <f>IFERROR(__xludf.DUMMYFUNCTION("""COMPUTED_VALUE"""),18.0)</f>
        <v>18</v>
      </c>
      <c r="AI22" s="1" t="str">
        <f>IFERROR(__xludf.DUMMYFUNCTION("""COMPUTED_VALUE"""),"0000073164")</f>
        <v>0000073164</v>
      </c>
      <c r="AJ22" s="1">
        <f>IFERROR(__xludf.DUMMYFUNCTION("""COMPUTED_VALUE"""),7.877783E7)</f>
        <v>78777830</v>
      </c>
      <c r="AK22" s="1">
        <f>IFERROR(__xludf.DUMMYFUNCTION("""COMPUTED_VALUE"""),9.60351101E8)</f>
        <v>960351101</v>
      </c>
      <c r="AL22" s="1" t="str">
        <f>IFERROR(__xludf.DUMMYFUNCTION("""COMPUTED_VALUE"""),"vanessalexandramc5@gmail.com")</f>
        <v>vanessalexandramc5@gmail.com</v>
      </c>
      <c r="AM22" s="1" t="str">
        <f>IFERROR(__xludf.DUMMYFUNCTION("""COMPUTED_VALUE"""),"FEMENINO")</f>
        <v>FEMENINO</v>
      </c>
      <c r="AN22" s="1">
        <f>IFERROR(__xludf.DUMMYFUNCTION("""COMPUTED_VALUE"""),1250.0)</f>
        <v>1250</v>
      </c>
      <c r="AO22" s="1">
        <f>IFERROR(__xludf.DUMMYFUNCTION("""COMPUTED_VALUE"""),695.0)</f>
        <v>695</v>
      </c>
      <c r="AP22" s="1" t="str">
        <f>IFERROR(__xludf.DUMMYFUNCTION("""COMPUTED_VALUE"""),"BIDIRECCIONAL")</f>
        <v>BIDIRECCIONAL</v>
      </c>
      <c r="AQ22" s="1" t="str">
        <f>IFERROR(__xludf.DUMMYFUNCTION("""COMPUTED_VALUE"""),"ORGANICO")</f>
        <v>ORGANICO</v>
      </c>
      <c r="AR22" s="1" t="str">
        <f>IFERROR(__xludf.DUMMYFUNCTION("""COMPUTED_VALUE"""),"NUEVO")</f>
        <v>NUEVO</v>
      </c>
      <c r="AS22" s="1"/>
      <c r="AT22" s="2">
        <f>IFERROR(__xludf.DUMMYFUNCTION("""COMPUTED_VALUE"""),45398.0)</f>
        <v>45398</v>
      </c>
      <c r="AU22" s="1">
        <f>IFERROR(__xludf.DUMMYFUNCTION("""COMPUTED_VALUE"""),1.0)</f>
        <v>1</v>
      </c>
      <c r="AV22" s="1" t="str">
        <f>IFERROR(__xludf.DUMMYFUNCTION("""COMPUTED_VALUE"""),"NUEVO")</f>
        <v>NUEVO</v>
      </c>
      <c r="AW22" s="1" t="str">
        <f>IFERROR(__xludf.DUMMYFUNCTION("""COMPUTED_VALUE"""),"SI")</f>
        <v>SI</v>
      </c>
      <c r="AX22" s="1"/>
      <c r="AY22" s="1" t="str">
        <f>IFERROR(__xludf.DUMMYFUNCTION("""COMPUTED_VALUE"""),"PAGO COMPLETO")</f>
        <v>PAGO COMPLETO</v>
      </c>
      <c r="AZ22" s="5">
        <f>IFERROR(__xludf.DUMMYFUNCTION("""COMPUTED_VALUE"""),45398.0)</f>
        <v>45398</v>
      </c>
      <c r="BA22" s="1">
        <f>IFERROR(__xludf.DUMMYFUNCTION("""COMPUTED_VALUE"""),0.0)</f>
        <v>0</v>
      </c>
      <c r="BB22" s="1">
        <f>IFERROR(__xludf.DUMMYFUNCTION("""COMPUTED_VALUE"""),0.0)</f>
        <v>0</v>
      </c>
      <c r="BC22" s="4">
        <f>IFERROR(__xludf.DUMMYFUNCTION("""COMPUTED_VALUE"""),0.0)</f>
        <v>0</v>
      </c>
      <c r="BD22" s="4">
        <f>IFERROR(__xludf.DUMMYFUNCTION("""COMPUTED_VALUE"""),0.0)</f>
        <v>0</v>
      </c>
      <c r="BE22" s="1">
        <f>IFERROR(__xludf.DUMMYFUNCTION("""COMPUTED_VALUE"""),4.0)</f>
        <v>4</v>
      </c>
      <c r="BF22" s="6">
        <f>IFERROR(__xludf.DUMMYFUNCTION("""COMPUTED_VALUE"""),1.0)</f>
        <v>1</v>
      </c>
      <c r="BG22" s="1">
        <f>IFERROR(__xludf.DUMMYFUNCTION("""COMPUTED_VALUE"""),1.0)</f>
        <v>1</v>
      </c>
      <c r="BH22" s="1" t="str">
        <f>IFERROR(__xludf.DUMMYFUNCTION("""COMPUTED_VALUE"""),"0")</f>
        <v>0</v>
      </c>
      <c r="BI22" s="4">
        <f>IFERROR(__xludf.DUMMYFUNCTION("""COMPUTED_VALUE"""),500.0)</f>
        <v>500</v>
      </c>
      <c r="BJ22" s="1">
        <f>IFERROR(__xludf.DUMMYFUNCTION("""COMPUTED_VALUE"""),0.0)</f>
        <v>0</v>
      </c>
      <c r="BK22" s="4">
        <f>IFERROR(__xludf.DUMMYFUNCTION("""COMPUTED_VALUE"""),0.0)</f>
        <v>0</v>
      </c>
      <c r="BL22" s="1">
        <f>IFERROR(__xludf.DUMMYFUNCTION("""COMPUTED_VALUE"""),900.0)</f>
        <v>900</v>
      </c>
      <c r="BM22" s="1">
        <f>IFERROR(__xludf.DUMMYFUNCTION("""COMPUTED_VALUE"""),16.0)</f>
        <v>16</v>
      </c>
      <c r="BN22" s="2">
        <f>IFERROR(__xludf.DUMMYFUNCTION("""COMPUTED_VALUE"""),45397.0)</f>
        <v>45397</v>
      </c>
      <c r="BO22" s="1">
        <f>IFERROR(__xludf.DUMMYFUNCTION("""COMPUTED_VALUE"""),4.0)</f>
        <v>4</v>
      </c>
      <c r="BP22" s="1">
        <f>IFERROR(__xludf.DUMMYFUNCTION("""COMPUTED_VALUE"""),2024.0)</f>
        <v>2024</v>
      </c>
    </row>
    <row r="23">
      <c r="A23" s="1">
        <f>IFERROR(__xludf.DUMMYFUNCTION("""COMPUTED_VALUE"""),22.0)</f>
        <v>22</v>
      </c>
      <c r="B23" s="1">
        <f>IFERROR(__xludf.DUMMYFUNCTION("""COMPUTED_VALUE"""),2682728.0)</f>
        <v>2682728</v>
      </c>
      <c r="C23" s="1" t="str">
        <f>IFERROR(__xludf.DUMMYFUNCTION("""COMPUTED_VALUE"""),"2025-1")</f>
        <v>2025-1</v>
      </c>
      <c r="D23" s="1" t="str">
        <f>IFERROR(__xludf.DUMMYFUNCTION("""COMPUTED_VALUE"""),"Admisión Ordinaria")</f>
        <v>Admisión Ordinaria</v>
      </c>
      <c r="E23" s="2">
        <f>IFERROR(__xludf.DUMMYFUNCTION("""COMPUTED_VALUE"""),45398.0)</f>
        <v>45398</v>
      </c>
      <c r="F23" s="1" t="str">
        <f>IFERROR(__xludf.DUMMYFUNCTION("""COMPUTED_VALUE"""),"LESLY KAREN ALANIS")</f>
        <v>LESLY KAREN ALANIS</v>
      </c>
      <c r="G23" s="1" t="str">
        <f>IFERROR(__xludf.DUMMYFUNCTION("""COMPUTED_VALUE"""),"RAZURI GUILLEN")</f>
        <v>RAZURI GUILLEN</v>
      </c>
      <c r="H23" s="1" t="str">
        <f>IFERROR(__xludf.DUMMYFUNCTION("""COMPUTED_VALUE"""),"Psicología")</f>
        <v>Psicología</v>
      </c>
      <c r="I23" s="1" t="str">
        <f>IFERROR(__xludf.DUMMYFUNCTION("""COMPUTED_VALUE"""),"Pago Link")</f>
        <v>Pago Link</v>
      </c>
      <c r="J23" s="1" t="str">
        <f>IFERROR(__xludf.DUMMYFUNCTION("""COMPUTED_VALUE"""),"Diurno")</f>
        <v>Diurno</v>
      </c>
      <c r="K23" s="1" t="str">
        <f>IFERROR(__xludf.DUMMYFUNCTION("""COMPUTED_VALUE"""),"NUEVO")</f>
        <v>NUEVO</v>
      </c>
      <c r="L23" s="1">
        <f>IFERROR(__xludf.DUMMYFUNCTION("""COMPUTED_VALUE"""),0.0)</f>
        <v>0</v>
      </c>
      <c r="M23" s="1">
        <f>IFERROR(__xludf.DUMMYFUNCTION("""COMPUTED_VALUE"""),0.0)</f>
        <v>0</v>
      </c>
      <c r="N23" s="1" t="str">
        <f>IFERROR(__xludf.DUMMYFUNCTION("""COMPUTED_VALUE"""),"BECA")</f>
        <v>BECA</v>
      </c>
      <c r="O23" s="1" t="str">
        <f>IFERROR(__xludf.DUMMYFUNCTION("""COMPUTED_VALUE"""),"BECA CARRERAS NUEVAS")</f>
        <v>BECA CARRERAS NUEVAS</v>
      </c>
      <c r="P23" s="4">
        <f>IFERROR(__xludf.DUMMYFUNCTION("""COMPUTED_VALUE"""),0.0)</f>
        <v>0</v>
      </c>
      <c r="Q23" s="4">
        <f>IFERROR(__xludf.DUMMYFUNCTION("""COMPUTED_VALUE"""),0.0)</f>
        <v>0</v>
      </c>
      <c r="R23" s="4">
        <f>IFERROR(__xludf.DUMMYFUNCTION("""COMPUTED_VALUE"""),1600.0)</f>
        <v>1600</v>
      </c>
      <c r="S23" s="4">
        <f>IFERROR(__xludf.DUMMYFUNCTION("""COMPUTED_VALUE"""),1000.0)</f>
        <v>1000</v>
      </c>
      <c r="T23" s="1" t="str">
        <f>IFERROR(__xludf.DUMMYFUNCTION("""COMPUTED_VALUE"""),"NINGUNO")</f>
        <v>NINGUNO</v>
      </c>
      <c r="U23" s="1" t="str">
        <f>IFERROR(__xludf.DUMMYFUNCTION("""COMPUTED_VALUE"""),"-")</f>
        <v>-</v>
      </c>
      <c r="V23" s="1" t="str">
        <f>IFERROR(__xludf.DUMMYFUNCTION("""COMPUTED_VALUE"""),"-")</f>
        <v>-</v>
      </c>
      <c r="W23" s="1" t="str">
        <f>IFERROR(__xludf.DUMMYFUNCTION("""COMPUTED_VALUE"""),"PREFERENCIA POR METODOLOGIA DE ENSEÑANZA")</f>
        <v>PREFERENCIA POR METODOLOGIA DE ENSEÑANZA</v>
      </c>
      <c r="X23" s="1" t="str">
        <f>IFERROR(__xludf.DUMMYFUNCTION("""COMPUTED_VALUE"""),"-")</f>
        <v>-</v>
      </c>
      <c r="Y23" s="1" t="str">
        <f>IFERROR(__xludf.DUMMYFUNCTION("""COMPUTED_VALUE"""),"PAGO COMPLETO")</f>
        <v>PAGO COMPLETO</v>
      </c>
      <c r="Z23" s="1">
        <f>IFERROR(__xludf.DUMMYFUNCTION("""COMPUTED_VALUE"""),0.0)</f>
        <v>0</v>
      </c>
      <c r="AA23" s="1" t="str">
        <f>IFERROR(__xludf.DUMMYFUNCTION("""COMPUTED_VALUE"""),"-")</f>
        <v>-</v>
      </c>
      <c r="AB23" s="1">
        <f>IFERROR(__xludf.DUMMYFUNCTION("""COMPUTED_VALUE"""),0.0)</f>
        <v>0</v>
      </c>
      <c r="AC23" s="1">
        <f>IFERROR(__xludf.DUMMYFUNCTION("""COMPUTED_VALUE"""),0.0)</f>
        <v>0</v>
      </c>
      <c r="AD23" s="1" t="str">
        <f>IFERROR(__xludf.DUMMYFUNCTION("""COMPUTED_VALUE"""),"Rosmery Enriquez")</f>
        <v>Rosmery Enriquez</v>
      </c>
      <c r="AE23" s="1" t="str">
        <f>IFERROR(__xludf.DUMMYFUNCTION("""COMPUTED_VALUE"""),"0")</f>
        <v>0</v>
      </c>
      <c r="AF23" s="1">
        <f>IFERROR(__xludf.DUMMYFUNCTION("""COMPUTED_VALUE"""),2018.0)</f>
        <v>2018</v>
      </c>
      <c r="AG23" s="1">
        <f>IFERROR(__xludf.DUMMYFUNCTION("""COMPUTED_VALUE"""),1475300.0)</f>
        <v>1475300</v>
      </c>
      <c r="AH23" s="1">
        <f>IFERROR(__xludf.DUMMYFUNCTION("""COMPUTED_VALUE"""),22.0)</f>
        <v>22</v>
      </c>
      <c r="AI23" s="1" t="str">
        <f>IFERROR(__xludf.DUMMYFUNCTION("""COMPUTED_VALUE"""),"0000073115")</f>
        <v>0000073115</v>
      </c>
      <c r="AJ23" s="1">
        <f>IFERROR(__xludf.DUMMYFUNCTION("""COMPUTED_VALUE"""),7.5267525E7)</f>
        <v>75267525</v>
      </c>
      <c r="AK23" s="1">
        <f>IFERROR(__xludf.DUMMYFUNCTION("""COMPUTED_VALUE"""),9.74491219E8)</f>
        <v>974491219</v>
      </c>
      <c r="AL23" s="1" t="str">
        <f>IFERROR(__xludf.DUMMYFUNCTION("""COMPUTED_VALUE"""),"lezrazurig@gmail.com")</f>
        <v>lezrazurig@gmail.com</v>
      </c>
      <c r="AM23" s="1" t="str">
        <f>IFERROR(__xludf.DUMMYFUNCTION("""COMPUTED_VALUE"""),"FEMENINO")</f>
        <v>FEMENINO</v>
      </c>
      <c r="AN23" s="1">
        <f>IFERROR(__xludf.DUMMYFUNCTION("""COMPUTED_VALUE"""),1600.0)</f>
        <v>1600</v>
      </c>
      <c r="AO23" s="1">
        <f>IFERROR(__xludf.DUMMYFUNCTION("""COMPUTED_VALUE"""),205.0)</f>
        <v>205</v>
      </c>
      <c r="AP23" s="1" t="str">
        <f>IFERROR(__xludf.DUMMYFUNCTION("""COMPUTED_VALUE"""),"OUTBOUND")</f>
        <v>OUTBOUND</v>
      </c>
      <c r="AQ23" s="1" t="str">
        <f>IFERROR(__xludf.DUMMYFUNCTION("""COMPUTED_VALUE"""),"OUTBOUND")</f>
        <v>OUTBOUND</v>
      </c>
      <c r="AR23" s="1" t="str">
        <f>IFERROR(__xludf.DUMMYFUNCTION("""COMPUTED_VALUE"""),"NUEVO")</f>
        <v>NUEVO</v>
      </c>
      <c r="AS23" s="1"/>
      <c r="AT23" s="2">
        <f>IFERROR(__xludf.DUMMYFUNCTION("""COMPUTED_VALUE"""),45397.0)</f>
        <v>45397</v>
      </c>
      <c r="AU23" s="1">
        <f>IFERROR(__xludf.DUMMYFUNCTION("""COMPUTED_VALUE"""),1.0)</f>
        <v>1</v>
      </c>
      <c r="AV23" s="1" t="str">
        <f>IFERROR(__xludf.DUMMYFUNCTION("""COMPUTED_VALUE"""),"NUEVO")</f>
        <v>NUEVO</v>
      </c>
      <c r="AW23" s="1" t="str">
        <f>IFERROR(__xludf.DUMMYFUNCTION("""COMPUTED_VALUE"""),"SI")</f>
        <v>SI</v>
      </c>
      <c r="AX23" s="1"/>
      <c r="AY23" s="1" t="str">
        <f>IFERROR(__xludf.DUMMYFUNCTION("""COMPUTED_VALUE"""),"PAGO COMPLETO")</f>
        <v>PAGO COMPLETO</v>
      </c>
      <c r="AZ23" s="5">
        <f>IFERROR(__xludf.DUMMYFUNCTION("""COMPUTED_VALUE"""),45398.0)</f>
        <v>45398</v>
      </c>
      <c r="BA23" s="1">
        <f>IFERROR(__xludf.DUMMYFUNCTION("""COMPUTED_VALUE"""),0.0)</f>
        <v>0</v>
      </c>
      <c r="BB23" s="1">
        <f>IFERROR(__xludf.DUMMYFUNCTION("""COMPUTED_VALUE"""),0.0)</f>
        <v>0</v>
      </c>
      <c r="BC23" s="4">
        <f>IFERROR(__xludf.DUMMYFUNCTION("""COMPUTED_VALUE"""),0.0)</f>
        <v>0</v>
      </c>
      <c r="BD23" s="4">
        <f>IFERROR(__xludf.DUMMYFUNCTION("""COMPUTED_VALUE"""),0.0)</f>
        <v>0</v>
      </c>
      <c r="BE23" s="1">
        <f>IFERROR(__xludf.DUMMYFUNCTION("""COMPUTED_VALUE"""),4.0)</f>
        <v>4</v>
      </c>
      <c r="BF23" s="6">
        <f>IFERROR(__xludf.DUMMYFUNCTION("""COMPUTED_VALUE"""),1.0)</f>
        <v>1</v>
      </c>
      <c r="BG23" s="1">
        <f>IFERROR(__xludf.DUMMYFUNCTION("""COMPUTED_VALUE"""),1.0)</f>
        <v>1</v>
      </c>
      <c r="BH23" s="1" t="str">
        <f>IFERROR(__xludf.DUMMYFUNCTION("""COMPUTED_VALUE"""),"0")</f>
        <v>0</v>
      </c>
      <c r="BI23" s="4">
        <f>IFERROR(__xludf.DUMMYFUNCTION("""COMPUTED_VALUE"""),0.0)</f>
        <v>0</v>
      </c>
      <c r="BJ23" s="1">
        <f>IFERROR(__xludf.DUMMYFUNCTION("""COMPUTED_VALUE"""),1.0)</f>
        <v>1</v>
      </c>
      <c r="BK23" s="4">
        <f>IFERROR(__xludf.DUMMYFUNCTION("""COMPUTED_VALUE"""),0.0)</f>
        <v>0</v>
      </c>
      <c r="BL23" s="1">
        <f>IFERROR(__xludf.DUMMYFUNCTION("""COMPUTED_VALUE"""),1000.0)</f>
        <v>1000</v>
      </c>
      <c r="BM23" s="1">
        <f>IFERROR(__xludf.DUMMYFUNCTION("""COMPUTED_VALUE"""),16.0)</f>
        <v>16</v>
      </c>
      <c r="BN23" s="2">
        <f>IFERROR(__xludf.DUMMYFUNCTION("""COMPUTED_VALUE"""),45397.0)</f>
        <v>45397</v>
      </c>
      <c r="BO23" s="1">
        <f>IFERROR(__xludf.DUMMYFUNCTION("""COMPUTED_VALUE"""),4.0)</f>
        <v>4</v>
      </c>
      <c r="BP23" s="1">
        <f>IFERROR(__xludf.DUMMYFUNCTION("""COMPUTED_VALUE"""),2024.0)</f>
        <v>2024</v>
      </c>
    </row>
    <row r="24">
      <c r="A24" s="1">
        <f>IFERROR(__xludf.DUMMYFUNCTION("""COMPUTED_VALUE"""),23.0)</f>
        <v>23</v>
      </c>
      <c r="B24" s="1">
        <f>IFERROR(__xludf.DUMMYFUNCTION("""COMPUTED_VALUE"""),2039934.0)</f>
        <v>2039934</v>
      </c>
      <c r="C24" s="1" t="str">
        <f>IFERROR(__xludf.DUMMYFUNCTION("""COMPUTED_VALUE"""),"2025-1")</f>
        <v>2025-1</v>
      </c>
      <c r="D24" s="1" t="str">
        <f>IFERROR(__xludf.DUMMYFUNCTION("""COMPUTED_VALUE"""),"Admisión Ordinaria")</f>
        <v>Admisión Ordinaria</v>
      </c>
      <c r="E24" s="2">
        <f>IFERROR(__xludf.DUMMYFUNCTION("""COMPUTED_VALUE"""),45400.0)</f>
        <v>45400</v>
      </c>
      <c r="F24" s="1" t="str">
        <f>IFERROR(__xludf.DUMMYFUNCTION("""COMPUTED_VALUE"""),"PRESSELL ESTHER")</f>
        <v>PRESSELL ESTHER</v>
      </c>
      <c r="G24" s="1" t="str">
        <f>IFERROR(__xludf.DUMMYFUNCTION("""COMPUTED_VALUE"""),"PUMA PANDURO")</f>
        <v>PUMA PANDURO</v>
      </c>
      <c r="H24" s="1" t="str">
        <f>IFERROR(__xludf.DUMMYFUNCTION("""COMPUTED_VALUE"""),"Arquitectura")</f>
        <v>Arquitectura</v>
      </c>
      <c r="I24" s="1" t="str">
        <f>IFERROR(__xludf.DUMMYFUNCTION("""COMPUTED_VALUE"""),"Pago Link")</f>
        <v>Pago Link</v>
      </c>
      <c r="J24" s="1" t="str">
        <f>IFERROR(__xludf.DUMMYFUNCTION("""COMPUTED_VALUE"""),"Diurno")</f>
        <v>Diurno</v>
      </c>
      <c r="K24" s="1" t="str">
        <f>IFERROR(__xludf.DUMMYFUNCTION("""COMPUTED_VALUE"""),"NUEVO")</f>
        <v>NUEVO</v>
      </c>
      <c r="L24" s="1">
        <f>IFERROR(__xludf.DUMMYFUNCTION("""COMPUTED_VALUE"""),0.0)</f>
        <v>0</v>
      </c>
      <c r="M24" s="1">
        <f>IFERROR(__xludf.DUMMYFUNCTION("""COMPUTED_VALUE"""),0.0)</f>
        <v>0</v>
      </c>
      <c r="N24" s="1" t="str">
        <f>IFERROR(__xludf.DUMMYFUNCTION("""COMPUTED_VALUE"""),"BECA")</f>
        <v>BECA</v>
      </c>
      <c r="O24" s="1" t="str">
        <f>IFERROR(__xludf.DUMMYFUNCTION("""COMPUTED_VALUE"""),"BECA CADENA COLEGIOS")</f>
        <v>BECA CADENA COLEGIOS</v>
      </c>
      <c r="P24" s="4">
        <f>IFERROR(__xludf.DUMMYFUNCTION("""COMPUTED_VALUE"""),0.0)</f>
        <v>0</v>
      </c>
      <c r="Q24" s="4">
        <f>IFERROR(__xludf.DUMMYFUNCTION("""COMPUTED_VALUE"""),0.0)</f>
        <v>0</v>
      </c>
      <c r="R24" s="4">
        <f>IFERROR(__xludf.DUMMYFUNCTION("""COMPUTED_VALUE"""),1600.0)</f>
        <v>1600</v>
      </c>
      <c r="S24" s="4">
        <f>IFERROR(__xludf.DUMMYFUNCTION("""COMPUTED_VALUE"""),960.0)</f>
        <v>960</v>
      </c>
      <c r="T24" s="1" t="str">
        <f>IFERROR(__xludf.DUMMYFUNCTION("""COMPUTED_VALUE"""),"NINGUNO")</f>
        <v>NINGUNO</v>
      </c>
      <c r="U24" s="1" t="str">
        <f>IFERROR(__xludf.DUMMYFUNCTION("""COMPUTED_VALUE"""),"-")</f>
        <v>-</v>
      </c>
      <c r="V24" s="1" t="str">
        <f>IFERROR(__xludf.DUMMYFUNCTION("""COMPUTED_VALUE"""),"-")</f>
        <v>-</v>
      </c>
      <c r="W24" s="1" t="str">
        <f>IFERROR(__xludf.DUMMYFUNCTION("""COMPUTED_VALUE"""),"-")</f>
        <v>-</v>
      </c>
      <c r="X24" s="1" t="str">
        <f>IFERROR(__xludf.DUMMYFUNCTION("""COMPUTED_VALUE"""),"-")</f>
        <v>-</v>
      </c>
      <c r="Y24" s="1" t="str">
        <f>IFERROR(__xludf.DUMMYFUNCTION("""COMPUTED_VALUE"""),"PAGO COMPLETO")</f>
        <v>PAGO COMPLETO</v>
      </c>
      <c r="Z24" s="1">
        <f>IFERROR(__xludf.DUMMYFUNCTION("""COMPUTED_VALUE"""),700.0)</f>
        <v>700</v>
      </c>
      <c r="AA24" s="1" t="str">
        <f>IFERROR(__xludf.DUMMYFUNCTION("""COMPUTED_VALUE"""),"18/04/2024")</f>
        <v>18/04/2024</v>
      </c>
      <c r="AB24" s="1">
        <f>IFERROR(__xludf.DUMMYFUNCTION("""COMPUTED_VALUE"""),0.0)</f>
        <v>0</v>
      </c>
      <c r="AC24" s="1">
        <f>IFERROR(__xludf.DUMMYFUNCTION("""COMPUTED_VALUE"""),0.0)</f>
        <v>0</v>
      </c>
      <c r="AD24" s="1" t="str">
        <f>IFERROR(__xludf.DUMMYFUNCTION("""COMPUTED_VALUE"""),"Fiorella Lanegra")</f>
        <v>Fiorella Lanegra</v>
      </c>
      <c r="AE24" s="1" t="str">
        <f>IFERROR(__xludf.DUMMYFUNCTION("""COMPUTED_VALUE"""),"0")</f>
        <v>0</v>
      </c>
      <c r="AF24" s="1">
        <f>IFERROR(__xludf.DUMMYFUNCTION("""COMPUTED_VALUE"""),2024.0)</f>
        <v>2024</v>
      </c>
      <c r="AG24" s="1">
        <f>IFERROR(__xludf.DUMMYFUNCTION("""COMPUTED_VALUE"""),1723873.0)</f>
        <v>1723873</v>
      </c>
      <c r="AH24" s="1">
        <f>IFERROR(__xludf.DUMMYFUNCTION("""COMPUTED_VALUE"""),17.0)</f>
        <v>17</v>
      </c>
      <c r="AI24" s="1" t="str">
        <f>IFERROR(__xludf.DUMMYFUNCTION("""COMPUTED_VALUE"""),"0000060181")</f>
        <v>0000060181</v>
      </c>
      <c r="AJ24" s="1">
        <f>IFERROR(__xludf.DUMMYFUNCTION("""COMPUTED_VALUE"""),6.1135838E7)</f>
        <v>61135838</v>
      </c>
      <c r="AK24" s="1">
        <f>IFERROR(__xludf.DUMMYFUNCTION("""COMPUTED_VALUE"""),9.70752572E8)</f>
        <v>970752572</v>
      </c>
      <c r="AL24" s="1" t="str">
        <f>IFERROR(__xludf.DUMMYFUNCTION("""COMPUTED_VALUE"""),"pressell.puma@gmail.com")</f>
        <v>pressell.puma@gmail.com</v>
      </c>
      <c r="AM24" s="1" t="str">
        <f>IFERROR(__xludf.DUMMYFUNCTION("""COMPUTED_VALUE"""),"FEMENINO")</f>
        <v>FEMENINO</v>
      </c>
      <c r="AN24" s="1">
        <f>IFERROR(__xludf.DUMMYFUNCTION("""COMPUTED_VALUE"""),1700.0)</f>
        <v>1700</v>
      </c>
      <c r="AO24" s="1">
        <f>IFERROR(__xludf.DUMMYFUNCTION("""COMPUTED_VALUE"""),695.0)</f>
        <v>695</v>
      </c>
      <c r="AP24" s="1" t="str">
        <f>IFERROR(__xludf.DUMMYFUNCTION("""COMPUTED_VALUE"""),"COLEGIOS")</f>
        <v>COLEGIOS</v>
      </c>
      <c r="AQ24" s="1" t="str">
        <f>IFERROR(__xludf.DUMMYFUNCTION("""COMPUTED_VALUE"""),"COLEGIOS")</f>
        <v>COLEGIOS</v>
      </c>
      <c r="AR24" s="1" t="str">
        <f>IFERROR(__xludf.DUMMYFUNCTION("""COMPUTED_VALUE"""),"NUEVO")</f>
        <v>NUEVO</v>
      </c>
      <c r="AS24" s="1"/>
      <c r="AT24" s="2">
        <f>IFERROR(__xludf.DUMMYFUNCTION("""COMPUTED_VALUE"""),45423.0)</f>
        <v>45423</v>
      </c>
      <c r="AU24" s="1">
        <f>IFERROR(__xludf.DUMMYFUNCTION("""COMPUTED_VALUE"""),1.0)</f>
        <v>1</v>
      </c>
      <c r="AV24" s="1" t="str">
        <f>IFERROR(__xludf.DUMMYFUNCTION("""COMPUTED_VALUE"""),"NUEVO")</f>
        <v>NUEVO</v>
      </c>
      <c r="AW24" s="1" t="str">
        <f>IFERROR(__xludf.DUMMYFUNCTION("""COMPUTED_VALUE"""),"SI")</f>
        <v>SI</v>
      </c>
      <c r="AX24" s="1"/>
      <c r="AY24" s="1" t="str">
        <f>IFERROR(__xludf.DUMMYFUNCTION("""COMPUTED_VALUE"""),"PAGO COMPLETO")</f>
        <v>PAGO COMPLETO</v>
      </c>
      <c r="AZ24" s="5">
        <f>IFERROR(__xludf.DUMMYFUNCTION("""COMPUTED_VALUE"""),45400.0)</f>
        <v>45400</v>
      </c>
      <c r="BA24" s="1">
        <f>IFERROR(__xludf.DUMMYFUNCTION("""COMPUTED_VALUE"""),0.0)</f>
        <v>0</v>
      </c>
      <c r="BB24" s="1">
        <f>IFERROR(__xludf.DUMMYFUNCTION("""COMPUTED_VALUE"""),0.0)</f>
        <v>0</v>
      </c>
      <c r="BC24" s="4">
        <f>IFERROR(__xludf.DUMMYFUNCTION("""COMPUTED_VALUE"""),0.0)</f>
        <v>0</v>
      </c>
      <c r="BD24" s="4">
        <f>IFERROR(__xludf.DUMMYFUNCTION("""COMPUTED_VALUE"""),0.0)</f>
        <v>0</v>
      </c>
      <c r="BE24" s="1">
        <f>IFERROR(__xludf.DUMMYFUNCTION("""COMPUTED_VALUE"""),4.0)</f>
        <v>4</v>
      </c>
      <c r="BF24" s="6">
        <f>IFERROR(__xludf.DUMMYFUNCTION("""COMPUTED_VALUE"""),1.0)</f>
        <v>1</v>
      </c>
      <c r="BG24" s="1">
        <f>IFERROR(__xludf.DUMMYFUNCTION("""COMPUTED_VALUE"""),1.0)</f>
        <v>1</v>
      </c>
      <c r="BH24" s="1" t="str">
        <f>IFERROR(__xludf.DUMMYFUNCTION("""COMPUTED_VALUE"""),"0")</f>
        <v>0</v>
      </c>
      <c r="BI24" s="4">
        <f>IFERROR(__xludf.DUMMYFUNCTION("""COMPUTED_VALUE"""),700.0)</f>
        <v>700</v>
      </c>
      <c r="BJ24" s="1">
        <f>IFERROR(__xludf.DUMMYFUNCTION("""COMPUTED_VALUE"""),0.0)</f>
        <v>0</v>
      </c>
      <c r="BK24" s="4">
        <f>IFERROR(__xludf.DUMMYFUNCTION("""COMPUTED_VALUE"""),0.0)</f>
        <v>0</v>
      </c>
      <c r="BL24" s="1">
        <f>IFERROR(__xludf.DUMMYFUNCTION("""COMPUTED_VALUE"""),960.0)</f>
        <v>960</v>
      </c>
      <c r="BM24" s="1">
        <f>IFERROR(__xludf.DUMMYFUNCTION("""COMPUTED_VALUE"""),16.0)</f>
        <v>16</v>
      </c>
      <c r="BN24" s="2">
        <f>IFERROR(__xludf.DUMMYFUNCTION("""COMPUTED_VALUE"""),45397.0)</f>
        <v>45397</v>
      </c>
      <c r="BO24" s="1">
        <f>IFERROR(__xludf.DUMMYFUNCTION("""COMPUTED_VALUE"""),4.0)</f>
        <v>4</v>
      </c>
      <c r="BP24" s="1">
        <f>IFERROR(__xludf.DUMMYFUNCTION("""COMPUTED_VALUE"""),2024.0)</f>
        <v>2024</v>
      </c>
    </row>
    <row r="25">
      <c r="A25" s="1">
        <f>IFERROR(__xludf.DUMMYFUNCTION("""COMPUTED_VALUE"""),24.0)</f>
        <v>24</v>
      </c>
      <c r="B25" s="1">
        <f>IFERROR(__xludf.DUMMYFUNCTION("""COMPUTED_VALUE"""),1895752.0)</f>
        <v>1895752</v>
      </c>
      <c r="C25" s="1" t="str">
        <f>IFERROR(__xludf.DUMMYFUNCTION("""COMPUTED_VALUE"""),"2025-1")</f>
        <v>2025-1</v>
      </c>
      <c r="D25" s="1" t="str">
        <f>IFERROR(__xludf.DUMMYFUNCTION("""COMPUTED_VALUE"""),"Admisión Ordinaria")</f>
        <v>Admisión Ordinaria</v>
      </c>
      <c r="E25" s="2">
        <f>IFERROR(__xludf.DUMMYFUNCTION("""COMPUTED_VALUE"""),45401.0)</f>
        <v>45401</v>
      </c>
      <c r="F25" s="1" t="str">
        <f>IFERROR(__xludf.DUMMYFUNCTION("""COMPUTED_VALUE"""),"BRIGETTE EMILY")</f>
        <v>BRIGETTE EMILY</v>
      </c>
      <c r="G25" s="1" t="str">
        <f>IFERROR(__xludf.DUMMYFUNCTION("""COMPUTED_VALUE"""),"CASTRO ROBLES")</f>
        <v>CASTRO ROBLES</v>
      </c>
      <c r="H25" s="1" t="str">
        <f>IFERROR(__xludf.DUMMYFUNCTION("""COMPUTED_VALUE"""),"Diseño Gráfico Publicitario")</f>
        <v>Diseño Gráfico Publicitario</v>
      </c>
      <c r="I25" s="1" t="str">
        <f>IFERROR(__xludf.DUMMYFUNCTION("""COMPUTED_VALUE"""),"Pago Link")</f>
        <v>Pago Link</v>
      </c>
      <c r="J25" s="1" t="str">
        <f>IFERROR(__xludf.DUMMYFUNCTION("""COMPUTED_VALUE"""),"Diurno")</f>
        <v>Diurno</v>
      </c>
      <c r="K25" s="1" t="str">
        <f>IFERROR(__xludf.DUMMYFUNCTION("""COMPUTED_VALUE"""),"NUEVO")</f>
        <v>NUEVO</v>
      </c>
      <c r="L25" s="1">
        <f>IFERROR(__xludf.DUMMYFUNCTION("""COMPUTED_VALUE"""),0.0)</f>
        <v>0</v>
      </c>
      <c r="M25" s="1">
        <f>IFERROR(__xludf.DUMMYFUNCTION("""COMPUTED_VALUE"""),0.0)</f>
        <v>0</v>
      </c>
      <c r="N25" s="1" t="str">
        <f>IFERROR(__xludf.DUMMYFUNCTION("""COMPUTED_VALUE"""),"BECA")</f>
        <v>BECA</v>
      </c>
      <c r="O25" s="1" t="str">
        <f>IFERROR(__xludf.DUMMYFUNCTION("""COMPUTED_VALUE"""),"BECA CARRERAS CORE")</f>
        <v>BECA CARRERAS CORE</v>
      </c>
      <c r="P25" s="4">
        <f>IFERROR(__xludf.DUMMYFUNCTION("""COMPUTED_VALUE"""),0.0)</f>
        <v>0</v>
      </c>
      <c r="Q25" s="4">
        <f>IFERROR(__xludf.DUMMYFUNCTION("""COMPUTED_VALUE"""),0.0)</f>
        <v>0</v>
      </c>
      <c r="R25" s="4">
        <f>IFERROR(__xludf.DUMMYFUNCTION("""COMPUTED_VALUE"""),1850.0)</f>
        <v>1850</v>
      </c>
      <c r="S25" s="4">
        <f>IFERROR(__xludf.DUMMYFUNCTION("""COMPUTED_VALUE"""),1250.0)</f>
        <v>1250</v>
      </c>
      <c r="T25" s="1" t="str">
        <f>IFERROR(__xludf.DUMMYFUNCTION("""COMPUTED_VALUE"""),"NINGUNO")</f>
        <v>NINGUNO</v>
      </c>
      <c r="U25" s="1" t="str">
        <f>IFERROR(__xludf.DUMMYFUNCTION("""COMPUTED_VALUE"""),"LORENA")</f>
        <v>LORENA</v>
      </c>
      <c r="V25" s="1" t="str">
        <f>IFERROR(__xludf.DUMMYFUNCTION("""COMPUTED_VALUE"""),"-")</f>
        <v>-</v>
      </c>
      <c r="W25" s="1" t="str">
        <f>IFERROR(__xludf.DUMMYFUNCTION("""COMPUTED_VALUE"""),"-")</f>
        <v>-</v>
      </c>
      <c r="X25" s="1" t="str">
        <f>IFERROR(__xludf.DUMMYFUNCTION("""COMPUTED_VALUE"""),"-")</f>
        <v>-</v>
      </c>
      <c r="Y25" s="1" t="str">
        <f>IFERROR(__xludf.DUMMYFUNCTION("""COMPUTED_VALUE"""),"PAGO COMPLETO")</f>
        <v>PAGO COMPLETO</v>
      </c>
      <c r="Z25" s="1">
        <f>IFERROR(__xludf.DUMMYFUNCTION("""COMPUTED_VALUE"""),0.0)</f>
        <v>0</v>
      </c>
      <c r="AA25" s="1" t="str">
        <f>IFERROR(__xludf.DUMMYFUNCTION("""COMPUTED_VALUE"""),"19/04/2024")</f>
        <v>19/04/2024</v>
      </c>
      <c r="AB25" s="1">
        <f>IFERROR(__xludf.DUMMYFUNCTION("""COMPUTED_VALUE"""),1.0)</f>
        <v>1</v>
      </c>
      <c r="AC25" s="1">
        <f>IFERROR(__xludf.DUMMYFUNCTION("""COMPUTED_VALUE"""),0.0)</f>
        <v>0</v>
      </c>
      <c r="AD25" s="1" t="str">
        <f>IFERROR(__xludf.DUMMYFUNCTION("""COMPUTED_VALUE"""),"Fabiola Galindo")</f>
        <v>Fabiola Galindo</v>
      </c>
      <c r="AE25" s="1" t="str">
        <f>IFERROR(__xludf.DUMMYFUNCTION("""COMPUTED_VALUE"""),"0")</f>
        <v>0</v>
      </c>
      <c r="AF25" s="1">
        <f>IFERROR(__xludf.DUMMYFUNCTION("""COMPUTED_VALUE"""),2024.0)</f>
        <v>2024</v>
      </c>
      <c r="AG25" s="1">
        <f>IFERROR(__xludf.DUMMYFUNCTION("""COMPUTED_VALUE"""),449553.0)</f>
        <v>449553</v>
      </c>
      <c r="AH25" s="1">
        <f>IFERROR(__xludf.DUMMYFUNCTION("""COMPUTED_VALUE"""),17.0)</f>
        <v>17</v>
      </c>
      <c r="AI25" s="1" t="str">
        <f>IFERROR(__xludf.DUMMYFUNCTION("""COMPUTED_VALUE"""),"0000072488")</f>
        <v>0000072488</v>
      </c>
      <c r="AJ25" s="1">
        <f>IFERROR(__xludf.DUMMYFUNCTION("""COMPUTED_VALUE"""),6.1152208E7)</f>
        <v>61152208</v>
      </c>
      <c r="AK25" s="1">
        <f>IFERROR(__xludf.DUMMYFUNCTION("""COMPUTED_VALUE"""),9.7325192E8)</f>
        <v>973251920</v>
      </c>
      <c r="AL25" s="1" t="str">
        <f>IFERROR(__xludf.DUMMYFUNCTION("""COMPUTED_VALUE"""),"Emily.castro@colegiounion.edu.pe")</f>
        <v>Emily.castro@colegiounion.edu.pe</v>
      </c>
      <c r="AM25" s="1" t="str">
        <f>IFERROR(__xludf.DUMMYFUNCTION("""COMPUTED_VALUE"""),"FEMENINO")</f>
        <v>FEMENINO</v>
      </c>
      <c r="AN25" s="1">
        <f>IFERROR(__xludf.DUMMYFUNCTION("""COMPUTED_VALUE"""),1850.0)</f>
        <v>1850</v>
      </c>
      <c r="AO25" s="1">
        <f>IFERROR(__xludf.DUMMYFUNCTION("""COMPUTED_VALUE"""),590.0)</f>
        <v>590</v>
      </c>
      <c r="AP25" s="1" t="str">
        <f>IFERROR(__xludf.DUMMYFUNCTION("""COMPUTED_VALUE"""),"OUTBOUND")</f>
        <v>OUTBOUND</v>
      </c>
      <c r="AQ25" s="1" t="str">
        <f>IFERROR(__xludf.DUMMYFUNCTION("""COMPUTED_VALUE"""),"OUTBOUND")</f>
        <v>OUTBOUND</v>
      </c>
      <c r="AR25" s="1" t="str">
        <f>IFERROR(__xludf.DUMMYFUNCTION("""COMPUTED_VALUE"""),"HEREDADO")</f>
        <v>HEREDADO</v>
      </c>
      <c r="AS25" s="1"/>
      <c r="AT25" s="2">
        <f>IFERROR(__xludf.DUMMYFUNCTION("""COMPUTED_VALUE"""),45391.0)</f>
        <v>45391</v>
      </c>
      <c r="AU25" s="1">
        <f>IFERROR(__xludf.DUMMYFUNCTION("""COMPUTED_VALUE"""),1.0)</f>
        <v>1</v>
      </c>
      <c r="AV25" s="1" t="str">
        <f>IFERROR(__xludf.DUMMYFUNCTION("""COMPUTED_VALUE"""),"NUEVO")</f>
        <v>NUEVO</v>
      </c>
      <c r="AW25" s="1" t="str">
        <f>IFERROR(__xludf.DUMMYFUNCTION("""COMPUTED_VALUE"""),"SI")</f>
        <v>SI</v>
      </c>
      <c r="AX25" s="1"/>
      <c r="AY25" s="1" t="str">
        <f>IFERROR(__xludf.DUMMYFUNCTION("""COMPUTED_VALUE"""),"PAGO COMPLETO")</f>
        <v>PAGO COMPLETO</v>
      </c>
      <c r="AZ25" s="5">
        <f>IFERROR(__xludf.DUMMYFUNCTION("""COMPUTED_VALUE"""),45401.0)</f>
        <v>45401</v>
      </c>
      <c r="BA25" s="1">
        <f>IFERROR(__xludf.DUMMYFUNCTION("""COMPUTED_VALUE"""),0.0)</f>
        <v>0</v>
      </c>
      <c r="BB25" s="1">
        <f>IFERROR(__xludf.DUMMYFUNCTION("""COMPUTED_VALUE"""),0.0)</f>
        <v>0</v>
      </c>
      <c r="BC25" s="4">
        <f>IFERROR(__xludf.DUMMYFUNCTION("""COMPUTED_VALUE"""),0.0)</f>
        <v>0</v>
      </c>
      <c r="BD25" s="4">
        <f>IFERROR(__xludf.DUMMYFUNCTION("""COMPUTED_VALUE"""),0.0)</f>
        <v>0</v>
      </c>
      <c r="BE25" s="1">
        <f>IFERROR(__xludf.DUMMYFUNCTION("""COMPUTED_VALUE"""),4.0)</f>
        <v>4</v>
      </c>
      <c r="BF25" s="6">
        <f>IFERROR(__xludf.DUMMYFUNCTION("""COMPUTED_VALUE"""),1.0)</f>
        <v>1</v>
      </c>
      <c r="BG25" s="1">
        <f>IFERROR(__xludf.DUMMYFUNCTION("""COMPUTED_VALUE"""),1.0)</f>
        <v>1</v>
      </c>
      <c r="BH25" s="1" t="str">
        <f>IFERROR(__xludf.DUMMYFUNCTION("""COMPUTED_VALUE"""),"0")</f>
        <v>0</v>
      </c>
      <c r="BI25" s="4">
        <f>IFERROR(__xludf.DUMMYFUNCTION("""COMPUTED_VALUE"""),0.0)</f>
        <v>0</v>
      </c>
      <c r="BJ25" s="1">
        <f>IFERROR(__xludf.DUMMYFUNCTION("""COMPUTED_VALUE"""),0.0)</f>
        <v>0</v>
      </c>
      <c r="BK25" s="4">
        <f>IFERROR(__xludf.DUMMYFUNCTION("""COMPUTED_VALUE"""),0.0)</f>
        <v>0</v>
      </c>
      <c r="BL25" s="1">
        <f>IFERROR(__xludf.DUMMYFUNCTION("""COMPUTED_VALUE"""),1250.0)</f>
        <v>1250</v>
      </c>
      <c r="BM25" s="1">
        <f>IFERROR(__xludf.DUMMYFUNCTION("""COMPUTED_VALUE"""),16.0)</f>
        <v>16</v>
      </c>
      <c r="BN25" s="2">
        <f>IFERROR(__xludf.DUMMYFUNCTION("""COMPUTED_VALUE"""),45397.0)</f>
        <v>45397</v>
      </c>
      <c r="BO25" s="1">
        <f>IFERROR(__xludf.DUMMYFUNCTION("""COMPUTED_VALUE"""),4.0)</f>
        <v>4</v>
      </c>
      <c r="BP25" s="1">
        <f>IFERROR(__xludf.DUMMYFUNCTION("""COMPUTED_VALUE"""),2024.0)</f>
        <v>2024</v>
      </c>
    </row>
    <row r="26">
      <c r="A26" s="1">
        <f>IFERROR(__xludf.DUMMYFUNCTION("""COMPUTED_VALUE"""),25.0)</f>
        <v>25</v>
      </c>
      <c r="B26" s="1">
        <f>IFERROR(__xludf.DUMMYFUNCTION("""COMPUTED_VALUE"""),1660248.0)</f>
        <v>1660248</v>
      </c>
      <c r="C26" s="1" t="str">
        <f>IFERROR(__xludf.DUMMYFUNCTION("""COMPUTED_VALUE"""),"2025-1")</f>
        <v>2025-1</v>
      </c>
      <c r="D26" s="1" t="str">
        <f>IFERROR(__xludf.DUMMYFUNCTION("""COMPUTED_VALUE"""),"Admisión de Alto Rendimiento")</f>
        <v>Admisión de Alto Rendimiento</v>
      </c>
      <c r="E26" s="2">
        <f>IFERROR(__xludf.DUMMYFUNCTION("""COMPUTED_VALUE"""),45405.0)</f>
        <v>45405</v>
      </c>
      <c r="F26" s="1" t="str">
        <f>IFERROR(__xludf.DUMMYFUNCTION("""COMPUTED_VALUE"""),"MARYORY JULIANA")</f>
        <v>MARYORY JULIANA</v>
      </c>
      <c r="G26" s="1" t="str">
        <f>IFERROR(__xludf.DUMMYFUNCTION("""COMPUTED_VALUE"""),"MARTINEZ CASTILLO")</f>
        <v>MARTINEZ CASTILLO</v>
      </c>
      <c r="H26" s="1" t="str">
        <f>IFERROR(__xludf.DUMMYFUNCTION("""COMPUTED_VALUE"""),"Arquitectura de Interiores")</f>
        <v>Arquitectura de Interiores</v>
      </c>
      <c r="I26" s="1" t="str">
        <f>IFERROR(__xludf.DUMMYFUNCTION("""COMPUTED_VALUE"""),"Pago Link")</f>
        <v>Pago Link</v>
      </c>
      <c r="J26" s="1" t="str">
        <f>IFERROR(__xludf.DUMMYFUNCTION("""COMPUTED_VALUE"""),"Diurno")</f>
        <v>Diurno</v>
      </c>
      <c r="K26" s="1" t="str">
        <f>IFERROR(__xludf.DUMMYFUNCTION("""COMPUTED_VALUE"""),"NUEVO")</f>
        <v>NUEVO</v>
      </c>
      <c r="L26" s="1">
        <f>IFERROR(__xludf.DUMMYFUNCTION("""COMPUTED_VALUE"""),0.0)</f>
        <v>0</v>
      </c>
      <c r="M26" s="1">
        <f>IFERROR(__xludf.DUMMYFUNCTION("""COMPUTED_VALUE"""),0.0)</f>
        <v>0</v>
      </c>
      <c r="N26" s="1" t="str">
        <f>IFERROR(__xludf.DUMMYFUNCTION("""COMPUTED_VALUE"""),"BECA")</f>
        <v>BECA</v>
      </c>
      <c r="O26" s="1" t="str">
        <f>IFERROR(__xludf.DUMMYFUNCTION("""COMPUTED_VALUE"""),"BECA CARRERAS CORE")</f>
        <v>BECA CARRERAS CORE</v>
      </c>
      <c r="P26" s="4">
        <f>IFERROR(__xludf.DUMMYFUNCTION("""COMPUTED_VALUE"""),0.0)</f>
        <v>0</v>
      </c>
      <c r="Q26" s="4">
        <f>IFERROR(__xludf.DUMMYFUNCTION("""COMPUTED_VALUE"""),0.0)</f>
        <v>0</v>
      </c>
      <c r="R26" s="4">
        <f>IFERROR(__xludf.DUMMYFUNCTION("""COMPUTED_VALUE"""),1250.0)</f>
        <v>1250</v>
      </c>
      <c r="S26" s="4">
        <f>IFERROR(__xludf.DUMMYFUNCTION("""COMPUTED_VALUE"""),1150.0)</f>
        <v>1150</v>
      </c>
      <c r="T26" s="1" t="str">
        <f>IFERROR(__xludf.DUMMYFUNCTION("""COMPUTED_VALUE"""),"NINGUNO")</f>
        <v>NINGUNO</v>
      </c>
      <c r="U26" s="1" t="str">
        <f>IFERROR(__xludf.DUMMYFUNCTION("""COMPUTED_VALUE"""),"-")</f>
        <v>-</v>
      </c>
      <c r="V26" s="1" t="str">
        <f>IFERROR(__xludf.DUMMYFUNCTION("""COMPUTED_VALUE"""),"-")</f>
        <v>-</v>
      </c>
      <c r="W26" s="1" t="str">
        <f>IFERROR(__xludf.DUMMYFUNCTION("""COMPUTED_VALUE"""),"-")</f>
        <v>-</v>
      </c>
      <c r="X26" s="1" t="str">
        <f>IFERROR(__xludf.DUMMYFUNCTION("""COMPUTED_VALUE"""),"-")</f>
        <v>-</v>
      </c>
      <c r="Y26" s="1" t="str">
        <f>IFERROR(__xludf.DUMMYFUNCTION("""COMPUTED_VALUE"""),"PAGO COMPLETO")</f>
        <v>PAGO COMPLETO</v>
      </c>
      <c r="Z26" s="1">
        <f>IFERROR(__xludf.DUMMYFUNCTION("""COMPUTED_VALUE"""),650.0)</f>
        <v>650</v>
      </c>
      <c r="AA26" s="1" t="str">
        <f>IFERROR(__xludf.DUMMYFUNCTION("""COMPUTED_VALUE"""),"15/05/2024")</f>
        <v>15/05/2024</v>
      </c>
      <c r="AB26" s="1">
        <f>IFERROR(__xludf.DUMMYFUNCTION("""COMPUTED_VALUE"""),0.0)</f>
        <v>0</v>
      </c>
      <c r="AC26" s="1">
        <f>IFERROR(__xludf.DUMMYFUNCTION("""COMPUTED_VALUE"""),0.0)</f>
        <v>0</v>
      </c>
      <c r="AD26" s="1" t="str">
        <f>IFERROR(__xludf.DUMMYFUNCTION("""COMPUTED_VALUE"""),"Fiorella Lanegra")</f>
        <v>Fiorella Lanegra</v>
      </c>
      <c r="AE26" s="1" t="str">
        <f>IFERROR(__xludf.DUMMYFUNCTION("""COMPUTED_VALUE"""),"0")</f>
        <v>0</v>
      </c>
      <c r="AF26" s="1">
        <f>IFERROR(__xludf.DUMMYFUNCTION("""COMPUTED_VALUE"""),2024.0)</f>
        <v>2024</v>
      </c>
      <c r="AG26" s="1">
        <f>IFERROR(__xludf.DUMMYFUNCTION("""COMPUTED_VALUE"""),209536.0)</f>
        <v>209536</v>
      </c>
      <c r="AH26" s="1">
        <f>IFERROR(__xludf.DUMMYFUNCTION("""COMPUTED_VALUE"""),17.0)</f>
        <v>17</v>
      </c>
      <c r="AI26" s="1" t="str">
        <f>IFERROR(__xludf.DUMMYFUNCTION("""COMPUTED_VALUE"""),"0000074166")</f>
        <v>0000074166</v>
      </c>
      <c r="AJ26" s="1">
        <f>IFERROR(__xludf.DUMMYFUNCTION("""COMPUTED_VALUE"""),7.3255332E7)</f>
        <v>73255332</v>
      </c>
      <c r="AK26" s="1">
        <f>IFERROR(__xludf.DUMMYFUNCTION("""COMPUTED_VALUE"""),9.224424E8)</f>
        <v>922442400</v>
      </c>
      <c r="AL26" s="1" t="str">
        <f>IFERROR(__xludf.DUMMYFUNCTION("""COMPUTED_VALUE"""),"juliana.18.1803@gmail.com")</f>
        <v>juliana.18.1803@gmail.com</v>
      </c>
      <c r="AM26" s="1" t="str">
        <f>IFERROR(__xludf.DUMMYFUNCTION("""COMPUTED_VALUE"""),"FEMENINO")</f>
        <v>FEMENINO</v>
      </c>
      <c r="AN26" s="1">
        <f>IFERROR(__xludf.DUMMYFUNCTION("""COMPUTED_VALUE"""),1250.0)</f>
        <v>1250</v>
      </c>
      <c r="AO26" s="1">
        <f>IFERROR(__xludf.DUMMYFUNCTION("""COMPUTED_VALUE"""),0.0)</f>
        <v>0</v>
      </c>
      <c r="AP26" s="1" t="str">
        <f>IFERROR(__xludf.DUMMYFUNCTION("""COMPUTED_VALUE"""),"BIDIRECCIONAL")</f>
        <v>BIDIRECCIONAL</v>
      </c>
      <c r="AQ26" s="1" t="str">
        <f>IFERROR(__xludf.DUMMYFUNCTION("""COMPUTED_VALUE"""),"ORGANICO")</f>
        <v>ORGANICO</v>
      </c>
      <c r="AR26" s="1" t="str">
        <f>IFERROR(__xludf.DUMMYFUNCTION("""COMPUTED_VALUE"""),"HEREDADO")</f>
        <v>HEREDADO</v>
      </c>
      <c r="AS26" s="1"/>
      <c r="AT26" s="2">
        <f>IFERROR(__xludf.DUMMYFUNCTION("""COMPUTED_VALUE"""),45405.0)</f>
        <v>45405</v>
      </c>
      <c r="AU26" s="1">
        <f>IFERROR(__xludf.DUMMYFUNCTION("""COMPUTED_VALUE"""),1.0)</f>
        <v>1</v>
      </c>
      <c r="AV26" s="1" t="str">
        <f>IFERROR(__xludf.DUMMYFUNCTION("""COMPUTED_VALUE"""),"NUEVO")</f>
        <v>NUEVO</v>
      </c>
      <c r="AW26" s="1" t="str">
        <f>IFERROR(__xludf.DUMMYFUNCTION("""COMPUTED_VALUE"""),"SI")</f>
        <v>SI</v>
      </c>
      <c r="AX26" s="1"/>
      <c r="AY26" s="1" t="str">
        <f>IFERROR(__xludf.DUMMYFUNCTION("""COMPUTED_VALUE"""),"PAGO COMPLETO")</f>
        <v>PAGO COMPLETO</v>
      </c>
      <c r="AZ26" s="5">
        <f>IFERROR(__xludf.DUMMYFUNCTION("""COMPUTED_VALUE"""),45405.0)</f>
        <v>45405</v>
      </c>
      <c r="BA26" s="1">
        <f>IFERROR(__xludf.DUMMYFUNCTION("""COMPUTED_VALUE"""),0.0)</f>
        <v>0</v>
      </c>
      <c r="BB26" s="1">
        <f>IFERROR(__xludf.DUMMYFUNCTION("""COMPUTED_VALUE"""),0.0)</f>
        <v>0</v>
      </c>
      <c r="BC26" s="4">
        <f>IFERROR(__xludf.DUMMYFUNCTION("""COMPUTED_VALUE"""),0.0)</f>
        <v>0</v>
      </c>
      <c r="BD26" s="4">
        <f>IFERROR(__xludf.DUMMYFUNCTION("""COMPUTED_VALUE"""),0.0)</f>
        <v>0</v>
      </c>
      <c r="BE26" s="1">
        <f>IFERROR(__xludf.DUMMYFUNCTION("""COMPUTED_VALUE"""),4.0)</f>
        <v>4</v>
      </c>
      <c r="BF26" s="6">
        <f>IFERROR(__xludf.DUMMYFUNCTION("""COMPUTED_VALUE"""),1.0)</f>
        <v>1</v>
      </c>
      <c r="BG26" s="1">
        <f>IFERROR(__xludf.DUMMYFUNCTION("""COMPUTED_VALUE"""),1.0)</f>
        <v>1</v>
      </c>
      <c r="BH26" s="1" t="str">
        <f>IFERROR(__xludf.DUMMYFUNCTION("""COMPUTED_VALUE"""),"0")</f>
        <v>0</v>
      </c>
      <c r="BI26" s="4">
        <f>IFERROR(__xludf.DUMMYFUNCTION("""COMPUTED_VALUE"""),650.0)</f>
        <v>650</v>
      </c>
      <c r="BJ26" s="1">
        <f>IFERROR(__xludf.DUMMYFUNCTION("""COMPUTED_VALUE"""),0.0)</f>
        <v>0</v>
      </c>
      <c r="BK26" s="4">
        <f>IFERROR(__xludf.DUMMYFUNCTION("""COMPUTED_VALUE"""),0.0)</f>
        <v>0</v>
      </c>
      <c r="BL26" s="1">
        <f>IFERROR(__xludf.DUMMYFUNCTION("""COMPUTED_VALUE"""),1150.0)</f>
        <v>1150</v>
      </c>
      <c r="BM26" s="1">
        <f>IFERROR(__xludf.DUMMYFUNCTION("""COMPUTED_VALUE"""),17.0)</f>
        <v>17</v>
      </c>
      <c r="BN26" s="2">
        <f>IFERROR(__xludf.DUMMYFUNCTION("""COMPUTED_VALUE"""),45404.0)</f>
        <v>45404</v>
      </c>
      <c r="BO26" s="1">
        <f>IFERROR(__xludf.DUMMYFUNCTION("""COMPUTED_VALUE"""),4.0)</f>
        <v>4</v>
      </c>
      <c r="BP26" s="1">
        <f>IFERROR(__xludf.DUMMYFUNCTION("""COMPUTED_VALUE"""),2024.0)</f>
        <v>2024</v>
      </c>
    </row>
    <row r="27">
      <c r="A27" s="1">
        <f>IFERROR(__xludf.DUMMYFUNCTION("""COMPUTED_VALUE"""),26.0)</f>
        <v>26</v>
      </c>
      <c r="B27" s="1">
        <f>IFERROR(__xludf.DUMMYFUNCTION("""COMPUTED_VALUE"""),2386956.0)</f>
        <v>2386956</v>
      </c>
      <c r="C27" s="1" t="str">
        <f>IFERROR(__xludf.DUMMYFUNCTION("""COMPUTED_VALUE"""),"2025-1")</f>
        <v>2025-1</v>
      </c>
      <c r="D27" s="1" t="str">
        <f>IFERROR(__xludf.DUMMYFUNCTION("""COMPUTED_VALUE"""),"Admisión de Alto Rendimiento")</f>
        <v>Admisión de Alto Rendimiento</v>
      </c>
      <c r="E27" s="2">
        <f>IFERROR(__xludf.DUMMYFUNCTION("""COMPUTED_VALUE"""),45407.0)</f>
        <v>45407</v>
      </c>
      <c r="F27" s="1" t="str">
        <f>IFERROR(__xludf.DUMMYFUNCTION("""COMPUTED_VALUE"""),"ANGELA DEL ROCIO")</f>
        <v>ANGELA DEL ROCIO</v>
      </c>
      <c r="G27" s="1" t="str">
        <f>IFERROR(__xludf.DUMMYFUNCTION("""COMPUTED_VALUE"""),"ESPINAL LUCANA")</f>
        <v>ESPINAL LUCANA</v>
      </c>
      <c r="H27" s="1" t="str">
        <f>IFERROR(__xludf.DUMMYFUNCTION("""COMPUTED_VALUE"""),"Comunicación Audiovisual y Cine")</f>
        <v>Comunicación Audiovisual y Cine</v>
      </c>
      <c r="I27" s="1" t="str">
        <f>IFERROR(__xludf.DUMMYFUNCTION("""COMPUTED_VALUE"""),"Pago Link")</f>
        <v>Pago Link</v>
      </c>
      <c r="J27" s="1" t="str">
        <f>IFERROR(__xludf.DUMMYFUNCTION("""COMPUTED_VALUE"""),"Diurno")</f>
        <v>Diurno</v>
      </c>
      <c r="K27" s="1" t="str">
        <f>IFERROR(__xludf.DUMMYFUNCTION("""COMPUTED_VALUE"""),"NUEVO")</f>
        <v>NUEVO</v>
      </c>
      <c r="L27" s="1">
        <f>IFERROR(__xludf.DUMMYFUNCTION("""COMPUTED_VALUE"""),0.0)</f>
        <v>0</v>
      </c>
      <c r="M27" s="1">
        <f>IFERROR(__xludf.DUMMYFUNCTION("""COMPUTED_VALUE"""),0.0)</f>
        <v>0</v>
      </c>
      <c r="N27" s="1" t="str">
        <f>IFERROR(__xludf.DUMMYFUNCTION("""COMPUTED_VALUE"""),"BECA")</f>
        <v>BECA</v>
      </c>
      <c r="O27" s="1" t="str">
        <f>IFERROR(__xludf.DUMMYFUNCTION("""COMPUTED_VALUE"""),"BECA CARRERAS CORE")</f>
        <v>BECA CARRERAS CORE</v>
      </c>
      <c r="P27" s="4">
        <f>IFERROR(__xludf.DUMMYFUNCTION("""COMPUTED_VALUE"""),0.0)</f>
        <v>0</v>
      </c>
      <c r="Q27" s="4">
        <f>IFERROR(__xludf.DUMMYFUNCTION("""COMPUTED_VALUE"""),0.0)</f>
        <v>0</v>
      </c>
      <c r="R27" s="4">
        <f>IFERROR(__xludf.DUMMYFUNCTION("""COMPUTED_VALUE"""),1500.0)</f>
        <v>1500</v>
      </c>
      <c r="S27" s="4">
        <f>IFERROR(__xludf.DUMMYFUNCTION("""COMPUTED_VALUE"""),1350.0)</f>
        <v>1350</v>
      </c>
      <c r="T27" s="1" t="str">
        <f>IFERROR(__xludf.DUMMYFUNCTION("""COMPUTED_VALUE"""),"NINGUNO")</f>
        <v>NINGUNO</v>
      </c>
      <c r="U27" s="1" t="str">
        <f>IFERROR(__xludf.DUMMYFUNCTION("""COMPUTED_VALUE"""),"LORENA")</f>
        <v>LORENA</v>
      </c>
      <c r="V27" s="1" t="str">
        <f>IFERROR(__xludf.DUMMYFUNCTION("""COMPUTED_VALUE"""),"-")</f>
        <v>-</v>
      </c>
      <c r="W27" s="1" t="str">
        <f>IFERROR(__xludf.DUMMYFUNCTION("""COMPUTED_VALUE"""),"-")</f>
        <v>-</v>
      </c>
      <c r="X27" s="1" t="str">
        <f>IFERROR(__xludf.DUMMYFUNCTION("""COMPUTED_VALUE"""),"-")</f>
        <v>-</v>
      </c>
      <c r="Y27" s="1" t="str">
        <f>IFERROR(__xludf.DUMMYFUNCTION("""COMPUTED_VALUE"""),"PAGO COMPLETO")</f>
        <v>PAGO COMPLETO</v>
      </c>
      <c r="Z27" s="1">
        <f>IFERROR(__xludf.DUMMYFUNCTION("""COMPUTED_VALUE"""),675.0)</f>
        <v>675</v>
      </c>
      <c r="AA27" s="1" t="str">
        <f>IFERROR(__xludf.DUMMYFUNCTION("""COMPUTED_VALUE"""),"25/04/2024")</f>
        <v>25/04/2024</v>
      </c>
      <c r="AB27" s="1">
        <f>IFERROR(__xludf.DUMMYFUNCTION("""COMPUTED_VALUE"""),0.0)</f>
        <v>0</v>
      </c>
      <c r="AC27" s="1">
        <f>IFERROR(__xludf.DUMMYFUNCTION("""COMPUTED_VALUE"""),0.0)</f>
        <v>0</v>
      </c>
      <c r="AD27" s="1" t="str">
        <f>IFERROR(__xludf.DUMMYFUNCTION("""COMPUTED_VALUE"""),"Lohana Rivera")</f>
        <v>Lohana Rivera</v>
      </c>
      <c r="AE27" s="1" t="str">
        <f>IFERROR(__xludf.DUMMYFUNCTION("""COMPUTED_VALUE"""),"0")</f>
        <v>0</v>
      </c>
      <c r="AF27" s="1">
        <f>IFERROR(__xludf.DUMMYFUNCTION("""COMPUTED_VALUE"""),2024.0)</f>
        <v>2024</v>
      </c>
      <c r="AG27" s="1">
        <f>IFERROR(__xludf.DUMMYFUNCTION("""COMPUTED_VALUE"""),1756170.0)</f>
        <v>1756170</v>
      </c>
      <c r="AH27" s="1">
        <f>IFERROR(__xludf.DUMMYFUNCTION("""COMPUTED_VALUE"""),17.0)</f>
        <v>17</v>
      </c>
      <c r="AI27" s="1" t="str">
        <f>IFERROR(__xludf.DUMMYFUNCTION("""COMPUTED_VALUE"""),"0000060185")</f>
        <v>0000060185</v>
      </c>
      <c r="AJ27" s="1">
        <f>IFERROR(__xludf.DUMMYFUNCTION("""COMPUTED_VALUE"""),7.0738823E7)</f>
        <v>70738823</v>
      </c>
      <c r="AK27" s="1">
        <f>IFERROR(__xludf.DUMMYFUNCTION("""COMPUTED_VALUE"""),9.21135578E8)</f>
        <v>921135578</v>
      </c>
      <c r="AL27" s="1" t="str">
        <f>IFERROR(__xludf.DUMMYFUNCTION("""COMPUTED_VALUE"""),"rocio.lucanap@gmail.com")</f>
        <v>rocio.lucanap@gmail.com</v>
      </c>
      <c r="AM27" s="1" t="str">
        <f>IFERROR(__xludf.DUMMYFUNCTION("""COMPUTED_VALUE"""),"FEMENINO")</f>
        <v>FEMENINO</v>
      </c>
      <c r="AN27" s="1">
        <f>IFERROR(__xludf.DUMMYFUNCTION("""COMPUTED_VALUE"""),1500.0)</f>
        <v>1500</v>
      </c>
      <c r="AO27" s="1">
        <f>IFERROR(__xludf.DUMMYFUNCTION("""COMPUTED_VALUE"""),525.0)</f>
        <v>525</v>
      </c>
      <c r="AP27" s="1" t="str">
        <f>IFERROR(__xludf.DUMMYFUNCTION("""COMPUTED_VALUE"""),"FORMULARIO")</f>
        <v>FORMULARIO</v>
      </c>
      <c r="AQ27" s="1" t="str">
        <f>IFERROR(__xludf.DUMMYFUNCTION("""COMPUTED_VALUE"""),"SEARCH MARCA")</f>
        <v>SEARCH MARCA</v>
      </c>
      <c r="AR27" s="1" t="str">
        <f>IFERROR(__xludf.DUMMYFUNCTION("""COMPUTED_VALUE"""),"NUEVO")</f>
        <v>NUEVO</v>
      </c>
      <c r="AS27" s="1" t="str">
        <f>IFERROR(__xludf.DUMMYFUNCTION("""COMPUTED_VALUE"""),"ucal-pg-performance-sedes-abierta-cpl-search_conversion_marca-20240401")</f>
        <v>ucal-pg-performance-sedes-abierta-cpl-search_conversion_marca-20240401</v>
      </c>
      <c r="AT27" s="2">
        <f>IFERROR(__xludf.DUMMYFUNCTION("""COMPUTED_VALUE"""),45404.0)</f>
        <v>45404</v>
      </c>
      <c r="AU27" s="1">
        <f>IFERROR(__xludf.DUMMYFUNCTION("""COMPUTED_VALUE"""),1.0)</f>
        <v>1</v>
      </c>
      <c r="AV27" s="1" t="str">
        <f>IFERROR(__xludf.DUMMYFUNCTION("""COMPUTED_VALUE"""),"NUEVO")</f>
        <v>NUEVO</v>
      </c>
      <c r="AW27" s="1" t="str">
        <f>IFERROR(__xludf.DUMMYFUNCTION("""COMPUTED_VALUE"""),"SI")</f>
        <v>SI</v>
      </c>
      <c r="AX27" s="1"/>
      <c r="AY27" s="1" t="str">
        <f>IFERROR(__xludf.DUMMYFUNCTION("""COMPUTED_VALUE"""),"PAGO COMPLETO")</f>
        <v>PAGO COMPLETO</v>
      </c>
      <c r="AZ27" s="5">
        <f>IFERROR(__xludf.DUMMYFUNCTION("""COMPUTED_VALUE"""),45407.0)</f>
        <v>45407</v>
      </c>
      <c r="BA27" s="1">
        <f>IFERROR(__xludf.DUMMYFUNCTION("""COMPUTED_VALUE"""),0.0)</f>
        <v>0</v>
      </c>
      <c r="BB27" s="1">
        <f>IFERROR(__xludf.DUMMYFUNCTION("""COMPUTED_VALUE"""),0.0)</f>
        <v>0</v>
      </c>
      <c r="BC27" s="4">
        <f>IFERROR(__xludf.DUMMYFUNCTION("""COMPUTED_VALUE"""),0.0)</f>
        <v>0</v>
      </c>
      <c r="BD27" s="4">
        <f>IFERROR(__xludf.DUMMYFUNCTION("""COMPUTED_VALUE"""),0.0)</f>
        <v>0</v>
      </c>
      <c r="BE27" s="1">
        <f>IFERROR(__xludf.DUMMYFUNCTION("""COMPUTED_VALUE"""),4.0)</f>
        <v>4</v>
      </c>
      <c r="BF27" s="6">
        <f>IFERROR(__xludf.DUMMYFUNCTION("""COMPUTED_VALUE"""),1.0)</f>
        <v>1</v>
      </c>
      <c r="BG27" s="1">
        <f>IFERROR(__xludf.DUMMYFUNCTION("""COMPUTED_VALUE"""),1.0)</f>
        <v>1</v>
      </c>
      <c r="BH27" s="1" t="str">
        <f>IFERROR(__xludf.DUMMYFUNCTION("""COMPUTED_VALUE"""),"0")</f>
        <v>0</v>
      </c>
      <c r="BI27" s="4">
        <f>IFERROR(__xludf.DUMMYFUNCTION("""COMPUTED_VALUE"""),675.0)</f>
        <v>675</v>
      </c>
      <c r="BJ27" s="1">
        <f>IFERROR(__xludf.DUMMYFUNCTION("""COMPUTED_VALUE"""),0.0)</f>
        <v>0</v>
      </c>
      <c r="BK27" s="4">
        <f>IFERROR(__xludf.DUMMYFUNCTION("""COMPUTED_VALUE"""),0.0)</f>
        <v>0</v>
      </c>
      <c r="BL27" s="1">
        <f>IFERROR(__xludf.DUMMYFUNCTION("""COMPUTED_VALUE"""),1350.0)</f>
        <v>1350</v>
      </c>
      <c r="BM27" s="1">
        <f>IFERROR(__xludf.DUMMYFUNCTION("""COMPUTED_VALUE"""),17.0)</f>
        <v>17</v>
      </c>
      <c r="BN27" s="2">
        <f>IFERROR(__xludf.DUMMYFUNCTION("""COMPUTED_VALUE"""),45404.0)</f>
        <v>45404</v>
      </c>
      <c r="BO27" s="1">
        <f>IFERROR(__xludf.DUMMYFUNCTION("""COMPUTED_VALUE"""),4.0)</f>
        <v>4</v>
      </c>
      <c r="BP27" s="1">
        <f>IFERROR(__xludf.DUMMYFUNCTION("""COMPUTED_VALUE"""),2024.0)</f>
        <v>2024</v>
      </c>
    </row>
    <row r="28">
      <c r="A28" s="1">
        <f>IFERROR(__xludf.DUMMYFUNCTION("""COMPUTED_VALUE"""),27.0)</f>
        <v>27</v>
      </c>
      <c r="B28" s="1">
        <f>IFERROR(__xludf.DUMMYFUNCTION("""COMPUTED_VALUE"""),2603388.0)</f>
        <v>2603388</v>
      </c>
      <c r="C28" s="1" t="str">
        <f>IFERROR(__xludf.DUMMYFUNCTION("""COMPUTED_VALUE"""),"2025-1")</f>
        <v>2025-1</v>
      </c>
      <c r="D28" s="1" t="str">
        <f>IFERROR(__xludf.DUMMYFUNCTION("""COMPUTED_VALUE"""),"Admisión Ordinaria")</f>
        <v>Admisión Ordinaria</v>
      </c>
      <c r="E28" s="2">
        <f>IFERROR(__xludf.DUMMYFUNCTION("""COMPUTED_VALUE"""),45408.0)</f>
        <v>45408</v>
      </c>
      <c r="F28" s="1" t="str">
        <f>IFERROR(__xludf.DUMMYFUNCTION("""COMPUTED_VALUE"""),"SANTIAGO FELIPE")</f>
        <v>SANTIAGO FELIPE</v>
      </c>
      <c r="G28" s="1" t="str">
        <f>IFERROR(__xludf.DUMMYFUNCTION("""COMPUTED_VALUE"""),"RODRÍGUEZ TORRES")</f>
        <v>RODRÍGUEZ TORRES</v>
      </c>
      <c r="H28" s="1" t="str">
        <f>IFERROR(__xludf.DUMMYFUNCTION("""COMPUTED_VALUE"""),"Comunicación Audiovisual y Cine")</f>
        <v>Comunicación Audiovisual y Cine</v>
      </c>
      <c r="I28" s="1" t="str">
        <f>IFERROR(__xludf.DUMMYFUNCTION("""COMPUTED_VALUE"""),"POS")</f>
        <v>POS</v>
      </c>
      <c r="J28" s="1" t="str">
        <f>IFERROR(__xludf.DUMMYFUNCTION("""COMPUTED_VALUE"""),"Diurno")</f>
        <v>Diurno</v>
      </c>
      <c r="K28" s="1" t="str">
        <f>IFERROR(__xludf.DUMMYFUNCTION("""COMPUTED_VALUE"""),"NUEVO")</f>
        <v>NUEVO</v>
      </c>
      <c r="L28" s="1">
        <f>IFERROR(__xludf.DUMMYFUNCTION("""COMPUTED_VALUE"""),0.0)</f>
        <v>0</v>
      </c>
      <c r="M28" s="1">
        <f>IFERROR(__xludf.DUMMYFUNCTION("""COMPUTED_VALUE"""),0.0)</f>
        <v>0</v>
      </c>
      <c r="N28" s="1" t="str">
        <f>IFERROR(__xludf.DUMMYFUNCTION("""COMPUTED_VALUE"""),"BECA")</f>
        <v>BECA</v>
      </c>
      <c r="O28" s="1" t="str">
        <f>IFERROR(__xludf.DUMMYFUNCTION("""COMPUTED_VALUE"""),"BECA CARRERAS CORE")</f>
        <v>BECA CARRERAS CORE</v>
      </c>
      <c r="P28" s="4">
        <f>IFERROR(__xludf.DUMMYFUNCTION("""COMPUTED_VALUE"""),0.0)</f>
        <v>0</v>
      </c>
      <c r="Q28" s="4">
        <f>IFERROR(__xludf.DUMMYFUNCTION("""COMPUTED_VALUE"""),0.0)</f>
        <v>0</v>
      </c>
      <c r="R28" s="4">
        <f>IFERROR(__xludf.DUMMYFUNCTION("""COMPUTED_VALUE"""),1700.0)</f>
        <v>1700</v>
      </c>
      <c r="S28" s="4">
        <f>IFERROR(__xludf.DUMMYFUNCTION("""COMPUTED_VALUE"""),1450.0)</f>
        <v>1450</v>
      </c>
      <c r="T28" s="1" t="str">
        <f>IFERROR(__xludf.DUMMYFUNCTION("""COMPUTED_VALUE"""),"NINGUNO")</f>
        <v>NINGUNO</v>
      </c>
      <c r="U28" s="1" t="str">
        <f>IFERROR(__xludf.DUMMYFUNCTION("""COMPUTED_VALUE"""),"LORENA")</f>
        <v>LORENA</v>
      </c>
      <c r="V28" s="1" t="str">
        <f>IFERROR(__xludf.DUMMYFUNCTION("""COMPUTED_VALUE"""),"-")</f>
        <v>-</v>
      </c>
      <c r="W28" s="1" t="str">
        <f>IFERROR(__xludf.DUMMYFUNCTION("""COMPUTED_VALUE"""),"-")</f>
        <v>-</v>
      </c>
      <c r="X28" s="1" t="str">
        <f>IFERROR(__xludf.DUMMYFUNCTION("""COMPUTED_VALUE"""),"-")</f>
        <v>-</v>
      </c>
      <c r="Y28" s="1" t="str">
        <f>IFERROR(__xludf.DUMMYFUNCTION("""COMPUTED_VALUE"""),"PAGO COMPLETO")</f>
        <v>PAGO COMPLETO</v>
      </c>
      <c r="Z28" s="1">
        <f>IFERROR(__xludf.DUMMYFUNCTION("""COMPUTED_VALUE"""),0.0)</f>
        <v>0</v>
      </c>
      <c r="AA28" s="1" t="str">
        <f>IFERROR(__xludf.DUMMYFUNCTION("""COMPUTED_VALUE"""),"26/04/2024")</f>
        <v>26/04/2024</v>
      </c>
      <c r="AB28" s="1">
        <f>IFERROR(__xludf.DUMMYFUNCTION("""COMPUTED_VALUE"""),0.0)</f>
        <v>0</v>
      </c>
      <c r="AC28" s="1">
        <f>IFERROR(__xludf.DUMMYFUNCTION("""COMPUTED_VALUE"""),0.0)</f>
        <v>0</v>
      </c>
      <c r="AD28" s="1" t="str">
        <f>IFERROR(__xludf.DUMMYFUNCTION("""COMPUTED_VALUE"""),"Dina Chuquipoma")</f>
        <v>Dina Chuquipoma</v>
      </c>
      <c r="AE28" s="1" t="str">
        <f>IFERROR(__xludf.DUMMYFUNCTION("""COMPUTED_VALUE"""),"0")</f>
        <v>0</v>
      </c>
      <c r="AF28" s="1">
        <f>IFERROR(__xludf.DUMMYFUNCTION("""COMPUTED_VALUE"""),2024.0)</f>
        <v>2024</v>
      </c>
      <c r="AG28" s="1">
        <f>IFERROR(__xludf.DUMMYFUNCTION("""COMPUTED_VALUE"""),316554.0)</f>
        <v>316554</v>
      </c>
      <c r="AH28" s="1">
        <f>IFERROR(__xludf.DUMMYFUNCTION("""COMPUTED_VALUE"""),17.0)</f>
        <v>17</v>
      </c>
      <c r="AI28" s="1" t="str">
        <f>IFERROR(__xludf.DUMMYFUNCTION("""COMPUTED_VALUE"""),"0000374627")</f>
        <v>0000374627</v>
      </c>
      <c r="AJ28" s="1">
        <f>IFERROR(__xludf.DUMMYFUNCTION("""COMPUTED_VALUE"""),7.0959473E7)</f>
        <v>70959473</v>
      </c>
      <c r="AK28" s="1">
        <f>IFERROR(__xludf.DUMMYFUNCTION("""COMPUTED_VALUE"""),9.82506877E8)</f>
        <v>982506877</v>
      </c>
      <c r="AL28" s="1" t="str">
        <f>IFERROR(__xludf.DUMMYFUNCTION("""COMPUTED_VALUE"""),"ysanti288@gmail.com")</f>
        <v>ysanti288@gmail.com</v>
      </c>
      <c r="AM28" s="1" t="str">
        <f>IFERROR(__xludf.DUMMYFUNCTION("""COMPUTED_VALUE"""),"MASCULINO")</f>
        <v>MASCULINO</v>
      </c>
      <c r="AN28" s="1">
        <f>IFERROR(__xludf.DUMMYFUNCTION("""COMPUTED_VALUE"""),1700.0)</f>
        <v>1700</v>
      </c>
      <c r="AO28" s="1">
        <f>IFERROR(__xludf.DUMMYFUNCTION("""COMPUTED_VALUE"""),1200.0)</f>
        <v>1200</v>
      </c>
      <c r="AP28" s="1" t="str">
        <f>IFERROR(__xludf.DUMMYFUNCTION("""COMPUTED_VALUE"""),"OUTBOUND")</f>
        <v>OUTBOUND</v>
      </c>
      <c r="AQ28" s="1" t="str">
        <f>IFERROR(__xludf.DUMMYFUNCTION("""COMPUTED_VALUE"""),"OUTBOUND")</f>
        <v>OUTBOUND</v>
      </c>
      <c r="AR28" s="1" t="str">
        <f>IFERROR(__xludf.DUMMYFUNCTION("""COMPUTED_VALUE"""),"HEREDADO")</f>
        <v>HEREDADO</v>
      </c>
      <c r="AS28" s="1"/>
      <c r="AT28" s="2">
        <f>IFERROR(__xludf.DUMMYFUNCTION("""COMPUTED_VALUE"""),45408.0)</f>
        <v>45408</v>
      </c>
      <c r="AU28" s="1">
        <f>IFERROR(__xludf.DUMMYFUNCTION("""COMPUTED_VALUE"""),1.0)</f>
        <v>1</v>
      </c>
      <c r="AV28" s="1" t="str">
        <f>IFERROR(__xludf.DUMMYFUNCTION("""COMPUTED_VALUE"""),"NUEVO")</f>
        <v>NUEVO</v>
      </c>
      <c r="AW28" s="1" t="str">
        <f>IFERROR(__xludf.DUMMYFUNCTION("""COMPUTED_VALUE"""),"SI")</f>
        <v>SI</v>
      </c>
      <c r="AX28" s="1"/>
      <c r="AY28" s="1" t="str">
        <f>IFERROR(__xludf.DUMMYFUNCTION("""COMPUTED_VALUE"""),"PAGO COMPLETO")</f>
        <v>PAGO COMPLETO</v>
      </c>
      <c r="AZ28" s="5">
        <f>IFERROR(__xludf.DUMMYFUNCTION("""COMPUTED_VALUE"""),45408.0)</f>
        <v>45408</v>
      </c>
      <c r="BA28" s="1">
        <f>IFERROR(__xludf.DUMMYFUNCTION("""COMPUTED_VALUE"""),0.0)</f>
        <v>0</v>
      </c>
      <c r="BB28" s="1">
        <f>IFERROR(__xludf.DUMMYFUNCTION("""COMPUTED_VALUE"""),0.0)</f>
        <v>0</v>
      </c>
      <c r="BC28" s="4">
        <f>IFERROR(__xludf.DUMMYFUNCTION("""COMPUTED_VALUE"""),0.0)</f>
        <v>0</v>
      </c>
      <c r="BD28" s="4">
        <f>IFERROR(__xludf.DUMMYFUNCTION("""COMPUTED_VALUE"""),0.0)</f>
        <v>0</v>
      </c>
      <c r="BE28" s="1">
        <f>IFERROR(__xludf.DUMMYFUNCTION("""COMPUTED_VALUE"""),4.0)</f>
        <v>4</v>
      </c>
      <c r="BF28" s="6">
        <f>IFERROR(__xludf.DUMMYFUNCTION("""COMPUTED_VALUE"""),1.0)</f>
        <v>1</v>
      </c>
      <c r="BG28" s="1">
        <f>IFERROR(__xludf.DUMMYFUNCTION("""COMPUTED_VALUE"""),1.0)</f>
        <v>1</v>
      </c>
      <c r="BH28" s="1" t="str">
        <f>IFERROR(__xludf.DUMMYFUNCTION("""COMPUTED_VALUE"""),"0")</f>
        <v>0</v>
      </c>
      <c r="BI28" s="4">
        <f>IFERROR(__xludf.DUMMYFUNCTION("""COMPUTED_VALUE"""),0.0)</f>
        <v>0</v>
      </c>
      <c r="BJ28" s="1">
        <f>IFERROR(__xludf.DUMMYFUNCTION("""COMPUTED_VALUE"""),0.0)</f>
        <v>0</v>
      </c>
      <c r="BK28" s="4">
        <f>IFERROR(__xludf.DUMMYFUNCTION("""COMPUTED_VALUE"""),0.0)</f>
        <v>0</v>
      </c>
      <c r="BL28" s="1">
        <f>IFERROR(__xludf.DUMMYFUNCTION("""COMPUTED_VALUE"""),1450.0)</f>
        <v>1450</v>
      </c>
      <c r="BM28" s="1">
        <f>IFERROR(__xludf.DUMMYFUNCTION("""COMPUTED_VALUE"""),17.0)</f>
        <v>17</v>
      </c>
      <c r="BN28" s="2">
        <f>IFERROR(__xludf.DUMMYFUNCTION("""COMPUTED_VALUE"""),45404.0)</f>
        <v>45404</v>
      </c>
      <c r="BO28" s="1">
        <f>IFERROR(__xludf.DUMMYFUNCTION("""COMPUTED_VALUE"""),4.0)</f>
        <v>4</v>
      </c>
      <c r="BP28" s="1">
        <f>IFERROR(__xludf.DUMMYFUNCTION("""COMPUTED_VALUE"""),2024.0)</f>
        <v>2024</v>
      </c>
    </row>
    <row r="29">
      <c r="A29" s="1">
        <f>IFERROR(__xludf.DUMMYFUNCTION("""COMPUTED_VALUE"""),28.0)</f>
        <v>28</v>
      </c>
      <c r="B29" s="1">
        <f>IFERROR(__xludf.DUMMYFUNCTION("""COMPUTED_VALUE"""),1023905.0)</f>
        <v>1023905</v>
      </c>
      <c r="C29" s="1" t="str">
        <f>IFERROR(__xludf.DUMMYFUNCTION("""COMPUTED_VALUE"""),"2025-1")</f>
        <v>2025-1</v>
      </c>
      <c r="D29" s="1" t="str">
        <f>IFERROR(__xludf.DUMMYFUNCTION("""COMPUTED_VALUE"""),"Admisión de Alto Rendimiento")</f>
        <v>Admisión de Alto Rendimiento</v>
      </c>
      <c r="E29" s="2">
        <f>IFERROR(__xludf.DUMMYFUNCTION("""COMPUTED_VALUE"""),45416.0)</f>
        <v>45416</v>
      </c>
      <c r="F29" s="1" t="str">
        <f>IFERROR(__xludf.DUMMYFUNCTION("""COMPUTED_VALUE"""),"TATIANA ALEXANDRA")</f>
        <v>TATIANA ALEXANDRA</v>
      </c>
      <c r="G29" s="1" t="str">
        <f>IFERROR(__xludf.DUMMYFUNCTION("""COMPUTED_VALUE"""),"SALVADOR ARELLANO")</f>
        <v>SALVADOR ARELLANO</v>
      </c>
      <c r="H29" s="1" t="str">
        <f>IFERROR(__xludf.DUMMYFUNCTION("""COMPUTED_VALUE"""),"Comunicación y Publicidad Transmedia")</f>
        <v>Comunicación y Publicidad Transmedia</v>
      </c>
      <c r="I29" s="1" t="str">
        <f>IFERROR(__xludf.DUMMYFUNCTION("""COMPUTED_VALUE"""),"CARGO")</f>
        <v>CARGO</v>
      </c>
      <c r="J29" s="1" t="str">
        <f>IFERROR(__xludf.DUMMYFUNCTION("""COMPUTED_VALUE"""),"Diurno")</f>
        <v>Diurno</v>
      </c>
      <c r="K29" s="1" t="str">
        <f>IFERROR(__xludf.DUMMYFUNCTION("""COMPUTED_VALUE"""),"NUEVO")</f>
        <v>NUEVO</v>
      </c>
      <c r="L29" s="1">
        <f>IFERROR(__xludf.DUMMYFUNCTION("""COMPUTED_VALUE"""),0.0)</f>
        <v>0</v>
      </c>
      <c r="M29" s="1">
        <f>IFERROR(__xludf.DUMMYFUNCTION("""COMPUTED_VALUE"""),0.0)</f>
        <v>0</v>
      </c>
      <c r="N29" s="1" t="str">
        <f>IFERROR(__xludf.DUMMYFUNCTION("""COMPUTED_VALUE"""),"BECA")</f>
        <v>BECA</v>
      </c>
      <c r="O29" s="1" t="str">
        <f>IFERROR(__xludf.DUMMYFUNCTION("""COMPUTED_VALUE"""),"BECA CARRERAS CORE")</f>
        <v>BECA CARRERAS CORE</v>
      </c>
      <c r="P29" s="4">
        <f>IFERROR(__xludf.DUMMYFUNCTION("""COMPUTED_VALUE"""),0.0)</f>
        <v>0</v>
      </c>
      <c r="Q29" s="4">
        <f>IFERROR(__xludf.DUMMYFUNCTION("""COMPUTED_VALUE"""),250.0)</f>
        <v>250</v>
      </c>
      <c r="R29" s="4">
        <f>IFERROR(__xludf.DUMMYFUNCTION("""COMPUTED_VALUE"""),1250.0)</f>
        <v>1250</v>
      </c>
      <c r="S29" s="4">
        <f>IFERROR(__xludf.DUMMYFUNCTION("""COMPUTED_VALUE"""),1000.0)</f>
        <v>1000</v>
      </c>
      <c r="T29" s="1" t="str">
        <f>IFERROR(__xludf.DUMMYFUNCTION("""COMPUTED_VALUE"""),"NINGUNO")</f>
        <v>NINGUNO</v>
      </c>
      <c r="U29" s="1" t="str">
        <f>IFERROR(__xludf.DUMMYFUNCTION("""COMPUTED_VALUE"""),"-")</f>
        <v>-</v>
      </c>
      <c r="V29" s="1" t="str">
        <f>IFERROR(__xludf.DUMMYFUNCTION("""COMPUTED_VALUE"""),"-")</f>
        <v>-</v>
      </c>
      <c r="W29" s="1" t="str">
        <f>IFERROR(__xludf.DUMMYFUNCTION("""COMPUTED_VALUE"""),"-")</f>
        <v>-</v>
      </c>
      <c r="X29" s="1" t="str">
        <f>IFERROR(__xludf.DUMMYFUNCTION("""COMPUTED_VALUE"""),"-")</f>
        <v>-</v>
      </c>
      <c r="Y29" s="1" t="str">
        <f>IFERROR(__xludf.DUMMYFUNCTION("""COMPUTED_VALUE"""),"PAGO FRACCIONADO")</f>
        <v>PAGO FRACCIONADO</v>
      </c>
      <c r="Z29" s="1">
        <f>IFERROR(__xludf.DUMMYFUNCTION("""COMPUTED_VALUE"""),550.0)</f>
        <v>550</v>
      </c>
      <c r="AA29" s="1" t="str">
        <f>IFERROR(__xludf.DUMMYFUNCTION("""COMPUTED_VALUE"""),"-")</f>
        <v>-</v>
      </c>
      <c r="AB29" s="1">
        <f>IFERROR(__xludf.DUMMYFUNCTION("""COMPUTED_VALUE"""),0.0)</f>
        <v>0</v>
      </c>
      <c r="AC29" s="1">
        <f>IFERROR(__xludf.DUMMYFUNCTION("""COMPUTED_VALUE"""),0.0)</f>
        <v>0</v>
      </c>
      <c r="AD29" s="1" t="str">
        <f>IFERROR(__xludf.DUMMYFUNCTION("""COMPUTED_VALUE"""),"Jose Raul Mendez  Nonajulca")</f>
        <v>Jose Raul Mendez  Nonajulca</v>
      </c>
      <c r="AE29" s="1" t="str">
        <f>IFERROR(__xludf.DUMMYFUNCTION("""COMPUTED_VALUE"""),"0")</f>
        <v>0</v>
      </c>
      <c r="AF29" s="1">
        <f>IFERROR(__xludf.DUMMYFUNCTION("""COMPUTED_VALUE"""),2024.0)</f>
        <v>2024</v>
      </c>
      <c r="AG29" s="1">
        <f>IFERROR(__xludf.DUMMYFUNCTION("""COMPUTED_VALUE"""),466383.0)</f>
        <v>466383</v>
      </c>
      <c r="AH29" s="1">
        <f>IFERROR(__xludf.DUMMYFUNCTION("""COMPUTED_VALUE"""),17.0)</f>
        <v>17</v>
      </c>
      <c r="AI29" s="1" t="str">
        <f>IFERROR(__xludf.DUMMYFUNCTION("""COMPUTED_VALUE"""),"0000375568")</f>
        <v>0000375568</v>
      </c>
      <c r="AJ29" s="1">
        <f>IFERROR(__xludf.DUMMYFUNCTION("""COMPUTED_VALUE"""),6.1010808E7)</f>
        <v>61010808</v>
      </c>
      <c r="AK29" s="1">
        <f>IFERROR(__xludf.DUMMYFUNCTION("""COMPUTED_VALUE"""),9.77355027E8)</f>
        <v>977355027</v>
      </c>
      <c r="AL29" s="1" t="str">
        <f>IFERROR(__xludf.DUMMYFUNCTION("""COMPUTED_VALUE"""),"alesalvadorarellano@gmail.com")</f>
        <v>alesalvadorarellano@gmail.com</v>
      </c>
      <c r="AM29" s="1" t="str">
        <f>IFERROR(__xludf.DUMMYFUNCTION("""COMPUTED_VALUE"""),"FEMENINO")</f>
        <v>FEMENINO</v>
      </c>
      <c r="AN29" s="1">
        <f>IFERROR(__xludf.DUMMYFUNCTION("""COMPUTED_VALUE"""),1250.0)</f>
        <v>1250</v>
      </c>
      <c r="AO29" s="1">
        <f>IFERROR(__xludf.DUMMYFUNCTION("""COMPUTED_VALUE"""),0.0)</f>
        <v>0</v>
      </c>
      <c r="AP29" s="1" t="str">
        <f>IFERROR(__xludf.DUMMYFUNCTION("""COMPUTED_VALUE"""),"FORMULARIO")</f>
        <v>FORMULARIO</v>
      </c>
      <c r="AQ29" s="1" t="str">
        <f>IFERROR(__xludf.DUMMYFUNCTION("""COMPUTED_VALUE"""),"SEARCH CARRERA")</f>
        <v>SEARCH CARRERA</v>
      </c>
      <c r="AR29" s="1" t="str">
        <f>IFERROR(__xludf.DUMMYFUNCTION("""COMPUTED_VALUE"""),"NUEVO")</f>
        <v>NUEVO</v>
      </c>
      <c r="AS29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29" s="2">
        <f>IFERROR(__xludf.DUMMYFUNCTION("""COMPUTED_VALUE"""),45411.0)</f>
        <v>45411</v>
      </c>
      <c r="AU29" s="1">
        <f>IFERROR(__xludf.DUMMYFUNCTION("""COMPUTED_VALUE"""),1.0)</f>
        <v>1</v>
      </c>
      <c r="AV29" s="1" t="str">
        <f>IFERROR(__xludf.DUMMYFUNCTION("""COMPUTED_VALUE"""),"NUEVO")</f>
        <v>NUEVO</v>
      </c>
      <c r="AW29" s="1" t="str">
        <f>IFERROR(__xludf.DUMMYFUNCTION("""COMPUTED_VALUE"""),"SI")</f>
        <v>SI</v>
      </c>
      <c r="AX29" s="1"/>
      <c r="AY29" s="1" t="str">
        <f>IFERROR(__xludf.DUMMYFUNCTION("""COMPUTED_VALUE"""),"PAGO COMPLETO")</f>
        <v>PAGO COMPLETO</v>
      </c>
      <c r="AZ29" s="5">
        <f>IFERROR(__xludf.DUMMYFUNCTION("""COMPUTED_VALUE"""),45565.0)</f>
        <v>45565</v>
      </c>
      <c r="BA29" s="1">
        <f>IFERROR(__xludf.DUMMYFUNCTION("""COMPUTED_VALUE"""),700.0)</f>
        <v>700</v>
      </c>
      <c r="BB29" s="1">
        <f>IFERROR(__xludf.DUMMYFUNCTION("""COMPUTED_VALUE"""),0.0)</f>
        <v>0</v>
      </c>
      <c r="BC29" s="4">
        <f>IFERROR(__xludf.DUMMYFUNCTION("""COMPUTED_VALUE"""),0.0)</f>
        <v>0</v>
      </c>
      <c r="BD29" s="4">
        <f>IFERROR(__xludf.DUMMYFUNCTION("""COMPUTED_VALUE"""),0.0)</f>
        <v>0</v>
      </c>
      <c r="BE29" s="1">
        <f>IFERROR(__xludf.DUMMYFUNCTION("""COMPUTED_VALUE"""),5.0)</f>
        <v>5</v>
      </c>
      <c r="BF29" s="6">
        <f>IFERROR(__xludf.DUMMYFUNCTION("""COMPUTED_VALUE"""),1.0)</f>
        <v>1</v>
      </c>
      <c r="BG29" s="1">
        <f>IFERROR(__xludf.DUMMYFUNCTION("""COMPUTED_VALUE"""),1.0)</f>
        <v>1</v>
      </c>
      <c r="BH29" s="1" t="str">
        <f>IFERROR(__xludf.DUMMYFUNCTION("""COMPUTED_VALUE"""),"0")</f>
        <v>0</v>
      </c>
      <c r="BI29" s="4">
        <f>IFERROR(__xludf.DUMMYFUNCTION("""COMPUTED_VALUE"""),1250.0)</f>
        <v>1250</v>
      </c>
      <c r="BJ29" s="1">
        <f>IFERROR(__xludf.DUMMYFUNCTION("""COMPUTED_VALUE"""),0.0)</f>
        <v>0</v>
      </c>
      <c r="BK29" s="4">
        <f>IFERROR(__xludf.DUMMYFUNCTION("""COMPUTED_VALUE"""),0.0)</f>
        <v>0</v>
      </c>
      <c r="BL29" s="1">
        <f>IFERROR(__xludf.DUMMYFUNCTION("""COMPUTED_VALUE"""),1000.0)</f>
        <v>1000</v>
      </c>
      <c r="BM29" s="1">
        <f>IFERROR(__xludf.DUMMYFUNCTION("""COMPUTED_VALUE"""),18.0)</f>
        <v>18</v>
      </c>
      <c r="BN29" s="2">
        <f>IFERROR(__xludf.DUMMYFUNCTION("""COMPUTED_VALUE"""),45411.0)</f>
        <v>45411</v>
      </c>
      <c r="BO29" s="1">
        <f>IFERROR(__xludf.DUMMYFUNCTION("""COMPUTED_VALUE"""),5.0)</f>
        <v>5</v>
      </c>
      <c r="BP29" s="1">
        <f>IFERROR(__xludf.DUMMYFUNCTION("""COMPUTED_VALUE"""),2024.0)</f>
        <v>2024</v>
      </c>
    </row>
    <row r="30">
      <c r="A30" s="1">
        <f>IFERROR(__xludf.DUMMYFUNCTION("""COMPUTED_VALUE"""),29.0)</f>
        <v>29</v>
      </c>
      <c r="B30" s="1">
        <f>IFERROR(__xludf.DUMMYFUNCTION("""COMPUTED_VALUE"""),923836.0)</f>
        <v>923836</v>
      </c>
      <c r="C30" s="1" t="str">
        <f>IFERROR(__xludf.DUMMYFUNCTION("""COMPUTED_VALUE"""),"2025-1")</f>
        <v>2025-1</v>
      </c>
      <c r="D30" s="1" t="str">
        <f>IFERROR(__xludf.DUMMYFUNCTION("""COMPUTED_VALUE"""),"Admisión de Alto Rendimiento")</f>
        <v>Admisión de Alto Rendimiento</v>
      </c>
      <c r="E30" s="2">
        <f>IFERROR(__xludf.DUMMYFUNCTION("""COMPUTED_VALUE"""),45416.0)</f>
        <v>45416</v>
      </c>
      <c r="F30" s="1" t="str">
        <f>IFERROR(__xludf.DUMMYFUNCTION("""COMPUTED_VALUE"""),"DEREK DANIEL")</f>
        <v>DEREK DANIEL</v>
      </c>
      <c r="G30" s="1" t="str">
        <f>IFERROR(__xludf.DUMMYFUNCTION("""COMPUTED_VALUE"""),"SOSA RAMOS")</f>
        <v>SOSA RAMOS</v>
      </c>
      <c r="H30" s="1" t="str">
        <f>IFERROR(__xludf.DUMMYFUNCTION("""COMPUTED_VALUE"""),"Comunicación Audiovisual y Cine")</f>
        <v>Comunicación Audiovisual y Cine</v>
      </c>
      <c r="I30" s="1" t="str">
        <f>IFERROR(__xludf.DUMMYFUNCTION("""COMPUTED_VALUE"""),"Pago Link")</f>
        <v>Pago Link</v>
      </c>
      <c r="J30" s="1" t="str">
        <f>IFERROR(__xludf.DUMMYFUNCTION("""COMPUTED_VALUE"""),"Diurno")</f>
        <v>Diurno</v>
      </c>
      <c r="K30" s="1" t="str">
        <f>IFERROR(__xludf.DUMMYFUNCTION("""COMPUTED_VALUE"""),"NUEVO")</f>
        <v>NUEVO</v>
      </c>
      <c r="L30" s="1">
        <f>IFERROR(__xludf.DUMMYFUNCTION("""COMPUTED_VALUE"""),0.0)</f>
        <v>0</v>
      </c>
      <c r="M30" s="1">
        <f>IFERROR(__xludf.DUMMYFUNCTION("""COMPUTED_VALUE"""),0.0)</f>
        <v>0</v>
      </c>
      <c r="N30" s="1" t="str">
        <f>IFERROR(__xludf.DUMMYFUNCTION("""COMPUTED_VALUE"""),"BECA")</f>
        <v>BECA</v>
      </c>
      <c r="O30" s="1" t="str">
        <f>IFERROR(__xludf.DUMMYFUNCTION("""COMPUTED_VALUE"""),"BECA CARRERAS CORE")</f>
        <v>BECA CARRERAS CORE</v>
      </c>
      <c r="P30" s="4">
        <f>IFERROR(__xludf.DUMMYFUNCTION("""COMPUTED_VALUE"""),0.0)</f>
        <v>0</v>
      </c>
      <c r="Q30" s="4">
        <f>IFERROR(__xludf.DUMMYFUNCTION("""COMPUTED_VALUE"""),0.0)</f>
        <v>0</v>
      </c>
      <c r="R30" s="4">
        <f>IFERROR(__xludf.DUMMYFUNCTION("""COMPUTED_VALUE"""),1700.0)</f>
        <v>1700</v>
      </c>
      <c r="S30" s="4">
        <f>IFERROR(__xludf.DUMMYFUNCTION("""COMPUTED_VALUE"""),1450.0)</f>
        <v>1450</v>
      </c>
      <c r="T30" s="1" t="str">
        <f>IFERROR(__xludf.DUMMYFUNCTION("""COMPUTED_VALUE"""),"NINGUNO")</f>
        <v>NINGUNO</v>
      </c>
      <c r="U30" s="1" t="str">
        <f>IFERROR(__xludf.DUMMYFUNCTION("""COMPUTED_VALUE"""),"-")</f>
        <v>-</v>
      </c>
      <c r="V30" s="1" t="str">
        <f>IFERROR(__xludf.DUMMYFUNCTION("""COMPUTED_VALUE"""),"-")</f>
        <v>-</v>
      </c>
      <c r="W30" s="1" t="str">
        <f>IFERROR(__xludf.DUMMYFUNCTION("""COMPUTED_VALUE"""),"-")</f>
        <v>-</v>
      </c>
      <c r="X30" s="1" t="str">
        <f>IFERROR(__xludf.DUMMYFUNCTION("""COMPUTED_VALUE"""),"-")</f>
        <v>-</v>
      </c>
      <c r="Y30" s="1" t="str">
        <f>IFERROR(__xludf.DUMMYFUNCTION("""COMPUTED_VALUE"""),"PAGO COMPLETO")</f>
        <v>PAGO COMPLETO</v>
      </c>
      <c r="Z30" s="1">
        <f>IFERROR(__xludf.DUMMYFUNCTION("""COMPUTED_VALUE"""),700.0)</f>
        <v>700</v>
      </c>
      <c r="AA30" s="1" t="str">
        <f>IFERROR(__xludf.DUMMYFUNCTION("""COMPUTED_VALUE"""),"15/05/2024 17:52:45")</f>
        <v>15/05/2024 17:52:45</v>
      </c>
      <c r="AB30" s="1">
        <f>IFERROR(__xludf.DUMMYFUNCTION("""COMPUTED_VALUE"""),0.0)</f>
        <v>0</v>
      </c>
      <c r="AC30" s="1">
        <f>IFERROR(__xludf.DUMMYFUNCTION("""COMPUTED_VALUE"""),0.0)</f>
        <v>0</v>
      </c>
      <c r="AD30" s="1" t="str">
        <f>IFERROR(__xludf.DUMMYFUNCTION("""COMPUTED_VALUE"""),"Cinthia Mariella Orosco")</f>
        <v>Cinthia Mariella Orosco</v>
      </c>
      <c r="AE30" s="1" t="str">
        <f>IFERROR(__xludf.DUMMYFUNCTION("""COMPUTED_VALUE"""),"0")</f>
        <v>0</v>
      </c>
      <c r="AF30" s="1">
        <f>IFERROR(__xludf.DUMMYFUNCTION("""COMPUTED_VALUE"""),2024.0)</f>
        <v>2024</v>
      </c>
      <c r="AG30" s="1">
        <f>IFERROR(__xludf.DUMMYFUNCTION("""COMPUTED_VALUE"""),578617.0)</f>
        <v>578617</v>
      </c>
      <c r="AH30" s="1">
        <f>IFERROR(__xludf.DUMMYFUNCTION("""COMPUTED_VALUE"""),16.0)</f>
        <v>16</v>
      </c>
      <c r="AI30" s="1" t="str">
        <f>IFERROR(__xludf.DUMMYFUNCTION("""COMPUTED_VALUE"""),"0000375649")</f>
        <v>0000375649</v>
      </c>
      <c r="AJ30" s="1">
        <f>IFERROR(__xludf.DUMMYFUNCTION("""COMPUTED_VALUE"""),6.1320898E7)</f>
        <v>61320898</v>
      </c>
      <c r="AK30" s="1">
        <f>IFERROR(__xludf.DUMMYFUNCTION("""COMPUTED_VALUE"""),9.98911986E8)</f>
        <v>998911986</v>
      </c>
      <c r="AL30" s="1" t="str">
        <f>IFERROR(__xludf.DUMMYFUNCTION("""COMPUTED_VALUE"""),"derekdanielsosaramos@gmail.com")</f>
        <v>derekdanielsosaramos@gmail.com</v>
      </c>
      <c r="AM30" s="1" t="str">
        <f>IFERROR(__xludf.DUMMYFUNCTION("""COMPUTED_VALUE"""),"MASCULINO")</f>
        <v>MASCULINO</v>
      </c>
      <c r="AN30" s="1">
        <f>IFERROR(__xludf.DUMMYFUNCTION("""COMPUTED_VALUE"""),1700.0)</f>
        <v>1700</v>
      </c>
      <c r="AO30" s="1">
        <f>IFERROR(__xludf.DUMMYFUNCTION("""COMPUTED_VALUE"""),370.0)</f>
        <v>370</v>
      </c>
      <c r="AP30" s="1" t="str">
        <f>IFERROR(__xludf.DUMMYFUNCTION("""COMPUTED_VALUE"""),"FORMULARIO")</f>
        <v>FORMULARIO</v>
      </c>
      <c r="AQ30" s="1" t="str">
        <f>IFERROR(__xludf.DUMMYFUNCTION("""COMPUTED_VALUE"""),"ORGANICO")</f>
        <v>ORGANICO</v>
      </c>
      <c r="AR30" s="1" t="str">
        <f>IFERROR(__xludf.DUMMYFUNCTION("""COMPUTED_VALUE"""),"NUEVO")</f>
        <v>NUEVO</v>
      </c>
      <c r="AS30" s="1"/>
      <c r="AT30" s="2">
        <f>IFERROR(__xludf.DUMMYFUNCTION("""COMPUTED_VALUE"""),45416.0)</f>
        <v>45416</v>
      </c>
      <c r="AU30" s="1">
        <f>IFERROR(__xludf.DUMMYFUNCTION("""COMPUTED_VALUE"""),1.0)</f>
        <v>1</v>
      </c>
      <c r="AV30" s="1" t="str">
        <f>IFERROR(__xludf.DUMMYFUNCTION("""COMPUTED_VALUE"""),"NUEVO")</f>
        <v>NUEVO</v>
      </c>
      <c r="AW30" s="1" t="str">
        <f>IFERROR(__xludf.DUMMYFUNCTION("""COMPUTED_VALUE"""),"SI")</f>
        <v>SI</v>
      </c>
      <c r="AX30" s="1"/>
      <c r="AY30" s="1" t="str">
        <f>IFERROR(__xludf.DUMMYFUNCTION("""COMPUTED_VALUE"""),"PAGO COMPLETO")</f>
        <v>PAGO COMPLETO</v>
      </c>
      <c r="AZ30" s="5">
        <f>IFERROR(__xludf.DUMMYFUNCTION("""COMPUTED_VALUE"""),45416.0)</f>
        <v>45416</v>
      </c>
      <c r="BA30" s="1">
        <f>IFERROR(__xludf.DUMMYFUNCTION("""COMPUTED_VALUE"""),0.0)</f>
        <v>0</v>
      </c>
      <c r="BB30" s="1">
        <f>IFERROR(__xludf.DUMMYFUNCTION("""COMPUTED_VALUE"""),0.0)</f>
        <v>0</v>
      </c>
      <c r="BC30" s="4">
        <f>IFERROR(__xludf.DUMMYFUNCTION("""COMPUTED_VALUE"""),0.0)</f>
        <v>0</v>
      </c>
      <c r="BD30" s="4">
        <f>IFERROR(__xludf.DUMMYFUNCTION("""COMPUTED_VALUE"""),0.0)</f>
        <v>0</v>
      </c>
      <c r="BE30" s="1">
        <f>IFERROR(__xludf.DUMMYFUNCTION("""COMPUTED_VALUE"""),5.0)</f>
        <v>5</v>
      </c>
      <c r="BF30" s="6">
        <f>IFERROR(__xludf.DUMMYFUNCTION("""COMPUTED_VALUE"""),1.0)</f>
        <v>1</v>
      </c>
      <c r="BG30" s="1">
        <f>IFERROR(__xludf.DUMMYFUNCTION("""COMPUTED_VALUE"""),1.0)</f>
        <v>1</v>
      </c>
      <c r="BH30" s="1" t="str">
        <f>IFERROR(__xludf.DUMMYFUNCTION("""COMPUTED_VALUE"""),"0")</f>
        <v>0</v>
      </c>
      <c r="BI30" s="4">
        <f>IFERROR(__xludf.DUMMYFUNCTION("""COMPUTED_VALUE"""),700.0)</f>
        <v>700</v>
      </c>
      <c r="BJ30" s="1">
        <f>IFERROR(__xludf.DUMMYFUNCTION("""COMPUTED_VALUE"""),0.0)</f>
        <v>0</v>
      </c>
      <c r="BK30" s="4">
        <f>IFERROR(__xludf.DUMMYFUNCTION("""COMPUTED_VALUE"""),0.0)</f>
        <v>0</v>
      </c>
      <c r="BL30" s="1">
        <f>IFERROR(__xludf.DUMMYFUNCTION("""COMPUTED_VALUE"""),1450.0)</f>
        <v>1450</v>
      </c>
      <c r="BM30" s="1">
        <f>IFERROR(__xludf.DUMMYFUNCTION("""COMPUTED_VALUE"""),18.0)</f>
        <v>18</v>
      </c>
      <c r="BN30" s="2">
        <f>IFERROR(__xludf.DUMMYFUNCTION("""COMPUTED_VALUE"""),45411.0)</f>
        <v>45411</v>
      </c>
      <c r="BO30" s="1">
        <f>IFERROR(__xludf.DUMMYFUNCTION("""COMPUTED_VALUE"""),5.0)</f>
        <v>5</v>
      </c>
      <c r="BP30" s="1">
        <f>IFERROR(__xludf.DUMMYFUNCTION("""COMPUTED_VALUE"""),2024.0)</f>
        <v>2024</v>
      </c>
    </row>
    <row r="31">
      <c r="A31" s="1">
        <f>IFERROR(__xludf.DUMMYFUNCTION("""COMPUTED_VALUE"""),30.0)</f>
        <v>30</v>
      </c>
      <c r="B31" s="1">
        <f>IFERROR(__xludf.DUMMYFUNCTION("""COMPUTED_VALUE"""),833426.0)</f>
        <v>833426</v>
      </c>
      <c r="C31" s="1" t="str">
        <f>IFERROR(__xludf.DUMMYFUNCTION("""COMPUTED_VALUE"""),"2025-1")</f>
        <v>2025-1</v>
      </c>
      <c r="D31" s="1" t="str">
        <f>IFERROR(__xludf.DUMMYFUNCTION("""COMPUTED_VALUE"""),"Admisión Extraordinaria (Traslados)")</f>
        <v>Admisión Extraordinaria (Traslados)</v>
      </c>
      <c r="E31" s="2">
        <f>IFERROR(__xludf.DUMMYFUNCTION("""COMPUTED_VALUE"""),45418.0)</f>
        <v>45418</v>
      </c>
      <c r="F31" s="1" t="str">
        <f>IFERROR(__xludf.DUMMYFUNCTION("""COMPUTED_VALUE"""),"ARIANA")</f>
        <v>ARIANA</v>
      </c>
      <c r="G31" s="1" t="str">
        <f>IFERROR(__xludf.DUMMYFUNCTION("""COMPUTED_VALUE"""),"SALVATIERRA CASTILLA")</f>
        <v>SALVATIERRA CASTILLA</v>
      </c>
      <c r="H31" s="1" t="str">
        <f>IFERROR(__xludf.DUMMYFUNCTION("""COMPUTED_VALUE"""),"Arquitectura")</f>
        <v>Arquitectura</v>
      </c>
      <c r="I31" s="1" t="str">
        <f>IFERROR(__xludf.DUMMYFUNCTION("""COMPUTED_VALUE"""),"CARGO")</f>
        <v>CARGO</v>
      </c>
      <c r="J31" s="1" t="str">
        <f>IFERROR(__xludf.DUMMYFUNCTION("""COMPUTED_VALUE"""),"Diurno")</f>
        <v>Diurno</v>
      </c>
      <c r="K31" s="1" t="str">
        <f>IFERROR(__xludf.DUMMYFUNCTION("""COMPUTED_VALUE"""),"TRASLADO")</f>
        <v>TRASLADO</v>
      </c>
      <c r="L31" s="1">
        <f>IFERROR(__xludf.DUMMYFUNCTION("""COMPUTED_VALUE"""),1.0)</f>
        <v>1</v>
      </c>
      <c r="M31" s="1">
        <f>IFERROR(__xludf.DUMMYFUNCTION("""COMPUTED_VALUE"""),0.0)</f>
        <v>0</v>
      </c>
      <c r="N31" s="1" t="str">
        <f>IFERROR(__xludf.DUMMYFUNCTION("""COMPUTED_VALUE"""),"RECA")</f>
        <v>RECA</v>
      </c>
      <c r="O31" s="1" t="str">
        <f>IFERROR(__xludf.DUMMYFUNCTION("""COMPUTED_VALUE"""),"RECA TRASLADO CON CONVA")</f>
        <v>RECA TRASLADO CON CONVA</v>
      </c>
      <c r="P31" s="4">
        <f>IFERROR(__xludf.DUMMYFUNCTION("""COMPUTED_VALUE"""),0.0)</f>
        <v>0</v>
      </c>
      <c r="Q31" s="4">
        <f>IFERROR(__xludf.DUMMYFUNCTION("""COMPUTED_VALUE"""),0.0)</f>
        <v>0</v>
      </c>
      <c r="R31" s="4">
        <f>IFERROR(__xludf.DUMMYFUNCTION("""COMPUTED_VALUE"""),1250.0)</f>
        <v>1250</v>
      </c>
      <c r="S31" s="4">
        <f>IFERROR(__xludf.DUMMYFUNCTION("""COMPUTED_VALUE"""),900.0)</f>
        <v>900</v>
      </c>
      <c r="T31" s="1" t="str">
        <f>IFERROR(__xludf.DUMMYFUNCTION("""COMPUTED_VALUE"""),"Referido")</f>
        <v>Referido</v>
      </c>
      <c r="U31" s="1" t="str">
        <f>IFERROR(__xludf.DUMMYFUNCTION("""COMPUTED_VALUE"""),"-")</f>
        <v>-</v>
      </c>
      <c r="V31" s="1" t="str">
        <f>IFERROR(__xludf.DUMMYFUNCTION("""COMPUTED_VALUE"""),"-")</f>
        <v>-</v>
      </c>
      <c r="W31" s="1" t="str">
        <f>IFERROR(__xludf.DUMMYFUNCTION("""COMPUTED_VALUE"""),"MOTIVACION POR UN REFERIDO")</f>
        <v>MOTIVACION POR UN REFERIDO</v>
      </c>
      <c r="X31" s="1" t="str">
        <f>IFERROR(__xludf.DUMMYFUNCTION("""COMPUTED_VALUE"""),"Beneficiaria que refierió: Katerine Murga Falcón ")</f>
        <v>Beneficiaria que refierió: Katerine Murga Falcón </v>
      </c>
      <c r="Y31" s="1" t="str">
        <f>IFERROR(__xludf.DUMMYFUNCTION("""COMPUTED_VALUE"""),"PAGO COMPLETO")</f>
        <v>PAGO COMPLETO</v>
      </c>
      <c r="Z31" s="1">
        <f>IFERROR(__xludf.DUMMYFUNCTION("""COMPUTED_VALUE"""),0.0)</f>
        <v>0</v>
      </c>
      <c r="AA31" s="1" t="str">
        <f>IFERROR(__xludf.DUMMYFUNCTION("""COMPUTED_VALUE"""),"-")</f>
        <v>-</v>
      </c>
      <c r="AB31" s="1">
        <f>IFERROR(__xludf.DUMMYFUNCTION("""COMPUTED_VALUE"""),1.0)</f>
        <v>1</v>
      </c>
      <c r="AC31" s="1">
        <f>IFERROR(__xludf.DUMMYFUNCTION("""COMPUTED_VALUE"""),0.0)</f>
        <v>0</v>
      </c>
      <c r="AD31" s="1" t="str">
        <f>IFERROR(__xludf.DUMMYFUNCTION("""COMPUTED_VALUE"""),"Fiorella Lanegra")</f>
        <v>Fiorella Lanegra</v>
      </c>
      <c r="AE31" s="1" t="str">
        <f>IFERROR(__xludf.DUMMYFUNCTION("""COMPUTED_VALUE"""),"Instituto de Educación Superior Tecnológico Privado Toulouse Lautrec")</f>
        <v>Instituto de Educación Superior Tecnológico Privado Toulouse Lautrec</v>
      </c>
      <c r="AF31" s="1">
        <f>IFERROR(__xludf.DUMMYFUNCTION("""COMPUTED_VALUE"""),2018.0)</f>
        <v>2018</v>
      </c>
      <c r="AG31" s="1">
        <f>IFERROR(__xludf.DUMMYFUNCTION("""COMPUTED_VALUE"""),1664044.0)</f>
        <v>1664044</v>
      </c>
      <c r="AH31" s="1">
        <f>IFERROR(__xludf.DUMMYFUNCTION("""COMPUTED_VALUE"""),23.0)</f>
        <v>23</v>
      </c>
      <c r="AI31" s="1" t="str">
        <f>IFERROR(__xludf.DUMMYFUNCTION("""COMPUTED_VALUE"""),"2019005572")</f>
        <v>2019005572</v>
      </c>
      <c r="AJ31" s="1">
        <f>IFERROR(__xludf.DUMMYFUNCTION("""COMPUTED_VALUE"""),7.323031E7)</f>
        <v>73230310</v>
      </c>
      <c r="AK31" s="1">
        <f>IFERROR(__xludf.DUMMYFUNCTION("""COMPUTED_VALUE"""),9.45245301E8)</f>
        <v>945245301</v>
      </c>
      <c r="AL31" s="1" t="str">
        <f>IFERROR(__xludf.DUMMYFUNCTION("""COMPUTED_VALUE"""),"asalvatierracastilla@gmail.com")</f>
        <v>asalvatierracastilla@gmail.com</v>
      </c>
      <c r="AM31" s="1" t="str">
        <f>IFERROR(__xludf.DUMMYFUNCTION("""COMPUTED_VALUE"""),"FEMENINO")</f>
        <v>FEMENINO</v>
      </c>
      <c r="AN31" s="1">
        <f>IFERROR(__xludf.DUMMYFUNCTION("""COMPUTED_VALUE"""),1250.0)</f>
        <v>1250</v>
      </c>
      <c r="AO31" s="1">
        <f>IFERROR(__xludf.DUMMYFUNCTION("""COMPUTED_VALUE"""),0.0)</f>
        <v>0</v>
      </c>
      <c r="AP31" s="1" t="str">
        <f>IFERROR(__xludf.DUMMYFUNCTION("""COMPUTED_VALUE"""),"BIDIRECCIONAL")</f>
        <v>BIDIRECCIONAL</v>
      </c>
      <c r="AQ31" s="1" t="str">
        <f>IFERROR(__xludf.DUMMYFUNCTION("""COMPUTED_VALUE"""),"ORGANICO")</f>
        <v>ORGANICO</v>
      </c>
      <c r="AR31" s="1" t="str">
        <f>IFERROR(__xludf.DUMMYFUNCTION("""COMPUTED_VALUE"""),"NUEVO")</f>
        <v>NUEVO</v>
      </c>
      <c r="AS31" s="1"/>
      <c r="AT31" s="2">
        <f>IFERROR(__xludf.DUMMYFUNCTION("""COMPUTED_VALUE"""),45415.0)</f>
        <v>45415</v>
      </c>
      <c r="AU31" s="1">
        <f>IFERROR(__xludf.DUMMYFUNCTION("""COMPUTED_VALUE"""),1.0)</f>
        <v>1</v>
      </c>
      <c r="AV31" s="1" t="str">
        <f>IFERROR(__xludf.DUMMYFUNCTION("""COMPUTED_VALUE"""),"TRASLADO")</f>
        <v>TRASLADO</v>
      </c>
      <c r="AW31" s="1" t="str">
        <f>IFERROR(__xludf.DUMMYFUNCTION("""COMPUTED_VALUE"""),"SI")</f>
        <v>SI</v>
      </c>
      <c r="AX31" s="1"/>
      <c r="AY31" s="1" t="str">
        <f>IFERROR(__xludf.DUMMYFUNCTION("""COMPUTED_VALUE"""),"PAGO COMPLETO")</f>
        <v>PAGO COMPLETO</v>
      </c>
      <c r="AZ31" s="5">
        <f>IFERROR(__xludf.DUMMYFUNCTION("""COMPUTED_VALUE"""),45418.0)</f>
        <v>45418</v>
      </c>
      <c r="BA31" s="1">
        <f>IFERROR(__xludf.DUMMYFUNCTION("""COMPUTED_VALUE"""),0.0)</f>
        <v>0</v>
      </c>
      <c r="BB31" s="1">
        <f>IFERROR(__xludf.DUMMYFUNCTION("""COMPUTED_VALUE"""),0.0)</f>
        <v>0</v>
      </c>
      <c r="BC31" s="4">
        <f>IFERROR(__xludf.DUMMYFUNCTION("""COMPUTED_VALUE"""),0.0)</f>
        <v>0</v>
      </c>
      <c r="BD31" s="4">
        <f>IFERROR(__xludf.DUMMYFUNCTION("""COMPUTED_VALUE"""),0.0)</f>
        <v>0</v>
      </c>
      <c r="BE31" s="1">
        <f>IFERROR(__xludf.DUMMYFUNCTION("""COMPUTED_VALUE"""),5.0)</f>
        <v>5</v>
      </c>
      <c r="BF31" s="6">
        <f>IFERROR(__xludf.DUMMYFUNCTION("""COMPUTED_VALUE"""),1.0)</f>
        <v>1</v>
      </c>
      <c r="BG31" s="1">
        <f>IFERROR(__xludf.DUMMYFUNCTION("""COMPUTED_VALUE"""),1.0)</f>
        <v>1</v>
      </c>
      <c r="BH31" s="1" t="str">
        <f>IFERROR(__xludf.DUMMYFUNCTION("""COMPUTED_VALUE"""),"1")</f>
        <v>1</v>
      </c>
      <c r="BI31" s="4">
        <f>IFERROR(__xludf.DUMMYFUNCTION("""COMPUTED_VALUE"""),0.0)</f>
        <v>0</v>
      </c>
      <c r="BJ31" s="1">
        <f>IFERROR(__xludf.DUMMYFUNCTION("""COMPUTED_VALUE"""),1.0)</f>
        <v>1</v>
      </c>
      <c r="BK31" s="4">
        <f>IFERROR(__xludf.DUMMYFUNCTION("""COMPUTED_VALUE"""),450.0)</f>
        <v>450</v>
      </c>
      <c r="BL31" s="1">
        <f>IFERROR(__xludf.DUMMYFUNCTION("""COMPUTED_VALUE"""),810.0)</f>
        <v>810</v>
      </c>
      <c r="BM31" s="1">
        <f>IFERROR(__xludf.DUMMYFUNCTION("""COMPUTED_VALUE"""),19.0)</f>
        <v>19</v>
      </c>
      <c r="BN31" s="2">
        <f>IFERROR(__xludf.DUMMYFUNCTION("""COMPUTED_VALUE"""),45418.0)</f>
        <v>45418</v>
      </c>
      <c r="BO31" s="1">
        <f>IFERROR(__xludf.DUMMYFUNCTION("""COMPUTED_VALUE"""),5.0)</f>
        <v>5</v>
      </c>
      <c r="BP31" s="1">
        <f>IFERROR(__xludf.DUMMYFUNCTION("""COMPUTED_VALUE"""),2024.0)</f>
        <v>2024</v>
      </c>
    </row>
    <row r="32">
      <c r="A32" s="1">
        <f>IFERROR(__xludf.DUMMYFUNCTION("""COMPUTED_VALUE"""),31.0)</f>
        <v>31</v>
      </c>
      <c r="B32" s="1">
        <f>IFERROR(__xludf.DUMMYFUNCTION("""COMPUTED_VALUE"""),2480542.0)</f>
        <v>2480542</v>
      </c>
      <c r="C32" s="1" t="str">
        <f>IFERROR(__xludf.DUMMYFUNCTION("""COMPUTED_VALUE"""),"2025-1")</f>
        <v>2025-1</v>
      </c>
      <c r="D32" s="1" t="str">
        <f>IFERROR(__xludf.DUMMYFUNCTION("""COMPUTED_VALUE"""),"Admisión Ordinaria")</f>
        <v>Admisión Ordinaria</v>
      </c>
      <c r="E32" s="2">
        <f>IFERROR(__xludf.DUMMYFUNCTION("""COMPUTED_VALUE"""),45425.0)</f>
        <v>45425</v>
      </c>
      <c r="F32" s="1" t="str">
        <f>IFERROR(__xludf.DUMMYFUNCTION("""COMPUTED_VALUE"""),"JEAN PIERRE PIO")</f>
        <v>JEAN PIERRE PIO</v>
      </c>
      <c r="G32" s="1" t="str">
        <f>IFERROR(__xludf.DUMMYFUNCTION("""COMPUTED_VALUE"""),"CASTRO JARA")</f>
        <v>CASTRO JARA</v>
      </c>
      <c r="H32" s="1" t="str">
        <f>IFERROR(__xludf.DUMMYFUNCTION("""COMPUTED_VALUE"""),"Comunicación y Publicidad Transmedia")</f>
        <v>Comunicación y Publicidad Transmedia</v>
      </c>
      <c r="I32" s="1" t="str">
        <f>IFERROR(__xludf.DUMMYFUNCTION("""COMPUTED_VALUE"""),"Pago Link")</f>
        <v>Pago Link</v>
      </c>
      <c r="J32" s="1" t="str">
        <f>IFERROR(__xludf.DUMMYFUNCTION("""COMPUTED_VALUE"""),"Diurno")</f>
        <v>Diurno</v>
      </c>
      <c r="K32" s="1" t="str">
        <f>IFERROR(__xludf.DUMMYFUNCTION("""COMPUTED_VALUE"""),"TRASLADO")</f>
        <v>TRASLADO</v>
      </c>
      <c r="L32" s="1">
        <f>IFERROR(__xludf.DUMMYFUNCTION("""COMPUTED_VALUE"""),0.0)</f>
        <v>0</v>
      </c>
      <c r="M32" s="1">
        <f>IFERROR(__xludf.DUMMYFUNCTION("""COMPUTED_VALUE"""),0.0)</f>
        <v>0</v>
      </c>
      <c r="N32" s="1" t="str">
        <f>IFERROR(__xludf.DUMMYFUNCTION("""COMPUTED_VALUE"""),"BECA")</f>
        <v>BECA</v>
      </c>
      <c r="O32" s="1" t="str">
        <f>IFERROR(__xludf.DUMMYFUNCTION("""COMPUTED_VALUE"""),"BECA CARRERAS CORE-TRASLADOS SIN CONVA")</f>
        <v>BECA CARRERAS CORE-TRASLADOS SIN CONVA</v>
      </c>
      <c r="P32" s="4">
        <f>IFERROR(__xludf.DUMMYFUNCTION("""COMPUTED_VALUE"""),63.0)</f>
        <v>63</v>
      </c>
      <c r="Q32" s="4">
        <f>IFERROR(__xludf.DUMMYFUNCTION("""COMPUTED_VALUE"""),119.0)</f>
        <v>119</v>
      </c>
      <c r="R32" s="4">
        <f>IFERROR(__xludf.DUMMYFUNCTION("""COMPUTED_VALUE"""),1525.0)</f>
        <v>1525</v>
      </c>
      <c r="S32" s="4">
        <f>IFERROR(__xludf.DUMMYFUNCTION("""COMPUTED_VALUE"""),1000.0)</f>
        <v>1000</v>
      </c>
      <c r="T32" s="1" t="str">
        <f>IFERROR(__xludf.DUMMYFUNCTION("""COMPUTED_VALUE"""),"NINGUNO")</f>
        <v>NINGUNO</v>
      </c>
      <c r="U32" s="1" t="str">
        <f>IFERROR(__xludf.DUMMYFUNCTION("""COMPUTED_VALUE"""),"LORENA")</f>
        <v>LORENA</v>
      </c>
      <c r="V32" s="1" t="str">
        <f>IFERROR(__xludf.DUMMYFUNCTION("""COMPUTED_VALUE"""),"-")</f>
        <v>-</v>
      </c>
      <c r="W32" s="1" t="str">
        <f>IFERROR(__xludf.DUMMYFUNCTION("""COMPUTED_VALUE"""),"-")</f>
        <v>-</v>
      </c>
      <c r="X32" s="1" t="str">
        <f>IFERROR(__xludf.DUMMYFUNCTION("""COMPUTED_VALUE"""),"-")</f>
        <v>-</v>
      </c>
      <c r="Y32" s="1" t="str">
        <f>IFERROR(__xludf.DUMMYFUNCTION("""COMPUTED_VALUE"""),"PAGO COMPLETO")</f>
        <v>PAGO COMPLETO</v>
      </c>
      <c r="Z32" s="1">
        <f>IFERROR(__xludf.DUMMYFUNCTION("""COMPUTED_VALUE"""),682.0)</f>
        <v>682</v>
      </c>
      <c r="AA32" s="1" t="str">
        <f>IFERROR(__xludf.DUMMYFUNCTION("""COMPUTED_VALUE"""),"27/05/2024")</f>
        <v>27/05/2024</v>
      </c>
      <c r="AB32" s="1">
        <f>IFERROR(__xludf.DUMMYFUNCTION("""COMPUTED_VALUE"""),0.0)</f>
        <v>0</v>
      </c>
      <c r="AC32" s="1">
        <f>IFERROR(__xludf.DUMMYFUNCTION("""COMPUTED_VALUE"""),0.0)</f>
        <v>0</v>
      </c>
      <c r="AD32" s="1" t="str">
        <f>IFERROR(__xludf.DUMMYFUNCTION("""COMPUTED_VALUE"""),"Jacqueline Castro Castro")</f>
        <v>Jacqueline Castro Castro</v>
      </c>
      <c r="AE32" s="1" t="str">
        <f>IFERROR(__xludf.DUMMYFUNCTION("""COMPUTED_VALUE"""),"Universidad Pacifico")</f>
        <v>Universidad Pacifico</v>
      </c>
      <c r="AF32" s="1">
        <f>IFERROR(__xludf.DUMMYFUNCTION("""COMPUTED_VALUE"""),2024.0)</f>
        <v>2024</v>
      </c>
      <c r="AG32" s="1">
        <f>IFERROR(__xludf.DUMMYFUNCTION("""COMPUTED_VALUE"""),762765.0)</f>
        <v>762765</v>
      </c>
      <c r="AH32" s="1">
        <f>IFERROR(__xludf.DUMMYFUNCTION("""COMPUTED_VALUE"""),17.0)</f>
        <v>17</v>
      </c>
      <c r="AI32" s="1" t="str">
        <f>IFERROR(__xludf.DUMMYFUNCTION("""COMPUTED_VALUE"""),"0000376630")</f>
        <v>0000376630</v>
      </c>
      <c r="AJ32" s="1">
        <f>IFERROR(__xludf.DUMMYFUNCTION("""COMPUTED_VALUE"""),7.1198905E7)</f>
        <v>71198905</v>
      </c>
      <c r="AK32" s="1">
        <f>IFERROR(__xludf.DUMMYFUNCTION("""COMPUTED_VALUE"""),9.98501805E8)</f>
        <v>998501805</v>
      </c>
      <c r="AL32" s="1" t="str">
        <f>IFERROR(__xludf.DUMMYFUNCTION("""COMPUTED_VALUE"""),"jeanpocj@gmail.com")</f>
        <v>jeanpocj@gmail.com</v>
      </c>
      <c r="AM32" s="1" t="str">
        <f>IFERROR(__xludf.DUMMYFUNCTION("""COMPUTED_VALUE"""),"MASCULINO")</f>
        <v>MASCULINO</v>
      </c>
      <c r="AN32" s="1">
        <f>IFERROR(__xludf.DUMMYFUNCTION("""COMPUTED_VALUE"""),1525.0)</f>
        <v>1525</v>
      </c>
      <c r="AO32" s="1">
        <f>IFERROR(__xludf.DUMMYFUNCTION("""COMPUTED_VALUE"""),200.0)</f>
        <v>200</v>
      </c>
      <c r="AP32" s="1" t="str">
        <f>IFERROR(__xludf.DUMMYFUNCTION("""COMPUTED_VALUE"""),"OUTBOUND")</f>
        <v>OUTBOUND</v>
      </c>
      <c r="AQ32" s="1" t="str">
        <f>IFERROR(__xludf.DUMMYFUNCTION("""COMPUTED_VALUE"""),"OUTBOUND")</f>
        <v>OUTBOUND</v>
      </c>
      <c r="AR32" s="1" t="str">
        <f>IFERROR(__xludf.DUMMYFUNCTION("""COMPUTED_VALUE"""),"NUEVO")</f>
        <v>NUEVO</v>
      </c>
      <c r="AS32" s="1"/>
      <c r="AT32" s="2">
        <f>IFERROR(__xludf.DUMMYFUNCTION("""COMPUTED_VALUE"""),45425.0)</f>
        <v>45425</v>
      </c>
      <c r="AU32" s="1">
        <f>IFERROR(__xludf.DUMMYFUNCTION("""COMPUTED_VALUE"""),1.0)</f>
        <v>1</v>
      </c>
      <c r="AV32" s="1" t="str">
        <f>IFERROR(__xludf.DUMMYFUNCTION("""COMPUTED_VALUE"""),"NUEVO")</f>
        <v>NUEVO</v>
      </c>
      <c r="AW32" s="1" t="str">
        <f>IFERROR(__xludf.DUMMYFUNCTION("""COMPUTED_VALUE"""),"SI")</f>
        <v>SI</v>
      </c>
      <c r="AX32" s="1"/>
      <c r="AY32" s="1" t="str">
        <f>IFERROR(__xludf.DUMMYFUNCTION("""COMPUTED_VALUE"""),"PAGO COMPLETO")</f>
        <v>PAGO COMPLETO</v>
      </c>
      <c r="AZ32" s="5">
        <f>IFERROR(__xludf.DUMMYFUNCTION("""COMPUTED_VALUE"""),45425.0)</f>
        <v>45425</v>
      </c>
      <c r="BA32" s="1">
        <f>IFERROR(__xludf.DUMMYFUNCTION("""COMPUTED_VALUE"""),0.0)</f>
        <v>0</v>
      </c>
      <c r="BB32" s="1">
        <f>IFERROR(__xludf.DUMMYFUNCTION("""COMPUTED_VALUE"""),0.0)</f>
        <v>0</v>
      </c>
      <c r="BC32" s="4">
        <f>IFERROR(__xludf.DUMMYFUNCTION("""COMPUTED_VALUE"""),0.0)</f>
        <v>0</v>
      </c>
      <c r="BD32" s="4">
        <f>IFERROR(__xludf.DUMMYFUNCTION("""COMPUTED_VALUE"""),0.0)</f>
        <v>0</v>
      </c>
      <c r="BE32" s="1">
        <f>IFERROR(__xludf.DUMMYFUNCTION("""COMPUTED_VALUE"""),5.0)</f>
        <v>5</v>
      </c>
      <c r="BF32" s="6">
        <f>IFERROR(__xludf.DUMMYFUNCTION("""COMPUTED_VALUE"""),1.0)</f>
        <v>1</v>
      </c>
      <c r="BG32" s="1">
        <f>IFERROR(__xludf.DUMMYFUNCTION("""COMPUTED_VALUE"""),1.0)</f>
        <v>1</v>
      </c>
      <c r="BH32" s="1" t="str">
        <f>IFERROR(__xludf.DUMMYFUNCTION("""COMPUTED_VALUE"""),"0")</f>
        <v>0</v>
      </c>
      <c r="BI32" s="4">
        <f>IFERROR(__xludf.DUMMYFUNCTION("""COMPUTED_VALUE"""),682.0)</f>
        <v>682</v>
      </c>
      <c r="BJ32" s="1">
        <f>IFERROR(__xludf.DUMMYFUNCTION("""COMPUTED_VALUE"""),0.0)</f>
        <v>0</v>
      </c>
      <c r="BK32" s="4">
        <f>IFERROR(__xludf.DUMMYFUNCTION("""COMPUTED_VALUE"""),0.0)</f>
        <v>0</v>
      </c>
      <c r="BL32" s="1">
        <f>IFERROR(__xludf.DUMMYFUNCTION("""COMPUTED_VALUE"""),1000.0)</f>
        <v>1000</v>
      </c>
      <c r="BM32" s="1">
        <f>IFERROR(__xludf.DUMMYFUNCTION("""COMPUTED_VALUE"""),20.0)</f>
        <v>20</v>
      </c>
      <c r="BN32" s="2">
        <f>IFERROR(__xludf.DUMMYFUNCTION("""COMPUTED_VALUE"""),45425.0)</f>
        <v>45425</v>
      </c>
      <c r="BO32" s="1">
        <f>IFERROR(__xludf.DUMMYFUNCTION("""COMPUTED_VALUE"""),5.0)</f>
        <v>5</v>
      </c>
      <c r="BP32" s="1">
        <f>IFERROR(__xludf.DUMMYFUNCTION("""COMPUTED_VALUE"""),2024.0)</f>
        <v>2024</v>
      </c>
    </row>
    <row r="33">
      <c r="A33" s="1">
        <f>IFERROR(__xludf.DUMMYFUNCTION("""COMPUTED_VALUE"""),32.0)</f>
        <v>32</v>
      </c>
      <c r="B33" s="1">
        <f>IFERROR(__xludf.DUMMYFUNCTION("""COMPUTED_VALUE"""),2477791.0)</f>
        <v>2477791</v>
      </c>
      <c r="C33" s="1" t="str">
        <f>IFERROR(__xludf.DUMMYFUNCTION("""COMPUTED_VALUE"""),"2025-1")</f>
        <v>2025-1</v>
      </c>
      <c r="D33" s="1" t="str">
        <f>IFERROR(__xludf.DUMMYFUNCTION("""COMPUTED_VALUE"""),"Admisión Ordinaria")</f>
        <v>Admisión Ordinaria</v>
      </c>
      <c r="E33" s="2">
        <f>IFERROR(__xludf.DUMMYFUNCTION("""COMPUTED_VALUE"""),45433.0)</f>
        <v>45433</v>
      </c>
      <c r="F33" s="1" t="str">
        <f>IFERROR(__xludf.DUMMYFUNCTION("""COMPUTED_VALUE"""),"BENJAMIN MIGUEL")</f>
        <v>BENJAMIN MIGUEL</v>
      </c>
      <c r="G33" s="1" t="str">
        <f>IFERROR(__xludf.DUMMYFUNCTION("""COMPUTED_VALUE"""),"PUENTE SÁNCHEZ")</f>
        <v>PUENTE SÁNCHEZ</v>
      </c>
      <c r="H33" s="1" t="str">
        <f>IFERROR(__xludf.DUMMYFUNCTION("""COMPUTED_VALUE"""),"Comunicación Audiovisual y Cine")</f>
        <v>Comunicación Audiovisual y Cine</v>
      </c>
      <c r="I33" s="1" t="str">
        <f>IFERROR(__xludf.DUMMYFUNCTION("""COMPUTED_VALUE"""),"CARGO")</f>
        <v>CARGO</v>
      </c>
      <c r="J33" s="1" t="str">
        <f>IFERROR(__xludf.DUMMYFUNCTION("""COMPUTED_VALUE"""),"Diurno")</f>
        <v>Diurno</v>
      </c>
      <c r="K33" s="1" t="str">
        <f>IFERROR(__xludf.DUMMYFUNCTION("""COMPUTED_VALUE"""),"NUEVO")</f>
        <v>NUEVO</v>
      </c>
      <c r="L33" s="1">
        <f>IFERROR(__xludf.DUMMYFUNCTION("""COMPUTED_VALUE"""),0.0)</f>
        <v>0</v>
      </c>
      <c r="M33" s="1">
        <f>IFERROR(__xludf.DUMMYFUNCTION("""COMPUTED_VALUE"""),0.0)</f>
        <v>0</v>
      </c>
      <c r="N33" s="1" t="str">
        <f>IFERROR(__xludf.DUMMYFUNCTION("""COMPUTED_VALUE"""),"BECA")</f>
        <v>BECA</v>
      </c>
      <c r="O33" s="1" t="str">
        <f>IFERROR(__xludf.DUMMYFUNCTION("""COMPUTED_VALUE"""),"BECA CARRERAS CORE")</f>
        <v>BECA CARRERAS CORE</v>
      </c>
      <c r="P33" s="4">
        <f>IFERROR(__xludf.DUMMYFUNCTION("""COMPUTED_VALUE"""),63.0)</f>
        <v>63</v>
      </c>
      <c r="Q33" s="4">
        <f>IFERROR(__xludf.DUMMYFUNCTION("""COMPUTED_VALUE"""),119.0)</f>
        <v>119</v>
      </c>
      <c r="R33" s="4">
        <f>IFERROR(__xludf.DUMMYFUNCTION("""COMPUTED_VALUE"""),1350.0)</f>
        <v>1350</v>
      </c>
      <c r="S33" s="4">
        <f>IFERROR(__xludf.DUMMYFUNCTION("""COMPUTED_VALUE"""),1150.0)</f>
        <v>1150</v>
      </c>
      <c r="T33" s="1" t="str">
        <f>IFERROR(__xludf.DUMMYFUNCTION("""COMPUTED_VALUE"""),"NINGUNO")</f>
        <v>NINGUNO</v>
      </c>
      <c r="U33" s="1" t="str">
        <f>IFERROR(__xludf.DUMMYFUNCTION("""COMPUTED_VALUE"""),"DIEGO")</f>
        <v>DIEGO</v>
      </c>
      <c r="V33" s="1" t="str">
        <f>IFERROR(__xludf.DUMMYFUNCTION("""COMPUTED_VALUE"""),"-")</f>
        <v>-</v>
      </c>
      <c r="W33" s="1" t="str">
        <f>IFERROR(__xludf.DUMMYFUNCTION("""COMPUTED_VALUE"""),"PREFERENCIA POR UNIVERSIDAD UNICA EN CINE")</f>
        <v>PREFERENCIA POR UNIVERSIDAD UNICA EN CINE</v>
      </c>
      <c r="X33" s="1" t="str">
        <f>IFERROR(__xludf.DUMMYFUNCTION("""COMPUTED_VALUE"""),"-")</f>
        <v>-</v>
      </c>
      <c r="Y33" s="1" t="str">
        <f>IFERROR(__xludf.DUMMYFUNCTION("""COMPUTED_VALUE"""),"PAGO COMPLETO")</f>
        <v>PAGO COMPLETO</v>
      </c>
      <c r="Z33" s="1">
        <f>IFERROR(__xludf.DUMMYFUNCTION("""COMPUTED_VALUE"""),0.0)</f>
        <v>0</v>
      </c>
      <c r="AA33" s="1" t="str">
        <f>IFERROR(__xludf.DUMMYFUNCTION("""COMPUTED_VALUE"""),"-")</f>
        <v>-</v>
      </c>
      <c r="AB33" s="1">
        <f>IFERROR(__xludf.DUMMYFUNCTION("""COMPUTED_VALUE"""),0.0)</f>
        <v>0</v>
      </c>
      <c r="AC33" s="1">
        <f>IFERROR(__xludf.DUMMYFUNCTION("""COMPUTED_VALUE"""),0.0)</f>
        <v>0</v>
      </c>
      <c r="AD33" s="1" t="str">
        <f>IFERROR(__xludf.DUMMYFUNCTION("""COMPUTED_VALUE"""),"Andrea Araujo Antara")</f>
        <v>Andrea Araujo Antara</v>
      </c>
      <c r="AE33" s="1" t="str">
        <f>IFERROR(__xludf.DUMMYFUNCTION("""COMPUTED_VALUE"""),"0")</f>
        <v>0</v>
      </c>
      <c r="AF33" s="1">
        <f>IFERROR(__xludf.DUMMYFUNCTION("""COMPUTED_VALUE"""),2023.0)</f>
        <v>2023</v>
      </c>
      <c r="AG33" s="1">
        <f>IFERROR(__xludf.DUMMYFUNCTION("""COMPUTED_VALUE"""),1266840.0)</f>
        <v>1266840</v>
      </c>
      <c r="AH33" s="1">
        <f>IFERROR(__xludf.DUMMYFUNCTION("""COMPUTED_VALUE"""),17.0)</f>
        <v>17</v>
      </c>
      <c r="AI33" s="1" t="str">
        <f>IFERROR(__xludf.DUMMYFUNCTION("""COMPUTED_VALUE"""),"0000377809")</f>
        <v>0000377809</v>
      </c>
      <c r="AJ33" s="1">
        <f>IFERROR(__xludf.DUMMYFUNCTION("""COMPUTED_VALUE"""),6.1333135E7)</f>
        <v>61333135</v>
      </c>
      <c r="AK33" s="1">
        <f>IFERROR(__xludf.DUMMYFUNCTION("""COMPUTED_VALUE"""),9.2803254E8)</f>
        <v>928032540</v>
      </c>
      <c r="AL33" s="1" t="str">
        <f>IFERROR(__xludf.DUMMYFUNCTION("""COMPUTED_VALUE"""),"benjypuente@gmail.com")</f>
        <v>benjypuente@gmail.com</v>
      </c>
      <c r="AM33" s="1" t="str">
        <f>IFERROR(__xludf.DUMMYFUNCTION("""COMPUTED_VALUE"""),"MASCULINO")</f>
        <v>MASCULINO</v>
      </c>
      <c r="AN33" s="1">
        <f>IFERROR(__xludf.DUMMYFUNCTION("""COMPUTED_VALUE"""),1350.0)</f>
        <v>1350</v>
      </c>
      <c r="AO33" s="1">
        <f>IFERROR(__xludf.DUMMYFUNCTION("""COMPUTED_VALUE"""),0.0)</f>
        <v>0</v>
      </c>
      <c r="AP33" s="1" t="str">
        <f>IFERROR(__xludf.DUMMYFUNCTION("""COMPUTED_VALUE"""),"FORMULARIO")</f>
        <v>FORMULARIO</v>
      </c>
      <c r="AQ33" s="1" t="str">
        <f>IFERROR(__xludf.DUMMYFUNCTION("""COMPUTED_VALUE"""),"ORGANICO")</f>
        <v>ORGANICO</v>
      </c>
      <c r="AR33" s="1" t="str">
        <f>IFERROR(__xludf.DUMMYFUNCTION("""COMPUTED_VALUE"""),"NUEVO")</f>
        <v>NUEVO</v>
      </c>
      <c r="AS33" s="1"/>
      <c r="AT33" s="2">
        <f>IFERROR(__xludf.DUMMYFUNCTION("""COMPUTED_VALUE"""),45432.0)</f>
        <v>45432</v>
      </c>
      <c r="AU33" s="1">
        <f>IFERROR(__xludf.DUMMYFUNCTION("""COMPUTED_VALUE"""),1.0)</f>
        <v>1</v>
      </c>
      <c r="AV33" s="1" t="str">
        <f>IFERROR(__xludf.DUMMYFUNCTION("""COMPUTED_VALUE"""),"NUEVO")</f>
        <v>NUEVO</v>
      </c>
      <c r="AW33" s="1" t="str">
        <f>IFERROR(__xludf.DUMMYFUNCTION("""COMPUTED_VALUE"""),"SI")</f>
        <v>SI</v>
      </c>
      <c r="AX33" s="1"/>
      <c r="AY33" s="1" t="str">
        <f>IFERROR(__xludf.DUMMYFUNCTION("""COMPUTED_VALUE"""),"PAGO COMPLETO")</f>
        <v>PAGO COMPLETO</v>
      </c>
      <c r="AZ33" s="5">
        <f>IFERROR(__xludf.DUMMYFUNCTION("""COMPUTED_VALUE"""),45433.0)</f>
        <v>45433</v>
      </c>
      <c r="BA33" s="1">
        <f>IFERROR(__xludf.DUMMYFUNCTION("""COMPUTED_VALUE"""),0.0)</f>
        <v>0</v>
      </c>
      <c r="BB33" s="1">
        <f>IFERROR(__xludf.DUMMYFUNCTION("""COMPUTED_VALUE"""),0.0)</f>
        <v>0</v>
      </c>
      <c r="BC33" s="4">
        <f>IFERROR(__xludf.DUMMYFUNCTION("""COMPUTED_VALUE"""),0.0)</f>
        <v>0</v>
      </c>
      <c r="BD33" s="4">
        <f>IFERROR(__xludf.DUMMYFUNCTION("""COMPUTED_VALUE"""),0.0)</f>
        <v>0</v>
      </c>
      <c r="BE33" s="1">
        <f>IFERROR(__xludf.DUMMYFUNCTION("""COMPUTED_VALUE"""),5.0)</f>
        <v>5</v>
      </c>
      <c r="BF33" s="6">
        <f>IFERROR(__xludf.DUMMYFUNCTION("""COMPUTED_VALUE"""),1.0)</f>
        <v>1</v>
      </c>
      <c r="BG33" s="1">
        <f>IFERROR(__xludf.DUMMYFUNCTION("""COMPUTED_VALUE"""),1.0)</f>
        <v>1</v>
      </c>
      <c r="BH33" s="1" t="str">
        <f>IFERROR(__xludf.DUMMYFUNCTION("""COMPUTED_VALUE"""),"0")</f>
        <v>0</v>
      </c>
      <c r="BI33" s="4">
        <f>IFERROR(__xludf.DUMMYFUNCTION("""COMPUTED_VALUE"""),0.0)</f>
        <v>0</v>
      </c>
      <c r="BJ33" s="1">
        <f>IFERROR(__xludf.DUMMYFUNCTION("""COMPUTED_VALUE"""),1.0)</f>
        <v>1</v>
      </c>
      <c r="BK33" s="4">
        <f>IFERROR(__xludf.DUMMYFUNCTION("""COMPUTED_VALUE"""),0.0)</f>
        <v>0</v>
      </c>
      <c r="BL33" s="1">
        <f>IFERROR(__xludf.DUMMYFUNCTION("""COMPUTED_VALUE"""),1150.0)</f>
        <v>1150</v>
      </c>
      <c r="BM33" s="1">
        <f>IFERROR(__xludf.DUMMYFUNCTION("""COMPUTED_VALUE"""),21.0)</f>
        <v>21</v>
      </c>
      <c r="BN33" s="2">
        <f>IFERROR(__xludf.DUMMYFUNCTION("""COMPUTED_VALUE"""),45432.0)</f>
        <v>45432</v>
      </c>
      <c r="BO33" s="1">
        <f>IFERROR(__xludf.DUMMYFUNCTION("""COMPUTED_VALUE"""),5.0)</f>
        <v>5</v>
      </c>
      <c r="BP33" s="1">
        <f>IFERROR(__xludf.DUMMYFUNCTION("""COMPUTED_VALUE"""),2024.0)</f>
        <v>2024</v>
      </c>
    </row>
    <row r="34">
      <c r="A34" s="1">
        <f>IFERROR(__xludf.DUMMYFUNCTION("""COMPUTED_VALUE"""),33.0)</f>
        <v>33</v>
      </c>
      <c r="B34" s="1">
        <f>IFERROR(__xludf.DUMMYFUNCTION("""COMPUTED_VALUE"""),1896353.0)</f>
        <v>1896353</v>
      </c>
      <c r="C34" s="1" t="str">
        <f>IFERROR(__xludf.DUMMYFUNCTION("""COMPUTED_VALUE"""),"2025-1")</f>
        <v>2025-1</v>
      </c>
      <c r="D34" s="1" t="str">
        <f>IFERROR(__xludf.DUMMYFUNCTION("""COMPUTED_VALUE"""),"Admisión de Alto Rendimiento")</f>
        <v>Admisión de Alto Rendimiento</v>
      </c>
      <c r="E34" s="2">
        <f>IFERROR(__xludf.DUMMYFUNCTION("""COMPUTED_VALUE"""),45437.0)</f>
        <v>45437</v>
      </c>
      <c r="F34" s="1" t="str">
        <f>IFERROR(__xludf.DUMMYFUNCTION("""COMPUTED_VALUE"""),"SOPHIA XIMENA")</f>
        <v>SOPHIA XIMENA</v>
      </c>
      <c r="G34" s="1" t="str">
        <f>IFERROR(__xludf.DUMMYFUNCTION("""COMPUTED_VALUE"""),"MEDRANO JUSCAMAITA")</f>
        <v>MEDRANO JUSCAMAITA</v>
      </c>
      <c r="H34" s="1" t="str">
        <f>IFERROR(__xludf.DUMMYFUNCTION("""COMPUTED_VALUE"""),"Comunicación y Publicidad Transmedia")</f>
        <v>Comunicación y Publicidad Transmedia</v>
      </c>
      <c r="I34" s="1" t="str">
        <f>IFERROR(__xludf.DUMMYFUNCTION("""COMPUTED_VALUE"""),"Pago Link")</f>
        <v>Pago Link</v>
      </c>
      <c r="J34" s="1" t="str">
        <f>IFERROR(__xludf.DUMMYFUNCTION("""COMPUTED_VALUE"""),"Diurno")</f>
        <v>Diurno</v>
      </c>
      <c r="K34" s="1" t="str">
        <f>IFERROR(__xludf.DUMMYFUNCTION("""COMPUTED_VALUE"""),"NUEVO")</f>
        <v>NUEVO</v>
      </c>
      <c r="L34" s="1">
        <f>IFERROR(__xludf.DUMMYFUNCTION("""COMPUTED_VALUE"""),0.0)</f>
        <v>0</v>
      </c>
      <c r="M34" s="1">
        <f>IFERROR(__xludf.DUMMYFUNCTION("""COMPUTED_VALUE"""),0.0)</f>
        <v>0</v>
      </c>
      <c r="N34" s="1" t="str">
        <f>IFERROR(__xludf.DUMMYFUNCTION("""COMPUTED_VALUE"""),"ESCALA REGULAR")</f>
        <v>ESCALA REGULAR</v>
      </c>
      <c r="O34" s="1" t="str">
        <f>IFERROR(__xludf.DUMMYFUNCTION("""COMPUTED_VALUE"""),"NINGUNO")</f>
        <v>NINGUNO</v>
      </c>
      <c r="P34" s="4">
        <f>IFERROR(__xludf.DUMMYFUNCTION("""COMPUTED_VALUE"""),63.0)</f>
        <v>63</v>
      </c>
      <c r="Q34" s="4">
        <f>IFERROR(__xludf.DUMMYFUNCTION("""COMPUTED_VALUE"""),119.0)</f>
        <v>119</v>
      </c>
      <c r="R34" s="4">
        <f>IFERROR(__xludf.DUMMYFUNCTION("""COMPUTED_VALUE"""),2425.0)</f>
        <v>2425</v>
      </c>
      <c r="S34" s="4">
        <f>IFERROR(__xludf.DUMMYFUNCTION("""COMPUTED_VALUE"""),2425.0)</f>
        <v>2425</v>
      </c>
      <c r="T34" s="1" t="str">
        <f>IFERROR(__xludf.DUMMYFUNCTION("""COMPUTED_VALUE"""),"NINGUNO")</f>
        <v>NINGUNO</v>
      </c>
      <c r="U34" s="1" t="str">
        <f>IFERROR(__xludf.DUMMYFUNCTION("""COMPUTED_VALUE"""),"-")</f>
        <v>-</v>
      </c>
      <c r="V34" s="1" t="str">
        <f>IFERROR(__xludf.DUMMYFUNCTION("""COMPUTED_VALUE"""),"-")</f>
        <v>-</v>
      </c>
      <c r="W34" s="1" t="str">
        <f>IFERROR(__xludf.DUMMYFUNCTION("""COMPUTED_VALUE"""),"-")</f>
        <v>-</v>
      </c>
      <c r="X34" s="1" t="str">
        <f>IFERROR(__xludf.DUMMYFUNCTION("""COMPUTED_VALUE"""),"-")</f>
        <v>-</v>
      </c>
      <c r="Y34" s="1" t="str">
        <f>IFERROR(__xludf.DUMMYFUNCTION("""COMPUTED_VALUE"""),"PAGO COMPLETO")</f>
        <v>PAGO COMPLETO</v>
      </c>
      <c r="Z34" s="1">
        <f>IFERROR(__xludf.DUMMYFUNCTION("""COMPUTED_VALUE"""),0.0)</f>
        <v>0</v>
      </c>
      <c r="AA34" s="1" t="str">
        <f>IFERROR(__xludf.DUMMYFUNCTION("""COMPUTED_VALUE"""),"30/05/2024")</f>
        <v>30/05/2024</v>
      </c>
      <c r="AB34" s="1">
        <f>IFERROR(__xludf.DUMMYFUNCTION("""COMPUTED_VALUE"""),0.0)</f>
        <v>0</v>
      </c>
      <c r="AC34" s="1">
        <f>IFERROR(__xludf.DUMMYFUNCTION("""COMPUTED_VALUE"""),0.0)</f>
        <v>0</v>
      </c>
      <c r="AD34" s="1" t="str">
        <f>IFERROR(__xludf.DUMMYFUNCTION("""COMPUTED_VALUE"""),"Cinthia Mariella Orosco")</f>
        <v>Cinthia Mariella Orosco</v>
      </c>
      <c r="AE34" s="1" t="str">
        <f>IFERROR(__xludf.DUMMYFUNCTION("""COMPUTED_VALUE"""),"0")</f>
        <v>0</v>
      </c>
      <c r="AF34" s="1">
        <f>IFERROR(__xludf.DUMMYFUNCTION("""COMPUTED_VALUE"""),2024.0)</f>
        <v>2024</v>
      </c>
      <c r="AG34" s="1">
        <f>IFERROR(__xludf.DUMMYFUNCTION("""COMPUTED_VALUE"""),583112.0)</f>
        <v>583112</v>
      </c>
      <c r="AH34" s="1">
        <f>IFERROR(__xludf.DUMMYFUNCTION("""COMPUTED_VALUE"""),17.0)</f>
        <v>17</v>
      </c>
      <c r="AI34" s="1" t="str">
        <f>IFERROR(__xludf.DUMMYFUNCTION("""COMPUTED_VALUE"""),"0000378541")</f>
        <v>0000378541</v>
      </c>
      <c r="AJ34" s="1">
        <f>IFERROR(__xludf.DUMMYFUNCTION("""COMPUTED_VALUE"""),6.1135828E7)</f>
        <v>61135828</v>
      </c>
      <c r="AK34" s="1">
        <f>IFERROR(__xludf.DUMMYFUNCTION("""COMPUTED_VALUE"""),9.94603748E8)</f>
        <v>994603748</v>
      </c>
      <c r="AL34" s="1" t="str">
        <f>IFERROR(__xludf.DUMMYFUNCTION("""COMPUTED_VALUE"""),"medranosophia13@gmail.com")</f>
        <v>medranosophia13@gmail.com</v>
      </c>
      <c r="AM34" s="1" t="str">
        <f>IFERROR(__xludf.DUMMYFUNCTION("""COMPUTED_VALUE"""),"FEMENINO")</f>
        <v>FEMENINO</v>
      </c>
      <c r="AN34" s="1">
        <f>IFERROR(__xludf.DUMMYFUNCTION("""COMPUTED_VALUE"""),2425.0)</f>
        <v>2425</v>
      </c>
      <c r="AO34" s="1">
        <f>IFERROR(__xludf.DUMMYFUNCTION("""COMPUTED_VALUE"""),1700.0)</f>
        <v>1700</v>
      </c>
      <c r="AP34" s="1" t="str">
        <f>IFERROR(__xludf.DUMMYFUNCTION("""COMPUTED_VALUE"""),"VISITA")</f>
        <v>VISITA</v>
      </c>
      <c r="AQ34" s="1" t="str">
        <f>IFERROR(__xludf.DUMMYFUNCTION("""COMPUTED_VALUE"""),"VISITA")</f>
        <v>VISITA</v>
      </c>
      <c r="AR34" s="1" t="str">
        <f>IFERROR(__xludf.DUMMYFUNCTION("""COMPUTED_VALUE"""),"HEREDADO")</f>
        <v>HEREDADO</v>
      </c>
      <c r="AS34" s="1"/>
      <c r="AT34" s="2">
        <f>IFERROR(__xludf.DUMMYFUNCTION("""COMPUTED_VALUE"""),45439.0)</f>
        <v>45439</v>
      </c>
      <c r="AU34" s="1">
        <f>IFERROR(__xludf.DUMMYFUNCTION("""COMPUTED_VALUE"""),1.0)</f>
        <v>1</v>
      </c>
      <c r="AV34" s="1" t="str">
        <f>IFERROR(__xludf.DUMMYFUNCTION("""COMPUTED_VALUE"""),"NUEVO")</f>
        <v>NUEVO</v>
      </c>
      <c r="AW34" s="1" t="str">
        <f>IFERROR(__xludf.DUMMYFUNCTION("""COMPUTED_VALUE"""),"SI")</f>
        <v>SI</v>
      </c>
      <c r="AX34" s="1"/>
      <c r="AY34" s="1" t="str">
        <f>IFERROR(__xludf.DUMMYFUNCTION("""COMPUTED_VALUE"""),"PAGO COMPLETO")</f>
        <v>PAGO COMPLETO</v>
      </c>
      <c r="AZ34" s="5">
        <f>IFERROR(__xludf.DUMMYFUNCTION("""COMPUTED_VALUE"""),45437.0)</f>
        <v>45437</v>
      </c>
      <c r="BA34" s="1">
        <f>IFERROR(__xludf.DUMMYFUNCTION("""COMPUTED_VALUE"""),0.0)</f>
        <v>0</v>
      </c>
      <c r="BB34" s="1">
        <f>IFERROR(__xludf.DUMMYFUNCTION("""COMPUTED_VALUE"""),0.0)</f>
        <v>0</v>
      </c>
      <c r="BC34" s="4">
        <f>IFERROR(__xludf.DUMMYFUNCTION("""COMPUTED_VALUE"""),0.0)</f>
        <v>0</v>
      </c>
      <c r="BD34" s="4">
        <f>IFERROR(__xludf.DUMMYFUNCTION("""COMPUTED_VALUE"""),0.0)</f>
        <v>0</v>
      </c>
      <c r="BE34" s="1">
        <f>IFERROR(__xludf.DUMMYFUNCTION("""COMPUTED_VALUE"""),5.0)</f>
        <v>5</v>
      </c>
      <c r="BF34" s="6">
        <f>IFERROR(__xludf.DUMMYFUNCTION("""COMPUTED_VALUE"""),1.0)</f>
        <v>1</v>
      </c>
      <c r="BG34" s="1">
        <f>IFERROR(__xludf.DUMMYFUNCTION("""COMPUTED_VALUE"""),1.0)</f>
        <v>1</v>
      </c>
      <c r="BH34" s="1" t="str">
        <f>IFERROR(__xludf.DUMMYFUNCTION("""COMPUTED_VALUE"""),"0")</f>
        <v>0</v>
      </c>
      <c r="BI34" s="4">
        <f>IFERROR(__xludf.DUMMYFUNCTION("""COMPUTED_VALUE"""),0.0)</f>
        <v>0</v>
      </c>
      <c r="BJ34" s="1">
        <f>IFERROR(__xludf.DUMMYFUNCTION("""COMPUTED_VALUE"""),0.0)</f>
        <v>0</v>
      </c>
      <c r="BK34" s="4">
        <f>IFERROR(__xludf.DUMMYFUNCTION("""COMPUTED_VALUE"""),0.0)</f>
        <v>0</v>
      </c>
      <c r="BL34" s="1">
        <f>IFERROR(__xludf.DUMMYFUNCTION("""COMPUTED_VALUE"""),2425.0)</f>
        <v>2425</v>
      </c>
      <c r="BM34" s="1">
        <f>IFERROR(__xludf.DUMMYFUNCTION("""COMPUTED_VALUE"""),21.0)</f>
        <v>21</v>
      </c>
      <c r="BN34" s="2">
        <f>IFERROR(__xludf.DUMMYFUNCTION("""COMPUTED_VALUE"""),45432.0)</f>
        <v>45432</v>
      </c>
      <c r="BO34" s="1">
        <f>IFERROR(__xludf.DUMMYFUNCTION("""COMPUTED_VALUE"""),5.0)</f>
        <v>5</v>
      </c>
      <c r="BP34" s="1">
        <f>IFERROR(__xludf.DUMMYFUNCTION("""COMPUTED_VALUE"""),2024.0)</f>
        <v>2024</v>
      </c>
    </row>
    <row r="35">
      <c r="A35" s="1">
        <f>IFERROR(__xludf.DUMMYFUNCTION("""COMPUTED_VALUE"""),34.0)</f>
        <v>34</v>
      </c>
      <c r="B35" s="1">
        <f>IFERROR(__xludf.DUMMYFUNCTION("""COMPUTED_VALUE"""),2659755.0)</f>
        <v>2659755</v>
      </c>
      <c r="C35" s="1" t="str">
        <f>IFERROR(__xludf.DUMMYFUNCTION("""COMPUTED_VALUE"""),"2025-1")</f>
        <v>2025-1</v>
      </c>
      <c r="D35" s="1" t="str">
        <f>IFERROR(__xludf.DUMMYFUNCTION("""COMPUTED_VALUE"""),"Admisión de Alto Rendimiento")</f>
        <v>Admisión de Alto Rendimiento</v>
      </c>
      <c r="E35" s="2">
        <f>IFERROR(__xludf.DUMMYFUNCTION("""COMPUTED_VALUE"""),45440.0)</f>
        <v>45440</v>
      </c>
      <c r="F35" s="1" t="str">
        <f>IFERROR(__xludf.DUMMYFUNCTION("""COMPUTED_VALUE"""),"MARCELO GIOVANNI")</f>
        <v>MARCELO GIOVANNI</v>
      </c>
      <c r="G35" s="1" t="str">
        <f>IFERROR(__xludf.DUMMYFUNCTION("""COMPUTED_VALUE"""),"VENEROS ARRIBASPLATA")</f>
        <v>VENEROS ARRIBASPLATA</v>
      </c>
      <c r="H35" s="1" t="str">
        <f>IFERROR(__xludf.DUMMYFUNCTION("""COMPUTED_VALUE"""),"Comunicación Audiovisual y Cine")</f>
        <v>Comunicación Audiovisual y Cine</v>
      </c>
      <c r="I35" s="1" t="str">
        <f>IFERROR(__xludf.DUMMYFUNCTION("""COMPUTED_VALUE"""),"Pago Link")</f>
        <v>Pago Link</v>
      </c>
      <c r="J35" s="1" t="str">
        <f>IFERROR(__xludf.DUMMYFUNCTION("""COMPUTED_VALUE"""),"Diurno")</f>
        <v>Diurno</v>
      </c>
      <c r="K35" s="1" t="str">
        <f>IFERROR(__xludf.DUMMYFUNCTION("""COMPUTED_VALUE"""),"NUEVO")</f>
        <v>NUEVO</v>
      </c>
      <c r="L35" s="1">
        <f>IFERROR(__xludf.DUMMYFUNCTION("""COMPUTED_VALUE"""),0.0)</f>
        <v>0</v>
      </c>
      <c r="M35" s="1">
        <f>IFERROR(__xludf.DUMMYFUNCTION("""COMPUTED_VALUE"""),0.0)</f>
        <v>0</v>
      </c>
      <c r="N35" s="1" t="str">
        <f>IFERROR(__xludf.DUMMYFUNCTION("""COMPUTED_VALUE"""),"RECA")</f>
        <v>RECA</v>
      </c>
      <c r="O35" s="1" t="str">
        <f>IFERROR(__xludf.DUMMYFUNCTION("""COMPUTED_VALUE"""),"RECATEGORIZACIÓN")</f>
        <v>RECATEGORIZACIÓN</v>
      </c>
      <c r="P35" s="4">
        <f>IFERROR(__xludf.DUMMYFUNCTION("""COMPUTED_VALUE"""),0.0)</f>
        <v>0</v>
      </c>
      <c r="Q35" s="4">
        <f>IFERROR(__xludf.DUMMYFUNCTION("""COMPUTED_VALUE"""),0.0)</f>
        <v>0</v>
      </c>
      <c r="R35" s="4">
        <f>IFERROR(__xludf.DUMMYFUNCTION("""COMPUTED_VALUE"""),1700.0)</f>
        <v>1700</v>
      </c>
      <c r="S35" s="4">
        <f>IFERROR(__xludf.DUMMYFUNCTION("""COMPUTED_VALUE"""),1450.0)</f>
        <v>1450</v>
      </c>
      <c r="T35" s="1" t="str">
        <f>IFERROR(__xludf.DUMMYFUNCTION("""COMPUTED_VALUE"""),"Visita guiada - refirio")</f>
        <v>Visita guiada - refirio</v>
      </c>
      <c r="U35" s="1" t="str">
        <f>IFERROR(__xludf.DUMMYFUNCTION("""COMPUTED_VALUE"""),"FABIOLA")</f>
        <v>FABIOLA</v>
      </c>
      <c r="V35" s="1" t="str">
        <f>IFERROR(__xludf.DUMMYFUNCTION("""COMPUTED_VALUE"""),"-")</f>
        <v>-</v>
      </c>
      <c r="W35" s="1" t="str">
        <f>IFERROR(__xludf.DUMMYFUNCTION("""COMPUTED_VALUE"""),"-")</f>
        <v>-</v>
      </c>
      <c r="X35" s="1" t="str">
        <f>IFERROR(__xludf.DUMMYFUNCTION("""COMPUTED_VALUE"""),"-")</f>
        <v>-</v>
      </c>
      <c r="Y35" s="1" t="str">
        <f>IFERROR(__xludf.DUMMYFUNCTION("""COMPUTED_VALUE"""),"PAGO COMPLETO")</f>
        <v>PAGO COMPLETO</v>
      </c>
      <c r="Z35" s="1">
        <f>IFERROR(__xludf.DUMMYFUNCTION("""COMPUTED_VALUE"""),675.0)</f>
        <v>675</v>
      </c>
      <c r="AA35" s="1" t="str">
        <f>IFERROR(__xludf.DUMMYFUNCTION("""COMPUTED_VALUE"""),"15/06/2024")</f>
        <v>15/06/2024</v>
      </c>
      <c r="AB35" s="1">
        <f>IFERROR(__xludf.DUMMYFUNCTION("""COMPUTED_VALUE"""),0.0)</f>
        <v>0</v>
      </c>
      <c r="AC35" s="1">
        <f>IFERROR(__xludf.DUMMYFUNCTION("""COMPUTED_VALUE"""),0.0)</f>
        <v>0</v>
      </c>
      <c r="AD35" s="1" t="str">
        <f>IFERROR(__xludf.DUMMYFUNCTION("""COMPUTED_VALUE"""),"Fiorella Lanegra")</f>
        <v>Fiorella Lanegra</v>
      </c>
      <c r="AE35" s="1" t="str">
        <f>IFERROR(__xludf.DUMMYFUNCTION("""COMPUTED_VALUE"""),"0")</f>
        <v>0</v>
      </c>
      <c r="AF35" s="1">
        <f>IFERROR(__xludf.DUMMYFUNCTION("""COMPUTED_VALUE"""),2024.0)</f>
        <v>2024</v>
      </c>
      <c r="AG35" s="1">
        <f>IFERROR(__xludf.DUMMYFUNCTION("""COMPUTED_VALUE"""),1664044.0)</f>
        <v>1664044</v>
      </c>
      <c r="AH35" s="1">
        <f>IFERROR(__xludf.DUMMYFUNCTION("""COMPUTED_VALUE"""),17.0)</f>
        <v>17</v>
      </c>
      <c r="AI35" s="1" t="str">
        <f>IFERROR(__xludf.DUMMYFUNCTION("""COMPUTED_VALUE"""),"0000378620")</f>
        <v>0000378620</v>
      </c>
      <c r="AJ35" s="1">
        <f>IFERROR(__xludf.DUMMYFUNCTION("""COMPUTED_VALUE"""),7.0950686E7)</f>
        <v>70950686</v>
      </c>
      <c r="AK35" s="1">
        <f>IFERROR(__xludf.DUMMYFUNCTION("""COMPUTED_VALUE"""),9.76332479E8)</f>
        <v>976332479</v>
      </c>
      <c r="AL35" s="1" t="str">
        <f>IFERROR(__xludf.DUMMYFUNCTION("""COMPUTED_VALUE"""),"m.arribasplata@gmail.com")</f>
        <v>m.arribasplata@gmail.com</v>
      </c>
      <c r="AM35" s="1" t="str">
        <f>IFERROR(__xludf.DUMMYFUNCTION("""COMPUTED_VALUE"""),"MASCULINO")</f>
        <v>MASCULINO</v>
      </c>
      <c r="AN35" s="1">
        <f>IFERROR(__xludf.DUMMYFUNCTION("""COMPUTED_VALUE"""),1700.0)</f>
        <v>1700</v>
      </c>
      <c r="AO35" s="1">
        <f>IFERROR(__xludf.DUMMYFUNCTION("""COMPUTED_VALUE"""),430.0)</f>
        <v>430</v>
      </c>
      <c r="AP35" s="1" t="str">
        <f>IFERROR(__xludf.DUMMYFUNCTION("""COMPUTED_VALUE"""),"VISITA")</f>
        <v>VISITA</v>
      </c>
      <c r="AQ35" s="1" t="str">
        <f>IFERROR(__xludf.DUMMYFUNCTION("""COMPUTED_VALUE"""),"VISITA")</f>
        <v>VISITA</v>
      </c>
      <c r="AR35" s="1" t="str">
        <f>IFERROR(__xludf.DUMMYFUNCTION("""COMPUTED_VALUE"""),"NUEVO")</f>
        <v>NUEVO</v>
      </c>
      <c r="AS35" s="1"/>
      <c r="AT35" s="2">
        <f>IFERROR(__xludf.DUMMYFUNCTION("""COMPUTED_VALUE"""),45428.0)</f>
        <v>45428</v>
      </c>
      <c r="AU35" s="1">
        <f>IFERROR(__xludf.DUMMYFUNCTION("""COMPUTED_VALUE"""),1.0)</f>
        <v>1</v>
      </c>
      <c r="AV35" s="1" t="str">
        <f>IFERROR(__xludf.DUMMYFUNCTION("""COMPUTED_VALUE"""),"NUEVO")</f>
        <v>NUEVO</v>
      </c>
      <c r="AW35" s="1" t="str">
        <f>IFERROR(__xludf.DUMMYFUNCTION("""COMPUTED_VALUE"""),"SI")</f>
        <v>SI</v>
      </c>
      <c r="AX35" s="1"/>
      <c r="AY35" s="1" t="str">
        <f>IFERROR(__xludf.DUMMYFUNCTION("""COMPUTED_VALUE"""),"PAGO COMPLETO")</f>
        <v>PAGO COMPLETO</v>
      </c>
      <c r="AZ35" s="5">
        <f>IFERROR(__xludf.DUMMYFUNCTION("""COMPUTED_VALUE"""),45440.0)</f>
        <v>45440</v>
      </c>
      <c r="BA35" s="1">
        <f>IFERROR(__xludf.DUMMYFUNCTION("""COMPUTED_VALUE"""),0.0)</f>
        <v>0</v>
      </c>
      <c r="BB35" s="1">
        <f>IFERROR(__xludf.DUMMYFUNCTION("""COMPUTED_VALUE"""),0.0)</f>
        <v>0</v>
      </c>
      <c r="BC35" s="4">
        <f>IFERROR(__xludf.DUMMYFUNCTION("""COMPUTED_VALUE"""),0.0)</f>
        <v>0</v>
      </c>
      <c r="BD35" s="4">
        <f>IFERROR(__xludf.DUMMYFUNCTION("""COMPUTED_VALUE"""),100.0)</f>
        <v>100</v>
      </c>
      <c r="BE35" s="1">
        <f>IFERROR(__xludf.DUMMYFUNCTION("""COMPUTED_VALUE"""),5.0)</f>
        <v>5</v>
      </c>
      <c r="BF35" s="6">
        <f>IFERROR(__xludf.DUMMYFUNCTION("""COMPUTED_VALUE"""),1.0)</f>
        <v>1</v>
      </c>
      <c r="BG35" s="1">
        <f>IFERROR(__xludf.DUMMYFUNCTION("""COMPUTED_VALUE"""),1.0)</f>
        <v>1</v>
      </c>
      <c r="BH35" s="1" t="str">
        <f>IFERROR(__xludf.DUMMYFUNCTION("""COMPUTED_VALUE"""),"0")</f>
        <v>0</v>
      </c>
      <c r="BI35" s="4">
        <f>IFERROR(__xludf.DUMMYFUNCTION("""COMPUTED_VALUE"""),775.0)</f>
        <v>775</v>
      </c>
      <c r="BJ35" s="1">
        <f>IFERROR(__xludf.DUMMYFUNCTION("""COMPUTED_VALUE"""),0.0)</f>
        <v>0</v>
      </c>
      <c r="BK35" s="4">
        <f>IFERROR(__xludf.DUMMYFUNCTION("""COMPUTED_VALUE"""),1550.0)</f>
        <v>1550</v>
      </c>
      <c r="BL35" s="1">
        <f>IFERROR(__xludf.DUMMYFUNCTION("""COMPUTED_VALUE"""),1140.0)</f>
        <v>1140</v>
      </c>
      <c r="BM35" s="1">
        <f>IFERROR(__xludf.DUMMYFUNCTION("""COMPUTED_VALUE"""),22.0)</f>
        <v>22</v>
      </c>
      <c r="BN35" s="2">
        <f>IFERROR(__xludf.DUMMYFUNCTION("""COMPUTED_VALUE"""),45439.0)</f>
        <v>45439</v>
      </c>
      <c r="BO35" s="1">
        <f>IFERROR(__xludf.DUMMYFUNCTION("""COMPUTED_VALUE"""),5.0)</f>
        <v>5</v>
      </c>
      <c r="BP35" s="1">
        <f>IFERROR(__xludf.DUMMYFUNCTION("""COMPUTED_VALUE"""),2024.0)</f>
        <v>2024</v>
      </c>
    </row>
    <row r="36">
      <c r="A36" s="1">
        <f>IFERROR(__xludf.DUMMYFUNCTION("""COMPUTED_VALUE"""),35.0)</f>
        <v>35</v>
      </c>
      <c r="B36" s="1">
        <f>IFERROR(__xludf.DUMMYFUNCTION("""COMPUTED_VALUE"""),2663184.0)</f>
        <v>2663184</v>
      </c>
      <c r="C36" s="1" t="str">
        <f>IFERROR(__xludf.DUMMYFUNCTION("""COMPUTED_VALUE"""),"2025-1")</f>
        <v>2025-1</v>
      </c>
      <c r="D36" s="1" t="str">
        <f>IFERROR(__xludf.DUMMYFUNCTION("""COMPUTED_VALUE"""),"Admisión Ordinaria")</f>
        <v>Admisión Ordinaria</v>
      </c>
      <c r="E36" s="2">
        <f>IFERROR(__xludf.DUMMYFUNCTION("""COMPUTED_VALUE"""),45443.0)</f>
        <v>45443</v>
      </c>
      <c r="F36" s="1" t="str">
        <f>IFERROR(__xludf.DUMMYFUNCTION("""COMPUTED_VALUE"""),"LIZ AMERICA")</f>
        <v>LIZ AMERICA</v>
      </c>
      <c r="G36" s="1" t="str">
        <f>IFERROR(__xludf.DUMMYFUNCTION("""COMPUTED_VALUE"""),"SÁNCHEZ GUTIÉRREZ")</f>
        <v>SÁNCHEZ GUTIÉRREZ</v>
      </c>
      <c r="H36" s="1" t="str">
        <f>IFERROR(__xludf.DUMMYFUNCTION("""COMPUTED_VALUE"""),"Arquitectura de Interiores")</f>
        <v>Arquitectura de Interiores</v>
      </c>
      <c r="I36" s="1" t="str">
        <f>IFERROR(__xludf.DUMMYFUNCTION("""COMPUTED_VALUE"""),"POS")</f>
        <v>POS</v>
      </c>
      <c r="J36" s="1" t="str">
        <f>IFERROR(__xludf.DUMMYFUNCTION("""COMPUTED_VALUE"""),"Diurno")</f>
        <v>Diurno</v>
      </c>
      <c r="K36" s="1" t="str">
        <f>IFERROR(__xludf.DUMMYFUNCTION("""COMPUTED_VALUE"""),"NUEVO")</f>
        <v>NUEVO</v>
      </c>
      <c r="L36" s="1">
        <f>IFERROR(__xludf.DUMMYFUNCTION("""COMPUTED_VALUE"""),0.0)</f>
        <v>0</v>
      </c>
      <c r="M36" s="1">
        <f>IFERROR(__xludf.DUMMYFUNCTION("""COMPUTED_VALUE"""),0.0)</f>
        <v>0</v>
      </c>
      <c r="N36" s="1" t="str">
        <f>IFERROR(__xludf.DUMMYFUNCTION("""COMPUTED_VALUE"""),"BECA")</f>
        <v>BECA</v>
      </c>
      <c r="O36" s="1" t="str">
        <f>IFERROR(__xludf.DUMMYFUNCTION("""COMPUTED_VALUE"""),"BECA CARRERAS CORE")</f>
        <v>BECA CARRERAS CORE</v>
      </c>
      <c r="P36" s="4">
        <f>IFERROR(__xludf.DUMMYFUNCTION("""COMPUTED_VALUE"""),0.0)</f>
        <v>0</v>
      </c>
      <c r="Q36" s="4">
        <f>IFERROR(__xludf.DUMMYFUNCTION("""COMPUTED_VALUE"""),0.0)</f>
        <v>0</v>
      </c>
      <c r="R36" s="4">
        <f>IFERROR(__xludf.DUMMYFUNCTION("""COMPUTED_VALUE"""),1350.0)</f>
        <v>1350</v>
      </c>
      <c r="S36" s="4">
        <f>IFERROR(__xludf.DUMMYFUNCTION("""COMPUTED_VALUE"""),1150.0)</f>
        <v>1150</v>
      </c>
      <c r="T36" s="1" t="str">
        <f>IFERROR(__xludf.DUMMYFUNCTION("""COMPUTED_VALUE"""),"NINGUNO")</f>
        <v>NINGUNO</v>
      </c>
      <c r="U36" s="1" t="str">
        <f>IFERROR(__xludf.DUMMYFUNCTION("""COMPUTED_VALUE"""),"-")</f>
        <v>-</v>
      </c>
      <c r="V36" s="1" t="str">
        <f>IFERROR(__xludf.DUMMYFUNCTION("""COMPUTED_VALUE"""),"-")</f>
        <v>-</v>
      </c>
      <c r="W36" s="1" t="str">
        <f>IFERROR(__xludf.DUMMYFUNCTION("""COMPUTED_VALUE"""),"PREFERENCIA POR EXPERIENCIA UCAL (SEMANAS UCAL)")</f>
        <v>PREFERENCIA POR EXPERIENCIA UCAL (SEMANAS UCAL)</v>
      </c>
      <c r="X36" s="1" t="str">
        <f>IFERROR(__xludf.DUMMYFUNCTION("""COMPUTED_VALUE"""),"-")</f>
        <v>-</v>
      </c>
      <c r="Y36" s="1" t="str">
        <f>IFERROR(__xludf.DUMMYFUNCTION("""COMPUTED_VALUE"""),"PAGO COMPLETO")</f>
        <v>PAGO COMPLETO</v>
      </c>
      <c r="Z36" s="1">
        <f>IFERROR(__xludf.DUMMYFUNCTION("""COMPUTED_VALUE"""),0.0)</f>
        <v>0</v>
      </c>
      <c r="AA36" s="1" t="str">
        <f>IFERROR(__xludf.DUMMYFUNCTION("""COMPUTED_VALUE"""),"-")</f>
        <v>-</v>
      </c>
      <c r="AB36" s="1">
        <f>IFERROR(__xludf.DUMMYFUNCTION("""COMPUTED_VALUE"""),1.0)</f>
        <v>1</v>
      </c>
      <c r="AC36" s="1">
        <f>IFERROR(__xludf.DUMMYFUNCTION("""COMPUTED_VALUE"""),0.0)</f>
        <v>0</v>
      </c>
      <c r="AD36" s="1" t="str">
        <f>IFERROR(__xludf.DUMMYFUNCTION("""COMPUTED_VALUE"""),"Rosmery Enriquez")</f>
        <v>Rosmery Enriquez</v>
      </c>
      <c r="AE36" s="1" t="str">
        <f>IFERROR(__xludf.DUMMYFUNCTION("""COMPUTED_VALUE"""),"0")</f>
        <v>0</v>
      </c>
      <c r="AF36" s="1">
        <f>IFERROR(__xludf.DUMMYFUNCTION("""COMPUTED_VALUE"""),2015.0)</f>
        <v>2015</v>
      </c>
      <c r="AG36" s="1">
        <f>IFERROR(__xludf.DUMMYFUNCTION("""COMPUTED_VALUE"""),245688.0)</f>
        <v>245688</v>
      </c>
      <c r="AH36" s="1">
        <f>IFERROR(__xludf.DUMMYFUNCTION("""COMPUTED_VALUE"""),30.0)</f>
        <v>30</v>
      </c>
      <c r="AI36" s="1" t="str">
        <f>IFERROR(__xludf.DUMMYFUNCTION("""COMPUTED_VALUE"""),"0000379461")</f>
        <v>0000379461</v>
      </c>
      <c r="AJ36" s="1">
        <f>IFERROR(__xludf.DUMMYFUNCTION("""COMPUTED_VALUE"""),4.8468365E7)</f>
        <v>48468365</v>
      </c>
      <c r="AK36" s="1">
        <f>IFERROR(__xludf.DUMMYFUNCTION("""COMPUTED_VALUE"""),9.94058532E8)</f>
        <v>994058532</v>
      </c>
      <c r="AL36" s="1" t="str">
        <f>IFERROR(__xludf.DUMMYFUNCTION("""COMPUTED_VALUE"""),"lizjuliette.1910@gmail.com")</f>
        <v>lizjuliette.1910@gmail.com</v>
      </c>
      <c r="AM36" s="1" t="str">
        <f>IFERROR(__xludf.DUMMYFUNCTION("""COMPUTED_VALUE"""),"FEMENINO")</f>
        <v>FEMENINO</v>
      </c>
      <c r="AN36" s="1">
        <f>IFERROR(__xludf.DUMMYFUNCTION("""COMPUTED_VALUE"""),1350.0)</f>
        <v>1350</v>
      </c>
      <c r="AO36" s="1">
        <f>IFERROR(__xludf.DUMMYFUNCTION("""COMPUTED_VALUE"""),0.0)</f>
        <v>0</v>
      </c>
      <c r="AP36" s="1" t="str">
        <f>IFERROR(__xludf.DUMMYFUNCTION("""COMPUTED_VALUE"""),"FORMULARIO")</f>
        <v>FORMULARIO</v>
      </c>
      <c r="AQ36" s="1" t="str">
        <f>IFERROR(__xludf.DUMMYFUNCTION("""COMPUTED_VALUE"""),"ORGANICO")</f>
        <v>ORGANICO</v>
      </c>
      <c r="AR36" s="1" t="str">
        <f>IFERROR(__xludf.DUMMYFUNCTION("""COMPUTED_VALUE"""),"NUEVO")</f>
        <v>NUEVO</v>
      </c>
      <c r="AS36" s="1"/>
      <c r="AT36" s="2">
        <f>IFERROR(__xludf.DUMMYFUNCTION("""COMPUTED_VALUE"""),45438.0)</f>
        <v>45438</v>
      </c>
      <c r="AU36" s="1">
        <f>IFERROR(__xludf.DUMMYFUNCTION("""COMPUTED_VALUE"""),1.0)</f>
        <v>1</v>
      </c>
      <c r="AV36" s="1" t="str">
        <f>IFERROR(__xludf.DUMMYFUNCTION("""COMPUTED_VALUE"""),"NUEVO")</f>
        <v>NUEVO</v>
      </c>
      <c r="AW36" s="1" t="str">
        <f>IFERROR(__xludf.DUMMYFUNCTION("""COMPUTED_VALUE"""),"SI")</f>
        <v>SI</v>
      </c>
      <c r="AX36" s="1"/>
      <c r="AY36" s="1" t="str">
        <f>IFERROR(__xludf.DUMMYFUNCTION("""COMPUTED_VALUE"""),"PAGO COMPLETO")</f>
        <v>PAGO COMPLETO</v>
      </c>
      <c r="AZ36" s="5">
        <f>IFERROR(__xludf.DUMMYFUNCTION("""COMPUTED_VALUE"""),45443.0)</f>
        <v>45443</v>
      </c>
      <c r="BA36" s="1">
        <f>IFERROR(__xludf.DUMMYFUNCTION("""COMPUTED_VALUE"""),0.0)</f>
        <v>0</v>
      </c>
      <c r="BB36" s="1">
        <f>IFERROR(__xludf.DUMMYFUNCTION("""COMPUTED_VALUE"""),0.0)</f>
        <v>0</v>
      </c>
      <c r="BC36" s="4">
        <f>IFERROR(__xludf.DUMMYFUNCTION("""COMPUTED_VALUE"""),0.0)</f>
        <v>0</v>
      </c>
      <c r="BD36" s="4">
        <f>IFERROR(__xludf.DUMMYFUNCTION("""COMPUTED_VALUE"""),0.0)</f>
        <v>0</v>
      </c>
      <c r="BE36" s="1">
        <f>IFERROR(__xludf.DUMMYFUNCTION("""COMPUTED_VALUE"""),5.0)</f>
        <v>5</v>
      </c>
      <c r="BF36" s="6">
        <f>IFERROR(__xludf.DUMMYFUNCTION("""COMPUTED_VALUE"""),1.0)</f>
        <v>1</v>
      </c>
      <c r="BG36" s="1">
        <f>IFERROR(__xludf.DUMMYFUNCTION("""COMPUTED_VALUE"""),1.0)</f>
        <v>1</v>
      </c>
      <c r="BH36" s="1" t="str">
        <f>IFERROR(__xludf.DUMMYFUNCTION("""COMPUTED_VALUE"""),"0")</f>
        <v>0</v>
      </c>
      <c r="BI36" s="4">
        <f>IFERROR(__xludf.DUMMYFUNCTION("""COMPUTED_VALUE"""),0.0)</f>
        <v>0</v>
      </c>
      <c r="BJ36" s="1">
        <f>IFERROR(__xludf.DUMMYFUNCTION("""COMPUTED_VALUE"""),1.0)</f>
        <v>1</v>
      </c>
      <c r="BK36" s="4">
        <f>IFERROR(__xludf.DUMMYFUNCTION("""COMPUTED_VALUE"""),0.0)</f>
        <v>0</v>
      </c>
      <c r="BL36" s="1">
        <f>IFERROR(__xludf.DUMMYFUNCTION("""COMPUTED_VALUE"""),1150.0)</f>
        <v>1150</v>
      </c>
      <c r="BM36" s="1">
        <f>IFERROR(__xludf.DUMMYFUNCTION("""COMPUTED_VALUE"""),22.0)</f>
        <v>22</v>
      </c>
      <c r="BN36" s="2">
        <f>IFERROR(__xludf.DUMMYFUNCTION("""COMPUTED_VALUE"""),45439.0)</f>
        <v>45439</v>
      </c>
      <c r="BO36" s="1">
        <f>IFERROR(__xludf.DUMMYFUNCTION("""COMPUTED_VALUE"""),5.0)</f>
        <v>5</v>
      </c>
      <c r="BP36" s="1">
        <f>IFERROR(__xludf.DUMMYFUNCTION("""COMPUTED_VALUE"""),2024.0)</f>
        <v>2024</v>
      </c>
    </row>
    <row r="37">
      <c r="A37" s="1">
        <f>IFERROR(__xludf.DUMMYFUNCTION("""COMPUTED_VALUE"""),36.0)</f>
        <v>36</v>
      </c>
      <c r="B37" s="1">
        <f>IFERROR(__xludf.DUMMYFUNCTION("""COMPUTED_VALUE"""),1939868.0)</f>
        <v>1939868</v>
      </c>
      <c r="C37" s="1" t="str">
        <f>IFERROR(__xludf.DUMMYFUNCTION("""COMPUTED_VALUE"""),"2025-1")</f>
        <v>2025-1</v>
      </c>
      <c r="D37" s="1" t="str">
        <f>IFERROR(__xludf.DUMMYFUNCTION("""COMPUTED_VALUE"""),"Admisión Extraordinaria (Traslados)")</f>
        <v>Admisión Extraordinaria (Traslados)</v>
      </c>
      <c r="E37" s="2">
        <f>IFERROR(__xludf.DUMMYFUNCTION("""COMPUTED_VALUE"""),45445.0)</f>
        <v>45445</v>
      </c>
      <c r="F37" s="1" t="str">
        <f>IFERROR(__xludf.DUMMYFUNCTION("""COMPUTED_VALUE"""),"BRANDON")</f>
        <v>BRANDON</v>
      </c>
      <c r="G37" s="1" t="str">
        <f>IFERROR(__xludf.DUMMYFUNCTION("""COMPUTED_VALUE"""),"CASTILLO ALIAGA")</f>
        <v>CASTILLO ALIAGA</v>
      </c>
      <c r="H37" s="1" t="str">
        <f>IFERROR(__xludf.DUMMYFUNCTION("""COMPUTED_VALUE"""),"Comunicación Audiovisual y Cine")</f>
        <v>Comunicación Audiovisual y Cine</v>
      </c>
      <c r="I37" s="1" t="str">
        <f>IFERROR(__xludf.DUMMYFUNCTION("""COMPUTED_VALUE"""),"CARGO")</f>
        <v>CARGO</v>
      </c>
      <c r="J37" s="1" t="str">
        <f>IFERROR(__xludf.DUMMYFUNCTION("""COMPUTED_VALUE"""),"Diurno")</f>
        <v>Diurno</v>
      </c>
      <c r="K37" s="1" t="str">
        <f>IFERROR(__xludf.DUMMYFUNCTION("""COMPUTED_VALUE"""),"TRASLADO")</f>
        <v>TRASLADO</v>
      </c>
      <c r="L37" s="1">
        <f>IFERROR(__xludf.DUMMYFUNCTION("""COMPUTED_VALUE"""),1.0)</f>
        <v>1</v>
      </c>
      <c r="M37" s="1">
        <f>IFERROR(__xludf.DUMMYFUNCTION("""COMPUTED_VALUE"""),0.0)</f>
        <v>0</v>
      </c>
      <c r="N37" s="1" t="str">
        <f>IFERROR(__xludf.DUMMYFUNCTION("""COMPUTED_VALUE"""),"RECA")</f>
        <v>RECA</v>
      </c>
      <c r="O37" s="1" t="str">
        <f>IFERROR(__xludf.DUMMYFUNCTION("""COMPUTED_VALUE"""),"RECA TRASLADO CON CONVA")</f>
        <v>RECA TRASLADO CON CONVA</v>
      </c>
      <c r="P37" s="4">
        <f>IFERROR(__xludf.DUMMYFUNCTION("""COMPUTED_VALUE"""),0.0)</f>
        <v>0</v>
      </c>
      <c r="Q37" s="4">
        <f>IFERROR(__xludf.DUMMYFUNCTION("""COMPUTED_VALUE"""),0.0)</f>
        <v>0</v>
      </c>
      <c r="R37" s="4">
        <f>IFERROR(__xludf.DUMMYFUNCTION("""COMPUTED_VALUE"""),1350.0)</f>
        <v>1350</v>
      </c>
      <c r="S37" s="4">
        <f>IFERROR(__xludf.DUMMYFUNCTION("""COMPUTED_VALUE"""),900.0)</f>
        <v>900</v>
      </c>
      <c r="T37" s="1" t="str">
        <f>IFERROR(__xludf.DUMMYFUNCTION("""COMPUTED_VALUE"""),"NINGUNO")</f>
        <v>NINGUNO</v>
      </c>
      <c r="U37" s="1" t="str">
        <f>IFERROR(__xludf.DUMMYFUNCTION("""COMPUTED_VALUE"""),"-")</f>
        <v>-</v>
      </c>
      <c r="V37" s="1" t="str">
        <f>IFERROR(__xludf.DUMMYFUNCTION("""COMPUTED_VALUE"""),"-")</f>
        <v>-</v>
      </c>
      <c r="W37" s="1" t="str">
        <f>IFERROR(__xludf.DUMMYFUNCTION("""COMPUTED_VALUE"""),"PREFERENCIA POR EXPERIENCIA UCAL (SEMANAS UCAL)")</f>
        <v>PREFERENCIA POR EXPERIENCIA UCAL (SEMANAS UCAL)</v>
      </c>
      <c r="X37" s="1" t="str">
        <f>IFERROR(__xludf.DUMMYFUNCTION("""COMPUTED_VALUE"""),"-")</f>
        <v>-</v>
      </c>
      <c r="Y37" s="1" t="str">
        <f>IFERROR(__xludf.DUMMYFUNCTION("""COMPUTED_VALUE"""),"PAGO COMPLETO")</f>
        <v>PAGO COMPLETO</v>
      </c>
      <c r="Z37" s="1">
        <f>IFERROR(__xludf.DUMMYFUNCTION("""COMPUTED_VALUE"""),0.0)</f>
        <v>0</v>
      </c>
      <c r="AA37" s="1" t="str">
        <f>IFERROR(__xludf.DUMMYFUNCTION("""COMPUTED_VALUE"""),"-")</f>
        <v>-</v>
      </c>
      <c r="AB37" s="1">
        <f>IFERROR(__xludf.DUMMYFUNCTION("""COMPUTED_VALUE"""),0.0)</f>
        <v>0</v>
      </c>
      <c r="AC37" s="1">
        <f>IFERROR(__xludf.DUMMYFUNCTION("""COMPUTED_VALUE"""),0.0)</f>
        <v>0</v>
      </c>
      <c r="AD37" s="1" t="str">
        <f>IFERROR(__xludf.DUMMYFUNCTION("""COMPUTED_VALUE"""),"Ingrid Guillermo Rivera")</f>
        <v>Ingrid Guillermo Rivera</v>
      </c>
      <c r="AE37" s="1" t="str">
        <f>IFERROR(__xludf.DUMMYFUNCTION("""COMPUTED_VALUE"""),"De Los Andes")</f>
        <v>De Los Andes</v>
      </c>
      <c r="AF37" s="1">
        <f>IFERROR(__xludf.DUMMYFUNCTION("""COMPUTED_VALUE"""),2021.0)</f>
        <v>2021</v>
      </c>
      <c r="AG37" s="1">
        <f>IFERROR(__xludf.DUMMYFUNCTION("""COMPUTED_VALUE"""),427427.0)</f>
        <v>427427</v>
      </c>
      <c r="AH37" s="1">
        <f>IFERROR(__xludf.DUMMYFUNCTION("""COMPUTED_VALUE"""),19.0)</f>
        <v>19</v>
      </c>
      <c r="AI37" s="1" t="str">
        <f>IFERROR(__xludf.DUMMYFUNCTION("""COMPUTED_VALUE"""),"0000379662")</f>
        <v>0000379662</v>
      </c>
      <c r="AJ37" s="1">
        <f>IFERROR(__xludf.DUMMYFUNCTION("""COMPUTED_VALUE"""),7.124958E7)</f>
        <v>71249580</v>
      </c>
      <c r="AK37" s="1">
        <f>IFERROR(__xludf.DUMMYFUNCTION("""COMPUTED_VALUE"""),9.87973884E8)</f>
        <v>987973884</v>
      </c>
      <c r="AL37" s="1" t="str">
        <f>IFERROR(__xludf.DUMMYFUNCTION("""COMPUTED_VALUE"""),"brandonjamirtcastilloaliaga@gmail.com")</f>
        <v>brandonjamirtcastilloaliaga@gmail.com</v>
      </c>
      <c r="AM37" s="1" t="str">
        <f>IFERROR(__xludf.DUMMYFUNCTION("""COMPUTED_VALUE"""),"MASCULINO")</f>
        <v>MASCULINO</v>
      </c>
      <c r="AN37" s="1">
        <f>IFERROR(__xludf.DUMMYFUNCTION("""COMPUTED_VALUE"""),1350.0)</f>
        <v>1350</v>
      </c>
      <c r="AO37" s="1">
        <f>IFERROR(__xludf.DUMMYFUNCTION("""COMPUTED_VALUE"""),0.0)</f>
        <v>0</v>
      </c>
      <c r="AP37" s="1" t="str">
        <f>IFERROR(__xludf.DUMMYFUNCTION("""COMPUTED_VALUE"""),"BIDIRECCIONAL")</f>
        <v>BIDIRECCIONAL</v>
      </c>
      <c r="AQ37" s="1" t="str">
        <f>IFERROR(__xludf.DUMMYFUNCTION("""COMPUTED_VALUE"""),"ORGANICO")</f>
        <v>ORGANICO</v>
      </c>
      <c r="AR37" s="1" t="str">
        <f>IFERROR(__xludf.DUMMYFUNCTION("""COMPUTED_VALUE"""),"HEREDADO")</f>
        <v>HEREDADO</v>
      </c>
      <c r="AS37" s="1"/>
      <c r="AT37" s="2">
        <f>IFERROR(__xludf.DUMMYFUNCTION("""COMPUTED_VALUE"""),45443.0)</f>
        <v>45443</v>
      </c>
      <c r="AU37" s="1">
        <f>IFERROR(__xludf.DUMMYFUNCTION("""COMPUTED_VALUE"""),1.0)</f>
        <v>1</v>
      </c>
      <c r="AV37" s="1" t="str">
        <f>IFERROR(__xludf.DUMMYFUNCTION("""COMPUTED_VALUE"""),"TRASLADO")</f>
        <v>TRASLADO</v>
      </c>
      <c r="AW37" s="1" t="str">
        <f>IFERROR(__xludf.DUMMYFUNCTION("""COMPUTED_VALUE"""),"SI")</f>
        <v>SI</v>
      </c>
      <c r="AX37" s="1"/>
      <c r="AY37" s="1" t="str">
        <f>IFERROR(__xludf.DUMMYFUNCTION("""COMPUTED_VALUE"""),"PAGO COMPLETO")</f>
        <v>PAGO COMPLETO</v>
      </c>
      <c r="AZ37" s="5">
        <f>IFERROR(__xludf.DUMMYFUNCTION("""COMPUTED_VALUE"""),45445.0)</f>
        <v>45445</v>
      </c>
      <c r="BA37" s="1">
        <f>IFERROR(__xludf.DUMMYFUNCTION("""COMPUTED_VALUE"""),0.0)</f>
        <v>0</v>
      </c>
      <c r="BB37" s="1">
        <f>IFERROR(__xludf.DUMMYFUNCTION("""COMPUTED_VALUE"""),0.0)</f>
        <v>0</v>
      </c>
      <c r="BC37" s="4">
        <f>IFERROR(__xludf.DUMMYFUNCTION("""COMPUTED_VALUE"""),0.0)</f>
        <v>0</v>
      </c>
      <c r="BD37" s="4">
        <f>IFERROR(__xludf.DUMMYFUNCTION("""COMPUTED_VALUE"""),0.0)</f>
        <v>0</v>
      </c>
      <c r="BE37" s="1">
        <f>IFERROR(__xludf.DUMMYFUNCTION("""COMPUTED_VALUE"""),6.0)</f>
        <v>6</v>
      </c>
      <c r="BF37" s="6">
        <f>IFERROR(__xludf.DUMMYFUNCTION("""COMPUTED_VALUE"""),1.0)</f>
        <v>1</v>
      </c>
      <c r="BG37" s="1">
        <f>IFERROR(__xludf.DUMMYFUNCTION("""COMPUTED_VALUE"""),1.0)</f>
        <v>1</v>
      </c>
      <c r="BH37" s="1" t="str">
        <f>IFERROR(__xludf.DUMMYFUNCTION("""COMPUTED_VALUE"""),"1")</f>
        <v>1</v>
      </c>
      <c r="BI37" s="4">
        <f>IFERROR(__xludf.DUMMYFUNCTION("""COMPUTED_VALUE"""),0.0)</f>
        <v>0</v>
      </c>
      <c r="BJ37" s="1">
        <f>IFERROR(__xludf.DUMMYFUNCTION("""COMPUTED_VALUE"""),1.0)</f>
        <v>1</v>
      </c>
      <c r="BK37" s="4">
        <f>IFERROR(__xludf.DUMMYFUNCTION("""COMPUTED_VALUE"""),0.0)</f>
        <v>0</v>
      </c>
      <c r="BL37" s="1">
        <f>IFERROR(__xludf.DUMMYFUNCTION("""COMPUTED_VALUE"""),900.0)</f>
        <v>900</v>
      </c>
      <c r="BM37" s="1">
        <f>IFERROR(__xludf.DUMMYFUNCTION("""COMPUTED_VALUE"""),22.0)</f>
        <v>22</v>
      </c>
      <c r="BN37" s="2">
        <f>IFERROR(__xludf.DUMMYFUNCTION("""COMPUTED_VALUE"""),45439.0)</f>
        <v>45439</v>
      </c>
      <c r="BO37" s="1">
        <f>IFERROR(__xludf.DUMMYFUNCTION("""COMPUTED_VALUE"""),6.0)</f>
        <v>6</v>
      </c>
      <c r="BP37" s="1">
        <f>IFERROR(__xludf.DUMMYFUNCTION("""COMPUTED_VALUE"""),2024.0)</f>
        <v>2024</v>
      </c>
    </row>
    <row r="38">
      <c r="A38" s="1">
        <f>IFERROR(__xludf.DUMMYFUNCTION("""COMPUTED_VALUE"""),37.0)</f>
        <v>37</v>
      </c>
      <c r="B38" s="1">
        <f>IFERROR(__xludf.DUMMYFUNCTION("""COMPUTED_VALUE"""),3247167.0)</f>
        <v>3247167</v>
      </c>
      <c r="C38" s="1" t="str">
        <f>IFERROR(__xludf.DUMMYFUNCTION("""COMPUTED_VALUE"""),"2025-1")</f>
        <v>2025-1</v>
      </c>
      <c r="D38" s="1" t="str">
        <f>IFERROR(__xludf.DUMMYFUNCTION("""COMPUTED_VALUE"""),"Admisión de Alto Rendimiento")</f>
        <v>Admisión de Alto Rendimiento</v>
      </c>
      <c r="E38" s="2">
        <f>IFERROR(__xludf.DUMMYFUNCTION("""COMPUTED_VALUE"""),45447.0)</f>
        <v>45447</v>
      </c>
      <c r="F38" s="1" t="str">
        <f>IFERROR(__xludf.DUMMYFUNCTION("""COMPUTED_VALUE"""),"LORENA NICOLE")</f>
        <v>LORENA NICOLE</v>
      </c>
      <c r="G38" s="1" t="str">
        <f>IFERROR(__xludf.DUMMYFUNCTION("""COMPUTED_VALUE"""),"NOLASCO ALBINO")</f>
        <v>NOLASCO ALBINO</v>
      </c>
      <c r="H38" s="1" t="str">
        <f>IFERROR(__xludf.DUMMYFUNCTION("""COMPUTED_VALUE"""),"Arquitectura de Interiores")</f>
        <v>Arquitectura de Interiores</v>
      </c>
      <c r="I38" s="1" t="str">
        <f>IFERROR(__xludf.DUMMYFUNCTION("""COMPUTED_VALUE"""),"CARGO")</f>
        <v>CARGO</v>
      </c>
      <c r="J38" s="1" t="str">
        <f>IFERROR(__xludf.DUMMYFUNCTION("""COMPUTED_VALUE"""),"Diurno")</f>
        <v>Diurno</v>
      </c>
      <c r="K38" s="1" t="str">
        <f>IFERROR(__xludf.DUMMYFUNCTION("""COMPUTED_VALUE"""),"NUEVO")</f>
        <v>NUEVO</v>
      </c>
      <c r="L38" s="1">
        <f>IFERROR(__xludf.DUMMYFUNCTION("""COMPUTED_VALUE"""),0.0)</f>
        <v>0</v>
      </c>
      <c r="M38" s="1">
        <f>IFERROR(__xludf.DUMMYFUNCTION("""COMPUTED_VALUE"""),0.0)</f>
        <v>0</v>
      </c>
      <c r="N38" s="1" t="str">
        <f>IFERROR(__xludf.DUMMYFUNCTION("""COMPUTED_VALUE"""),"BECA")</f>
        <v>BECA</v>
      </c>
      <c r="O38" s="1" t="str">
        <f>IFERROR(__xludf.DUMMYFUNCTION("""COMPUTED_VALUE"""),"BECA CARRERAS CORE")</f>
        <v>BECA CARRERAS CORE</v>
      </c>
      <c r="P38" s="4">
        <f>IFERROR(__xludf.DUMMYFUNCTION("""COMPUTED_VALUE"""),0.0)</f>
        <v>0</v>
      </c>
      <c r="Q38" s="4">
        <f>IFERROR(__xludf.DUMMYFUNCTION("""COMPUTED_VALUE"""),0.0)</f>
        <v>0</v>
      </c>
      <c r="R38" s="4">
        <f>IFERROR(__xludf.DUMMYFUNCTION("""COMPUTED_VALUE"""),1775.0)</f>
        <v>1775</v>
      </c>
      <c r="S38" s="4">
        <f>IFERROR(__xludf.DUMMYFUNCTION("""COMPUTED_VALUE"""),1500.0)</f>
        <v>1500</v>
      </c>
      <c r="T38" s="1" t="str">
        <f>IFERROR(__xludf.DUMMYFUNCTION("""COMPUTED_VALUE"""),"Visita Guiada")</f>
        <v>Visita Guiada</v>
      </c>
      <c r="U38" s="1" t="str">
        <f>IFERROR(__xludf.DUMMYFUNCTION("""COMPUTED_VALUE"""),"-")</f>
        <v>-</v>
      </c>
      <c r="V38" s="1" t="str">
        <f>IFERROR(__xludf.DUMMYFUNCTION("""COMPUTED_VALUE"""),"-")</f>
        <v>-</v>
      </c>
      <c r="W38" s="1" t="str">
        <f>IFERROR(__xludf.DUMMYFUNCTION("""COMPUTED_VALUE"""),"-")</f>
        <v>-</v>
      </c>
      <c r="X38" s="1" t="str">
        <f>IFERROR(__xludf.DUMMYFUNCTION("""COMPUTED_VALUE"""),"-")</f>
        <v>-</v>
      </c>
      <c r="Y38" s="1" t="str">
        <f>IFERROR(__xludf.DUMMYFUNCTION("""COMPUTED_VALUE"""),"PAGO COMPLETO")</f>
        <v>PAGO COMPLETO</v>
      </c>
      <c r="Z38" s="1">
        <f>IFERROR(__xludf.DUMMYFUNCTION("""COMPUTED_VALUE"""),1400.0)</f>
        <v>1400</v>
      </c>
      <c r="AA38" s="1" t="str">
        <f>IFERROR(__xludf.DUMMYFUNCTION("""COMPUTED_VALUE"""),"-")</f>
        <v>-</v>
      </c>
      <c r="AB38" s="1">
        <f>IFERROR(__xludf.DUMMYFUNCTION("""COMPUTED_VALUE"""),0.0)</f>
        <v>0</v>
      </c>
      <c r="AC38" s="1">
        <f>IFERROR(__xludf.DUMMYFUNCTION("""COMPUTED_VALUE"""),0.0)</f>
        <v>0</v>
      </c>
      <c r="AD38" s="1" t="str">
        <f>IFERROR(__xludf.DUMMYFUNCTION("""COMPUTED_VALUE"""),"Cinthia Mariella Orosco")</f>
        <v>Cinthia Mariella Orosco</v>
      </c>
      <c r="AE38" s="1" t="str">
        <f>IFERROR(__xludf.DUMMYFUNCTION("""COMPUTED_VALUE"""),"0")</f>
        <v>0</v>
      </c>
      <c r="AF38" s="1">
        <f>IFERROR(__xludf.DUMMYFUNCTION("""COMPUTED_VALUE"""),2024.0)</f>
        <v>2024</v>
      </c>
      <c r="AG38" s="1">
        <f>IFERROR(__xludf.DUMMYFUNCTION("""COMPUTED_VALUE"""),856773.0)</f>
        <v>856773</v>
      </c>
      <c r="AH38" s="1">
        <f>IFERROR(__xludf.DUMMYFUNCTION("""COMPUTED_VALUE"""),16.0)</f>
        <v>16</v>
      </c>
      <c r="AI38" s="1" t="str">
        <f>IFERROR(__xludf.DUMMYFUNCTION("""COMPUTED_VALUE"""),"0000379961")</f>
        <v>0000379961</v>
      </c>
      <c r="AJ38" s="1">
        <f>IFERROR(__xludf.DUMMYFUNCTION("""COMPUTED_VALUE"""),7.2062547E7)</f>
        <v>72062547</v>
      </c>
      <c r="AK38" s="1">
        <f>IFERROR(__xludf.DUMMYFUNCTION("""COMPUTED_VALUE"""),9.69109427E8)</f>
        <v>969109427</v>
      </c>
      <c r="AL38" s="1" t="str">
        <f>IFERROR(__xludf.DUMMYFUNCTION("""COMPUTED_VALUE"""),"lorenanolasco08@gmail.com")</f>
        <v>lorenanolasco08@gmail.com</v>
      </c>
      <c r="AM38" s="1" t="str">
        <f>IFERROR(__xludf.DUMMYFUNCTION("""COMPUTED_VALUE"""),"FEMENINO")</f>
        <v>FEMENINO</v>
      </c>
      <c r="AN38" s="1">
        <f>IFERROR(__xludf.DUMMYFUNCTION("""COMPUTED_VALUE"""),1775.0)</f>
        <v>1775</v>
      </c>
      <c r="AO38" s="1">
        <f>IFERROR(__xludf.DUMMYFUNCTION("""COMPUTED_VALUE"""),450.0)</f>
        <v>450</v>
      </c>
      <c r="AP38" s="1" t="str">
        <f>IFERROR(__xludf.DUMMYFUNCTION("""COMPUTED_VALUE"""),"BIDIRECCIONAL")</f>
        <v>BIDIRECCIONAL</v>
      </c>
      <c r="AQ38" s="1" t="str">
        <f>IFERROR(__xludf.DUMMYFUNCTION("""COMPUTED_VALUE"""),"ORGANICO")</f>
        <v>ORGANICO</v>
      </c>
      <c r="AR38" s="1" t="str">
        <f>IFERROR(__xludf.DUMMYFUNCTION("""COMPUTED_VALUE"""),"NUEVO")</f>
        <v>NUEVO</v>
      </c>
      <c r="AS38" s="1"/>
      <c r="AT38" s="2">
        <f>IFERROR(__xludf.DUMMYFUNCTION("""COMPUTED_VALUE"""),45441.0)</f>
        <v>45441</v>
      </c>
      <c r="AU38" s="1">
        <f>IFERROR(__xludf.DUMMYFUNCTION("""COMPUTED_VALUE"""),1.0)</f>
        <v>1</v>
      </c>
      <c r="AV38" s="1" t="str">
        <f>IFERROR(__xludf.DUMMYFUNCTION("""COMPUTED_VALUE"""),"NUEVO")</f>
        <v>NUEVO</v>
      </c>
      <c r="AW38" s="1" t="str">
        <f>IFERROR(__xludf.DUMMYFUNCTION("""COMPUTED_VALUE"""),"SI")</f>
        <v>SI</v>
      </c>
      <c r="AX38" s="1"/>
      <c r="AY38" s="1" t="str">
        <f>IFERROR(__xludf.DUMMYFUNCTION("""COMPUTED_VALUE"""),"PAGO COMPLETO")</f>
        <v>PAGO COMPLETO</v>
      </c>
      <c r="AZ38" s="5">
        <f>IFERROR(__xludf.DUMMYFUNCTION("""COMPUTED_VALUE"""),45447.0)</f>
        <v>45447</v>
      </c>
      <c r="BA38" s="1">
        <f>IFERROR(__xludf.DUMMYFUNCTION("""COMPUTED_VALUE"""),0.0)</f>
        <v>0</v>
      </c>
      <c r="BB38" s="1">
        <f>IFERROR(__xludf.DUMMYFUNCTION("""COMPUTED_VALUE"""),0.0)</f>
        <v>0</v>
      </c>
      <c r="BC38" s="4">
        <f>IFERROR(__xludf.DUMMYFUNCTION("""COMPUTED_VALUE"""),0.0)</f>
        <v>0</v>
      </c>
      <c r="BD38" s="4">
        <f>IFERROR(__xludf.DUMMYFUNCTION("""COMPUTED_VALUE"""),100.0)</f>
        <v>100</v>
      </c>
      <c r="BE38" s="1">
        <f>IFERROR(__xludf.DUMMYFUNCTION("""COMPUTED_VALUE"""),6.0)</f>
        <v>6</v>
      </c>
      <c r="BF38" s="6">
        <f>IFERROR(__xludf.DUMMYFUNCTION("""COMPUTED_VALUE"""),1.0)</f>
        <v>1</v>
      </c>
      <c r="BG38" s="1">
        <f>IFERROR(__xludf.DUMMYFUNCTION("""COMPUTED_VALUE"""),1.0)</f>
        <v>1</v>
      </c>
      <c r="BH38" s="1" t="str">
        <f>IFERROR(__xludf.DUMMYFUNCTION("""COMPUTED_VALUE"""),"0")</f>
        <v>0</v>
      </c>
      <c r="BI38" s="4">
        <f>IFERROR(__xludf.DUMMYFUNCTION("""COMPUTED_VALUE"""),1500.0)</f>
        <v>1500</v>
      </c>
      <c r="BJ38" s="1">
        <f>IFERROR(__xludf.DUMMYFUNCTION("""COMPUTED_VALUE"""),0.0)</f>
        <v>0</v>
      </c>
      <c r="BK38" s="4">
        <f>IFERROR(__xludf.DUMMYFUNCTION("""COMPUTED_VALUE"""),100.0)</f>
        <v>100</v>
      </c>
      <c r="BL38" s="1">
        <f>IFERROR(__xludf.DUMMYFUNCTION("""COMPUTED_VALUE"""),1480.0)</f>
        <v>1480</v>
      </c>
      <c r="BM38" s="1">
        <f>IFERROR(__xludf.DUMMYFUNCTION("""COMPUTED_VALUE"""),23.0)</f>
        <v>23</v>
      </c>
      <c r="BN38" s="2">
        <f>IFERROR(__xludf.DUMMYFUNCTION("""COMPUTED_VALUE"""),45446.0)</f>
        <v>45446</v>
      </c>
      <c r="BO38" s="1">
        <f>IFERROR(__xludf.DUMMYFUNCTION("""COMPUTED_VALUE"""),6.0)</f>
        <v>6</v>
      </c>
      <c r="BP38" s="1">
        <f>IFERROR(__xludf.DUMMYFUNCTION("""COMPUTED_VALUE"""),2024.0)</f>
        <v>2024</v>
      </c>
    </row>
    <row r="39">
      <c r="A39" s="1">
        <f>IFERROR(__xludf.DUMMYFUNCTION("""COMPUTED_VALUE"""),38.0)</f>
        <v>38</v>
      </c>
      <c r="B39" s="1">
        <f>IFERROR(__xludf.DUMMYFUNCTION("""COMPUTED_VALUE"""),736175.0)</f>
        <v>736175</v>
      </c>
      <c r="C39" s="1" t="str">
        <f>IFERROR(__xludf.DUMMYFUNCTION("""COMPUTED_VALUE"""),"2025-1")</f>
        <v>2025-1</v>
      </c>
      <c r="D39" s="1" t="str">
        <f>IFERROR(__xludf.DUMMYFUNCTION("""COMPUTED_VALUE"""),"Admisión Extraordinaria (Traslados)")</f>
        <v>Admisión Extraordinaria (Traslados)</v>
      </c>
      <c r="E39" s="2">
        <f>IFERROR(__xludf.DUMMYFUNCTION("""COMPUTED_VALUE"""),45447.0)</f>
        <v>45447</v>
      </c>
      <c r="F39" s="1" t="str">
        <f>IFERROR(__xludf.DUMMYFUNCTION("""COMPUTED_VALUE"""),"NOEMI ESTHEFANI")</f>
        <v>NOEMI ESTHEFANI</v>
      </c>
      <c r="G39" s="1" t="str">
        <f>IFERROR(__xludf.DUMMYFUNCTION("""COMPUTED_VALUE"""),"GONZALES LAVERIANO")</f>
        <v>GONZALES LAVERIANO</v>
      </c>
      <c r="H39" s="1" t="str">
        <f>IFERROR(__xludf.DUMMYFUNCTION("""COMPUTED_VALUE"""),"Arquitectura")</f>
        <v>Arquitectura</v>
      </c>
      <c r="I39" s="1" t="str">
        <f>IFERROR(__xludf.DUMMYFUNCTION("""COMPUTED_VALUE"""),"Pago Link")</f>
        <v>Pago Link</v>
      </c>
      <c r="J39" s="1" t="str">
        <f>IFERROR(__xludf.DUMMYFUNCTION("""COMPUTED_VALUE"""),"Diurno")</f>
        <v>Diurno</v>
      </c>
      <c r="K39" s="1" t="str">
        <f>IFERROR(__xludf.DUMMYFUNCTION("""COMPUTED_VALUE"""),"TRASLADO")</f>
        <v>TRASLADO</v>
      </c>
      <c r="L39" s="1">
        <f>IFERROR(__xludf.DUMMYFUNCTION("""COMPUTED_VALUE"""),1.0)</f>
        <v>1</v>
      </c>
      <c r="M39" s="1">
        <f>IFERROR(__xludf.DUMMYFUNCTION("""COMPUTED_VALUE"""),0.0)</f>
        <v>0</v>
      </c>
      <c r="N39" s="1" t="str">
        <f>IFERROR(__xludf.DUMMYFUNCTION("""COMPUTED_VALUE"""),"RECA")</f>
        <v>RECA</v>
      </c>
      <c r="O39" s="1" t="str">
        <f>IFERROR(__xludf.DUMMYFUNCTION("""COMPUTED_VALUE"""),"RECA TRASLADO CON CONVA")</f>
        <v>RECA TRASLADO CON CONVA</v>
      </c>
      <c r="P39" s="4">
        <f>IFERROR(__xludf.DUMMYFUNCTION("""COMPUTED_VALUE"""),0.0)</f>
        <v>0</v>
      </c>
      <c r="Q39" s="4">
        <f>IFERROR(__xludf.DUMMYFUNCTION("""COMPUTED_VALUE"""),0.0)</f>
        <v>0</v>
      </c>
      <c r="R39" s="4">
        <f>IFERROR(__xludf.DUMMYFUNCTION("""COMPUTED_VALUE"""),1500.0)</f>
        <v>1500</v>
      </c>
      <c r="S39" s="4">
        <f>IFERROR(__xludf.DUMMYFUNCTION("""COMPUTED_VALUE"""),900.0)</f>
        <v>900</v>
      </c>
      <c r="T39" s="1" t="str">
        <f>IFERROR(__xludf.DUMMYFUNCTION("""COMPUTED_VALUE"""),"NINGUNO")</f>
        <v>NINGUNO</v>
      </c>
      <c r="U39" s="1" t="str">
        <f>IFERROR(__xludf.DUMMYFUNCTION("""COMPUTED_VALUE"""),"-")</f>
        <v>-</v>
      </c>
      <c r="V39" s="1" t="str">
        <f>IFERROR(__xludf.DUMMYFUNCTION("""COMPUTED_VALUE"""),"-")</f>
        <v>-</v>
      </c>
      <c r="W39" s="1" t="str">
        <f>IFERROR(__xludf.DUMMYFUNCTION("""COMPUTED_VALUE"""),"Malla curricular")</f>
        <v>Malla curricular</v>
      </c>
      <c r="X39" s="1" t="str">
        <f>IFERROR(__xludf.DUMMYFUNCTION("""COMPUTED_VALUE"""),"No llamar, asesora esta trabajando a la alumna, posible reserva ")</f>
        <v>No llamar, asesora esta trabajando a la alumna, posible reserva </v>
      </c>
      <c r="Y39" s="1" t="str">
        <f>IFERROR(__xludf.DUMMYFUNCTION("""COMPUTED_VALUE"""),"PAGO COMPLETO")</f>
        <v>PAGO COMPLETO</v>
      </c>
      <c r="Z39" s="1">
        <f>IFERROR(__xludf.DUMMYFUNCTION("""COMPUTED_VALUE"""),0.0)</f>
        <v>0</v>
      </c>
      <c r="AA39" s="1" t="str">
        <f>IFERROR(__xludf.DUMMYFUNCTION("""COMPUTED_VALUE"""),"-")</f>
        <v>-</v>
      </c>
      <c r="AB39" s="1">
        <f>IFERROR(__xludf.DUMMYFUNCTION("""COMPUTED_VALUE"""),1.0)</f>
        <v>1</v>
      </c>
      <c r="AC39" s="1">
        <f>IFERROR(__xludf.DUMMYFUNCTION("""COMPUTED_VALUE"""),0.0)</f>
        <v>0</v>
      </c>
      <c r="AD39" s="1" t="str">
        <f>IFERROR(__xludf.DUMMYFUNCTION("""COMPUTED_VALUE"""),"Rosmery Enriquez")</f>
        <v>Rosmery Enriquez</v>
      </c>
      <c r="AE39" s="1" t="str">
        <f>IFERROR(__xludf.DUMMYFUNCTION("""COMPUTED_VALUE"""),"Instituto de Educación Superior Tecnológico Privado Toulouse Lautrec")</f>
        <v>Instituto de Educación Superior Tecnológico Privado Toulouse Lautrec</v>
      </c>
      <c r="AF39" s="1">
        <f>IFERROR(__xludf.DUMMYFUNCTION("""COMPUTED_VALUE"""),2017.0)</f>
        <v>2017</v>
      </c>
      <c r="AG39" s="1">
        <f>IFERROR(__xludf.DUMMYFUNCTION("""COMPUTED_VALUE"""),1099597.0)</f>
        <v>1099597</v>
      </c>
      <c r="AH39" s="1">
        <f>IFERROR(__xludf.DUMMYFUNCTION("""COMPUTED_VALUE"""),24.0)</f>
        <v>24</v>
      </c>
      <c r="AI39" s="1" t="str">
        <f>IFERROR(__xludf.DUMMYFUNCTION("""COMPUTED_VALUE"""),"2018006218")</f>
        <v>2018006218</v>
      </c>
      <c r="AJ39" s="1">
        <f>IFERROR(__xludf.DUMMYFUNCTION("""COMPUTED_VALUE"""),7.4987816E7)</f>
        <v>74987816</v>
      </c>
      <c r="AK39" s="1">
        <f>IFERROR(__xludf.DUMMYFUNCTION("""COMPUTED_VALUE"""),9.22241853E8)</f>
        <v>922241853</v>
      </c>
      <c r="AL39" s="1" t="str">
        <f>IFERROR(__xludf.DUMMYFUNCTION("""COMPUTED_VALUE"""),"noemi.gle1@gmail.com")</f>
        <v>noemi.gle1@gmail.com</v>
      </c>
      <c r="AM39" s="1" t="str">
        <f>IFERROR(__xludf.DUMMYFUNCTION("""COMPUTED_VALUE"""),"FEMENINO")</f>
        <v>FEMENINO</v>
      </c>
      <c r="AN39" s="1">
        <f>IFERROR(__xludf.DUMMYFUNCTION("""COMPUTED_VALUE"""),1500.0)</f>
        <v>1500</v>
      </c>
      <c r="AO39" s="1">
        <f>IFERROR(__xludf.DUMMYFUNCTION("""COMPUTED_VALUE"""),320.0)</f>
        <v>320</v>
      </c>
      <c r="AP39" s="1" t="str">
        <f>IFERROR(__xludf.DUMMYFUNCTION("""COMPUTED_VALUE"""),"BIDIRECCIONAL")</f>
        <v>BIDIRECCIONAL</v>
      </c>
      <c r="AQ39" s="1" t="str">
        <f>IFERROR(__xludf.DUMMYFUNCTION("""COMPUTED_VALUE"""),"ORGANICO")</f>
        <v>ORGANICO</v>
      </c>
      <c r="AR39" s="1" t="str">
        <f>IFERROR(__xludf.DUMMYFUNCTION("""COMPUTED_VALUE"""),"HEREDADO")</f>
        <v>HEREDADO</v>
      </c>
      <c r="AS39" s="1"/>
      <c r="AT39" s="2">
        <f>IFERROR(__xludf.DUMMYFUNCTION("""COMPUTED_VALUE"""),45446.0)</f>
        <v>45446</v>
      </c>
      <c r="AU39" s="1">
        <f>IFERROR(__xludf.DUMMYFUNCTION("""COMPUTED_VALUE"""),1.0)</f>
        <v>1</v>
      </c>
      <c r="AV39" s="1" t="str">
        <f>IFERROR(__xludf.DUMMYFUNCTION("""COMPUTED_VALUE"""),"TRASLADO")</f>
        <v>TRASLADO</v>
      </c>
      <c r="AW39" s="1" t="str">
        <f>IFERROR(__xludf.DUMMYFUNCTION("""COMPUTED_VALUE"""),"SI")</f>
        <v>SI</v>
      </c>
      <c r="AX39" s="1"/>
      <c r="AY39" s="1" t="str">
        <f>IFERROR(__xludf.DUMMYFUNCTION("""COMPUTED_VALUE"""),"PAGO COMPLETO")</f>
        <v>PAGO COMPLETO</v>
      </c>
      <c r="AZ39" s="5">
        <f>IFERROR(__xludf.DUMMYFUNCTION("""COMPUTED_VALUE"""),45447.0)</f>
        <v>45447</v>
      </c>
      <c r="BA39" s="1">
        <f>IFERROR(__xludf.DUMMYFUNCTION("""COMPUTED_VALUE"""),0.0)</f>
        <v>0</v>
      </c>
      <c r="BB39" s="1">
        <f>IFERROR(__xludf.DUMMYFUNCTION("""COMPUTED_VALUE"""),0.0)</f>
        <v>0</v>
      </c>
      <c r="BC39" s="4">
        <f>IFERROR(__xludf.DUMMYFUNCTION("""COMPUTED_VALUE"""),0.0)</f>
        <v>0</v>
      </c>
      <c r="BD39" s="4">
        <f>IFERROR(__xludf.DUMMYFUNCTION("""COMPUTED_VALUE"""),0.0)</f>
        <v>0</v>
      </c>
      <c r="BE39" s="1">
        <f>IFERROR(__xludf.DUMMYFUNCTION("""COMPUTED_VALUE"""),6.0)</f>
        <v>6</v>
      </c>
      <c r="BF39" s="6">
        <f>IFERROR(__xludf.DUMMYFUNCTION("""COMPUTED_VALUE"""),1.0)</f>
        <v>1</v>
      </c>
      <c r="BG39" s="1">
        <f>IFERROR(__xludf.DUMMYFUNCTION("""COMPUTED_VALUE"""),1.0)</f>
        <v>1</v>
      </c>
      <c r="BH39" s="1" t="str">
        <f>IFERROR(__xludf.DUMMYFUNCTION("""COMPUTED_VALUE"""),"1")</f>
        <v>1</v>
      </c>
      <c r="BI39" s="4">
        <f>IFERROR(__xludf.DUMMYFUNCTION("""COMPUTED_VALUE"""),0.0)</f>
        <v>0</v>
      </c>
      <c r="BJ39" s="1">
        <f>IFERROR(__xludf.DUMMYFUNCTION("""COMPUTED_VALUE"""),1.0)</f>
        <v>1</v>
      </c>
      <c r="BK39" s="4">
        <f>IFERROR(__xludf.DUMMYFUNCTION("""COMPUTED_VALUE"""),0.0)</f>
        <v>0</v>
      </c>
      <c r="BL39" s="1">
        <f>IFERROR(__xludf.DUMMYFUNCTION("""COMPUTED_VALUE"""),900.0)</f>
        <v>900</v>
      </c>
      <c r="BM39" s="1">
        <f>IFERROR(__xludf.DUMMYFUNCTION("""COMPUTED_VALUE"""),23.0)</f>
        <v>23</v>
      </c>
      <c r="BN39" s="2">
        <f>IFERROR(__xludf.DUMMYFUNCTION("""COMPUTED_VALUE"""),45446.0)</f>
        <v>45446</v>
      </c>
      <c r="BO39" s="1">
        <f>IFERROR(__xludf.DUMMYFUNCTION("""COMPUTED_VALUE"""),6.0)</f>
        <v>6</v>
      </c>
      <c r="BP39" s="1">
        <f>IFERROR(__xludf.DUMMYFUNCTION("""COMPUTED_VALUE"""),2024.0)</f>
        <v>2024</v>
      </c>
    </row>
    <row r="40">
      <c r="A40" s="1">
        <f>IFERROR(__xludf.DUMMYFUNCTION("""COMPUTED_VALUE"""),39.0)</f>
        <v>39</v>
      </c>
      <c r="B40" s="1">
        <f>IFERROR(__xludf.DUMMYFUNCTION("""COMPUTED_VALUE"""),1566748.0)</f>
        <v>1566748</v>
      </c>
      <c r="C40" s="1" t="str">
        <f>IFERROR(__xludf.DUMMYFUNCTION("""COMPUTED_VALUE"""),"2025-1")</f>
        <v>2025-1</v>
      </c>
      <c r="D40" s="1" t="str">
        <f>IFERROR(__xludf.DUMMYFUNCTION("""COMPUTED_VALUE"""),"Admisión de Alto Rendimiento")</f>
        <v>Admisión de Alto Rendimiento</v>
      </c>
      <c r="E40" s="2">
        <f>IFERROR(__xludf.DUMMYFUNCTION("""COMPUTED_VALUE"""),45449.0)</f>
        <v>45449</v>
      </c>
      <c r="F40" s="1" t="str">
        <f>IFERROR(__xludf.DUMMYFUNCTION("""COMPUTED_VALUE"""),"VICTOR ANTONIO")</f>
        <v>VICTOR ANTONIO</v>
      </c>
      <c r="G40" s="1" t="str">
        <f>IFERROR(__xludf.DUMMYFUNCTION("""COMPUTED_VALUE"""),"RAMÍREZ TARRILLO")</f>
        <v>RAMÍREZ TARRILLO</v>
      </c>
      <c r="H40" s="1" t="str">
        <f>IFERROR(__xludf.DUMMYFUNCTION("""COMPUTED_VALUE"""),"Psicología")</f>
        <v>Psicología</v>
      </c>
      <c r="I40" s="1" t="str">
        <f>IFERROR(__xludf.DUMMYFUNCTION("""COMPUTED_VALUE"""),"CARGO")</f>
        <v>CARGO</v>
      </c>
      <c r="J40" s="1" t="str">
        <f>IFERROR(__xludf.DUMMYFUNCTION("""COMPUTED_VALUE"""),"Diurno")</f>
        <v>Diurno</v>
      </c>
      <c r="K40" s="1" t="str">
        <f>IFERROR(__xludf.DUMMYFUNCTION("""COMPUTED_VALUE"""),"NUEVO")</f>
        <v>NUEVO</v>
      </c>
      <c r="L40" s="1">
        <f>IFERROR(__xludf.DUMMYFUNCTION("""COMPUTED_VALUE"""),0.0)</f>
        <v>0</v>
      </c>
      <c r="M40" s="1">
        <f>IFERROR(__xludf.DUMMYFUNCTION("""COMPUTED_VALUE"""),0.0)</f>
        <v>0</v>
      </c>
      <c r="N40" s="1" t="str">
        <f>IFERROR(__xludf.DUMMYFUNCTION("""COMPUTED_VALUE"""),"BECA")</f>
        <v>BECA</v>
      </c>
      <c r="O40" s="1" t="str">
        <f>IFERROR(__xludf.DUMMYFUNCTION("""COMPUTED_VALUE"""),"BECA CARRERAS NUEVAS")</f>
        <v>BECA CARRERAS NUEVAS</v>
      </c>
      <c r="P40" s="4">
        <f>IFERROR(__xludf.DUMMYFUNCTION("""COMPUTED_VALUE"""),0.0)</f>
        <v>0</v>
      </c>
      <c r="Q40" s="4">
        <f>IFERROR(__xludf.DUMMYFUNCTION("""COMPUTED_VALUE"""),0.0)</f>
        <v>0</v>
      </c>
      <c r="R40" s="4">
        <f>IFERROR(__xludf.DUMMYFUNCTION("""COMPUTED_VALUE"""),1350.0)</f>
        <v>1350</v>
      </c>
      <c r="S40" s="4">
        <f>IFERROR(__xludf.DUMMYFUNCTION("""COMPUTED_VALUE"""),1000.0)</f>
        <v>1000</v>
      </c>
      <c r="T40" s="1" t="str">
        <f>IFERROR(__xludf.DUMMYFUNCTION("""COMPUTED_VALUE"""),"NINGUNO")</f>
        <v>NINGUNO</v>
      </c>
      <c r="U40" s="1" t="str">
        <f>IFERROR(__xludf.DUMMYFUNCTION("""COMPUTED_VALUE"""),"LORENA")</f>
        <v>LORENA</v>
      </c>
      <c r="V40" s="1" t="str">
        <f>IFERROR(__xludf.DUMMYFUNCTION("""COMPUTED_VALUE"""),"-")</f>
        <v>-</v>
      </c>
      <c r="W40" s="1" t="str">
        <f>IFERROR(__xludf.DUMMYFUNCTION("""COMPUTED_VALUE"""),"-")</f>
        <v>-</v>
      </c>
      <c r="X40" s="1" t="str">
        <f>IFERROR(__xludf.DUMMYFUNCTION("""COMPUTED_VALUE"""),"-")</f>
        <v>-</v>
      </c>
      <c r="Y40" s="1" t="str">
        <f>IFERROR(__xludf.DUMMYFUNCTION("""COMPUTED_VALUE"""),"PAGO COMPLETO")</f>
        <v>PAGO COMPLETO</v>
      </c>
      <c r="Z40" s="1">
        <f>IFERROR(__xludf.DUMMYFUNCTION("""COMPUTED_VALUE"""),0.0)</f>
        <v>0</v>
      </c>
      <c r="AA40" s="1" t="str">
        <f>IFERROR(__xludf.DUMMYFUNCTION("""COMPUTED_VALUE"""),"06/06/2024")</f>
        <v>06/06/2024</v>
      </c>
      <c r="AB40" s="1">
        <f>IFERROR(__xludf.DUMMYFUNCTION("""COMPUTED_VALUE"""),1.0)</f>
        <v>1</v>
      </c>
      <c r="AC40" s="1">
        <f>IFERROR(__xludf.DUMMYFUNCTION("""COMPUTED_VALUE"""),1.0)</f>
        <v>1</v>
      </c>
      <c r="AD40" s="1" t="str">
        <f>IFERROR(__xludf.DUMMYFUNCTION("""COMPUTED_VALUE"""),"Fiorella Lanegra")</f>
        <v>Fiorella Lanegra</v>
      </c>
      <c r="AE40" s="1" t="str">
        <f>IFERROR(__xludf.DUMMYFUNCTION("""COMPUTED_VALUE"""),"0")</f>
        <v>0</v>
      </c>
      <c r="AF40" s="1">
        <f>IFERROR(__xludf.DUMMYFUNCTION("""COMPUTED_VALUE"""),2024.0)</f>
        <v>2024</v>
      </c>
      <c r="AG40" s="1">
        <f>IFERROR(__xludf.DUMMYFUNCTION("""COMPUTED_VALUE"""),1509611.0)</f>
        <v>1509611</v>
      </c>
      <c r="AH40" s="1">
        <f>IFERROR(__xludf.DUMMYFUNCTION("""COMPUTED_VALUE"""),17.0)</f>
        <v>17</v>
      </c>
      <c r="AI40" s="1" t="str">
        <f>IFERROR(__xludf.DUMMYFUNCTION("""COMPUTED_VALUE"""),"0000024511")</f>
        <v>0000024511</v>
      </c>
      <c r="AJ40" s="1">
        <f>IFERROR(__xludf.DUMMYFUNCTION("""COMPUTED_VALUE"""),7.0952715E7)</f>
        <v>70952715</v>
      </c>
      <c r="AK40" s="1">
        <f>IFERROR(__xludf.DUMMYFUNCTION("""COMPUTED_VALUE"""),9.7205963E8)</f>
        <v>972059630</v>
      </c>
      <c r="AL40" s="1" t="str">
        <f>IFERROR(__xludf.DUMMYFUNCTION("""COMPUTED_VALUE"""),"victortarrillo14@gmail.com")</f>
        <v>victortarrillo14@gmail.com</v>
      </c>
      <c r="AM40" s="1" t="str">
        <f>IFERROR(__xludf.DUMMYFUNCTION("""COMPUTED_VALUE"""),"MASCULINO")</f>
        <v>MASCULINO</v>
      </c>
      <c r="AN40" s="1">
        <f>IFERROR(__xludf.DUMMYFUNCTION("""COMPUTED_VALUE"""),1350.0)</f>
        <v>1350</v>
      </c>
      <c r="AO40" s="1">
        <f>IFERROR(__xludf.DUMMYFUNCTION("""COMPUTED_VALUE"""),0.0)</f>
        <v>0</v>
      </c>
      <c r="AP40" s="1" t="str">
        <f>IFERROR(__xludf.DUMMYFUNCTION("""COMPUTED_VALUE"""),"VISITA")</f>
        <v>VISITA</v>
      </c>
      <c r="AQ40" s="1" t="str">
        <f>IFERROR(__xludf.DUMMYFUNCTION("""COMPUTED_VALUE"""),"VISITA")</f>
        <v>VISITA</v>
      </c>
      <c r="AR40" s="1" t="str">
        <f>IFERROR(__xludf.DUMMYFUNCTION("""COMPUTED_VALUE"""),"NUEVO")</f>
        <v>NUEVO</v>
      </c>
      <c r="AS40" s="1"/>
      <c r="AT40" s="2">
        <f>IFERROR(__xludf.DUMMYFUNCTION("""COMPUTED_VALUE"""),45420.0)</f>
        <v>45420</v>
      </c>
      <c r="AU40" s="1">
        <f>IFERROR(__xludf.DUMMYFUNCTION("""COMPUTED_VALUE"""),1.0)</f>
        <v>1</v>
      </c>
      <c r="AV40" s="1" t="str">
        <f>IFERROR(__xludf.DUMMYFUNCTION("""COMPUTED_VALUE"""),"NUEVO")</f>
        <v>NUEVO</v>
      </c>
      <c r="AW40" s="1" t="str">
        <f>IFERROR(__xludf.DUMMYFUNCTION("""COMPUTED_VALUE"""),"SI")</f>
        <v>SI</v>
      </c>
      <c r="AX40" s="1"/>
      <c r="AY40" s="1" t="str">
        <f>IFERROR(__xludf.DUMMYFUNCTION("""COMPUTED_VALUE"""),"PAGO COMPLETO")</f>
        <v>PAGO COMPLETO</v>
      </c>
      <c r="AZ40" s="5">
        <f>IFERROR(__xludf.DUMMYFUNCTION("""COMPUTED_VALUE"""),45449.0)</f>
        <v>45449</v>
      </c>
      <c r="BA40" s="1">
        <f>IFERROR(__xludf.DUMMYFUNCTION("""COMPUTED_VALUE"""),0.0)</f>
        <v>0</v>
      </c>
      <c r="BB40" s="1">
        <f>IFERROR(__xludf.DUMMYFUNCTION("""COMPUTED_VALUE"""),0.0)</f>
        <v>0</v>
      </c>
      <c r="BC40" s="4">
        <f>IFERROR(__xludf.DUMMYFUNCTION("""COMPUTED_VALUE"""),0.0)</f>
        <v>0</v>
      </c>
      <c r="BD40" s="4">
        <f>IFERROR(__xludf.DUMMYFUNCTION("""COMPUTED_VALUE"""),0.0)</f>
        <v>0</v>
      </c>
      <c r="BE40" s="1">
        <f>IFERROR(__xludf.DUMMYFUNCTION("""COMPUTED_VALUE"""),6.0)</f>
        <v>6</v>
      </c>
      <c r="BF40" s="6">
        <f>IFERROR(__xludf.DUMMYFUNCTION("""COMPUTED_VALUE"""),1.0)</f>
        <v>1</v>
      </c>
      <c r="BG40" s="1">
        <f>IFERROR(__xludf.DUMMYFUNCTION("""COMPUTED_VALUE"""),1.0)</f>
        <v>1</v>
      </c>
      <c r="BH40" s="1" t="str">
        <f>IFERROR(__xludf.DUMMYFUNCTION("""COMPUTED_VALUE"""),"0")</f>
        <v>0</v>
      </c>
      <c r="BI40" s="4">
        <f>IFERROR(__xludf.DUMMYFUNCTION("""COMPUTED_VALUE"""),0.0)</f>
        <v>0</v>
      </c>
      <c r="BJ40" s="1">
        <f>IFERROR(__xludf.DUMMYFUNCTION("""COMPUTED_VALUE"""),0.0)</f>
        <v>0</v>
      </c>
      <c r="BK40" s="4">
        <f>IFERROR(__xludf.DUMMYFUNCTION("""COMPUTED_VALUE"""),0.0)</f>
        <v>0</v>
      </c>
      <c r="BL40" s="1">
        <f>IFERROR(__xludf.DUMMYFUNCTION("""COMPUTED_VALUE"""),1000.0)</f>
        <v>1000</v>
      </c>
      <c r="BM40" s="1">
        <f>IFERROR(__xludf.DUMMYFUNCTION("""COMPUTED_VALUE"""),23.0)</f>
        <v>23</v>
      </c>
      <c r="BN40" s="2">
        <f>IFERROR(__xludf.DUMMYFUNCTION("""COMPUTED_VALUE"""),45446.0)</f>
        <v>45446</v>
      </c>
      <c r="BO40" s="1">
        <f>IFERROR(__xludf.DUMMYFUNCTION("""COMPUTED_VALUE"""),6.0)</f>
        <v>6</v>
      </c>
      <c r="BP40" s="1">
        <f>IFERROR(__xludf.DUMMYFUNCTION("""COMPUTED_VALUE"""),2024.0)</f>
        <v>2024</v>
      </c>
    </row>
    <row r="41">
      <c r="A41" s="1">
        <f>IFERROR(__xludf.DUMMYFUNCTION("""COMPUTED_VALUE"""),40.0)</f>
        <v>40</v>
      </c>
      <c r="B41" s="1">
        <f>IFERROR(__xludf.DUMMYFUNCTION("""COMPUTED_VALUE"""),722938.0)</f>
        <v>722938</v>
      </c>
      <c r="C41" s="1" t="str">
        <f>IFERROR(__xludf.DUMMYFUNCTION("""COMPUTED_VALUE"""),"2025-1")</f>
        <v>2025-1</v>
      </c>
      <c r="D41" s="1" t="str">
        <f>IFERROR(__xludf.DUMMYFUNCTION("""COMPUTED_VALUE"""),"Admisión de Alto Rendimiento")</f>
        <v>Admisión de Alto Rendimiento</v>
      </c>
      <c r="E41" s="2">
        <f>IFERROR(__xludf.DUMMYFUNCTION("""COMPUTED_VALUE"""),45457.0)</f>
        <v>45457</v>
      </c>
      <c r="F41" s="1" t="str">
        <f>IFERROR(__xludf.DUMMYFUNCTION("""COMPUTED_VALUE"""),"MARIAJOSE")</f>
        <v>MARIAJOSE</v>
      </c>
      <c r="G41" s="1" t="str">
        <f>IFERROR(__xludf.DUMMYFUNCTION("""COMPUTED_VALUE"""),"ZAMORA ZAPATA")</f>
        <v>ZAMORA ZAPATA</v>
      </c>
      <c r="H41" s="1" t="str">
        <f>IFERROR(__xludf.DUMMYFUNCTION("""COMPUTED_VALUE"""),"Comunicación Audiovisual y Cine")</f>
        <v>Comunicación Audiovisual y Cine</v>
      </c>
      <c r="I41" s="1" t="str">
        <f>IFERROR(__xludf.DUMMYFUNCTION("""COMPUTED_VALUE"""),"CARGO")</f>
        <v>CARGO</v>
      </c>
      <c r="J41" s="1" t="str">
        <f>IFERROR(__xludf.DUMMYFUNCTION("""COMPUTED_VALUE"""),"Diurno")</f>
        <v>Diurno</v>
      </c>
      <c r="K41" s="1" t="str">
        <f>IFERROR(__xludf.DUMMYFUNCTION("""COMPUTED_VALUE"""),"NUEVO")</f>
        <v>NUEVO</v>
      </c>
      <c r="L41" s="1">
        <f>IFERROR(__xludf.DUMMYFUNCTION("""COMPUTED_VALUE"""),0.0)</f>
        <v>0</v>
      </c>
      <c r="M41" s="1">
        <f>IFERROR(__xludf.DUMMYFUNCTION("""COMPUTED_VALUE"""),0.0)</f>
        <v>0</v>
      </c>
      <c r="N41" s="1" t="str">
        <f>IFERROR(__xludf.DUMMYFUNCTION("""COMPUTED_VALUE"""),"BECA")</f>
        <v>BECA</v>
      </c>
      <c r="O41" s="1" t="str">
        <f>IFERROR(__xludf.DUMMYFUNCTION("""COMPUTED_VALUE"""),"BECA CARRERAS CORE")</f>
        <v>BECA CARRERAS CORE</v>
      </c>
      <c r="P41" s="4">
        <f>IFERROR(__xludf.DUMMYFUNCTION("""COMPUTED_VALUE"""),0.0)</f>
        <v>0</v>
      </c>
      <c r="Q41" s="4">
        <f>IFERROR(__xludf.DUMMYFUNCTION("""COMPUTED_VALUE"""),0.0)</f>
        <v>0</v>
      </c>
      <c r="R41" s="4">
        <f>IFERROR(__xludf.DUMMYFUNCTION("""COMPUTED_VALUE"""),1350.0)</f>
        <v>1350</v>
      </c>
      <c r="S41" s="4">
        <f>IFERROR(__xludf.DUMMYFUNCTION("""COMPUTED_VALUE"""),1150.0)</f>
        <v>1150</v>
      </c>
      <c r="T41" s="1" t="str">
        <f>IFERROR(__xludf.DUMMYFUNCTION("""COMPUTED_VALUE"""),"NINGUNO")</f>
        <v>NINGUNO</v>
      </c>
      <c r="U41" s="1" t="str">
        <f>IFERROR(__xludf.DUMMYFUNCTION("""COMPUTED_VALUE"""),"STEVEN")</f>
        <v>STEVEN</v>
      </c>
      <c r="V41" s="1" t="str">
        <f>IFERROR(__xludf.DUMMYFUNCTION("""COMPUTED_VALUE"""),"-")</f>
        <v>-</v>
      </c>
      <c r="W41" s="1" t="str">
        <f>IFERROR(__xludf.DUMMYFUNCTION("""COMPUTED_VALUE"""),"-")</f>
        <v>-</v>
      </c>
      <c r="X41" s="1" t="str">
        <f>IFERROR(__xludf.DUMMYFUNCTION("""COMPUTED_VALUE"""),"-")</f>
        <v>-</v>
      </c>
      <c r="Y41" s="1" t="str">
        <f>IFERROR(__xludf.DUMMYFUNCTION("""COMPUTED_VALUE"""),"PAGO COMPLETO")</f>
        <v>PAGO COMPLETO</v>
      </c>
      <c r="Z41" s="1">
        <f>IFERROR(__xludf.DUMMYFUNCTION("""COMPUTED_VALUE"""),500.0)</f>
        <v>500</v>
      </c>
      <c r="AA41" s="1" t="str">
        <f>IFERROR(__xludf.DUMMYFUNCTION("""COMPUTED_VALUE"""),"30/06/2024")</f>
        <v>30/06/2024</v>
      </c>
      <c r="AB41" s="1">
        <f>IFERROR(__xludf.DUMMYFUNCTION("""COMPUTED_VALUE"""),0.0)</f>
        <v>0</v>
      </c>
      <c r="AC41" s="1">
        <f>IFERROR(__xludf.DUMMYFUNCTION("""COMPUTED_VALUE"""),0.0)</f>
        <v>0</v>
      </c>
      <c r="AD41" s="1" t="str">
        <f>IFERROR(__xludf.DUMMYFUNCTION("""COMPUTED_VALUE"""),"Lohana Rivera")</f>
        <v>Lohana Rivera</v>
      </c>
      <c r="AE41" s="1" t="str">
        <f>IFERROR(__xludf.DUMMYFUNCTION("""COMPUTED_VALUE"""),"0")</f>
        <v>0</v>
      </c>
      <c r="AF41" s="1">
        <f>IFERROR(__xludf.DUMMYFUNCTION("""COMPUTED_VALUE"""),2024.0)</f>
        <v>2024</v>
      </c>
      <c r="AG41" s="1">
        <f>IFERROR(__xludf.DUMMYFUNCTION("""COMPUTED_VALUE"""),704460.0)</f>
        <v>704460</v>
      </c>
      <c r="AH41" s="1">
        <f>IFERROR(__xludf.DUMMYFUNCTION("""COMPUTED_VALUE"""),17.0)</f>
        <v>17</v>
      </c>
      <c r="AI41" s="1" t="str">
        <f>IFERROR(__xludf.DUMMYFUNCTION("""COMPUTED_VALUE"""),"0000381219")</f>
        <v>0000381219</v>
      </c>
      <c r="AJ41" s="1">
        <f>IFERROR(__xludf.DUMMYFUNCTION("""COMPUTED_VALUE"""),6.1215504E7)</f>
        <v>61215504</v>
      </c>
      <c r="AK41" s="1">
        <f>IFERROR(__xludf.DUMMYFUNCTION("""COMPUTED_VALUE"""),9.83915611E8)</f>
        <v>983915611</v>
      </c>
      <c r="AL41" s="1" t="str">
        <f>IFERROR(__xludf.DUMMYFUNCTION("""COMPUTED_VALUE"""),"valeriazamora556@gmail.com")</f>
        <v>valeriazamora556@gmail.com</v>
      </c>
      <c r="AM41" s="1" t="str">
        <f>IFERROR(__xludf.DUMMYFUNCTION("""COMPUTED_VALUE"""),"FEMENINO")</f>
        <v>FEMENINO</v>
      </c>
      <c r="AN41" s="1">
        <f>IFERROR(__xludf.DUMMYFUNCTION("""COMPUTED_VALUE"""),1350.0)</f>
        <v>1350</v>
      </c>
      <c r="AO41" s="1">
        <f>IFERROR(__xludf.DUMMYFUNCTION("""COMPUTED_VALUE"""),0.0)</f>
        <v>0</v>
      </c>
      <c r="AP41" s="1" t="str">
        <f>IFERROR(__xludf.DUMMYFUNCTION("""COMPUTED_VALUE"""),"FORMULARIO")</f>
        <v>FORMULARIO</v>
      </c>
      <c r="AQ41" s="1" t="str">
        <f>IFERROR(__xludf.DUMMYFUNCTION("""COMPUTED_VALUE"""),"SEARCH MARCA")</f>
        <v>SEARCH MARCA</v>
      </c>
      <c r="AR41" s="1" t="str">
        <f>IFERROR(__xludf.DUMMYFUNCTION("""COMPUTED_VALUE"""),"HEREDADO")</f>
        <v>HEREDADO</v>
      </c>
      <c r="AS41" s="1" t="str">
        <f>IFERROR(__xludf.DUMMYFUNCTION("""COMPUTED_VALUE"""),"ucal-pg-performance-sedes-abierta-cpl-extensiones_beca_15-20240520")</f>
        <v>ucal-pg-performance-sedes-abierta-cpl-extensiones_beca_15-20240520</v>
      </c>
      <c r="AT41" s="2">
        <f>IFERROR(__xludf.DUMMYFUNCTION("""COMPUTED_VALUE"""),45453.0)</f>
        <v>45453</v>
      </c>
      <c r="AU41" s="1">
        <f>IFERROR(__xludf.DUMMYFUNCTION("""COMPUTED_VALUE"""),1.0)</f>
        <v>1</v>
      </c>
      <c r="AV41" s="1" t="str">
        <f>IFERROR(__xludf.DUMMYFUNCTION("""COMPUTED_VALUE"""),"NUEVO")</f>
        <v>NUEVO</v>
      </c>
      <c r="AW41" s="1" t="str">
        <f>IFERROR(__xludf.DUMMYFUNCTION("""COMPUTED_VALUE"""),"SI")</f>
        <v>SI</v>
      </c>
      <c r="AX41" s="1"/>
      <c r="AY41" s="1" t="str">
        <f>IFERROR(__xludf.DUMMYFUNCTION("""COMPUTED_VALUE"""),"PAGO COMPLETO")</f>
        <v>PAGO COMPLETO</v>
      </c>
      <c r="AZ41" s="5">
        <f>IFERROR(__xludf.DUMMYFUNCTION("""COMPUTED_VALUE"""),45457.0)</f>
        <v>45457</v>
      </c>
      <c r="BA41" s="1">
        <f>IFERROR(__xludf.DUMMYFUNCTION("""COMPUTED_VALUE"""),0.0)</f>
        <v>0</v>
      </c>
      <c r="BB41" s="1">
        <f>IFERROR(__xludf.DUMMYFUNCTION("""COMPUTED_VALUE"""),0.0)</f>
        <v>0</v>
      </c>
      <c r="BC41" s="4">
        <f>IFERROR(__xludf.DUMMYFUNCTION("""COMPUTED_VALUE"""),0.0)</f>
        <v>0</v>
      </c>
      <c r="BD41" s="4">
        <f>IFERROR(__xludf.DUMMYFUNCTION("""COMPUTED_VALUE"""),0.0)</f>
        <v>0</v>
      </c>
      <c r="BE41" s="1">
        <f>IFERROR(__xludf.DUMMYFUNCTION("""COMPUTED_VALUE"""),6.0)</f>
        <v>6</v>
      </c>
      <c r="BF41" s="6">
        <f>IFERROR(__xludf.DUMMYFUNCTION("""COMPUTED_VALUE"""),1.0)</f>
        <v>1</v>
      </c>
      <c r="BG41" s="1">
        <f>IFERROR(__xludf.DUMMYFUNCTION("""COMPUTED_VALUE"""),1.0)</f>
        <v>1</v>
      </c>
      <c r="BH41" s="1" t="str">
        <f>IFERROR(__xludf.DUMMYFUNCTION("""COMPUTED_VALUE"""),"0")</f>
        <v>0</v>
      </c>
      <c r="BI41" s="4">
        <f>IFERROR(__xludf.DUMMYFUNCTION("""COMPUTED_VALUE"""),500.0)</f>
        <v>500</v>
      </c>
      <c r="BJ41" s="1">
        <f>IFERROR(__xludf.DUMMYFUNCTION("""COMPUTED_VALUE"""),0.0)</f>
        <v>0</v>
      </c>
      <c r="BK41" s="4">
        <f>IFERROR(__xludf.DUMMYFUNCTION("""COMPUTED_VALUE"""),0.0)</f>
        <v>0</v>
      </c>
      <c r="BL41" s="1">
        <f>IFERROR(__xludf.DUMMYFUNCTION("""COMPUTED_VALUE"""),1150.0)</f>
        <v>1150</v>
      </c>
      <c r="BM41" s="1">
        <f>IFERROR(__xludf.DUMMYFUNCTION("""COMPUTED_VALUE"""),24.0)</f>
        <v>24</v>
      </c>
      <c r="BN41" s="2">
        <f>IFERROR(__xludf.DUMMYFUNCTION("""COMPUTED_VALUE"""),45453.0)</f>
        <v>45453</v>
      </c>
      <c r="BO41" s="1">
        <f>IFERROR(__xludf.DUMMYFUNCTION("""COMPUTED_VALUE"""),6.0)</f>
        <v>6</v>
      </c>
      <c r="BP41" s="1">
        <f>IFERROR(__xludf.DUMMYFUNCTION("""COMPUTED_VALUE"""),2024.0)</f>
        <v>2024</v>
      </c>
    </row>
    <row r="42">
      <c r="A42" s="1">
        <f>IFERROR(__xludf.DUMMYFUNCTION("""COMPUTED_VALUE"""),41.0)</f>
        <v>41</v>
      </c>
      <c r="B42" s="1">
        <f>IFERROR(__xludf.DUMMYFUNCTION("""COMPUTED_VALUE"""),281616.0)</f>
        <v>281616</v>
      </c>
      <c r="C42" s="1" t="str">
        <f>IFERROR(__xludf.DUMMYFUNCTION("""COMPUTED_VALUE"""),"2025-1")</f>
        <v>2025-1</v>
      </c>
      <c r="D42" s="1" t="str">
        <f>IFERROR(__xludf.DUMMYFUNCTION("""COMPUTED_VALUE"""),"Admisión Extraordinaria (Traslados)")</f>
        <v>Admisión Extraordinaria (Traslados)</v>
      </c>
      <c r="E42" s="2">
        <f>IFERROR(__xludf.DUMMYFUNCTION("""COMPUTED_VALUE"""),45457.0)</f>
        <v>45457</v>
      </c>
      <c r="F42" s="1" t="str">
        <f>IFERROR(__xludf.DUMMYFUNCTION("""COMPUTED_VALUE"""),"ASHLEY TATIANA DEL CARMEN")</f>
        <v>ASHLEY TATIANA DEL CARMEN</v>
      </c>
      <c r="G42" s="1" t="str">
        <f>IFERROR(__xludf.DUMMYFUNCTION("""COMPUTED_VALUE"""),"LAVALLE CANCINO")</f>
        <v>LAVALLE CANCINO</v>
      </c>
      <c r="H42" s="1" t="str">
        <f>IFERROR(__xludf.DUMMYFUNCTION("""COMPUTED_VALUE"""),"Arquitectura")</f>
        <v>Arquitectura</v>
      </c>
      <c r="I42" s="1" t="str">
        <f>IFERROR(__xludf.DUMMYFUNCTION("""COMPUTED_VALUE"""),"CARGO")</f>
        <v>CARGO</v>
      </c>
      <c r="J42" s="1" t="str">
        <f>IFERROR(__xludf.DUMMYFUNCTION("""COMPUTED_VALUE"""),"Diurno")</f>
        <v>Diurno</v>
      </c>
      <c r="K42" s="1" t="str">
        <f>IFERROR(__xludf.DUMMYFUNCTION("""COMPUTED_VALUE"""),"TRASLADO")</f>
        <v>TRASLADO</v>
      </c>
      <c r="L42" s="1">
        <f>IFERROR(__xludf.DUMMYFUNCTION("""COMPUTED_VALUE"""),1.0)</f>
        <v>1</v>
      </c>
      <c r="M42" s="1">
        <f>IFERROR(__xludf.DUMMYFUNCTION("""COMPUTED_VALUE"""),0.0)</f>
        <v>0</v>
      </c>
      <c r="N42" s="1" t="str">
        <f>IFERROR(__xludf.DUMMYFUNCTION("""COMPUTED_VALUE"""),"RECA")</f>
        <v>RECA</v>
      </c>
      <c r="O42" s="1" t="str">
        <f>IFERROR(__xludf.DUMMYFUNCTION("""COMPUTED_VALUE"""),"RECA TRASLADO CON CONVA")</f>
        <v>RECA TRASLADO CON CONVA</v>
      </c>
      <c r="P42" s="4">
        <f>IFERROR(__xludf.DUMMYFUNCTION("""COMPUTED_VALUE"""),0.0)</f>
        <v>0</v>
      </c>
      <c r="Q42" s="4">
        <f>IFERROR(__xludf.DUMMYFUNCTION("""COMPUTED_VALUE"""),0.0)</f>
        <v>0</v>
      </c>
      <c r="R42" s="4">
        <f>IFERROR(__xludf.DUMMYFUNCTION("""COMPUTED_VALUE"""),1600.0)</f>
        <v>1600</v>
      </c>
      <c r="S42" s="4">
        <f>IFERROR(__xludf.DUMMYFUNCTION("""COMPUTED_VALUE"""),1350.0)</f>
        <v>1350</v>
      </c>
      <c r="T42" s="1" t="str">
        <f>IFERROR(__xludf.DUMMYFUNCTION("""COMPUTED_VALUE"""),"NINGUNO")</f>
        <v>NINGUNO</v>
      </c>
      <c r="U42" s="1" t="str">
        <f>IFERROR(__xludf.DUMMYFUNCTION("""COMPUTED_VALUE"""),"FABIOLA")</f>
        <v>FABIOLA</v>
      </c>
      <c r="V42" s="1" t="str">
        <f>IFERROR(__xludf.DUMMYFUNCTION("""COMPUTED_VALUE"""),"-")</f>
        <v>-</v>
      </c>
      <c r="W42" s="1" t="str">
        <f>IFERROR(__xludf.DUMMYFUNCTION("""COMPUTED_VALUE"""),"Malla curricular")</f>
        <v>Malla curricular</v>
      </c>
      <c r="X42" s="1" t="str">
        <f>IFERROR(__xludf.DUMMYFUNCTION("""COMPUTED_VALUE"""),"-")</f>
        <v>-</v>
      </c>
      <c r="Y42" s="1" t="str">
        <f>IFERROR(__xludf.DUMMYFUNCTION("""COMPUTED_VALUE"""),"PAGO COMPLETO")</f>
        <v>PAGO COMPLETO</v>
      </c>
      <c r="Z42" s="1">
        <f>IFERROR(__xludf.DUMMYFUNCTION("""COMPUTED_VALUE"""),0.0)</f>
        <v>0</v>
      </c>
      <c r="AA42" s="1" t="str">
        <f>IFERROR(__xludf.DUMMYFUNCTION("""COMPUTED_VALUE"""),"-")</f>
        <v>-</v>
      </c>
      <c r="AB42" s="1">
        <f>IFERROR(__xludf.DUMMYFUNCTION("""COMPUTED_VALUE"""),0.0)</f>
        <v>0</v>
      </c>
      <c r="AC42" s="1">
        <f>IFERROR(__xludf.DUMMYFUNCTION("""COMPUTED_VALUE"""),0.0)</f>
        <v>0</v>
      </c>
      <c r="AD42" s="1" t="str">
        <f>IFERROR(__xludf.DUMMYFUNCTION("""COMPUTED_VALUE"""),"Jacqueline Castro Castro")</f>
        <v>Jacqueline Castro Castro</v>
      </c>
      <c r="AE42" s="1" t="str">
        <f>IFERROR(__xludf.DUMMYFUNCTION("""COMPUTED_VALUE"""),"Instituto de Educación Superior Tecnológico Privado Toulouse Lautrec")</f>
        <v>Instituto de Educación Superior Tecnológico Privado Toulouse Lautrec</v>
      </c>
      <c r="AF42" s="1">
        <f>IFERROR(__xludf.DUMMYFUNCTION("""COMPUTED_VALUE"""),2017.0)</f>
        <v>2017</v>
      </c>
      <c r="AG42" s="1">
        <f>IFERROR(__xludf.DUMMYFUNCTION("""COMPUTED_VALUE"""),340588.0)</f>
        <v>340588</v>
      </c>
      <c r="AH42" s="1">
        <f>IFERROR(__xludf.DUMMYFUNCTION("""COMPUTED_VALUE"""),26.0)</f>
        <v>26</v>
      </c>
      <c r="AI42" s="1" t="str">
        <f>IFERROR(__xludf.DUMMYFUNCTION("""COMPUTED_VALUE"""),"2016004697")</f>
        <v>2016004697</v>
      </c>
      <c r="AJ42" s="1">
        <f>IFERROR(__xludf.DUMMYFUNCTION("""COMPUTED_VALUE"""),7.486161E7)</f>
        <v>74861610</v>
      </c>
      <c r="AK42" s="1">
        <f>IFERROR(__xludf.DUMMYFUNCTION("""COMPUTED_VALUE"""),9.85046009E8)</f>
        <v>985046009</v>
      </c>
      <c r="AL42" s="1" t="str">
        <f>IFERROR(__xludf.DUMMYFUNCTION("""COMPUTED_VALUE"""),"lavalleashley2118@gmail.com")</f>
        <v>lavalleashley2118@gmail.com</v>
      </c>
      <c r="AM42" s="1" t="str">
        <f>IFERROR(__xludf.DUMMYFUNCTION("""COMPUTED_VALUE"""),"FEMENINO")</f>
        <v>FEMENINO</v>
      </c>
      <c r="AN42" s="1">
        <f>IFERROR(__xludf.DUMMYFUNCTION("""COMPUTED_VALUE"""),1600.0)</f>
        <v>1600</v>
      </c>
      <c r="AO42" s="1">
        <f>IFERROR(__xludf.DUMMYFUNCTION("""COMPUTED_VALUE"""),595.0)</f>
        <v>595</v>
      </c>
      <c r="AP42" s="1" t="str">
        <f>IFERROR(__xludf.DUMMYFUNCTION("""COMPUTED_VALUE"""),"BIDIRECCIONAL")</f>
        <v>BIDIRECCIONAL</v>
      </c>
      <c r="AQ42" s="1" t="str">
        <f>IFERROR(__xludf.DUMMYFUNCTION("""COMPUTED_VALUE"""),"ORGANICO")</f>
        <v>ORGANICO</v>
      </c>
      <c r="AR42" s="1" t="str">
        <f>IFERROR(__xludf.DUMMYFUNCTION("""COMPUTED_VALUE"""),"HEREDADO")</f>
        <v>HEREDADO</v>
      </c>
      <c r="AS42" s="1"/>
      <c r="AT42" s="2">
        <f>IFERROR(__xludf.DUMMYFUNCTION("""COMPUTED_VALUE"""),45454.0)</f>
        <v>45454</v>
      </c>
      <c r="AU42" s="1">
        <f>IFERROR(__xludf.DUMMYFUNCTION("""COMPUTED_VALUE"""),1.0)</f>
        <v>1</v>
      </c>
      <c r="AV42" s="1" t="str">
        <f>IFERROR(__xludf.DUMMYFUNCTION("""COMPUTED_VALUE"""),"TRASLADO")</f>
        <v>TRASLADO</v>
      </c>
      <c r="AW42" s="1" t="str">
        <f>IFERROR(__xludf.DUMMYFUNCTION("""COMPUTED_VALUE"""),"SI")</f>
        <v>SI</v>
      </c>
      <c r="AX42" s="1"/>
      <c r="AY42" s="1" t="str">
        <f>IFERROR(__xludf.DUMMYFUNCTION("""COMPUTED_VALUE"""),"PAGO COMPLETO")</f>
        <v>PAGO COMPLETO</v>
      </c>
      <c r="AZ42" s="5">
        <f>IFERROR(__xludf.DUMMYFUNCTION("""COMPUTED_VALUE"""),45457.0)</f>
        <v>45457</v>
      </c>
      <c r="BA42" s="1">
        <f>IFERROR(__xludf.DUMMYFUNCTION("""COMPUTED_VALUE"""),0.0)</f>
        <v>0</v>
      </c>
      <c r="BB42" s="1">
        <f>IFERROR(__xludf.DUMMYFUNCTION("""COMPUTED_VALUE"""),0.0)</f>
        <v>0</v>
      </c>
      <c r="BC42" s="4">
        <f>IFERROR(__xludf.DUMMYFUNCTION("""COMPUTED_VALUE"""),0.0)</f>
        <v>0</v>
      </c>
      <c r="BD42" s="4">
        <f>IFERROR(__xludf.DUMMYFUNCTION("""COMPUTED_VALUE"""),0.0)</f>
        <v>0</v>
      </c>
      <c r="BE42" s="1">
        <f>IFERROR(__xludf.DUMMYFUNCTION("""COMPUTED_VALUE"""),6.0)</f>
        <v>6</v>
      </c>
      <c r="BF42" s="6">
        <f>IFERROR(__xludf.DUMMYFUNCTION("""COMPUTED_VALUE"""),1.0)</f>
        <v>1</v>
      </c>
      <c r="BG42" s="1">
        <f>IFERROR(__xludf.DUMMYFUNCTION("""COMPUTED_VALUE"""),1.0)</f>
        <v>1</v>
      </c>
      <c r="BH42" s="1" t="str">
        <f>IFERROR(__xludf.DUMMYFUNCTION("""COMPUTED_VALUE"""),"1")</f>
        <v>1</v>
      </c>
      <c r="BI42" s="4">
        <f>IFERROR(__xludf.DUMMYFUNCTION("""COMPUTED_VALUE"""),0.0)</f>
        <v>0</v>
      </c>
      <c r="BJ42" s="1">
        <f>IFERROR(__xludf.DUMMYFUNCTION("""COMPUTED_VALUE"""),1.0)</f>
        <v>1</v>
      </c>
      <c r="BK42" s="4">
        <f>IFERROR(__xludf.DUMMYFUNCTION("""COMPUTED_VALUE"""),0.0)</f>
        <v>0</v>
      </c>
      <c r="BL42" s="1">
        <f>IFERROR(__xludf.DUMMYFUNCTION("""COMPUTED_VALUE"""),1350.0)</f>
        <v>1350</v>
      </c>
      <c r="BM42" s="1">
        <f>IFERROR(__xludf.DUMMYFUNCTION("""COMPUTED_VALUE"""),24.0)</f>
        <v>24</v>
      </c>
      <c r="BN42" s="2">
        <f>IFERROR(__xludf.DUMMYFUNCTION("""COMPUTED_VALUE"""),45453.0)</f>
        <v>45453</v>
      </c>
      <c r="BO42" s="1">
        <f>IFERROR(__xludf.DUMMYFUNCTION("""COMPUTED_VALUE"""),6.0)</f>
        <v>6</v>
      </c>
      <c r="BP42" s="1">
        <f>IFERROR(__xludf.DUMMYFUNCTION("""COMPUTED_VALUE"""),2024.0)</f>
        <v>2024</v>
      </c>
    </row>
    <row r="43">
      <c r="A43" s="1">
        <f>IFERROR(__xludf.DUMMYFUNCTION("""COMPUTED_VALUE"""),42.0)</f>
        <v>42</v>
      </c>
      <c r="B43" s="1">
        <f>IFERROR(__xludf.DUMMYFUNCTION("""COMPUTED_VALUE"""),2503885.0)</f>
        <v>2503885</v>
      </c>
      <c r="C43" s="1" t="str">
        <f>IFERROR(__xludf.DUMMYFUNCTION("""COMPUTED_VALUE"""),"2025-1")</f>
        <v>2025-1</v>
      </c>
      <c r="D43" s="1" t="str">
        <f>IFERROR(__xludf.DUMMYFUNCTION("""COMPUTED_VALUE"""),"Admisión de Alto Rendimiento")</f>
        <v>Admisión de Alto Rendimiento</v>
      </c>
      <c r="E43" s="2">
        <f>IFERROR(__xludf.DUMMYFUNCTION("""COMPUTED_VALUE"""),45460.0)</f>
        <v>45460</v>
      </c>
      <c r="F43" s="1" t="str">
        <f>IFERROR(__xludf.DUMMYFUNCTION("""COMPUTED_VALUE"""),"AXEL EFRAIN")</f>
        <v>AXEL EFRAIN</v>
      </c>
      <c r="G43" s="1" t="str">
        <f>IFERROR(__xludf.DUMMYFUNCTION("""COMPUTED_VALUE"""),"PALOMINO QUINTEROS")</f>
        <v>PALOMINO QUINTEROS</v>
      </c>
      <c r="H43" s="1" t="str">
        <f>IFERROR(__xludf.DUMMYFUNCTION("""COMPUTED_VALUE"""),"Comunicación Audiovisual y Cine")</f>
        <v>Comunicación Audiovisual y Cine</v>
      </c>
      <c r="I43" s="1" t="str">
        <f>IFERROR(__xludf.DUMMYFUNCTION("""COMPUTED_VALUE"""),"POS")</f>
        <v>POS</v>
      </c>
      <c r="J43" s="1" t="str">
        <f>IFERROR(__xludf.DUMMYFUNCTION("""COMPUTED_VALUE"""),"Diurno")</f>
        <v>Diurno</v>
      </c>
      <c r="K43" s="1" t="str">
        <f>IFERROR(__xludf.DUMMYFUNCTION("""COMPUTED_VALUE"""),"NUEVO")</f>
        <v>NUEVO</v>
      </c>
      <c r="L43" s="1">
        <f>IFERROR(__xludf.DUMMYFUNCTION("""COMPUTED_VALUE"""),0.0)</f>
        <v>0</v>
      </c>
      <c r="M43" s="1">
        <f>IFERROR(__xludf.DUMMYFUNCTION("""COMPUTED_VALUE"""),0.0)</f>
        <v>0</v>
      </c>
      <c r="N43" s="1" t="str">
        <f>IFERROR(__xludf.DUMMYFUNCTION("""COMPUTED_VALUE"""),"RECA")</f>
        <v>RECA</v>
      </c>
      <c r="O43" s="1" t="str">
        <f>IFERROR(__xludf.DUMMYFUNCTION("""COMPUTED_VALUE"""),"RECATEGORIZACIÓN")</f>
        <v>RECATEGORIZACIÓN</v>
      </c>
      <c r="P43" s="4">
        <f>IFERROR(__xludf.DUMMYFUNCTION("""COMPUTED_VALUE"""),0.0)</f>
        <v>0</v>
      </c>
      <c r="Q43" s="4">
        <f>IFERROR(__xludf.DUMMYFUNCTION("""COMPUTED_VALUE"""),0.0)</f>
        <v>0</v>
      </c>
      <c r="R43" s="4">
        <f>IFERROR(__xludf.DUMMYFUNCTION("""COMPUTED_VALUE"""),1600.0)</f>
        <v>1600</v>
      </c>
      <c r="S43" s="4">
        <f>IFERROR(__xludf.DUMMYFUNCTION("""COMPUTED_VALUE"""),1200.0)</f>
        <v>1200</v>
      </c>
      <c r="T43" s="1" t="str">
        <f>IFERROR(__xludf.DUMMYFUNCTION("""COMPUTED_VALUE"""),"NINGUNO")</f>
        <v>NINGUNO</v>
      </c>
      <c r="U43" s="1" t="str">
        <f>IFERROR(__xludf.DUMMYFUNCTION("""COMPUTED_VALUE"""),"FABIOLA")</f>
        <v>FABIOLA</v>
      </c>
      <c r="V43" s="1" t="str">
        <f>IFERROR(__xludf.DUMMYFUNCTION("""COMPUTED_VALUE"""),"-")</f>
        <v>-</v>
      </c>
      <c r="W43" s="1" t="str">
        <f>IFERROR(__xludf.DUMMYFUNCTION("""COMPUTED_VALUE"""),"-")</f>
        <v>-</v>
      </c>
      <c r="X43" s="1" t="str">
        <f>IFERROR(__xludf.DUMMYFUNCTION("""COMPUTED_VALUE"""),"-")</f>
        <v>-</v>
      </c>
      <c r="Y43" s="1" t="str">
        <f>IFERROR(__xludf.DUMMYFUNCTION("""COMPUTED_VALUE"""),"PAGO FRACCIONADO")</f>
        <v>PAGO FRACCIONADO</v>
      </c>
      <c r="Z43" s="1">
        <f>IFERROR(__xludf.DUMMYFUNCTION("""COMPUTED_VALUE"""),600.0)</f>
        <v>600</v>
      </c>
      <c r="AA43" s="1" t="str">
        <f>IFERROR(__xludf.DUMMYFUNCTION("""COMPUTED_VALUE"""),"20/07/2024")</f>
        <v>20/07/2024</v>
      </c>
      <c r="AB43" s="1">
        <f>IFERROR(__xludf.DUMMYFUNCTION("""COMPUTED_VALUE"""),0.0)</f>
        <v>0</v>
      </c>
      <c r="AC43" s="1">
        <f>IFERROR(__xludf.DUMMYFUNCTION("""COMPUTED_VALUE"""),0.0)</f>
        <v>0</v>
      </c>
      <c r="AD43" s="1" t="str">
        <f>IFERROR(__xludf.DUMMYFUNCTION("""COMPUTED_VALUE"""),"Stefano Napuri")</f>
        <v>Stefano Napuri</v>
      </c>
      <c r="AE43" s="1" t="str">
        <f>IFERROR(__xludf.DUMMYFUNCTION("""COMPUTED_VALUE"""),"0")</f>
        <v>0</v>
      </c>
      <c r="AF43" s="1">
        <f>IFERROR(__xludf.DUMMYFUNCTION("""COMPUTED_VALUE"""),2024.0)</f>
        <v>2024</v>
      </c>
      <c r="AG43" s="1">
        <f>IFERROR(__xludf.DUMMYFUNCTION("""COMPUTED_VALUE"""),1072222.0)</f>
        <v>1072222</v>
      </c>
      <c r="AH43" s="1">
        <f>IFERROR(__xludf.DUMMYFUNCTION("""COMPUTED_VALUE"""),17.0)</f>
        <v>17</v>
      </c>
      <c r="AI43" s="1" t="str">
        <f>IFERROR(__xludf.DUMMYFUNCTION("""COMPUTED_VALUE"""),"0000381607")</f>
        <v>0000381607</v>
      </c>
      <c r="AJ43" s="1">
        <f>IFERROR(__xludf.DUMMYFUNCTION("""COMPUTED_VALUE"""),6.1180473E7)</f>
        <v>61180473</v>
      </c>
      <c r="AK43" s="1">
        <f>IFERROR(__xludf.DUMMYFUNCTION("""COMPUTED_VALUE"""),9.5188954E8)</f>
        <v>951889540</v>
      </c>
      <c r="AL43" s="1" t="str">
        <f>IFERROR(__xludf.DUMMYFUNCTION("""COMPUTED_VALUE"""),"jospalomino@hotmail.com")</f>
        <v>jospalomino@hotmail.com</v>
      </c>
      <c r="AM43" s="1" t="str">
        <f>IFERROR(__xludf.DUMMYFUNCTION("""COMPUTED_VALUE"""),"MASCULINO")</f>
        <v>MASCULINO</v>
      </c>
      <c r="AN43" s="1">
        <f>IFERROR(__xludf.DUMMYFUNCTION("""COMPUTED_VALUE"""),1600.0)</f>
        <v>1600</v>
      </c>
      <c r="AO43" s="1">
        <f>IFERROR(__xludf.DUMMYFUNCTION("""COMPUTED_VALUE"""),300.0)</f>
        <v>300</v>
      </c>
      <c r="AP43" s="1" t="str">
        <f>IFERROR(__xludf.DUMMYFUNCTION("""COMPUTED_VALUE"""),"VISITA")</f>
        <v>VISITA</v>
      </c>
      <c r="AQ43" s="1" t="str">
        <f>IFERROR(__xludf.DUMMYFUNCTION("""COMPUTED_VALUE"""),"VISITA")</f>
        <v>VISITA</v>
      </c>
      <c r="AR43" s="1" t="str">
        <f>IFERROR(__xludf.DUMMYFUNCTION("""COMPUTED_VALUE"""),"HEREDADO")</f>
        <v>HEREDADO</v>
      </c>
      <c r="AS43" s="1"/>
      <c r="AT43" s="2">
        <f>IFERROR(__xludf.DUMMYFUNCTION("""COMPUTED_VALUE"""),45457.0)</f>
        <v>45457</v>
      </c>
      <c r="AU43" s="1">
        <f>IFERROR(__xludf.DUMMYFUNCTION("""COMPUTED_VALUE"""),1.0)</f>
        <v>1</v>
      </c>
      <c r="AV43" s="1" t="str">
        <f>IFERROR(__xludf.DUMMYFUNCTION("""COMPUTED_VALUE"""),"NUEVO")</f>
        <v>NUEVO</v>
      </c>
      <c r="AW43" s="1" t="str">
        <f>IFERROR(__xludf.DUMMYFUNCTION("""COMPUTED_VALUE"""),"SI")</f>
        <v>SI</v>
      </c>
      <c r="AX43" s="1"/>
      <c r="AY43" s="1" t="str">
        <f>IFERROR(__xludf.DUMMYFUNCTION("""COMPUTED_VALUE"""),"PAGO COMPLETO")</f>
        <v>PAGO COMPLETO</v>
      </c>
      <c r="AZ43" s="5">
        <f>IFERROR(__xludf.DUMMYFUNCTION("""COMPUTED_VALUE"""),45493.0)</f>
        <v>45493</v>
      </c>
      <c r="BA43" s="1">
        <f>IFERROR(__xludf.DUMMYFUNCTION("""COMPUTED_VALUE"""),600.0)</f>
        <v>600</v>
      </c>
      <c r="BB43" s="1">
        <f>IFERROR(__xludf.DUMMYFUNCTION("""COMPUTED_VALUE"""),0.0)</f>
        <v>0</v>
      </c>
      <c r="BC43" s="4">
        <f>IFERROR(__xludf.DUMMYFUNCTION("""COMPUTED_VALUE"""),0.0)</f>
        <v>0</v>
      </c>
      <c r="BD43" s="4">
        <f>IFERROR(__xludf.DUMMYFUNCTION("""COMPUTED_VALUE"""),0.0)</f>
        <v>0</v>
      </c>
      <c r="BE43" s="1">
        <f>IFERROR(__xludf.DUMMYFUNCTION("""COMPUTED_VALUE"""),6.0)</f>
        <v>6</v>
      </c>
      <c r="BF43" s="6">
        <f>IFERROR(__xludf.DUMMYFUNCTION("""COMPUTED_VALUE"""),1.0)</f>
        <v>1</v>
      </c>
      <c r="BG43" s="1">
        <f>IFERROR(__xludf.DUMMYFUNCTION("""COMPUTED_VALUE"""),1.0)</f>
        <v>1</v>
      </c>
      <c r="BH43" s="1" t="str">
        <f>IFERROR(__xludf.DUMMYFUNCTION("""COMPUTED_VALUE"""),"0")</f>
        <v>0</v>
      </c>
      <c r="BI43" s="4">
        <f>IFERROR(__xludf.DUMMYFUNCTION("""COMPUTED_VALUE"""),1200.0)</f>
        <v>1200</v>
      </c>
      <c r="BJ43" s="1">
        <f>IFERROR(__xludf.DUMMYFUNCTION("""COMPUTED_VALUE"""),0.0)</f>
        <v>0</v>
      </c>
      <c r="BK43" s="4">
        <f>IFERROR(__xludf.DUMMYFUNCTION("""COMPUTED_VALUE"""),0.0)</f>
        <v>0</v>
      </c>
      <c r="BL43" s="1">
        <f>IFERROR(__xludf.DUMMYFUNCTION("""COMPUTED_VALUE"""),1200.0)</f>
        <v>1200</v>
      </c>
      <c r="BM43" s="1">
        <f>IFERROR(__xludf.DUMMYFUNCTION("""COMPUTED_VALUE"""),25.0)</f>
        <v>25</v>
      </c>
      <c r="BN43" s="2">
        <f>IFERROR(__xludf.DUMMYFUNCTION("""COMPUTED_VALUE"""),45460.0)</f>
        <v>45460</v>
      </c>
      <c r="BO43" s="1">
        <f>IFERROR(__xludf.DUMMYFUNCTION("""COMPUTED_VALUE"""),6.0)</f>
        <v>6</v>
      </c>
      <c r="BP43" s="1">
        <f>IFERROR(__xludf.DUMMYFUNCTION("""COMPUTED_VALUE"""),2024.0)</f>
        <v>2024</v>
      </c>
    </row>
    <row r="44">
      <c r="A44" s="1">
        <f>IFERROR(__xludf.DUMMYFUNCTION("""COMPUTED_VALUE"""),43.0)</f>
        <v>43</v>
      </c>
      <c r="B44" s="1">
        <f>IFERROR(__xludf.DUMMYFUNCTION("""COMPUTED_VALUE"""),2500616.0)</f>
        <v>2500616</v>
      </c>
      <c r="C44" s="1" t="str">
        <f>IFERROR(__xludf.DUMMYFUNCTION("""COMPUTED_VALUE"""),"2025-1")</f>
        <v>2025-1</v>
      </c>
      <c r="D44" s="1" t="str">
        <f>IFERROR(__xludf.DUMMYFUNCTION("""COMPUTED_VALUE"""),"Admisión de Alto Rendimiento")</f>
        <v>Admisión de Alto Rendimiento</v>
      </c>
      <c r="E44" s="2">
        <f>IFERROR(__xludf.DUMMYFUNCTION("""COMPUTED_VALUE"""),45461.0)</f>
        <v>45461</v>
      </c>
      <c r="F44" s="1" t="str">
        <f>IFERROR(__xludf.DUMMYFUNCTION("""COMPUTED_VALUE"""),"CIARA YADHIRA")</f>
        <v>CIARA YADHIRA</v>
      </c>
      <c r="G44" s="1" t="str">
        <f>IFERROR(__xludf.DUMMYFUNCTION("""COMPUTED_VALUE"""),"ZUÑIGA TUFIÑO")</f>
        <v>ZUÑIGA TUFIÑO</v>
      </c>
      <c r="H44" s="1" t="str">
        <f>IFERROR(__xludf.DUMMYFUNCTION("""COMPUTED_VALUE"""),"Arquitectura")</f>
        <v>Arquitectura</v>
      </c>
      <c r="I44" s="1" t="str">
        <f>IFERROR(__xludf.DUMMYFUNCTION("""COMPUTED_VALUE"""),"CARGO")</f>
        <v>CARGO</v>
      </c>
      <c r="J44" s="1" t="str">
        <f>IFERROR(__xludf.DUMMYFUNCTION("""COMPUTED_VALUE"""),"Diurno")</f>
        <v>Diurno</v>
      </c>
      <c r="K44" s="1" t="str">
        <f>IFERROR(__xludf.DUMMYFUNCTION("""COMPUTED_VALUE"""),"NUEVO")</f>
        <v>NUEVO</v>
      </c>
      <c r="L44" s="1">
        <f>IFERROR(__xludf.DUMMYFUNCTION("""COMPUTED_VALUE"""),0.0)</f>
        <v>0</v>
      </c>
      <c r="M44" s="1">
        <f>IFERROR(__xludf.DUMMYFUNCTION("""COMPUTED_VALUE"""),0.0)</f>
        <v>0</v>
      </c>
      <c r="N44" s="1" t="str">
        <f>IFERROR(__xludf.DUMMYFUNCTION("""COMPUTED_VALUE"""),"RECA")</f>
        <v>RECA</v>
      </c>
      <c r="O44" s="1" t="str">
        <f>IFERROR(__xludf.DUMMYFUNCTION("""COMPUTED_VALUE"""),"RECATEGORIZACIÓN")</f>
        <v>RECATEGORIZACIÓN</v>
      </c>
      <c r="P44" s="4">
        <f>IFERROR(__xludf.DUMMYFUNCTION("""COMPUTED_VALUE"""),0.0)</f>
        <v>0</v>
      </c>
      <c r="Q44" s="4">
        <f>IFERROR(__xludf.DUMMYFUNCTION("""COMPUTED_VALUE"""),0.0)</f>
        <v>0</v>
      </c>
      <c r="R44" s="4">
        <f>IFERROR(__xludf.DUMMYFUNCTION("""COMPUTED_VALUE"""),1200.0)</f>
        <v>1200</v>
      </c>
      <c r="S44" s="4">
        <f>IFERROR(__xludf.DUMMYFUNCTION("""COMPUTED_VALUE"""),1200.0)</f>
        <v>1200</v>
      </c>
      <c r="T44" s="1" t="str">
        <f>IFERROR(__xludf.DUMMYFUNCTION("""COMPUTED_VALUE"""),"NINGUNO")</f>
        <v>NINGUNO</v>
      </c>
      <c r="U44" s="1" t="str">
        <f>IFERROR(__xludf.DUMMYFUNCTION("""COMPUTED_VALUE"""),"-")</f>
        <v>-</v>
      </c>
      <c r="V44" s="1" t="str">
        <f>IFERROR(__xludf.DUMMYFUNCTION("""COMPUTED_VALUE"""),"-")</f>
        <v>-</v>
      </c>
      <c r="W44" s="1" t="str">
        <f>IFERROR(__xludf.DUMMYFUNCTION("""COMPUTED_VALUE"""),"-")</f>
        <v>-</v>
      </c>
      <c r="X44" s="1" t="str">
        <f>IFERROR(__xludf.DUMMYFUNCTION("""COMPUTED_VALUE"""),"-")</f>
        <v>-</v>
      </c>
      <c r="Y44" s="1" t="str">
        <f>IFERROR(__xludf.DUMMYFUNCTION("""COMPUTED_VALUE"""),"PAGO COMPLETO")</f>
        <v>PAGO COMPLETO</v>
      </c>
      <c r="Z44" s="1">
        <f>IFERROR(__xludf.DUMMYFUNCTION("""COMPUTED_VALUE"""),0.0)</f>
        <v>0</v>
      </c>
      <c r="AA44" s="1" t="str">
        <f>IFERROR(__xludf.DUMMYFUNCTION("""COMPUTED_VALUE"""),"-")</f>
        <v>-</v>
      </c>
      <c r="AB44" s="1">
        <f>IFERROR(__xludf.DUMMYFUNCTION("""COMPUTED_VALUE"""),0.0)</f>
        <v>0</v>
      </c>
      <c r="AC44" s="1">
        <f>IFERROR(__xludf.DUMMYFUNCTION("""COMPUTED_VALUE"""),0.0)</f>
        <v>0</v>
      </c>
      <c r="AD44" s="1" t="str">
        <f>IFERROR(__xludf.DUMMYFUNCTION("""COMPUTED_VALUE"""),"Fiorella Lanegra")</f>
        <v>Fiorella Lanegra</v>
      </c>
      <c r="AE44" s="1" t="str">
        <f>IFERROR(__xludf.DUMMYFUNCTION("""COMPUTED_VALUE"""),"0")</f>
        <v>0</v>
      </c>
      <c r="AF44" s="1">
        <f>IFERROR(__xludf.DUMMYFUNCTION("""COMPUTED_VALUE"""),2024.0)</f>
        <v>2024</v>
      </c>
      <c r="AG44" s="1">
        <f>IFERROR(__xludf.DUMMYFUNCTION("""COMPUTED_VALUE"""),1484302.0)</f>
        <v>1484302</v>
      </c>
      <c r="AH44" s="1">
        <f>IFERROR(__xludf.DUMMYFUNCTION("""COMPUTED_VALUE"""),17.0)</f>
        <v>17</v>
      </c>
      <c r="AI44" s="1" t="str">
        <f>IFERROR(__xludf.DUMMYFUNCTION("""COMPUTED_VALUE"""),"0000381653")</f>
        <v>0000381653</v>
      </c>
      <c r="AJ44" s="1">
        <f>IFERROR(__xludf.DUMMYFUNCTION("""COMPUTED_VALUE"""),7.0738276E7)</f>
        <v>70738276</v>
      </c>
      <c r="AK44" s="1">
        <f>IFERROR(__xludf.DUMMYFUNCTION("""COMPUTED_VALUE"""),9.59260825E8)</f>
        <v>959260825</v>
      </c>
      <c r="AL44" s="1" t="str">
        <f>IFERROR(__xludf.DUMMYFUNCTION("""COMPUTED_VALUE"""),"ciarayadhira@gmail.com")</f>
        <v>ciarayadhira@gmail.com</v>
      </c>
      <c r="AM44" s="1" t="str">
        <f>IFERROR(__xludf.DUMMYFUNCTION("""COMPUTED_VALUE"""),"FEMENINO")</f>
        <v>FEMENINO</v>
      </c>
      <c r="AN44" s="1">
        <f>IFERROR(__xludf.DUMMYFUNCTION("""COMPUTED_VALUE"""),1200.0)</f>
        <v>1200</v>
      </c>
      <c r="AO44" s="1">
        <f>IFERROR(__xludf.DUMMYFUNCTION("""COMPUTED_VALUE"""),350.0)</f>
        <v>350</v>
      </c>
      <c r="AP44" s="1" t="str">
        <f>IFERROR(__xludf.DUMMYFUNCTION("""COMPUTED_VALUE"""),"FORMULARIO")</f>
        <v>FORMULARIO</v>
      </c>
      <c r="AQ44" s="1" t="str">
        <f>IFERROR(__xludf.DUMMYFUNCTION("""COMPUTED_VALUE"""),"SEARCH MARCA")</f>
        <v>SEARCH MARCA</v>
      </c>
      <c r="AR44" s="1" t="str">
        <f>IFERROR(__xludf.DUMMYFUNCTION("""COMPUTED_VALUE"""),"HEREDADO")</f>
        <v>HEREDADO</v>
      </c>
      <c r="AS44" s="1" t="str">
        <f>IFERROR(__xludf.DUMMYFUNCTION("""COMPUTED_VALUE"""),"ucal-pg-performance-sedes-abierta-cpl-search_conversion_marca-20240401")</f>
        <v>ucal-pg-performance-sedes-abierta-cpl-search_conversion_marca-20240401</v>
      </c>
      <c r="AT44" s="2">
        <f>IFERROR(__xludf.DUMMYFUNCTION("""COMPUTED_VALUE"""),45455.0)</f>
        <v>45455</v>
      </c>
      <c r="AU44" s="1">
        <f>IFERROR(__xludf.DUMMYFUNCTION("""COMPUTED_VALUE"""),1.0)</f>
        <v>1</v>
      </c>
      <c r="AV44" s="1" t="str">
        <f>IFERROR(__xludf.DUMMYFUNCTION("""COMPUTED_VALUE"""),"NUEVO")</f>
        <v>NUEVO</v>
      </c>
      <c r="AW44" s="1" t="str">
        <f>IFERROR(__xludf.DUMMYFUNCTION("""COMPUTED_VALUE"""),"SI")</f>
        <v>SI</v>
      </c>
      <c r="AX44" s="1"/>
      <c r="AY44" s="1" t="str">
        <f>IFERROR(__xludf.DUMMYFUNCTION("""COMPUTED_VALUE"""),"PAGO COMPLETO")</f>
        <v>PAGO COMPLETO</v>
      </c>
      <c r="AZ44" s="5">
        <f>IFERROR(__xludf.DUMMYFUNCTION("""COMPUTED_VALUE"""),45461.0)</f>
        <v>45461</v>
      </c>
      <c r="BA44" s="1">
        <f>IFERROR(__xludf.DUMMYFUNCTION("""COMPUTED_VALUE"""),0.0)</f>
        <v>0</v>
      </c>
      <c r="BB44" s="1">
        <f>IFERROR(__xludf.DUMMYFUNCTION("""COMPUTED_VALUE"""),0.0)</f>
        <v>0</v>
      </c>
      <c r="BC44" s="4">
        <f>IFERROR(__xludf.DUMMYFUNCTION("""COMPUTED_VALUE"""),0.0)</f>
        <v>0</v>
      </c>
      <c r="BD44" s="4">
        <f>IFERROR(__xludf.DUMMYFUNCTION("""COMPUTED_VALUE"""),0.0)</f>
        <v>0</v>
      </c>
      <c r="BE44" s="1">
        <f>IFERROR(__xludf.DUMMYFUNCTION("""COMPUTED_VALUE"""),6.0)</f>
        <v>6</v>
      </c>
      <c r="BF44" s="6">
        <f>IFERROR(__xludf.DUMMYFUNCTION("""COMPUTED_VALUE"""),1.0)</f>
        <v>1</v>
      </c>
      <c r="BG44" s="1">
        <f>IFERROR(__xludf.DUMMYFUNCTION("""COMPUTED_VALUE"""),1.0)</f>
        <v>1</v>
      </c>
      <c r="BH44" s="1" t="str">
        <f>IFERROR(__xludf.DUMMYFUNCTION("""COMPUTED_VALUE"""),"0")</f>
        <v>0</v>
      </c>
      <c r="BI44" s="4">
        <f>IFERROR(__xludf.DUMMYFUNCTION("""COMPUTED_VALUE"""),0.0)</f>
        <v>0</v>
      </c>
      <c r="BJ44" s="1">
        <f>IFERROR(__xludf.DUMMYFUNCTION("""COMPUTED_VALUE"""),0.0)</f>
        <v>0</v>
      </c>
      <c r="BK44" s="4">
        <f>IFERROR(__xludf.DUMMYFUNCTION("""COMPUTED_VALUE"""),0.0)</f>
        <v>0</v>
      </c>
      <c r="BL44" s="1">
        <f>IFERROR(__xludf.DUMMYFUNCTION("""COMPUTED_VALUE"""),1200.0)</f>
        <v>1200</v>
      </c>
      <c r="BM44" s="1">
        <f>IFERROR(__xludf.DUMMYFUNCTION("""COMPUTED_VALUE"""),25.0)</f>
        <v>25</v>
      </c>
      <c r="BN44" s="2">
        <f>IFERROR(__xludf.DUMMYFUNCTION("""COMPUTED_VALUE"""),45460.0)</f>
        <v>45460</v>
      </c>
      <c r="BO44" s="1">
        <f>IFERROR(__xludf.DUMMYFUNCTION("""COMPUTED_VALUE"""),6.0)</f>
        <v>6</v>
      </c>
      <c r="BP44" s="1">
        <f>IFERROR(__xludf.DUMMYFUNCTION("""COMPUTED_VALUE"""),2024.0)</f>
        <v>2024</v>
      </c>
    </row>
    <row r="45">
      <c r="A45" s="1">
        <f>IFERROR(__xludf.DUMMYFUNCTION("""COMPUTED_VALUE"""),44.0)</f>
        <v>44</v>
      </c>
      <c r="B45" s="1">
        <f>IFERROR(__xludf.DUMMYFUNCTION("""COMPUTED_VALUE"""),3115920.0)</f>
        <v>3115920</v>
      </c>
      <c r="C45" s="1" t="str">
        <f>IFERROR(__xludf.DUMMYFUNCTION("""COMPUTED_VALUE"""),"2025-1")</f>
        <v>2025-1</v>
      </c>
      <c r="D45" s="1" t="str">
        <f>IFERROR(__xludf.DUMMYFUNCTION("""COMPUTED_VALUE"""),"Admisión de Alto Rendimiento")</f>
        <v>Admisión de Alto Rendimiento</v>
      </c>
      <c r="E45" s="2">
        <f>IFERROR(__xludf.DUMMYFUNCTION("""COMPUTED_VALUE"""),45462.0)</f>
        <v>45462</v>
      </c>
      <c r="F45" s="1" t="str">
        <f>IFERROR(__xludf.DUMMYFUNCTION("""COMPUTED_VALUE"""),"ARICIA")</f>
        <v>ARICIA</v>
      </c>
      <c r="G45" s="1" t="str">
        <f>IFERROR(__xludf.DUMMYFUNCTION("""COMPUTED_VALUE"""),"OTERO CORAL")</f>
        <v>OTERO CORAL</v>
      </c>
      <c r="H45" s="1" t="str">
        <f>IFERROR(__xludf.DUMMYFUNCTION("""COMPUTED_VALUE"""),"Arquitectura de Interiores")</f>
        <v>Arquitectura de Interiores</v>
      </c>
      <c r="I45" s="1" t="str">
        <f>IFERROR(__xludf.DUMMYFUNCTION("""COMPUTED_VALUE"""),"CARGO")</f>
        <v>CARGO</v>
      </c>
      <c r="J45" s="1" t="str">
        <f>IFERROR(__xludf.DUMMYFUNCTION("""COMPUTED_VALUE"""),"Diurno")</f>
        <v>Diurno</v>
      </c>
      <c r="K45" s="1" t="str">
        <f>IFERROR(__xludf.DUMMYFUNCTION("""COMPUTED_VALUE"""),"NUEVO")</f>
        <v>NUEVO</v>
      </c>
      <c r="L45" s="1">
        <f>IFERROR(__xludf.DUMMYFUNCTION("""COMPUTED_VALUE"""),0.0)</f>
        <v>0</v>
      </c>
      <c r="M45" s="1">
        <f>IFERROR(__xludf.DUMMYFUNCTION("""COMPUTED_VALUE"""),0.0)</f>
        <v>0</v>
      </c>
      <c r="N45" s="1" t="str">
        <f>IFERROR(__xludf.DUMMYFUNCTION("""COMPUTED_VALUE"""),"BECA")</f>
        <v>BECA</v>
      </c>
      <c r="O45" s="1" t="str">
        <f>IFERROR(__xludf.DUMMYFUNCTION("""COMPUTED_VALUE"""),"BECA CARRERAS CORE")</f>
        <v>BECA CARRERAS CORE</v>
      </c>
      <c r="P45" s="4">
        <f>IFERROR(__xludf.DUMMYFUNCTION("""COMPUTED_VALUE"""),0.0)</f>
        <v>0</v>
      </c>
      <c r="Q45" s="4">
        <f>IFERROR(__xludf.DUMMYFUNCTION("""COMPUTED_VALUE"""),0.0)</f>
        <v>0</v>
      </c>
      <c r="R45" s="4">
        <f>IFERROR(__xludf.DUMMYFUNCTION("""COMPUTED_VALUE"""),1775.0)</f>
        <v>1775</v>
      </c>
      <c r="S45" s="4">
        <f>IFERROR(__xludf.DUMMYFUNCTION("""COMPUTED_VALUE"""),1300.0)</f>
        <v>1300</v>
      </c>
      <c r="T45" s="1" t="str">
        <f>IFERROR(__xludf.DUMMYFUNCTION("""COMPUTED_VALUE"""),"NINGUNO")</f>
        <v>NINGUNO</v>
      </c>
      <c r="U45" s="1" t="str">
        <f>IFERROR(__xludf.DUMMYFUNCTION("""COMPUTED_VALUE"""),"-")</f>
        <v>-</v>
      </c>
      <c r="V45" s="1" t="str">
        <f>IFERROR(__xludf.DUMMYFUNCTION("""COMPUTED_VALUE"""),"JuanPablo")</f>
        <v>JuanPablo</v>
      </c>
      <c r="W45" s="1" t="str">
        <f>IFERROR(__xludf.DUMMYFUNCTION("""COMPUTED_VALUE"""),"-")</f>
        <v>-</v>
      </c>
      <c r="X45" s="1" t="str">
        <f>IFERROR(__xludf.DUMMYFUNCTION("""COMPUTED_VALUE"""),"-")</f>
        <v>-</v>
      </c>
      <c r="Y45" s="1" t="str">
        <f>IFERROR(__xludf.DUMMYFUNCTION("""COMPUTED_VALUE"""),"PAGO COMPLETO")</f>
        <v>PAGO COMPLETO</v>
      </c>
      <c r="Z45" s="1">
        <f>IFERROR(__xludf.DUMMYFUNCTION("""COMPUTED_VALUE"""),0.0)</f>
        <v>0</v>
      </c>
      <c r="AA45" s="1" t="str">
        <f>IFERROR(__xludf.DUMMYFUNCTION("""COMPUTED_VALUE"""),"-")</f>
        <v>-</v>
      </c>
      <c r="AB45" s="1">
        <f>IFERROR(__xludf.DUMMYFUNCTION("""COMPUTED_VALUE"""),0.0)</f>
        <v>0</v>
      </c>
      <c r="AC45" s="1">
        <f>IFERROR(__xludf.DUMMYFUNCTION("""COMPUTED_VALUE"""),0.0)</f>
        <v>0</v>
      </c>
      <c r="AD45" s="1" t="str">
        <f>IFERROR(__xludf.DUMMYFUNCTION("""COMPUTED_VALUE"""),"Fiorella Lanegra")</f>
        <v>Fiorella Lanegra</v>
      </c>
      <c r="AE45" s="1" t="str">
        <f>IFERROR(__xludf.DUMMYFUNCTION("""COMPUTED_VALUE"""),"0")</f>
        <v>0</v>
      </c>
      <c r="AF45" s="1">
        <f>IFERROR(__xludf.DUMMYFUNCTION("""COMPUTED_VALUE"""),2024.0)</f>
        <v>2024</v>
      </c>
      <c r="AG45" s="1">
        <f>IFERROR(__xludf.DUMMYFUNCTION("""COMPUTED_VALUE"""),1057637.0)</f>
        <v>1057637</v>
      </c>
      <c r="AH45" s="1">
        <f>IFERROR(__xludf.DUMMYFUNCTION("""COMPUTED_VALUE"""),17.0)</f>
        <v>17</v>
      </c>
      <c r="AI45" s="1" t="str">
        <f>IFERROR(__xludf.DUMMYFUNCTION("""COMPUTED_VALUE"""),"0000381904")</f>
        <v>0000381904</v>
      </c>
      <c r="AJ45" s="1">
        <f>IFERROR(__xludf.DUMMYFUNCTION("""COMPUTED_VALUE"""),7.0734082E7)</f>
        <v>70734082</v>
      </c>
      <c r="AK45" s="1">
        <f>IFERROR(__xludf.DUMMYFUNCTION("""COMPUTED_VALUE"""),9.24744802E8)</f>
        <v>924744802</v>
      </c>
      <c r="AL45" s="1" t="str">
        <f>IFERROR(__xludf.DUMMYFUNCTION("""COMPUTED_VALUE"""),"arikbp3@gmail.com")</f>
        <v>arikbp3@gmail.com</v>
      </c>
      <c r="AM45" s="1" t="str">
        <f>IFERROR(__xludf.DUMMYFUNCTION("""COMPUTED_VALUE"""),"FEMENINO")</f>
        <v>FEMENINO</v>
      </c>
      <c r="AN45" s="1">
        <f>IFERROR(__xludf.DUMMYFUNCTION("""COMPUTED_VALUE"""),1775.0)</f>
        <v>1775</v>
      </c>
      <c r="AO45" s="1">
        <f>IFERROR(__xludf.DUMMYFUNCTION("""COMPUTED_VALUE"""),1230.0)</f>
        <v>1230</v>
      </c>
      <c r="AP45" s="1" t="str">
        <f>IFERROR(__xludf.DUMMYFUNCTION("""COMPUTED_VALUE"""),"COLEGIOS")</f>
        <v>COLEGIOS</v>
      </c>
      <c r="AQ45" s="1" t="str">
        <f>IFERROR(__xludf.DUMMYFUNCTION("""COMPUTED_VALUE"""),"COLEGIOS")</f>
        <v>COLEGIOS</v>
      </c>
      <c r="AR45" s="1" t="str">
        <f>IFERROR(__xludf.DUMMYFUNCTION("""COMPUTED_VALUE"""),"NUEVO")</f>
        <v>NUEVO</v>
      </c>
      <c r="AS45" s="1"/>
      <c r="AT45" s="2">
        <f>IFERROR(__xludf.DUMMYFUNCTION("""COMPUTED_VALUE"""),45414.0)</f>
        <v>45414</v>
      </c>
      <c r="AU45" s="1">
        <f>IFERROR(__xludf.DUMMYFUNCTION("""COMPUTED_VALUE"""),1.0)</f>
        <v>1</v>
      </c>
      <c r="AV45" s="1" t="str">
        <f>IFERROR(__xludf.DUMMYFUNCTION("""COMPUTED_VALUE"""),"NUEVO")</f>
        <v>NUEVO</v>
      </c>
      <c r="AW45" s="1" t="str">
        <f>IFERROR(__xludf.DUMMYFUNCTION("""COMPUTED_VALUE"""),"SI")</f>
        <v>SI</v>
      </c>
      <c r="AX45" s="1"/>
      <c r="AY45" s="1" t="str">
        <f>IFERROR(__xludf.DUMMYFUNCTION("""COMPUTED_VALUE"""),"PAGO COMPLETO")</f>
        <v>PAGO COMPLETO</v>
      </c>
      <c r="AZ45" s="5">
        <f>IFERROR(__xludf.DUMMYFUNCTION("""COMPUTED_VALUE"""),45462.0)</f>
        <v>45462</v>
      </c>
      <c r="BA45" s="1">
        <f>IFERROR(__xludf.DUMMYFUNCTION("""COMPUTED_VALUE"""),0.0)</f>
        <v>0</v>
      </c>
      <c r="BB45" s="1">
        <f>IFERROR(__xludf.DUMMYFUNCTION("""COMPUTED_VALUE"""),0.0)</f>
        <v>0</v>
      </c>
      <c r="BC45" s="4">
        <f>IFERROR(__xludf.DUMMYFUNCTION("""COMPUTED_VALUE"""),0.0)</f>
        <v>0</v>
      </c>
      <c r="BD45" s="4">
        <f>IFERROR(__xludf.DUMMYFUNCTION("""COMPUTED_VALUE"""),0.0)</f>
        <v>0</v>
      </c>
      <c r="BE45" s="1">
        <f>IFERROR(__xludf.DUMMYFUNCTION("""COMPUTED_VALUE"""),6.0)</f>
        <v>6</v>
      </c>
      <c r="BF45" s="6">
        <f>IFERROR(__xludf.DUMMYFUNCTION("""COMPUTED_VALUE"""),1.0)</f>
        <v>1</v>
      </c>
      <c r="BG45" s="1">
        <f>IFERROR(__xludf.DUMMYFUNCTION("""COMPUTED_VALUE"""),1.0)</f>
        <v>1</v>
      </c>
      <c r="BH45" s="1" t="str">
        <f>IFERROR(__xludf.DUMMYFUNCTION("""COMPUTED_VALUE"""),"0")</f>
        <v>0</v>
      </c>
      <c r="BI45" s="4">
        <f>IFERROR(__xludf.DUMMYFUNCTION("""COMPUTED_VALUE"""),0.0)</f>
        <v>0</v>
      </c>
      <c r="BJ45" s="1">
        <f>IFERROR(__xludf.DUMMYFUNCTION("""COMPUTED_VALUE"""),0.0)</f>
        <v>0</v>
      </c>
      <c r="BK45" s="4">
        <f>IFERROR(__xludf.DUMMYFUNCTION("""COMPUTED_VALUE"""),0.0)</f>
        <v>0</v>
      </c>
      <c r="BL45" s="1">
        <f>IFERROR(__xludf.DUMMYFUNCTION("""COMPUTED_VALUE"""),1300.0)</f>
        <v>1300</v>
      </c>
      <c r="BM45" s="1">
        <f>IFERROR(__xludf.DUMMYFUNCTION("""COMPUTED_VALUE"""),25.0)</f>
        <v>25</v>
      </c>
      <c r="BN45" s="2">
        <f>IFERROR(__xludf.DUMMYFUNCTION("""COMPUTED_VALUE"""),45460.0)</f>
        <v>45460</v>
      </c>
      <c r="BO45" s="1">
        <f>IFERROR(__xludf.DUMMYFUNCTION("""COMPUTED_VALUE"""),6.0)</f>
        <v>6</v>
      </c>
      <c r="BP45" s="1">
        <f>IFERROR(__xludf.DUMMYFUNCTION("""COMPUTED_VALUE"""),2024.0)</f>
        <v>2024</v>
      </c>
    </row>
    <row r="46">
      <c r="A46" s="1">
        <f>IFERROR(__xludf.DUMMYFUNCTION("""COMPUTED_VALUE"""),45.0)</f>
        <v>45</v>
      </c>
      <c r="B46" s="1">
        <f>IFERROR(__xludf.DUMMYFUNCTION("""COMPUTED_VALUE"""),1996308.0)</f>
        <v>1996308</v>
      </c>
      <c r="C46" s="1" t="str">
        <f>IFERROR(__xludf.DUMMYFUNCTION("""COMPUTED_VALUE"""),"2025-1")</f>
        <v>2025-1</v>
      </c>
      <c r="D46" s="1" t="str">
        <f>IFERROR(__xludf.DUMMYFUNCTION("""COMPUTED_VALUE"""),"Admisión de Alto Rendimiento")</f>
        <v>Admisión de Alto Rendimiento</v>
      </c>
      <c r="E46" s="2">
        <f>IFERROR(__xludf.DUMMYFUNCTION("""COMPUTED_VALUE"""),45468.0)</f>
        <v>45468</v>
      </c>
      <c r="F46" s="1" t="str">
        <f>IFERROR(__xludf.DUMMYFUNCTION("""COMPUTED_VALUE"""),"LUCIA DE FATIMA")</f>
        <v>LUCIA DE FATIMA</v>
      </c>
      <c r="G46" s="1" t="str">
        <f>IFERROR(__xludf.DUMMYFUNCTION("""COMPUTED_VALUE"""),"NEYRA ASMAT")</f>
        <v>NEYRA ASMAT</v>
      </c>
      <c r="H46" s="1" t="str">
        <f>IFERROR(__xludf.DUMMYFUNCTION("""COMPUTED_VALUE"""),"Arquitectura de Interiores")</f>
        <v>Arquitectura de Interiores</v>
      </c>
      <c r="I46" s="1" t="str">
        <f>IFERROR(__xludf.DUMMYFUNCTION("""COMPUTED_VALUE"""),"POS")</f>
        <v>POS</v>
      </c>
      <c r="J46" s="1" t="str">
        <f>IFERROR(__xludf.DUMMYFUNCTION("""COMPUTED_VALUE"""),"Diurno")</f>
        <v>Diurno</v>
      </c>
      <c r="K46" s="1" t="str">
        <f>IFERROR(__xludf.DUMMYFUNCTION("""COMPUTED_VALUE"""),"NUEVO")</f>
        <v>NUEVO</v>
      </c>
      <c r="L46" s="1">
        <f>IFERROR(__xludf.DUMMYFUNCTION("""COMPUTED_VALUE"""),0.0)</f>
        <v>0</v>
      </c>
      <c r="M46" s="1">
        <f>IFERROR(__xludf.DUMMYFUNCTION("""COMPUTED_VALUE"""),0.0)</f>
        <v>0</v>
      </c>
      <c r="N46" s="1" t="str">
        <f>IFERROR(__xludf.DUMMYFUNCTION("""COMPUTED_VALUE"""),"ESCALA REGULAR")</f>
        <v>ESCALA REGULAR</v>
      </c>
      <c r="O46" s="1" t="str">
        <f>IFERROR(__xludf.DUMMYFUNCTION("""COMPUTED_VALUE"""),"NINGUNO")</f>
        <v>NINGUNO</v>
      </c>
      <c r="P46" s="4">
        <f>IFERROR(__xludf.DUMMYFUNCTION("""COMPUTED_VALUE"""),0.0)</f>
        <v>0</v>
      </c>
      <c r="Q46" s="4">
        <f>IFERROR(__xludf.DUMMYFUNCTION("""COMPUTED_VALUE"""),0.0)</f>
        <v>0</v>
      </c>
      <c r="R46" s="4">
        <f>IFERROR(__xludf.DUMMYFUNCTION("""COMPUTED_VALUE"""),1775.0)</f>
        <v>1775</v>
      </c>
      <c r="S46" s="4">
        <f>IFERROR(__xludf.DUMMYFUNCTION("""COMPUTED_VALUE"""),1775.0)</f>
        <v>1775</v>
      </c>
      <c r="T46" s="1" t="str">
        <f>IFERROR(__xludf.DUMMYFUNCTION("""COMPUTED_VALUE"""),"NINGUNO")</f>
        <v>NINGUNO</v>
      </c>
      <c r="U46" s="1" t="str">
        <f>IFERROR(__xludf.DUMMYFUNCTION("""COMPUTED_VALUE"""),"-")</f>
        <v>-</v>
      </c>
      <c r="V46" s="1" t="str">
        <f>IFERROR(__xludf.DUMMYFUNCTION("""COMPUTED_VALUE"""),"-")</f>
        <v>-</v>
      </c>
      <c r="W46" s="1" t="str">
        <f>IFERROR(__xludf.DUMMYFUNCTION("""COMPUTED_VALUE"""),"-")</f>
        <v>-</v>
      </c>
      <c r="X46" s="1" t="str">
        <f>IFERROR(__xludf.DUMMYFUNCTION("""COMPUTED_VALUE"""),"-")</f>
        <v>-</v>
      </c>
      <c r="Y46" s="1" t="str">
        <f>IFERROR(__xludf.DUMMYFUNCTION("""COMPUTED_VALUE"""),"PAGO COMPLETO")</f>
        <v>PAGO COMPLETO</v>
      </c>
      <c r="Z46" s="1">
        <f>IFERROR(__xludf.DUMMYFUNCTION("""COMPUTED_VALUE"""),0.0)</f>
        <v>0</v>
      </c>
      <c r="AA46" s="1" t="str">
        <f>IFERROR(__xludf.DUMMYFUNCTION("""COMPUTED_VALUE"""),"-")</f>
        <v>-</v>
      </c>
      <c r="AB46" s="1">
        <f>IFERROR(__xludf.DUMMYFUNCTION("""COMPUTED_VALUE"""),0.0)</f>
        <v>0</v>
      </c>
      <c r="AC46" s="1">
        <f>IFERROR(__xludf.DUMMYFUNCTION("""COMPUTED_VALUE"""),0.0)</f>
        <v>0</v>
      </c>
      <c r="AD46" s="1" t="str">
        <f>IFERROR(__xludf.DUMMYFUNCTION("""COMPUTED_VALUE"""),"Fiorella Lanegra")</f>
        <v>Fiorella Lanegra</v>
      </c>
      <c r="AE46" s="1" t="str">
        <f>IFERROR(__xludf.DUMMYFUNCTION("""COMPUTED_VALUE"""),"0")</f>
        <v>0</v>
      </c>
      <c r="AF46" s="1">
        <f>IFERROR(__xludf.DUMMYFUNCTION("""COMPUTED_VALUE"""),2024.0)</f>
        <v>2024</v>
      </c>
      <c r="AG46" s="1">
        <f>IFERROR(__xludf.DUMMYFUNCTION("""COMPUTED_VALUE"""),1080589.0)</f>
        <v>1080589</v>
      </c>
      <c r="AH46" s="1">
        <f>IFERROR(__xludf.DUMMYFUNCTION("""COMPUTED_VALUE"""),17.0)</f>
        <v>17</v>
      </c>
      <c r="AI46" s="1" t="str">
        <f>IFERROR(__xludf.DUMMYFUNCTION("""COMPUTED_VALUE"""),"0000382625")</f>
        <v>0000382625</v>
      </c>
      <c r="AJ46" s="1">
        <f>IFERROR(__xludf.DUMMYFUNCTION("""COMPUTED_VALUE"""),7.0697951E7)</f>
        <v>70697951</v>
      </c>
      <c r="AK46" s="1">
        <f>IFERROR(__xludf.DUMMYFUNCTION("""COMPUTED_VALUE"""),9.42658763E8)</f>
        <v>942658763</v>
      </c>
      <c r="AL46" s="1" t="str">
        <f>IFERROR(__xludf.DUMMYFUNCTION("""COMPUTED_VALUE"""),"luchisasmat@gmail.com")</f>
        <v>luchisasmat@gmail.com</v>
      </c>
      <c r="AM46" s="1" t="str">
        <f>IFERROR(__xludf.DUMMYFUNCTION("""COMPUTED_VALUE"""),"FEMENINO")</f>
        <v>FEMENINO</v>
      </c>
      <c r="AN46" s="1">
        <f>IFERROR(__xludf.DUMMYFUNCTION("""COMPUTED_VALUE"""),1775.0)</f>
        <v>1775</v>
      </c>
      <c r="AO46" s="1">
        <f>IFERROR(__xludf.DUMMYFUNCTION("""COMPUTED_VALUE"""),1150.0)</f>
        <v>1150</v>
      </c>
      <c r="AP46" s="1" t="str">
        <f>IFERROR(__xludf.DUMMYFUNCTION("""COMPUTED_VALUE"""),"OUTBOUND")</f>
        <v>OUTBOUND</v>
      </c>
      <c r="AQ46" s="1" t="str">
        <f>IFERROR(__xludf.DUMMYFUNCTION("""COMPUTED_VALUE"""),"OUTBOUND")</f>
        <v>OUTBOUND</v>
      </c>
      <c r="AR46" s="1" t="str">
        <f>IFERROR(__xludf.DUMMYFUNCTION("""COMPUTED_VALUE"""),"HEREDADO")</f>
        <v>HEREDADO</v>
      </c>
      <c r="AS46" s="1"/>
      <c r="AT46" s="2">
        <f>IFERROR(__xludf.DUMMYFUNCTION("""COMPUTED_VALUE"""),45468.0)</f>
        <v>45468</v>
      </c>
      <c r="AU46" s="1">
        <f>IFERROR(__xludf.DUMMYFUNCTION("""COMPUTED_VALUE"""),1.0)</f>
        <v>1</v>
      </c>
      <c r="AV46" s="1" t="str">
        <f>IFERROR(__xludf.DUMMYFUNCTION("""COMPUTED_VALUE"""),"NUEVO")</f>
        <v>NUEVO</v>
      </c>
      <c r="AW46" s="1" t="str">
        <f>IFERROR(__xludf.DUMMYFUNCTION("""COMPUTED_VALUE"""),"SI")</f>
        <v>SI</v>
      </c>
      <c r="AX46" s="1"/>
      <c r="AY46" s="1" t="str">
        <f>IFERROR(__xludf.DUMMYFUNCTION("""COMPUTED_VALUE"""),"PAGO COMPLETO")</f>
        <v>PAGO COMPLETO</v>
      </c>
      <c r="AZ46" s="5">
        <f>IFERROR(__xludf.DUMMYFUNCTION("""COMPUTED_VALUE"""),45468.0)</f>
        <v>45468</v>
      </c>
      <c r="BA46" s="1">
        <f>IFERROR(__xludf.DUMMYFUNCTION("""COMPUTED_VALUE"""),0.0)</f>
        <v>0</v>
      </c>
      <c r="BB46" s="1">
        <f>IFERROR(__xludf.DUMMYFUNCTION("""COMPUTED_VALUE"""),0.0)</f>
        <v>0</v>
      </c>
      <c r="BC46" s="4">
        <f>IFERROR(__xludf.DUMMYFUNCTION("""COMPUTED_VALUE"""),0.0)</f>
        <v>0</v>
      </c>
      <c r="BD46" s="4">
        <f>IFERROR(__xludf.DUMMYFUNCTION("""COMPUTED_VALUE"""),0.0)</f>
        <v>0</v>
      </c>
      <c r="BE46" s="1">
        <f>IFERROR(__xludf.DUMMYFUNCTION("""COMPUTED_VALUE"""),6.0)</f>
        <v>6</v>
      </c>
      <c r="BF46" s="6">
        <f>IFERROR(__xludf.DUMMYFUNCTION("""COMPUTED_VALUE"""),1.0)</f>
        <v>1</v>
      </c>
      <c r="BG46" s="1">
        <f>IFERROR(__xludf.DUMMYFUNCTION("""COMPUTED_VALUE"""),1.0)</f>
        <v>1</v>
      </c>
      <c r="BH46" s="1" t="str">
        <f>IFERROR(__xludf.DUMMYFUNCTION("""COMPUTED_VALUE"""),"0")</f>
        <v>0</v>
      </c>
      <c r="BI46" s="4">
        <f>IFERROR(__xludf.DUMMYFUNCTION("""COMPUTED_VALUE"""),0.0)</f>
        <v>0</v>
      </c>
      <c r="BJ46" s="1">
        <f>IFERROR(__xludf.DUMMYFUNCTION("""COMPUTED_VALUE"""),0.0)</f>
        <v>0</v>
      </c>
      <c r="BK46" s="4">
        <f>IFERROR(__xludf.DUMMYFUNCTION("""COMPUTED_VALUE"""),0.0)</f>
        <v>0</v>
      </c>
      <c r="BL46" s="1">
        <f>IFERROR(__xludf.DUMMYFUNCTION("""COMPUTED_VALUE"""),1775.0)</f>
        <v>1775</v>
      </c>
      <c r="BM46" s="1">
        <f>IFERROR(__xludf.DUMMYFUNCTION("""COMPUTED_VALUE"""),26.0)</f>
        <v>26</v>
      </c>
      <c r="BN46" s="2">
        <f>IFERROR(__xludf.DUMMYFUNCTION("""COMPUTED_VALUE"""),45467.0)</f>
        <v>45467</v>
      </c>
      <c r="BO46" s="1">
        <f>IFERROR(__xludf.DUMMYFUNCTION("""COMPUTED_VALUE"""),6.0)</f>
        <v>6</v>
      </c>
      <c r="BP46" s="1">
        <f>IFERROR(__xludf.DUMMYFUNCTION("""COMPUTED_VALUE"""),2024.0)</f>
        <v>2024</v>
      </c>
    </row>
    <row r="47">
      <c r="A47" s="1">
        <f>IFERROR(__xludf.DUMMYFUNCTION("""COMPUTED_VALUE"""),46.0)</f>
        <v>46</v>
      </c>
      <c r="B47" s="1">
        <f>IFERROR(__xludf.DUMMYFUNCTION("""COMPUTED_VALUE"""),3107191.0)</f>
        <v>3107191</v>
      </c>
      <c r="C47" s="1" t="str">
        <f>IFERROR(__xludf.DUMMYFUNCTION("""COMPUTED_VALUE"""),"2025-1")</f>
        <v>2025-1</v>
      </c>
      <c r="D47" s="1" t="str">
        <f>IFERROR(__xludf.DUMMYFUNCTION("""COMPUTED_VALUE"""),"Admisión de Alto Rendimiento")</f>
        <v>Admisión de Alto Rendimiento</v>
      </c>
      <c r="E47" s="2">
        <f>IFERROR(__xludf.DUMMYFUNCTION("""COMPUTED_VALUE"""),45469.0)</f>
        <v>45469</v>
      </c>
      <c r="F47" s="1" t="str">
        <f>IFERROR(__xludf.DUMMYFUNCTION("""COMPUTED_VALUE"""),"NADIA GABRIELA")</f>
        <v>NADIA GABRIELA</v>
      </c>
      <c r="G47" s="1" t="str">
        <f>IFERROR(__xludf.DUMMYFUNCTION("""COMPUTED_VALUE"""),"TIRADO HARO")</f>
        <v>TIRADO HARO</v>
      </c>
      <c r="H47" s="1" t="str">
        <f>IFERROR(__xludf.DUMMYFUNCTION("""COMPUTED_VALUE"""),"Comunicación Audiovisual y Cine")</f>
        <v>Comunicación Audiovisual y Cine</v>
      </c>
      <c r="I47" s="1" t="str">
        <f>IFERROR(__xludf.DUMMYFUNCTION("""COMPUTED_VALUE"""),"CARGO")</f>
        <v>CARGO</v>
      </c>
      <c r="J47" s="1" t="str">
        <f>IFERROR(__xludf.DUMMYFUNCTION("""COMPUTED_VALUE"""),"Diurno")</f>
        <v>Diurno</v>
      </c>
      <c r="K47" s="1" t="str">
        <f>IFERROR(__xludf.DUMMYFUNCTION("""COMPUTED_VALUE"""),"NUEVO")</f>
        <v>NUEVO</v>
      </c>
      <c r="L47" s="1">
        <f>IFERROR(__xludf.DUMMYFUNCTION("""COMPUTED_VALUE"""),0.0)</f>
        <v>0</v>
      </c>
      <c r="M47" s="1">
        <f>IFERROR(__xludf.DUMMYFUNCTION("""COMPUTED_VALUE"""),0.0)</f>
        <v>0</v>
      </c>
      <c r="N47" s="1" t="str">
        <f>IFERROR(__xludf.DUMMYFUNCTION("""COMPUTED_VALUE"""),"BECA")</f>
        <v>BECA</v>
      </c>
      <c r="O47" s="1" t="str">
        <f>IFERROR(__xludf.DUMMYFUNCTION("""COMPUTED_VALUE"""),"BECA CARRERAS CORE")</f>
        <v>BECA CARRERAS CORE</v>
      </c>
      <c r="P47" s="4">
        <f>IFERROR(__xludf.DUMMYFUNCTION("""COMPUTED_VALUE"""),0.0)</f>
        <v>0</v>
      </c>
      <c r="Q47" s="4">
        <f>IFERROR(__xludf.DUMMYFUNCTION("""COMPUTED_VALUE"""),0.0)</f>
        <v>0</v>
      </c>
      <c r="R47" s="4">
        <f>IFERROR(__xludf.DUMMYFUNCTION("""COMPUTED_VALUE"""),1600.0)</f>
        <v>1600</v>
      </c>
      <c r="S47" s="4">
        <f>IFERROR(__xludf.DUMMYFUNCTION("""COMPUTED_VALUE"""),1200.0)</f>
        <v>1200</v>
      </c>
      <c r="T47" s="1" t="str">
        <f>IFERROR(__xludf.DUMMYFUNCTION("""COMPUTED_VALUE"""),"Visita Guiada")</f>
        <v>Visita Guiada</v>
      </c>
      <c r="U47" s="1" t="str">
        <f>IFERROR(__xludf.DUMMYFUNCTION("""COMPUTED_VALUE"""),"-")</f>
        <v>-</v>
      </c>
      <c r="V47" s="1" t="str">
        <f>IFERROR(__xludf.DUMMYFUNCTION("""COMPUTED_VALUE"""),"Reynaldo")</f>
        <v>Reynaldo</v>
      </c>
      <c r="W47" s="1" t="str">
        <f>IFERROR(__xludf.DUMMYFUNCTION("""COMPUTED_VALUE"""),"-")</f>
        <v>-</v>
      </c>
      <c r="X47" s="1" t="str">
        <f>IFERROR(__xludf.DUMMYFUNCTION("""COMPUTED_VALUE"""),"-")</f>
        <v>-</v>
      </c>
      <c r="Y47" s="1" t="str">
        <f>IFERROR(__xludf.DUMMYFUNCTION("""COMPUTED_VALUE"""),"PAGO COMPLETO")</f>
        <v>PAGO COMPLETO</v>
      </c>
      <c r="Z47" s="1">
        <f>IFERROR(__xludf.DUMMYFUNCTION("""COMPUTED_VALUE"""),0.0)</f>
        <v>0</v>
      </c>
      <c r="AA47" s="1" t="str">
        <f>IFERROR(__xludf.DUMMYFUNCTION("""COMPUTED_VALUE"""),"-")</f>
        <v>-</v>
      </c>
      <c r="AB47" s="1">
        <f>IFERROR(__xludf.DUMMYFUNCTION("""COMPUTED_VALUE"""),0.0)</f>
        <v>0</v>
      </c>
      <c r="AC47" s="1">
        <f>IFERROR(__xludf.DUMMYFUNCTION("""COMPUTED_VALUE"""),0.0)</f>
        <v>0</v>
      </c>
      <c r="AD47" s="1" t="str">
        <f>IFERROR(__xludf.DUMMYFUNCTION("""COMPUTED_VALUE"""),"Fiorella Lanegra")</f>
        <v>Fiorella Lanegra</v>
      </c>
      <c r="AE47" s="1" t="str">
        <f>IFERROR(__xludf.DUMMYFUNCTION("""COMPUTED_VALUE"""),"0")</f>
        <v>0</v>
      </c>
      <c r="AF47" s="1">
        <f>IFERROR(__xludf.DUMMYFUNCTION("""COMPUTED_VALUE"""),2024.0)</f>
        <v>2024</v>
      </c>
      <c r="AG47" s="1">
        <f>IFERROR(__xludf.DUMMYFUNCTION("""COMPUTED_VALUE"""),329359.0)</f>
        <v>329359</v>
      </c>
      <c r="AH47" s="1">
        <f>IFERROR(__xludf.DUMMYFUNCTION("""COMPUTED_VALUE"""),17.0)</f>
        <v>17</v>
      </c>
      <c r="AI47" s="1" t="str">
        <f>IFERROR(__xludf.DUMMYFUNCTION("""COMPUTED_VALUE"""),"0000382706")</f>
        <v>0000382706</v>
      </c>
      <c r="AJ47" s="1">
        <f>IFERROR(__xludf.DUMMYFUNCTION("""COMPUTED_VALUE"""),6.1355312E7)</f>
        <v>61355312</v>
      </c>
      <c r="AK47" s="1">
        <f>IFERROR(__xludf.DUMMYFUNCTION("""COMPUTED_VALUE"""),9.52309867E8)</f>
        <v>952309867</v>
      </c>
      <c r="AL47" s="1" t="str">
        <f>IFERROR(__xludf.DUMMYFUNCTION("""COMPUTED_VALUE"""),"tiburoncitokun25@gmail.com")</f>
        <v>tiburoncitokun25@gmail.com</v>
      </c>
      <c r="AM47" s="1" t="str">
        <f>IFERROR(__xludf.DUMMYFUNCTION("""COMPUTED_VALUE"""),"FEMENINO")</f>
        <v>FEMENINO</v>
      </c>
      <c r="AN47" s="1">
        <f>IFERROR(__xludf.DUMMYFUNCTION("""COMPUTED_VALUE"""),1600.0)</f>
        <v>1600</v>
      </c>
      <c r="AO47" s="1">
        <f>IFERROR(__xludf.DUMMYFUNCTION("""COMPUTED_VALUE"""),710.0)</f>
        <v>710</v>
      </c>
      <c r="AP47" s="1" t="str">
        <f>IFERROR(__xludf.DUMMYFUNCTION("""COMPUTED_VALUE"""),"COLEGIOS")</f>
        <v>COLEGIOS</v>
      </c>
      <c r="AQ47" s="1" t="str">
        <f>IFERROR(__xludf.DUMMYFUNCTION("""COMPUTED_VALUE"""),"COLEGIOS")</f>
        <v>COLEGIOS</v>
      </c>
      <c r="AR47" s="1" t="str">
        <f>IFERROR(__xludf.DUMMYFUNCTION("""COMPUTED_VALUE"""),"NUEVO")</f>
        <v>NUEVO</v>
      </c>
      <c r="AS47" s="1"/>
      <c r="AT47" s="2">
        <f>IFERROR(__xludf.DUMMYFUNCTION("""COMPUTED_VALUE"""),45412.0)</f>
        <v>45412</v>
      </c>
      <c r="AU47" s="1">
        <f>IFERROR(__xludf.DUMMYFUNCTION("""COMPUTED_VALUE"""),1.0)</f>
        <v>1</v>
      </c>
      <c r="AV47" s="1" t="str">
        <f>IFERROR(__xludf.DUMMYFUNCTION("""COMPUTED_VALUE"""),"NUEVO")</f>
        <v>NUEVO</v>
      </c>
      <c r="AW47" s="1" t="str">
        <f>IFERROR(__xludf.DUMMYFUNCTION("""COMPUTED_VALUE"""),"SI")</f>
        <v>SI</v>
      </c>
      <c r="AX47" s="1"/>
      <c r="AY47" s="1" t="str">
        <f>IFERROR(__xludf.DUMMYFUNCTION("""COMPUTED_VALUE"""),"PAGO COMPLETO")</f>
        <v>PAGO COMPLETO</v>
      </c>
      <c r="AZ47" s="5">
        <f>IFERROR(__xludf.DUMMYFUNCTION("""COMPUTED_VALUE"""),45469.0)</f>
        <v>45469</v>
      </c>
      <c r="BA47" s="1">
        <f>IFERROR(__xludf.DUMMYFUNCTION("""COMPUTED_VALUE"""),0.0)</f>
        <v>0</v>
      </c>
      <c r="BB47" s="1">
        <f>IFERROR(__xludf.DUMMYFUNCTION("""COMPUTED_VALUE"""),0.0)</f>
        <v>0</v>
      </c>
      <c r="BC47" s="4">
        <f>IFERROR(__xludf.DUMMYFUNCTION("""COMPUTED_VALUE"""),0.0)</f>
        <v>0</v>
      </c>
      <c r="BD47" s="4">
        <f>IFERROR(__xludf.DUMMYFUNCTION("""COMPUTED_VALUE"""),100.0)</f>
        <v>100</v>
      </c>
      <c r="BE47" s="1">
        <f>IFERROR(__xludf.DUMMYFUNCTION("""COMPUTED_VALUE"""),6.0)</f>
        <v>6</v>
      </c>
      <c r="BF47" s="6">
        <f>IFERROR(__xludf.DUMMYFUNCTION("""COMPUTED_VALUE"""),1.0)</f>
        <v>1</v>
      </c>
      <c r="BG47" s="1">
        <f>IFERROR(__xludf.DUMMYFUNCTION("""COMPUTED_VALUE"""),1.0)</f>
        <v>1</v>
      </c>
      <c r="BH47" s="1" t="str">
        <f>IFERROR(__xludf.DUMMYFUNCTION("""COMPUTED_VALUE"""),"0")</f>
        <v>0</v>
      </c>
      <c r="BI47" s="4">
        <f>IFERROR(__xludf.DUMMYFUNCTION("""COMPUTED_VALUE"""),100.0)</f>
        <v>100</v>
      </c>
      <c r="BJ47" s="1">
        <f>IFERROR(__xludf.DUMMYFUNCTION("""COMPUTED_VALUE"""),0.0)</f>
        <v>0</v>
      </c>
      <c r="BK47" s="4">
        <f>IFERROR(__xludf.DUMMYFUNCTION("""COMPUTED_VALUE"""),100.0)</f>
        <v>100</v>
      </c>
      <c r="BL47" s="1">
        <f>IFERROR(__xludf.DUMMYFUNCTION("""COMPUTED_VALUE"""),1180.0)</f>
        <v>1180</v>
      </c>
      <c r="BM47" s="1">
        <f>IFERROR(__xludf.DUMMYFUNCTION("""COMPUTED_VALUE"""),26.0)</f>
        <v>26</v>
      </c>
      <c r="BN47" s="2">
        <f>IFERROR(__xludf.DUMMYFUNCTION("""COMPUTED_VALUE"""),45467.0)</f>
        <v>45467</v>
      </c>
      <c r="BO47" s="1">
        <f>IFERROR(__xludf.DUMMYFUNCTION("""COMPUTED_VALUE"""),6.0)</f>
        <v>6</v>
      </c>
      <c r="BP47" s="1">
        <f>IFERROR(__xludf.DUMMYFUNCTION("""COMPUTED_VALUE"""),2024.0)</f>
        <v>2024</v>
      </c>
    </row>
    <row r="48">
      <c r="A48" s="1">
        <f>IFERROR(__xludf.DUMMYFUNCTION("""COMPUTED_VALUE"""),47.0)</f>
        <v>47</v>
      </c>
      <c r="B48" s="1">
        <f>IFERROR(__xludf.DUMMYFUNCTION("""COMPUTED_VALUE"""),2230720.0)</f>
        <v>2230720</v>
      </c>
      <c r="C48" s="1" t="str">
        <f>IFERROR(__xludf.DUMMYFUNCTION("""COMPUTED_VALUE"""),"2025-1")</f>
        <v>2025-1</v>
      </c>
      <c r="D48" s="1" t="str">
        <f>IFERROR(__xludf.DUMMYFUNCTION("""COMPUTED_VALUE"""),"Admisión de Alto Rendimiento")</f>
        <v>Admisión de Alto Rendimiento</v>
      </c>
      <c r="E48" s="2">
        <f>IFERROR(__xludf.DUMMYFUNCTION("""COMPUTED_VALUE"""),45469.0)</f>
        <v>45469</v>
      </c>
      <c r="F48" s="1" t="str">
        <f>IFERROR(__xludf.DUMMYFUNCTION("""COMPUTED_VALUE"""),"ADRIANO GIUSEPPE")</f>
        <v>ADRIANO GIUSEPPE</v>
      </c>
      <c r="G48" s="1" t="str">
        <f>IFERROR(__xludf.DUMMYFUNCTION("""COMPUTED_VALUE"""),"GUERRA REYES")</f>
        <v>GUERRA REYES</v>
      </c>
      <c r="H48" s="1" t="str">
        <f>IFERROR(__xludf.DUMMYFUNCTION("""COMPUTED_VALUE"""),"Administración y Marketing")</f>
        <v>Administración y Marketing</v>
      </c>
      <c r="I48" s="1" t="str">
        <f>IFERROR(__xludf.DUMMYFUNCTION("""COMPUTED_VALUE"""),"CARGO")</f>
        <v>CARGO</v>
      </c>
      <c r="J48" s="1" t="str">
        <f>IFERROR(__xludf.DUMMYFUNCTION("""COMPUTED_VALUE"""),"Diurno")</f>
        <v>Diurno</v>
      </c>
      <c r="K48" s="1" t="str">
        <f>IFERROR(__xludf.DUMMYFUNCTION("""COMPUTED_VALUE"""),"NUEVO")</f>
        <v>NUEVO</v>
      </c>
      <c r="L48" s="1">
        <f>IFERROR(__xludf.DUMMYFUNCTION("""COMPUTED_VALUE"""),0.0)</f>
        <v>0</v>
      </c>
      <c r="M48" s="1">
        <f>IFERROR(__xludf.DUMMYFUNCTION("""COMPUTED_VALUE"""),0.0)</f>
        <v>0</v>
      </c>
      <c r="N48" s="1" t="str">
        <f>IFERROR(__xludf.DUMMYFUNCTION("""COMPUTED_VALUE"""),"BECA")</f>
        <v>BECA</v>
      </c>
      <c r="O48" s="1" t="str">
        <f>IFERROR(__xludf.DUMMYFUNCTION("""COMPUTED_VALUE"""),"BECA CARRERAS NUEVAS")</f>
        <v>BECA CARRERAS NUEVAS</v>
      </c>
      <c r="P48" s="4">
        <f>IFERROR(__xludf.DUMMYFUNCTION("""COMPUTED_VALUE"""),0.0)</f>
        <v>0</v>
      </c>
      <c r="Q48" s="4">
        <f>IFERROR(__xludf.DUMMYFUNCTION("""COMPUTED_VALUE"""),0.0)</f>
        <v>0</v>
      </c>
      <c r="R48" s="4">
        <f>IFERROR(__xludf.DUMMYFUNCTION("""COMPUTED_VALUE"""),1525.0)</f>
        <v>1525</v>
      </c>
      <c r="S48" s="4">
        <f>IFERROR(__xludf.DUMMYFUNCTION("""COMPUTED_VALUE"""),1350.0)</f>
        <v>1350</v>
      </c>
      <c r="T48" s="1" t="str">
        <f>IFERROR(__xludf.DUMMYFUNCTION("""COMPUTED_VALUE"""),"NINGUNO")</f>
        <v>NINGUNO</v>
      </c>
      <c r="U48" s="1" t="str">
        <f>IFERROR(__xludf.DUMMYFUNCTION("""COMPUTED_VALUE"""),"FABIOLA")</f>
        <v>FABIOLA</v>
      </c>
      <c r="V48" s="1" t="str">
        <f>IFERROR(__xludf.DUMMYFUNCTION("""COMPUTED_VALUE"""),"Leandro")</f>
        <v>Leandro</v>
      </c>
      <c r="W48" s="1" t="str">
        <f>IFERROR(__xludf.DUMMYFUNCTION("""COMPUTED_VALUE"""),"-")</f>
        <v>-</v>
      </c>
      <c r="X48" s="1" t="str">
        <f>IFERROR(__xludf.DUMMYFUNCTION("""COMPUTED_VALUE"""),"-")</f>
        <v>-</v>
      </c>
      <c r="Y48" s="1" t="str">
        <f>IFERROR(__xludf.DUMMYFUNCTION("""COMPUTED_VALUE"""),"PAGO COMPLETO")</f>
        <v>PAGO COMPLETO</v>
      </c>
      <c r="Z48" s="1">
        <f>IFERROR(__xludf.DUMMYFUNCTION("""COMPUTED_VALUE"""),1350.0)</f>
        <v>1350</v>
      </c>
      <c r="AA48" s="1" t="str">
        <f>IFERROR(__xludf.DUMMYFUNCTION("""COMPUTED_VALUE"""),"-")</f>
        <v>-</v>
      </c>
      <c r="AB48" s="1">
        <f>IFERROR(__xludf.DUMMYFUNCTION("""COMPUTED_VALUE"""),0.0)</f>
        <v>0</v>
      </c>
      <c r="AC48" s="1">
        <f>IFERROR(__xludf.DUMMYFUNCTION("""COMPUTED_VALUE"""),0.0)</f>
        <v>0</v>
      </c>
      <c r="AD48" s="1" t="str">
        <f>IFERROR(__xludf.DUMMYFUNCTION("""COMPUTED_VALUE"""),"Stefano Napuri")</f>
        <v>Stefano Napuri</v>
      </c>
      <c r="AE48" s="1" t="str">
        <f>IFERROR(__xludf.DUMMYFUNCTION("""COMPUTED_VALUE"""),"0")</f>
        <v>0</v>
      </c>
      <c r="AF48" s="1">
        <f>IFERROR(__xludf.DUMMYFUNCTION("""COMPUTED_VALUE"""),2024.0)</f>
        <v>2024</v>
      </c>
      <c r="AG48" s="1">
        <f>IFERROR(__xludf.DUMMYFUNCTION("""COMPUTED_VALUE"""),777912.0)</f>
        <v>777912</v>
      </c>
      <c r="AH48" s="1">
        <f>IFERROR(__xludf.DUMMYFUNCTION("""COMPUTED_VALUE"""),17.0)</f>
        <v>17</v>
      </c>
      <c r="AI48" s="1" t="str">
        <f>IFERROR(__xludf.DUMMYFUNCTION("""COMPUTED_VALUE"""),"0000382712")</f>
        <v>0000382712</v>
      </c>
      <c r="AJ48" s="1">
        <f>IFERROR(__xludf.DUMMYFUNCTION("""COMPUTED_VALUE"""),7.118251E7)</f>
        <v>71182510</v>
      </c>
      <c r="AK48" s="1">
        <f>IFERROR(__xludf.DUMMYFUNCTION("""COMPUTED_VALUE"""),9.42562535E8)</f>
        <v>942562535</v>
      </c>
      <c r="AL48" s="1" t="str">
        <f>IFERROR(__xludf.DUMMYFUNCTION("""COMPUTED_VALUE"""),"guerrareyesadriano@gmail.com")</f>
        <v>guerrareyesadriano@gmail.com</v>
      </c>
      <c r="AM48" s="1" t="str">
        <f>IFERROR(__xludf.DUMMYFUNCTION("""COMPUTED_VALUE"""),"MASCULINO")</f>
        <v>MASCULINO</v>
      </c>
      <c r="AN48" s="1">
        <f>IFERROR(__xludf.DUMMYFUNCTION("""COMPUTED_VALUE"""),1525.0)</f>
        <v>1525</v>
      </c>
      <c r="AO48" s="1">
        <f>IFERROR(__xludf.DUMMYFUNCTION("""COMPUTED_VALUE"""),450.0)</f>
        <v>450</v>
      </c>
      <c r="AP48" s="1" t="str">
        <f>IFERROR(__xludf.DUMMYFUNCTION("""COMPUTED_VALUE"""),"COLEGIOS")</f>
        <v>COLEGIOS</v>
      </c>
      <c r="AQ48" s="1" t="str">
        <f>IFERROR(__xludf.DUMMYFUNCTION("""COMPUTED_VALUE"""),"COLEGIOS")</f>
        <v>COLEGIOS</v>
      </c>
      <c r="AR48" s="1" t="str">
        <f>IFERROR(__xludf.DUMMYFUNCTION("""COMPUTED_VALUE"""),"NUEVO")</f>
        <v>NUEVO</v>
      </c>
      <c r="AS48" s="1"/>
      <c r="AT48" s="2">
        <f>IFERROR(__xludf.DUMMYFUNCTION("""COMPUTED_VALUE"""),45399.0)</f>
        <v>45399</v>
      </c>
      <c r="AU48" s="1">
        <f>IFERROR(__xludf.DUMMYFUNCTION("""COMPUTED_VALUE"""),1.0)</f>
        <v>1</v>
      </c>
      <c r="AV48" s="1" t="str">
        <f>IFERROR(__xludf.DUMMYFUNCTION("""COMPUTED_VALUE"""),"NUEVO")</f>
        <v>NUEVO</v>
      </c>
      <c r="AW48" s="1" t="str">
        <f>IFERROR(__xludf.DUMMYFUNCTION("""COMPUTED_VALUE"""),"SI")</f>
        <v>SI</v>
      </c>
      <c r="AX48" s="1"/>
      <c r="AY48" s="1" t="str">
        <f>IFERROR(__xludf.DUMMYFUNCTION("""COMPUTED_VALUE"""),"PAGO COMPLETO")</f>
        <v>PAGO COMPLETO</v>
      </c>
      <c r="AZ48" s="5">
        <f>IFERROR(__xludf.DUMMYFUNCTION("""COMPUTED_VALUE"""),45469.0)</f>
        <v>45469</v>
      </c>
      <c r="BA48" s="1">
        <f>IFERROR(__xludf.DUMMYFUNCTION("""COMPUTED_VALUE"""),0.0)</f>
        <v>0</v>
      </c>
      <c r="BB48" s="1">
        <f>IFERROR(__xludf.DUMMYFUNCTION("""COMPUTED_VALUE"""),0.0)</f>
        <v>0</v>
      </c>
      <c r="BC48" s="4">
        <f>IFERROR(__xludf.DUMMYFUNCTION("""COMPUTED_VALUE"""),0.0)</f>
        <v>0</v>
      </c>
      <c r="BD48" s="4">
        <f>IFERROR(__xludf.DUMMYFUNCTION("""COMPUTED_VALUE"""),0.0)</f>
        <v>0</v>
      </c>
      <c r="BE48" s="1">
        <f>IFERROR(__xludf.DUMMYFUNCTION("""COMPUTED_VALUE"""),6.0)</f>
        <v>6</v>
      </c>
      <c r="BF48" s="6">
        <f>IFERROR(__xludf.DUMMYFUNCTION("""COMPUTED_VALUE"""),1.0)</f>
        <v>1</v>
      </c>
      <c r="BG48" s="1">
        <f>IFERROR(__xludf.DUMMYFUNCTION("""COMPUTED_VALUE"""),1.0)</f>
        <v>1</v>
      </c>
      <c r="BH48" s="1" t="str">
        <f>IFERROR(__xludf.DUMMYFUNCTION("""COMPUTED_VALUE"""),"0")</f>
        <v>0</v>
      </c>
      <c r="BI48" s="4">
        <f>IFERROR(__xludf.DUMMYFUNCTION("""COMPUTED_VALUE"""),1350.0)</f>
        <v>1350</v>
      </c>
      <c r="BJ48" s="1">
        <f>IFERROR(__xludf.DUMMYFUNCTION("""COMPUTED_VALUE"""),0.0)</f>
        <v>0</v>
      </c>
      <c r="BK48" s="4">
        <f>IFERROR(__xludf.DUMMYFUNCTION("""COMPUTED_VALUE"""),0.0)</f>
        <v>0</v>
      </c>
      <c r="BL48" s="1">
        <f>IFERROR(__xludf.DUMMYFUNCTION("""COMPUTED_VALUE"""),1350.0)</f>
        <v>1350</v>
      </c>
      <c r="BM48" s="1">
        <f>IFERROR(__xludf.DUMMYFUNCTION("""COMPUTED_VALUE"""),26.0)</f>
        <v>26</v>
      </c>
      <c r="BN48" s="2">
        <f>IFERROR(__xludf.DUMMYFUNCTION("""COMPUTED_VALUE"""),45467.0)</f>
        <v>45467</v>
      </c>
      <c r="BO48" s="1">
        <f>IFERROR(__xludf.DUMMYFUNCTION("""COMPUTED_VALUE"""),6.0)</f>
        <v>6</v>
      </c>
      <c r="BP48" s="1">
        <f>IFERROR(__xludf.DUMMYFUNCTION("""COMPUTED_VALUE"""),2024.0)</f>
        <v>2024</v>
      </c>
    </row>
    <row r="49">
      <c r="A49" s="1">
        <f>IFERROR(__xludf.DUMMYFUNCTION("""COMPUTED_VALUE"""),48.0)</f>
        <v>48</v>
      </c>
      <c r="B49" s="1">
        <f>IFERROR(__xludf.DUMMYFUNCTION("""COMPUTED_VALUE"""),3323684.0)</f>
        <v>3323684</v>
      </c>
      <c r="C49" s="1" t="str">
        <f>IFERROR(__xludf.DUMMYFUNCTION("""COMPUTED_VALUE"""),"2025-1")</f>
        <v>2025-1</v>
      </c>
      <c r="D49" s="1" t="str">
        <f>IFERROR(__xludf.DUMMYFUNCTION("""COMPUTED_VALUE"""),"Admisión de Alto Rendimiento")</f>
        <v>Admisión de Alto Rendimiento</v>
      </c>
      <c r="E49" s="2">
        <f>IFERROR(__xludf.DUMMYFUNCTION("""COMPUTED_VALUE"""),45471.0)</f>
        <v>45471</v>
      </c>
      <c r="F49" s="1" t="str">
        <f>IFERROR(__xludf.DUMMYFUNCTION("""COMPUTED_VALUE"""),"ANA FERNANDA")</f>
        <v>ANA FERNANDA</v>
      </c>
      <c r="G49" s="1" t="str">
        <f>IFERROR(__xludf.DUMMYFUNCTION("""COMPUTED_VALUE"""),"AREVALO AMPUERO")</f>
        <v>AREVALO AMPUERO</v>
      </c>
      <c r="H49" s="1" t="str">
        <f>IFERROR(__xludf.DUMMYFUNCTION("""COMPUTED_VALUE"""),"Diseño Gráfico Publicitario")</f>
        <v>Diseño Gráfico Publicitario</v>
      </c>
      <c r="I49" s="1" t="str">
        <f>IFERROR(__xludf.DUMMYFUNCTION("""COMPUTED_VALUE"""),"CARGO")</f>
        <v>CARGO</v>
      </c>
      <c r="J49" s="1" t="str">
        <f>IFERROR(__xludf.DUMMYFUNCTION("""COMPUTED_VALUE"""),"Diurno")</f>
        <v>Diurno</v>
      </c>
      <c r="K49" s="1" t="str">
        <f>IFERROR(__xludf.DUMMYFUNCTION("""COMPUTED_VALUE"""),"NUEVO")</f>
        <v>NUEVO</v>
      </c>
      <c r="L49" s="1">
        <f>IFERROR(__xludf.DUMMYFUNCTION("""COMPUTED_VALUE"""),0.0)</f>
        <v>0</v>
      </c>
      <c r="M49" s="1">
        <f>IFERROR(__xludf.DUMMYFUNCTION("""COMPUTED_VALUE"""),0.0)</f>
        <v>0</v>
      </c>
      <c r="N49" s="1" t="str">
        <f>IFERROR(__xludf.DUMMYFUNCTION("""COMPUTED_VALUE"""),"RECA")</f>
        <v>RECA</v>
      </c>
      <c r="O49" s="1" t="str">
        <f>IFERROR(__xludf.DUMMYFUNCTION("""COMPUTED_VALUE"""),"RECATEGORIZACIÓN")</f>
        <v>RECATEGORIZACIÓN</v>
      </c>
      <c r="P49" s="4">
        <f>IFERROR(__xludf.DUMMYFUNCTION("""COMPUTED_VALUE"""),0.0)</f>
        <v>0</v>
      </c>
      <c r="Q49" s="4">
        <f>IFERROR(__xludf.DUMMYFUNCTION("""COMPUTED_VALUE"""),0.0)</f>
        <v>0</v>
      </c>
      <c r="R49" s="4">
        <f>IFERROR(__xludf.DUMMYFUNCTION("""COMPUTED_VALUE"""),2200.0)</f>
        <v>2200</v>
      </c>
      <c r="S49" s="4">
        <f>IFERROR(__xludf.DUMMYFUNCTION("""COMPUTED_VALUE"""),1525.0)</f>
        <v>1525</v>
      </c>
      <c r="T49" s="1" t="str">
        <f>IFERROR(__xludf.DUMMYFUNCTION("""COMPUTED_VALUE"""),"NINGUNO")</f>
        <v>NINGUNO</v>
      </c>
      <c r="U49" s="1" t="str">
        <f>IFERROR(__xludf.DUMMYFUNCTION("""COMPUTED_VALUE"""),"FABIOLA")</f>
        <v>FABIOLA</v>
      </c>
      <c r="V49" s="1" t="str">
        <f>IFERROR(__xludf.DUMMYFUNCTION("""COMPUTED_VALUE"""),"JuanPablo")</f>
        <v>JuanPablo</v>
      </c>
      <c r="W49" s="1" t="str">
        <f>IFERROR(__xludf.DUMMYFUNCTION("""COMPUTED_VALUE"""),"-")</f>
        <v>-</v>
      </c>
      <c r="X49" s="1" t="str">
        <f>IFERROR(__xludf.DUMMYFUNCTION("""COMPUTED_VALUE"""),"-")</f>
        <v>-</v>
      </c>
      <c r="Y49" s="1" t="str">
        <f>IFERROR(__xludf.DUMMYFUNCTION("""COMPUTED_VALUE"""),"PAGO COMPLETO")</f>
        <v>PAGO COMPLETO</v>
      </c>
      <c r="Z49" s="1">
        <f>IFERROR(__xludf.DUMMYFUNCTION("""COMPUTED_VALUE"""),0.0)</f>
        <v>0</v>
      </c>
      <c r="AA49" s="1" t="str">
        <f>IFERROR(__xludf.DUMMYFUNCTION("""COMPUTED_VALUE"""),"28/06/2024")</f>
        <v>28/06/2024</v>
      </c>
      <c r="AB49" s="1">
        <f>IFERROR(__xludf.DUMMYFUNCTION("""COMPUTED_VALUE"""),1.0)</f>
        <v>1</v>
      </c>
      <c r="AC49" s="1">
        <f>IFERROR(__xludf.DUMMYFUNCTION("""COMPUTED_VALUE"""),0.0)</f>
        <v>0</v>
      </c>
      <c r="AD49" s="1" t="str">
        <f>IFERROR(__xludf.DUMMYFUNCTION("""COMPUTED_VALUE"""),"Stefano Napuri")</f>
        <v>Stefano Napuri</v>
      </c>
      <c r="AE49" s="1" t="str">
        <f>IFERROR(__xludf.DUMMYFUNCTION("""COMPUTED_VALUE"""),"0")</f>
        <v>0</v>
      </c>
      <c r="AF49" s="1">
        <f>IFERROR(__xludf.DUMMYFUNCTION("""COMPUTED_VALUE"""),2024.0)</f>
        <v>2024</v>
      </c>
      <c r="AG49" s="1">
        <f>IFERROR(__xludf.DUMMYFUNCTION("""COMPUTED_VALUE"""),305763.0)</f>
        <v>305763</v>
      </c>
      <c r="AH49" s="1">
        <f>IFERROR(__xludf.DUMMYFUNCTION("""COMPUTED_VALUE"""),17.0)</f>
        <v>17</v>
      </c>
      <c r="AI49" s="1" t="str">
        <f>IFERROR(__xludf.DUMMYFUNCTION("""COMPUTED_VALUE"""),"0000382925")</f>
        <v>0000382925</v>
      </c>
      <c r="AJ49" s="1">
        <f>IFERROR(__xludf.DUMMYFUNCTION("""COMPUTED_VALUE"""),7.1175294E7)</f>
        <v>71175294</v>
      </c>
      <c r="AK49" s="1">
        <f>IFERROR(__xludf.DUMMYFUNCTION("""COMPUTED_VALUE"""),9.69752341E8)</f>
        <v>969752341</v>
      </c>
      <c r="AL49" s="1" t="str">
        <f>IFERROR(__xludf.DUMMYFUNCTION("""COMPUTED_VALUE"""),"anaarevaloaa28@gmail.com")</f>
        <v>anaarevaloaa28@gmail.com</v>
      </c>
      <c r="AM49" s="1" t="str">
        <f>IFERROR(__xludf.DUMMYFUNCTION("""COMPUTED_VALUE"""),"FEMENINO")</f>
        <v>FEMENINO</v>
      </c>
      <c r="AN49" s="1">
        <f>IFERROR(__xludf.DUMMYFUNCTION("""COMPUTED_VALUE"""),2200.0)</f>
        <v>2200</v>
      </c>
      <c r="AO49" s="1">
        <f>IFERROR(__xludf.DUMMYFUNCTION("""COMPUTED_VALUE"""),900.0)</f>
        <v>900</v>
      </c>
      <c r="AP49" s="1" t="str">
        <f>IFERROR(__xludf.DUMMYFUNCTION("""COMPUTED_VALUE"""),"FORMULARIO")</f>
        <v>FORMULARIO</v>
      </c>
      <c r="AQ49" s="1" t="str">
        <f>IFERROR(__xludf.DUMMYFUNCTION("""COMPUTED_VALUE"""),"SEARCH MARCA")</f>
        <v>SEARCH MARCA</v>
      </c>
      <c r="AR49" s="1" t="str">
        <f>IFERROR(__xludf.DUMMYFUNCTION("""COMPUTED_VALUE"""),"NUEVO")</f>
        <v>NUEVO</v>
      </c>
      <c r="AS49" s="1" t="str">
        <f>IFERROR(__xludf.DUMMYFUNCTION("""COMPUTED_VALUE"""),"ucal-pg-performance-sedes-abierta-cpl-search_conversion_marca-20240401")</f>
        <v>ucal-pg-performance-sedes-abierta-cpl-search_conversion_marca-20240401</v>
      </c>
      <c r="AT49" s="2">
        <f>IFERROR(__xludf.DUMMYFUNCTION("""COMPUTED_VALUE"""),45385.0)</f>
        <v>45385</v>
      </c>
      <c r="AU49" s="1">
        <f>IFERROR(__xludf.DUMMYFUNCTION("""COMPUTED_VALUE"""),1.0)</f>
        <v>1</v>
      </c>
      <c r="AV49" s="1" t="str">
        <f>IFERROR(__xludf.DUMMYFUNCTION("""COMPUTED_VALUE"""),"NUEVO")</f>
        <v>NUEVO</v>
      </c>
      <c r="AW49" s="1" t="str">
        <f>IFERROR(__xludf.DUMMYFUNCTION("""COMPUTED_VALUE"""),"SI")</f>
        <v>SI</v>
      </c>
      <c r="AX49" s="1"/>
      <c r="AY49" s="1" t="str">
        <f>IFERROR(__xludf.DUMMYFUNCTION("""COMPUTED_VALUE"""),"PAGO COMPLETO")</f>
        <v>PAGO COMPLETO</v>
      </c>
      <c r="AZ49" s="5">
        <f>IFERROR(__xludf.DUMMYFUNCTION("""COMPUTED_VALUE"""),45471.0)</f>
        <v>45471</v>
      </c>
      <c r="BA49" s="1">
        <f>IFERROR(__xludf.DUMMYFUNCTION("""COMPUTED_VALUE"""),0.0)</f>
        <v>0</v>
      </c>
      <c r="BB49" s="1">
        <f>IFERROR(__xludf.DUMMYFUNCTION("""COMPUTED_VALUE"""),0.0)</f>
        <v>0</v>
      </c>
      <c r="BC49" s="4">
        <f>IFERROR(__xludf.DUMMYFUNCTION("""COMPUTED_VALUE"""),0.0)</f>
        <v>0</v>
      </c>
      <c r="BD49" s="4">
        <f>IFERROR(__xludf.DUMMYFUNCTION("""COMPUTED_VALUE"""),0.0)</f>
        <v>0</v>
      </c>
      <c r="BE49" s="1">
        <f>IFERROR(__xludf.DUMMYFUNCTION("""COMPUTED_VALUE"""),6.0)</f>
        <v>6</v>
      </c>
      <c r="BF49" s="6">
        <f>IFERROR(__xludf.DUMMYFUNCTION("""COMPUTED_VALUE"""),1.0)</f>
        <v>1</v>
      </c>
      <c r="BG49" s="1">
        <f>IFERROR(__xludf.DUMMYFUNCTION("""COMPUTED_VALUE"""),1.0)</f>
        <v>1</v>
      </c>
      <c r="BH49" s="1" t="str">
        <f>IFERROR(__xludf.DUMMYFUNCTION("""COMPUTED_VALUE"""),"0")</f>
        <v>0</v>
      </c>
      <c r="BI49" s="4">
        <f>IFERROR(__xludf.DUMMYFUNCTION("""COMPUTED_VALUE"""),0.0)</f>
        <v>0</v>
      </c>
      <c r="BJ49" s="1">
        <f>IFERROR(__xludf.DUMMYFUNCTION("""COMPUTED_VALUE"""),0.0)</f>
        <v>0</v>
      </c>
      <c r="BK49" s="4">
        <f>IFERROR(__xludf.DUMMYFUNCTION("""COMPUTED_VALUE"""),0.0)</f>
        <v>0</v>
      </c>
      <c r="BL49" s="1">
        <f>IFERROR(__xludf.DUMMYFUNCTION("""COMPUTED_VALUE"""),1525.0)</f>
        <v>1525</v>
      </c>
      <c r="BM49" s="1">
        <f>IFERROR(__xludf.DUMMYFUNCTION("""COMPUTED_VALUE"""),26.0)</f>
        <v>26</v>
      </c>
      <c r="BN49" s="2">
        <f>IFERROR(__xludf.DUMMYFUNCTION("""COMPUTED_VALUE"""),45467.0)</f>
        <v>45467</v>
      </c>
      <c r="BO49" s="1">
        <f>IFERROR(__xludf.DUMMYFUNCTION("""COMPUTED_VALUE"""),6.0)</f>
        <v>6</v>
      </c>
      <c r="BP49" s="1">
        <f>IFERROR(__xludf.DUMMYFUNCTION("""COMPUTED_VALUE"""),2024.0)</f>
        <v>2024</v>
      </c>
    </row>
    <row r="50">
      <c r="A50" s="1">
        <f>IFERROR(__xludf.DUMMYFUNCTION("""COMPUTED_VALUE"""),49.0)</f>
        <v>49</v>
      </c>
      <c r="B50" s="1">
        <f>IFERROR(__xludf.DUMMYFUNCTION("""COMPUTED_VALUE"""),2456633.0)</f>
        <v>2456633</v>
      </c>
      <c r="C50" s="1" t="str">
        <f>IFERROR(__xludf.DUMMYFUNCTION("""COMPUTED_VALUE"""),"2025-1")</f>
        <v>2025-1</v>
      </c>
      <c r="D50" s="1" t="str">
        <f>IFERROR(__xludf.DUMMYFUNCTION("""COMPUTED_VALUE"""),"Admisión de Alto Rendimiento")</f>
        <v>Admisión de Alto Rendimiento</v>
      </c>
      <c r="E50" s="2">
        <f>IFERROR(__xludf.DUMMYFUNCTION("""COMPUTED_VALUE"""),45472.0)</f>
        <v>45472</v>
      </c>
      <c r="F50" s="1" t="str">
        <f>IFERROR(__xludf.DUMMYFUNCTION("""COMPUTED_VALUE"""),"MATIAS GABRIEL")</f>
        <v>MATIAS GABRIEL</v>
      </c>
      <c r="G50" s="1" t="str">
        <f>IFERROR(__xludf.DUMMYFUNCTION("""COMPUTED_VALUE"""),"PERALES YESAN")</f>
        <v>PERALES YESAN</v>
      </c>
      <c r="H50" s="1" t="str">
        <f>IFERROR(__xludf.DUMMYFUNCTION("""COMPUTED_VALUE"""),"Arquitectura de Interiores")</f>
        <v>Arquitectura de Interiores</v>
      </c>
      <c r="I50" s="1" t="str">
        <f>IFERROR(__xludf.DUMMYFUNCTION("""COMPUTED_VALUE"""),"CARGO")</f>
        <v>CARGO</v>
      </c>
      <c r="J50" s="1" t="str">
        <f>IFERROR(__xludf.DUMMYFUNCTION("""COMPUTED_VALUE"""),"Diurno")</f>
        <v>Diurno</v>
      </c>
      <c r="K50" s="1" t="str">
        <f>IFERROR(__xludf.DUMMYFUNCTION("""COMPUTED_VALUE"""),"NUEVO")</f>
        <v>NUEVO</v>
      </c>
      <c r="L50" s="1">
        <f>IFERROR(__xludf.DUMMYFUNCTION("""COMPUTED_VALUE"""),0.0)</f>
        <v>0</v>
      </c>
      <c r="M50" s="1">
        <f>IFERROR(__xludf.DUMMYFUNCTION("""COMPUTED_VALUE"""),0.0)</f>
        <v>0</v>
      </c>
      <c r="N50" s="1" t="str">
        <f>IFERROR(__xludf.DUMMYFUNCTION("""COMPUTED_VALUE"""),"BECA")</f>
        <v>BECA</v>
      </c>
      <c r="O50" s="1" t="str">
        <f>IFERROR(__xludf.DUMMYFUNCTION("""COMPUTED_VALUE"""),"BECA CARRERAS CORE")</f>
        <v>BECA CARRERAS CORE</v>
      </c>
      <c r="P50" s="4">
        <f>IFERROR(__xludf.DUMMYFUNCTION("""COMPUTED_VALUE"""),0.0)</f>
        <v>0</v>
      </c>
      <c r="Q50" s="4">
        <f>IFERROR(__xludf.DUMMYFUNCTION("""COMPUTED_VALUE"""),0.0)</f>
        <v>0</v>
      </c>
      <c r="R50" s="4">
        <f>IFERROR(__xludf.DUMMYFUNCTION("""COMPUTED_VALUE"""),1600.0)</f>
        <v>1600</v>
      </c>
      <c r="S50" s="4">
        <f>IFERROR(__xludf.DUMMYFUNCTION("""COMPUTED_VALUE"""),950.0)</f>
        <v>950</v>
      </c>
      <c r="T50" s="1" t="str">
        <f>IFERROR(__xludf.DUMMYFUNCTION("""COMPUTED_VALUE"""),"NINGUNO")</f>
        <v>NINGUNO</v>
      </c>
      <c r="U50" s="1" t="str">
        <f>IFERROR(__xludf.DUMMYFUNCTION("""COMPUTED_VALUE"""),"-")</f>
        <v>-</v>
      </c>
      <c r="V50" s="1" t="str">
        <f>IFERROR(__xludf.DUMMYFUNCTION("""COMPUTED_VALUE"""),"-")</f>
        <v>-</v>
      </c>
      <c r="W50" s="1" t="str">
        <f>IFERROR(__xludf.DUMMYFUNCTION("""COMPUTED_VALUE"""),"-")</f>
        <v>-</v>
      </c>
      <c r="X50" s="1" t="str">
        <f>IFERROR(__xludf.DUMMYFUNCTION("""COMPUTED_VALUE"""),"beca base recupero")</f>
        <v>beca base recupero</v>
      </c>
      <c r="Y50" s="1" t="str">
        <f>IFERROR(__xludf.DUMMYFUNCTION("""COMPUTED_VALUE"""),"PAGO COMPLETO")</f>
        <v>PAGO COMPLETO</v>
      </c>
      <c r="Z50" s="1">
        <f>IFERROR(__xludf.DUMMYFUNCTION("""COMPUTED_VALUE"""),0.0)</f>
        <v>0</v>
      </c>
      <c r="AA50" s="1" t="str">
        <f>IFERROR(__xludf.DUMMYFUNCTION("""COMPUTED_VALUE"""),"-")</f>
        <v>-</v>
      </c>
      <c r="AB50" s="1">
        <f>IFERROR(__xludf.DUMMYFUNCTION("""COMPUTED_VALUE"""),0.0)</f>
        <v>0</v>
      </c>
      <c r="AC50" s="1">
        <f>IFERROR(__xludf.DUMMYFUNCTION("""COMPUTED_VALUE"""),0.0)</f>
        <v>0</v>
      </c>
      <c r="AD50" s="1" t="str">
        <f>IFERROR(__xludf.DUMMYFUNCTION("""COMPUTED_VALUE"""),"Fiorella Lanegra")</f>
        <v>Fiorella Lanegra</v>
      </c>
      <c r="AE50" s="1" t="str">
        <f>IFERROR(__xludf.DUMMYFUNCTION("""COMPUTED_VALUE"""),"0")</f>
        <v>0</v>
      </c>
      <c r="AF50" s="1">
        <f>IFERROR(__xludf.DUMMYFUNCTION("""COMPUTED_VALUE"""),2024.0)</f>
        <v>2024</v>
      </c>
      <c r="AG50" s="1">
        <f>IFERROR(__xludf.DUMMYFUNCTION("""COMPUTED_VALUE"""),556258.0)</f>
        <v>556258</v>
      </c>
      <c r="AH50" s="1">
        <f>IFERROR(__xludf.DUMMYFUNCTION("""COMPUTED_VALUE"""),17.0)</f>
        <v>17</v>
      </c>
      <c r="AI50" s="1" t="str">
        <f>IFERROR(__xludf.DUMMYFUNCTION("""COMPUTED_VALUE"""),"0000383113")</f>
        <v>0000383113</v>
      </c>
      <c r="AJ50" s="1">
        <f>IFERROR(__xludf.DUMMYFUNCTION("""COMPUTED_VALUE"""),6.1058935E7)</f>
        <v>61058935</v>
      </c>
      <c r="AK50" s="1">
        <f>IFERROR(__xludf.DUMMYFUNCTION("""COMPUTED_VALUE"""),9.06188777E8)</f>
        <v>906188777</v>
      </c>
      <c r="AL50" s="1" t="str">
        <f>IFERROR(__xludf.DUMMYFUNCTION("""COMPUTED_VALUE"""),"gabrierielperales203@gmail.com")</f>
        <v>gabrierielperales203@gmail.com</v>
      </c>
      <c r="AM50" s="1" t="str">
        <f>IFERROR(__xludf.DUMMYFUNCTION("""COMPUTED_VALUE"""),"MASCULINO")</f>
        <v>MASCULINO</v>
      </c>
      <c r="AN50" s="1">
        <f>IFERROR(__xludf.DUMMYFUNCTION("""COMPUTED_VALUE"""),1600.0)</f>
        <v>1600</v>
      </c>
      <c r="AO50" s="1">
        <f>IFERROR(__xludf.DUMMYFUNCTION("""COMPUTED_VALUE"""),175.0)</f>
        <v>175</v>
      </c>
      <c r="AP50" s="1" t="str">
        <f>IFERROR(__xludf.DUMMYFUNCTION("""COMPUTED_VALUE"""),"FORMULARIO")</f>
        <v>FORMULARIO</v>
      </c>
      <c r="AQ50" s="1" t="str">
        <f>IFERROR(__xludf.DUMMYFUNCTION("""COMPUTED_VALUE"""),"SEARCH CARRERA")</f>
        <v>SEARCH CARRERA</v>
      </c>
      <c r="AR50" s="1" t="str">
        <f>IFERROR(__xludf.DUMMYFUNCTION("""COMPUTED_VALUE"""),"NUEVO")</f>
        <v>NUEVO</v>
      </c>
      <c r="AS50" s="1" t="str">
        <f>IFERROR(__xludf.DUMMYFUNCTION("""COMPUTED_VALUE"""),"ucal-pg-performance-sedes-abierta-cpl-search_conversion_mundo_arquitectura-20240401")</f>
        <v>ucal-pg-performance-sedes-abierta-cpl-search_conversion_mundo_arquitectura-20240401</v>
      </c>
      <c r="AT50" s="2">
        <f>IFERROR(__xludf.DUMMYFUNCTION("""COMPUTED_VALUE"""),45390.0)</f>
        <v>45390</v>
      </c>
      <c r="AU50" s="1">
        <f>IFERROR(__xludf.DUMMYFUNCTION("""COMPUTED_VALUE"""),1.0)</f>
        <v>1</v>
      </c>
      <c r="AV50" s="1" t="str">
        <f>IFERROR(__xludf.DUMMYFUNCTION("""COMPUTED_VALUE"""),"NUEVO")</f>
        <v>NUEVO</v>
      </c>
      <c r="AW50" s="1" t="str">
        <f>IFERROR(__xludf.DUMMYFUNCTION("""COMPUTED_VALUE"""),"SI")</f>
        <v>SI</v>
      </c>
      <c r="AX50" s="1"/>
      <c r="AY50" s="1" t="str">
        <f>IFERROR(__xludf.DUMMYFUNCTION("""COMPUTED_VALUE"""),"PAGO COMPLETO")</f>
        <v>PAGO COMPLETO</v>
      </c>
      <c r="AZ50" s="5">
        <f>IFERROR(__xludf.DUMMYFUNCTION("""COMPUTED_VALUE"""),45472.0)</f>
        <v>45472</v>
      </c>
      <c r="BA50" s="1">
        <f>IFERROR(__xludf.DUMMYFUNCTION("""COMPUTED_VALUE"""),0.0)</f>
        <v>0</v>
      </c>
      <c r="BB50" s="1">
        <f>IFERROR(__xludf.DUMMYFUNCTION("""COMPUTED_VALUE"""),0.0)</f>
        <v>0</v>
      </c>
      <c r="BC50" s="4">
        <f>IFERROR(__xludf.DUMMYFUNCTION("""COMPUTED_VALUE"""),0.0)</f>
        <v>0</v>
      </c>
      <c r="BD50" s="4">
        <f>IFERROR(__xludf.DUMMYFUNCTION("""COMPUTED_VALUE"""),0.0)</f>
        <v>0</v>
      </c>
      <c r="BE50" s="1">
        <f>IFERROR(__xludf.DUMMYFUNCTION("""COMPUTED_VALUE"""),6.0)</f>
        <v>6</v>
      </c>
      <c r="BF50" s="6">
        <f>IFERROR(__xludf.DUMMYFUNCTION("""COMPUTED_VALUE"""),1.0)</f>
        <v>1</v>
      </c>
      <c r="BG50" s="1">
        <f>IFERROR(__xludf.DUMMYFUNCTION("""COMPUTED_VALUE"""),1.0)</f>
        <v>1</v>
      </c>
      <c r="BH50" s="1" t="str">
        <f>IFERROR(__xludf.DUMMYFUNCTION("""COMPUTED_VALUE"""),"0")</f>
        <v>0</v>
      </c>
      <c r="BI50" s="4">
        <f>IFERROR(__xludf.DUMMYFUNCTION("""COMPUTED_VALUE"""),0.0)</f>
        <v>0</v>
      </c>
      <c r="BJ50" s="1">
        <f>IFERROR(__xludf.DUMMYFUNCTION("""COMPUTED_VALUE"""),0.0)</f>
        <v>0</v>
      </c>
      <c r="BK50" s="4">
        <f>IFERROR(__xludf.DUMMYFUNCTION("""COMPUTED_VALUE"""),0.0)</f>
        <v>0</v>
      </c>
      <c r="BL50" s="1">
        <f>IFERROR(__xludf.DUMMYFUNCTION("""COMPUTED_VALUE"""),950.0)</f>
        <v>950</v>
      </c>
      <c r="BM50" s="1">
        <f>IFERROR(__xludf.DUMMYFUNCTION("""COMPUTED_VALUE"""),26.0)</f>
        <v>26</v>
      </c>
      <c r="BN50" s="2">
        <f>IFERROR(__xludf.DUMMYFUNCTION("""COMPUTED_VALUE"""),45467.0)</f>
        <v>45467</v>
      </c>
      <c r="BO50" s="1">
        <f>IFERROR(__xludf.DUMMYFUNCTION("""COMPUTED_VALUE"""),6.0)</f>
        <v>6</v>
      </c>
      <c r="BP50" s="1">
        <f>IFERROR(__xludf.DUMMYFUNCTION("""COMPUTED_VALUE"""),2024.0)</f>
        <v>2024</v>
      </c>
    </row>
    <row r="51">
      <c r="A51" s="1">
        <f>IFERROR(__xludf.DUMMYFUNCTION("""COMPUTED_VALUE"""),50.0)</f>
        <v>50</v>
      </c>
      <c r="B51" s="1">
        <f>IFERROR(__xludf.DUMMYFUNCTION("""COMPUTED_VALUE"""),297522.0)</f>
        <v>297522</v>
      </c>
      <c r="C51" s="1" t="str">
        <f>IFERROR(__xludf.DUMMYFUNCTION("""COMPUTED_VALUE"""),"2025-1")</f>
        <v>2025-1</v>
      </c>
      <c r="D51" s="1" t="str">
        <f>IFERROR(__xludf.DUMMYFUNCTION("""COMPUTED_VALUE"""),"Admisión Extraordinaria (Traslados)")</f>
        <v>Admisión Extraordinaria (Traslados)</v>
      </c>
      <c r="E51" s="2">
        <f>IFERROR(__xludf.DUMMYFUNCTION("""COMPUTED_VALUE"""),45472.0)</f>
        <v>45472</v>
      </c>
      <c r="F51" s="1" t="str">
        <f>IFERROR(__xludf.DUMMYFUNCTION("""COMPUTED_VALUE"""),"EDWARD BRAYAN")</f>
        <v>EDWARD BRAYAN</v>
      </c>
      <c r="G51" s="1" t="str">
        <f>IFERROR(__xludf.DUMMYFUNCTION("""COMPUTED_VALUE"""),"CORDOVA PACHECO")</f>
        <v>CORDOVA PACHECO</v>
      </c>
      <c r="H51" s="1" t="str">
        <f>IFERROR(__xludf.DUMMYFUNCTION("""COMPUTED_VALUE"""),"Arquitectura")</f>
        <v>Arquitectura</v>
      </c>
      <c r="I51" s="1" t="str">
        <f>IFERROR(__xludf.DUMMYFUNCTION("""COMPUTED_VALUE"""),"Pago Link")</f>
        <v>Pago Link</v>
      </c>
      <c r="J51" s="1" t="str">
        <f>IFERROR(__xludf.DUMMYFUNCTION("""COMPUTED_VALUE"""),"Diurno")</f>
        <v>Diurno</v>
      </c>
      <c r="K51" s="1" t="str">
        <f>IFERROR(__xludf.DUMMYFUNCTION("""COMPUTED_VALUE"""),"TRASLADO")</f>
        <v>TRASLADO</v>
      </c>
      <c r="L51" s="1">
        <f>IFERROR(__xludf.DUMMYFUNCTION("""COMPUTED_VALUE"""),1.0)</f>
        <v>1</v>
      </c>
      <c r="M51" s="1">
        <f>IFERROR(__xludf.DUMMYFUNCTION("""COMPUTED_VALUE"""),0.0)</f>
        <v>0</v>
      </c>
      <c r="N51" s="1" t="str">
        <f>IFERROR(__xludf.DUMMYFUNCTION("""COMPUTED_VALUE"""),"RECA")</f>
        <v>RECA</v>
      </c>
      <c r="O51" s="1" t="str">
        <f>IFERROR(__xludf.DUMMYFUNCTION("""COMPUTED_VALUE"""),"RECA TRASLADO CON CONVA")</f>
        <v>RECA TRASLADO CON CONVA</v>
      </c>
      <c r="P51" s="4">
        <f>IFERROR(__xludf.DUMMYFUNCTION("""COMPUTED_VALUE"""),0.0)</f>
        <v>0</v>
      </c>
      <c r="Q51" s="4">
        <f>IFERROR(__xludf.DUMMYFUNCTION("""COMPUTED_VALUE"""),0.0)</f>
        <v>0</v>
      </c>
      <c r="R51" s="4">
        <f>IFERROR(__xludf.DUMMYFUNCTION("""COMPUTED_VALUE"""),1250.0)</f>
        <v>1250</v>
      </c>
      <c r="S51" s="4">
        <f>IFERROR(__xludf.DUMMYFUNCTION("""COMPUTED_VALUE"""),900.0)</f>
        <v>900</v>
      </c>
      <c r="T51" s="1" t="str">
        <f>IFERROR(__xludf.DUMMYFUNCTION("""COMPUTED_VALUE"""),"NINGUNO")</f>
        <v>NINGUNO</v>
      </c>
      <c r="U51" s="1" t="str">
        <f>IFERROR(__xludf.DUMMYFUNCTION("""COMPUTED_VALUE"""),"FABIOLA")</f>
        <v>FABIOLA</v>
      </c>
      <c r="V51" s="1" t="str">
        <f>IFERROR(__xludf.DUMMYFUNCTION("""COMPUTED_VALUE"""),"-")</f>
        <v>-</v>
      </c>
      <c r="W51" s="1" t="str">
        <f>IFERROR(__xludf.DUMMYFUNCTION("""COMPUTED_VALUE"""),"PREFERENCIA POR MODELO EDUCATIVO")</f>
        <v>PREFERENCIA POR MODELO EDUCATIVO</v>
      </c>
      <c r="X51" s="1" t="str">
        <f>IFERROR(__xludf.DUMMYFUNCTION("""COMPUTED_VALUE"""),"-")</f>
        <v>-</v>
      </c>
      <c r="Y51" s="1" t="str">
        <f>IFERROR(__xludf.DUMMYFUNCTION("""COMPUTED_VALUE"""),"PAGO COMPLETO")</f>
        <v>PAGO COMPLETO</v>
      </c>
      <c r="Z51" s="1">
        <f>IFERROR(__xludf.DUMMYFUNCTION("""COMPUTED_VALUE"""),0.0)</f>
        <v>0</v>
      </c>
      <c r="AA51" s="1" t="str">
        <f>IFERROR(__xludf.DUMMYFUNCTION("""COMPUTED_VALUE"""),"-")</f>
        <v>-</v>
      </c>
      <c r="AB51" s="1">
        <f>IFERROR(__xludf.DUMMYFUNCTION("""COMPUTED_VALUE"""),1.0)</f>
        <v>1</v>
      </c>
      <c r="AC51" s="1">
        <f>IFERROR(__xludf.DUMMYFUNCTION("""COMPUTED_VALUE"""),0.0)</f>
        <v>0</v>
      </c>
      <c r="AD51" s="1" t="str">
        <f>IFERROR(__xludf.DUMMYFUNCTION("""COMPUTED_VALUE"""),"Jacqueline Castro Castro")</f>
        <v>Jacqueline Castro Castro</v>
      </c>
      <c r="AE51" s="1" t="str">
        <f>IFERROR(__xludf.DUMMYFUNCTION("""COMPUTED_VALUE"""),"Instituto de Educación Superior Tecnológico Privado Toulouse Lautrec")</f>
        <v>Instituto de Educación Superior Tecnológico Privado Toulouse Lautrec</v>
      </c>
      <c r="AF51" s="1">
        <f>IFERROR(__xludf.DUMMYFUNCTION("""COMPUTED_VALUE"""),2012.0)</f>
        <v>2012</v>
      </c>
      <c r="AG51" s="1">
        <f>IFERROR(__xludf.DUMMYFUNCTION("""COMPUTED_VALUE"""),286401.0)</f>
        <v>286401</v>
      </c>
      <c r="AH51" s="1">
        <f>IFERROR(__xludf.DUMMYFUNCTION("""COMPUTED_VALUE"""),30.0)</f>
        <v>30</v>
      </c>
      <c r="AI51" s="1" t="str">
        <f>IFERROR(__xludf.DUMMYFUNCTION("""COMPUTED_VALUE"""),"2013017869")</f>
        <v>2013017869</v>
      </c>
      <c r="AJ51" s="1">
        <f>IFERROR(__xludf.DUMMYFUNCTION("""COMPUTED_VALUE"""),4.8463617E7)</f>
        <v>48463617</v>
      </c>
      <c r="AK51" s="1">
        <f>IFERROR(__xludf.DUMMYFUNCTION("""COMPUTED_VALUE"""),9.88985842E8)</f>
        <v>988985842</v>
      </c>
      <c r="AL51" s="1" t="str">
        <f>IFERROR(__xludf.DUMMYFUNCTION("""COMPUTED_VALUE"""),"EDWARDCORDOVApacheco@gmail.com")</f>
        <v>EDWARDCORDOVApacheco@gmail.com</v>
      </c>
      <c r="AM51" s="1" t="str">
        <f>IFERROR(__xludf.DUMMYFUNCTION("""COMPUTED_VALUE"""),"MASCULINO")</f>
        <v>MASCULINO</v>
      </c>
      <c r="AN51" s="1">
        <f>IFERROR(__xludf.DUMMYFUNCTION("""COMPUTED_VALUE"""),1250.0)</f>
        <v>1250</v>
      </c>
      <c r="AO51" s="1">
        <f>IFERROR(__xludf.DUMMYFUNCTION("""COMPUTED_VALUE"""),0.0)</f>
        <v>0</v>
      </c>
      <c r="AP51" s="1" t="str">
        <f>IFERROR(__xludf.DUMMYFUNCTION("""COMPUTED_VALUE"""),"BIDIRECCIONAL")</f>
        <v>BIDIRECCIONAL</v>
      </c>
      <c r="AQ51" s="1" t="str">
        <f>IFERROR(__xludf.DUMMYFUNCTION("""COMPUTED_VALUE"""),"ORGANICO")</f>
        <v>ORGANICO</v>
      </c>
      <c r="AR51" s="1" t="str">
        <f>IFERROR(__xludf.DUMMYFUNCTION("""COMPUTED_VALUE"""),"HEREDADO")</f>
        <v>HEREDADO</v>
      </c>
      <c r="AS51" s="1"/>
      <c r="AT51" s="2">
        <f>IFERROR(__xludf.DUMMYFUNCTION("""COMPUTED_VALUE"""),45463.0)</f>
        <v>45463</v>
      </c>
      <c r="AU51" s="1">
        <f>IFERROR(__xludf.DUMMYFUNCTION("""COMPUTED_VALUE"""),1.0)</f>
        <v>1</v>
      </c>
      <c r="AV51" s="1" t="str">
        <f>IFERROR(__xludf.DUMMYFUNCTION("""COMPUTED_VALUE"""),"TRASLADO")</f>
        <v>TRASLADO</v>
      </c>
      <c r="AW51" s="1" t="str">
        <f>IFERROR(__xludf.DUMMYFUNCTION("""COMPUTED_VALUE"""),"SI")</f>
        <v>SI</v>
      </c>
      <c r="AX51" s="1"/>
      <c r="AY51" s="1" t="str">
        <f>IFERROR(__xludf.DUMMYFUNCTION("""COMPUTED_VALUE"""),"PAGO COMPLETO")</f>
        <v>PAGO COMPLETO</v>
      </c>
      <c r="AZ51" s="5">
        <f>IFERROR(__xludf.DUMMYFUNCTION("""COMPUTED_VALUE"""),45472.0)</f>
        <v>45472</v>
      </c>
      <c r="BA51" s="1">
        <f>IFERROR(__xludf.DUMMYFUNCTION("""COMPUTED_VALUE"""),0.0)</f>
        <v>0</v>
      </c>
      <c r="BB51" s="1">
        <f>IFERROR(__xludf.DUMMYFUNCTION("""COMPUTED_VALUE"""),0.0)</f>
        <v>0</v>
      </c>
      <c r="BC51" s="4">
        <f>IFERROR(__xludf.DUMMYFUNCTION("""COMPUTED_VALUE"""),0.0)</f>
        <v>0</v>
      </c>
      <c r="BD51" s="4">
        <f>IFERROR(__xludf.DUMMYFUNCTION("""COMPUTED_VALUE"""),0.0)</f>
        <v>0</v>
      </c>
      <c r="BE51" s="1">
        <f>IFERROR(__xludf.DUMMYFUNCTION("""COMPUTED_VALUE"""),6.0)</f>
        <v>6</v>
      </c>
      <c r="BF51" s="6">
        <f>IFERROR(__xludf.DUMMYFUNCTION("""COMPUTED_VALUE"""),1.0)</f>
        <v>1</v>
      </c>
      <c r="BG51" s="1">
        <f>IFERROR(__xludf.DUMMYFUNCTION("""COMPUTED_VALUE"""),1.0)</f>
        <v>1</v>
      </c>
      <c r="BH51" s="1" t="str">
        <f>IFERROR(__xludf.DUMMYFUNCTION("""COMPUTED_VALUE"""),"1")</f>
        <v>1</v>
      </c>
      <c r="BI51" s="4">
        <f>IFERROR(__xludf.DUMMYFUNCTION("""COMPUTED_VALUE"""),0.0)</f>
        <v>0</v>
      </c>
      <c r="BJ51" s="1">
        <f>IFERROR(__xludf.DUMMYFUNCTION("""COMPUTED_VALUE"""),1.0)</f>
        <v>1</v>
      </c>
      <c r="BK51" s="4">
        <f>IFERROR(__xludf.DUMMYFUNCTION("""COMPUTED_VALUE"""),0.0)</f>
        <v>0</v>
      </c>
      <c r="BL51" s="1">
        <f>IFERROR(__xludf.DUMMYFUNCTION("""COMPUTED_VALUE"""),900.0)</f>
        <v>900</v>
      </c>
      <c r="BM51" s="1">
        <f>IFERROR(__xludf.DUMMYFUNCTION("""COMPUTED_VALUE"""),26.0)</f>
        <v>26</v>
      </c>
      <c r="BN51" s="2">
        <f>IFERROR(__xludf.DUMMYFUNCTION("""COMPUTED_VALUE"""),45467.0)</f>
        <v>45467</v>
      </c>
      <c r="BO51" s="1">
        <f>IFERROR(__xludf.DUMMYFUNCTION("""COMPUTED_VALUE"""),6.0)</f>
        <v>6</v>
      </c>
      <c r="BP51" s="1">
        <f>IFERROR(__xludf.DUMMYFUNCTION("""COMPUTED_VALUE"""),2024.0)</f>
        <v>2024</v>
      </c>
    </row>
    <row r="52">
      <c r="A52" s="1">
        <f>IFERROR(__xludf.DUMMYFUNCTION("""COMPUTED_VALUE"""),51.0)</f>
        <v>51</v>
      </c>
      <c r="B52" s="1">
        <f>IFERROR(__xludf.DUMMYFUNCTION("""COMPUTED_VALUE"""),3106993.0)</f>
        <v>3106993</v>
      </c>
      <c r="C52" s="1" t="str">
        <f>IFERROR(__xludf.DUMMYFUNCTION("""COMPUTED_VALUE"""),"2025-1")</f>
        <v>2025-1</v>
      </c>
      <c r="D52" s="1" t="str">
        <f>IFERROR(__xludf.DUMMYFUNCTION("""COMPUTED_VALUE"""),"Admisión de Alto Rendimiento")</f>
        <v>Admisión de Alto Rendimiento</v>
      </c>
      <c r="E52" s="2">
        <f>IFERROR(__xludf.DUMMYFUNCTION("""COMPUTED_VALUE"""),45474.0)</f>
        <v>45474</v>
      </c>
      <c r="F52" s="1" t="str">
        <f>IFERROR(__xludf.DUMMYFUNCTION("""COMPUTED_VALUE"""),"ROMINA VALERIA")</f>
        <v>ROMINA VALERIA</v>
      </c>
      <c r="G52" s="1" t="str">
        <f>IFERROR(__xludf.DUMMYFUNCTION("""COMPUTED_VALUE"""),"PLACENCIA CARPIO")</f>
        <v>PLACENCIA CARPIO</v>
      </c>
      <c r="H52" s="1" t="str">
        <f>IFERROR(__xludf.DUMMYFUNCTION("""COMPUTED_VALUE"""),"Diseño Gráfico Publicitario")</f>
        <v>Diseño Gráfico Publicitario</v>
      </c>
      <c r="I52" s="1" t="str">
        <f>IFERROR(__xludf.DUMMYFUNCTION("""COMPUTED_VALUE"""),"CARGO")</f>
        <v>CARGO</v>
      </c>
      <c r="J52" s="1" t="str">
        <f>IFERROR(__xludf.DUMMYFUNCTION("""COMPUTED_VALUE"""),"Diurno")</f>
        <v>Diurno</v>
      </c>
      <c r="K52" s="1" t="str">
        <f>IFERROR(__xludf.DUMMYFUNCTION("""COMPUTED_VALUE"""),"NUEVO")</f>
        <v>NUEVO</v>
      </c>
      <c r="L52" s="1">
        <f>IFERROR(__xludf.DUMMYFUNCTION("""COMPUTED_VALUE"""),0.0)</f>
        <v>0</v>
      </c>
      <c r="M52" s="1">
        <f>IFERROR(__xludf.DUMMYFUNCTION("""COMPUTED_VALUE"""),0.0)</f>
        <v>0</v>
      </c>
      <c r="N52" s="1" t="str">
        <f>IFERROR(__xludf.DUMMYFUNCTION("""COMPUTED_VALUE"""),"BECA")</f>
        <v>BECA</v>
      </c>
      <c r="O52" s="1" t="str">
        <f>IFERROR(__xludf.DUMMYFUNCTION("""COMPUTED_VALUE"""),"BECA CARRERAS CORE")</f>
        <v>BECA CARRERAS CORE</v>
      </c>
      <c r="P52" s="4">
        <f>IFERROR(__xludf.DUMMYFUNCTION("""COMPUTED_VALUE"""),0.0)</f>
        <v>0</v>
      </c>
      <c r="Q52" s="4">
        <f>IFERROR(__xludf.DUMMYFUNCTION("""COMPUTED_VALUE"""),0.0)</f>
        <v>0</v>
      </c>
      <c r="R52" s="4">
        <f>IFERROR(__xludf.DUMMYFUNCTION("""COMPUTED_VALUE"""),1775.0)</f>
        <v>1775</v>
      </c>
      <c r="S52" s="4">
        <f>IFERROR(__xludf.DUMMYFUNCTION("""COMPUTED_VALUE"""),1500.0)</f>
        <v>1500</v>
      </c>
      <c r="T52" s="1" t="str">
        <f>IFERROR(__xludf.DUMMYFUNCTION("""COMPUTED_VALUE"""),"NINGUNO")</f>
        <v>NINGUNO</v>
      </c>
      <c r="U52" s="1" t="str">
        <f>IFERROR(__xludf.DUMMYFUNCTION("""COMPUTED_VALUE"""),"-")</f>
        <v>-</v>
      </c>
      <c r="V52" s="1" t="str">
        <f>IFERROR(__xludf.DUMMYFUNCTION("""COMPUTED_VALUE"""),"Leandro")</f>
        <v>Leandro</v>
      </c>
      <c r="W52" s="1" t="str">
        <f>IFERROR(__xludf.DUMMYFUNCTION("""COMPUTED_VALUE"""),"-")</f>
        <v>-</v>
      </c>
      <c r="X52" s="1" t="str">
        <f>IFERROR(__xludf.DUMMYFUNCTION("""COMPUTED_VALUE"""),"-")</f>
        <v>-</v>
      </c>
      <c r="Y52" s="1" t="str">
        <f>IFERROR(__xludf.DUMMYFUNCTION("""COMPUTED_VALUE"""),"PAGO COMPLETO")</f>
        <v>PAGO COMPLETO</v>
      </c>
      <c r="Z52" s="1">
        <f>IFERROR(__xludf.DUMMYFUNCTION("""COMPUTED_VALUE"""),0.0)</f>
        <v>0</v>
      </c>
      <c r="AA52" s="1" t="str">
        <f>IFERROR(__xludf.DUMMYFUNCTION("""COMPUTED_VALUE"""),"-")</f>
        <v>-</v>
      </c>
      <c r="AB52" s="1">
        <f>IFERROR(__xludf.DUMMYFUNCTION("""COMPUTED_VALUE"""),0.0)</f>
        <v>0</v>
      </c>
      <c r="AC52" s="1">
        <f>IFERROR(__xludf.DUMMYFUNCTION("""COMPUTED_VALUE"""),0.0)</f>
        <v>0</v>
      </c>
      <c r="AD52" s="1" t="str">
        <f>IFERROR(__xludf.DUMMYFUNCTION("""COMPUTED_VALUE"""),"Fiorella Lanegra")</f>
        <v>Fiorella Lanegra</v>
      </c>
      <c r="AE52" s="1" t="str">
        <f>IFERROR(__xludf.DUMMYFUNCTION("""COMPUTED_VALUE"""),"0")</f>
        <v>0</v>
      </c>
      <c r="AF52" s="1">
        <f>IFERROR(__xludf.DUMMYFUNCTION("""COMPUTED_VALUE"""),2024.0)</f>
        <v>2024</v>
      </c>
      <c r="AG52" s="1">
        <f>IFERROR(__xludf.DUMMYFUNCTION("""COMPUTED_VALUE"""),337113.0)</f>
        <v>337113</v>
      </c>
      <c r="AH52" s="1">
        <f>IFERROR(__xludf.DUMMYFUNCTION("""COMPUTED_VALUE"""),17.0)</f>
        <v>17</v>
      </c>
      <c r="AI52" s="1" t="str">
        <f>IFERROR(__xludf.DUMMYFUNCTION("""COMPUTED_VALUE"""),"0000063003")</f>
        <v>0000063003</v>
      </c>
      <c r="AJ52" s="1">
        <f>IFERROR(__xludf.DUMMYFUNCTION("""COMPUTED_VALUE"""),7.1166391E7)</f>
        <v>71166391</v>
      </c>
      <c r="AK52" s="1">
        <f>IFERROR(__xludf.DUMMYFUNCTION("""COMPUTED_VALUE"""),9.73408335E8)</f>
        <v>973408335</v>
      </c>
      <c r="AL52" s="1" t="str">
        <f>IFERROR(__xludf.DUMMYFUNCTION("""COMPUTED_VALUE"""),"rvpc16@hotmail.com")</f>
        <v>rvpc16@hotmail.com</v>
      </c>
      <c r="AM52" s="1" t="str">
        <f>IFERROR(__xludf.DUMMYFUNCTION("""COMPUTED_VALUE"""),"MASCULINO")</f>
        <v>MASCULINO</v>
      </c>
      <c r="AN52" s="1">
        <f>IFERROR(__xludf.DUMMYFUNCTION("""COMPUTED_VALUE"""),1775.0)</f>
        <v>1775</v>
      </c>
      <c r="AO52" s="1">
        <f>IFERROR(__xludf.DUMMYFUNCTION("""COMPUTED_VALUE"""),1310.0)</f>
        <v>1310</v>
      </c>
      <c r="AP52" s="1" t="str">
        <f>IFERROR(__xludf.DUMMYFUNCTION("""COMPUTED_VALUE"""),"FORMULARIO")</f>
        <v>FORMULARIO</v>
      </c>
      <c r="AQ52" s="1" t="str">
        <f>IFERROR(__xludf.DUMMYFUNCTION("""COMPUTED_VALUE"""),"ORGANICO")</f>
        <v>ORGANICO</v>
      </c>
      <c r="AR52" s="1" t="str">
        <f>IFERROR(__xludf.DUMMYFUNCTION("""COMPUTED_VALUE"""),"NUEVO")</f>
        <v>NUEVO</v>
      </c>
      <c r="AS52" s="1"/>
      <c r="AT52" s="2">
        <f>IFERROR(__xludf.DUMMYFUNCTION("""COMPUTED_VALUE"""),45412.0)</f>
        <v>45412</v>
      </c>
      <c r="AU52" s="1">
        <f>IFERROR(__xludf.DUMMYFUNCTION("""COMPUTED_VALUE"""),1.0)</f>
        <v>1</v>
      </c>
      <c r="AV52" s="1" t="str">
        <f>IFERROR(__xludf.DUMMYFUNCTION("""COMPUTED_VALUE"""),"NUEVO")</f>
        <v>NUEVO</v>
      </c>
      <c r="AW52" s="1" t="str">
        <f>IFERROR(__xludf.DUMMYFUNCTION("""COMPUTED_VALUE"""),"SI")</f>
        <v>SI</v>
      </c>
      <c r="AX52" s="1"/>
      <c r="AY52" s="1" t="str">
        <f>IFERROR(__xludf.DUMMYFUNCTION("""COMPUTED_VALUE"""),"PAGO COMPLETO")</f>
        <v>PAGO COMPLETO</v>
      </c>
      <c r="AZ52" s="5">
        <f>IFERROR(__xludf.DUMMYFUNCTION("""COMPUTED_VALUE"""),45474.0)</f>
        <v>45474</v>
      </c>
      <c r="BA52" s="1">
        <f>IFERROR(__xludf.DUMMYFUNCTION("""COMPUTED_VALUE"""),0.0)</f>
        <v>0</v>
      </c>
      <c r="BB52" s="1">
        <f>IFERROR(__xludf.DUMMYFUNCTION("""COMPUTED_VALUE"""),0.0)</f>
        <v>0</v>
      </c>
      <c r="BC52" s="4">
        <f>IFERROR(__xludf.DUMMYFUNCTION("""COMPUTED_VALUE"""),0.0)</f>
        <v>0</v>
      </c>
      <c r="BD52" s="4">
        <f>IFERROR(__xludf.DUMMYFUNCTION("""COMPUTED_VALUE"""),0.0)</f>
        <v>0</v>
      </c>
      <c r="BE52" s="1">
        <f>IFERROR(__xludf.DUMMYFUNCTION("""COMPUTED_VALUE"""),7.0)</f>
        <v>7</v>
      </c>
      <c r="BF52" s="6">
        <f>IFERROR(__xludf.DUMMYFUNCTION("""COMPUTED_VALUE"""),1.0)</f>
        <v>1</v>
      </c>
      <c r="BG52" s="1">
        <f>IFERROR(__xludf.DUMMYFUNCTION("""COMPUTED_VALUE"""),1.0)</f>
        <v>1</v>
      </c>
      <c r="BH52" s="1" t="str">
        <f>IFERROR(__xludf.DUMMYFUNCTION("""COMPUTED_VALUE"""),"0")</f>
        <v>0</v>
      </c>
      <c r="BI52" s="4">
        <f>IFERROR(__xludf.DUMMYFUNCTION("""COMPUTED_VALUE"""),0.0)</f>
        <v>0</v>
      </c>
      <c r="BJ52" s="1">
        <f>IFERROR(__xludf.DUMMYFUNCTION("""COMPUTED_VALUE"""),0.0)</f>
        <v>0</v>
      </c>
      <c r="BK52" s="4">
        <f>IFERROR(__xludf.DUMMYFUNCTION("""COMPUTED_VALUE"""),0.0)</f>
        <v>0</v>
      </c>
      <c r="BL52" s="1">
        <f>IFERROR(__xludf.DUMMYFUNCTION("""COMPUTED_VALUE"""),1500.0)</f>
        <v>1500</v>
      </c>
      <c r="BM52" s="1">
        <f>IFERROR(__xludf.DUMMYFUNCTION("""COMPUTED_VALUE"""),27.0)</f>
        <v>27</v>
      </c>
      <c r="BN52" s="2">
        <f>IFERROR(__xludf.DUMMYFUNCTION("""COMPUTED_VALUE"""),45474.0)</f>
        <v>45474</v>
      </c>
      <c r="BO52" s="1">
        <f>IFERROR(__xludf.DUMMYFUNCTION("""COMPUTED_VALUE"""),7.0)</f>
        <v>7</v>
      </c>
      <c r="BP52" s="1">
        <f>IFERROR(__xludf.DUMMYFUNCTION("""COMPUTED_VALUE"""),2024.0)</f>
        <v>2024</v>
      </c>
    </row>
    <row r="53">
      <c r="A53" s="1">
        <f>IFERROR(__xludf.DUMMYFUNCTION("""COMPUTED_VALUE"""),52.0)</f>
        <v>52</v>
      </c>
      <c r="B53" s="1">
        <f>IFERROR(__xludf.DUMMYFUNCTION("""COMPUTED_VALUE"""),3245339.0)</f>
        <v>3245339</v>
      </c>
      <c r="C53" s="1" t="str">
        <f>IFERROR(__xludf.DUMMYFUNCTION("""COMPUTED_VALUE"""),"2025-1")</f>
        <v>2025-1</v>
      </c>
      <c r="D53" s="1" t="str">
        <f>IFERROR(__xludf.DUMMYFUNCTION("""COMPUTED_VALUE"""),"Admisión Extraordinaria (Traslados)")</f>
        <v>Admisión Extraordinaria (Traslados)</v>
      </c>
      <c r="E53" s="2">
        <f>IFERROR(__xludf.DUMMYFUNCTION("""COMPUTED_VALUE"""),45476.0)</f>
        <v>45476</v>
      </c>
      <c r="F53" s="1" t="str">
        <f>IFERROR(__xludf.DUMMYFUNCTION("""COMPUTED_VALUE"""),"MILTON LEONARDO")</f>
        <v>MILTON LEONARDO</v>
      </c>
      <c r="G53" s="1" t="str">
        <f>IFERROR(__xludf.DUMMYFUNCTION("""COMPUTED_VALUE"""),"FRANCO QUINTANA")</f>
        <v>FRANCO QUINTANA</v>
      </c>
      <c r="H53" s="1" t="str">
        <f>IFERROR(__xludf.DUMMYFUNCTION("""COMPUTED_VALUE"""),"Comunicación y Publicidad Transmedia")</f>
        <v>Comunicación y Publicidad Transmedia</v>
      </c>
      <c r="I53" s="1" t="str">
        <f>IFERROR(__xludf.DUMMYFUNCTION("""COMPUTED_VALUE"""),"Pago Link")</f>
        <v>Pago Link</v>
      </c>
      <c r="J53" s="1" t="str">
        <f>IFERROR(__xludf.DUMMYFUNCTION("""COMPUTED_VALUE"""),"Diurno")</f>
        <v>Diurno</v>
      </c>
      <c r="K53" s="1" t="str">
        <f>IFERROR(__xludf.DUMMYFUNCTION("""COMPUTED_VALUE"""),"TRASLADO")</f>
        <v>TRASLADO</v>
      </c>
      <c r="L53" s="1">
        <f>IFERROR(__xludf.DUMMYFUNCTION("""COMPUTED_VALUE"""),1.0)</f>
        <v>1</v>
      </c>
      <c r="M53" s="1">
        <f>IFERROR(__xludf.DUMMYFUNCTION("""COMPUTED_VALUE"""),0.0)</f>
        <v>0</v>
      </c>
      <c r="N53" s="1" t="str">
        <f>IFERROR(__xludf.DUMMYFUNCTION("""COMPUTED_VALUE"""),"RECA")</f>
        <v>RECA</v>
      </c>
      <c r="O53" s="1" t="str">
        <f>IFERROR(__xludf.DUMMYFUNCTION("""COMPUTED_VALUE"""),"RECA TRASLADO CON CONVA")</f>
        <v>RECA TRASLADO CON CONVA</v>
      </c>
      <c r="P53" s="4">
        <f>IFERROR(__xludf.DUMMYFUNCTION("""COMPUTED_VALUE"""),0.0)</f>
        <v>0</v>
      </c>
      <c r="Q53" s="4">
        <f>IFERROR(__xludf.DUMMYFUNCTION("""COMPUTED_VALUE"""),190.0)</f>
        <v>190</v>
      </c>
      <c r="R53" s="4">
        <f>IFERROR(__xludf.DUMMYFUNCTION("""COMPUTED_VALUE"""),1250.0)</f>
        <v>1250</v>
      </c>
      <c r="S53" s="4">
        <f>IFERROR(__xludf.DUMMYFUNCTION("""COMPUTED_VALUE"""),900.0)</f>
        <v>900</v>
      </c>
      <c r="T53" s="1" t="str">
        <f>IFERROR(__xludf.DUMMYFUNCTION("""COMPUTED_VALUE"""),"NINGUNO")</f>
        <v>NINGUNO</v>
      </c>
      <c r="U53" s="1" t="str">
        <f>IFERROR(__xludf.DUMMYFUNCTION("""COMPUTED_VALUE"""),"-")</f>
        <v>-</v>
      </c>
      <c r="V53" s="1" t="str">
        <f>IFERROR(__xludf.DUMMYFUNCTION("""COMPUTED_VALUE"""),"-")</f>
        <v>-</v>
      </c>
      <c r="W53" s="1" t="str">
        <f>IFERROR(__xludf.DUMMYFUNCTION("""COMPUTED_VALUE"""),"PREFERENCIA POR EXPERIENCIA UCAL (SEMANAS UCAL)")</f>
        <v>PREFERENCIA POR EXPERIENCIA UCAL (SEMANAS UCAL)</v>
      </c>
      <c r="X53" s="1" t="str">
        <f>IFERROR(__xludf.DUMMYFUNCTION("""COMPUTED_VALUE"""),"-")</f>
        <v>-</v>
      </c>
      <c r="Y53" s="1" t="str">
        <f>IFERROR(__xludf.DUMMYFUNCTION("""COMPUTED_VALUE"""),"PAGO COMPLETO")</f>
        <v>PAGO COMPLETO</v>
      </c>
      <c r="Z53" s="1">
        <f>IFERROR(__xludf.DUMMYFUNCTION("""COMPUTED_VALUE"""),0.0)</f>
        <v>0</v>
      </c>
      <c r="AA53" s="1" t="str">
        <f>IFERROR(__xludf.DUMMYFUNCTION("""COMPUTED_VALUE"""),"-")</f>
        <v>-</v>
      </c>
      <c r="AB53" s="1">
        <f>IFERROR(__xludf.DUMMYFUNCTION("""COMPUTED_VALUE"""),1.0)</f>
        <v>1</v>
      </c>
      <c r="AC53" s="1">
        <f>IFERROR(__xludf.DUMMYFUNCTION("""COMPUTED_VALUE"""),0.0)</f>
        <v>0</v>
      </c>
      <c r="AD53" s="1" t="str">
        <f>IFERROR(__xludf.DUMMYFUNCTION("""COMPUTED_VALUE"""),"Andrea Araujo Antara")</f>
        <v>Andrea Araujo Antara</v>
      </c>
      <c r="AE53" s="1" t="str">
        <f>IFERROR(__xludf.DUMMYFUNCTION("""COMPUTED_VALUE"""),"Universidad Privada del Norte(UPN)")</f>
        <v>Universidad Privada del Norte(UPN)</v>
      </c>
      <c r="AF53" s="1">
        <f>IFERROR(__xludf.DUMMYFUNCTION("""COMPUTED_VALUE"""),2019.0)</f>
        <v>2019</v>
      </c>
      <c r="AG53" s="1">
        <f>IFERROR(__xludf.DUMMYFUNCTION("""COMPUTED_VALUE"""),1696806.0)</f>
        <v>1696806</v>
      </c>
      <c r="AH53" s="1">
        <f>IFERROR(__xludf.DUMMYFUNCTION("""COMPUTED_VALUE"""),21.0)</f>
        <v>21</v>
      </c>
      <c r="AI53" s="1" t="str">
        <f>IFERROR(__xludf.DUMMYFUNCTION("""COMPUTED_VALUE"""),"0000378971")</f>
        <v>0000378971</v>
      </c>
      <c r="AJ53" s="1">
        <f>IFERROR(__xludf.DUMMYFUNCTION("""COMPUTED_VALUE"""),7.3520985E7)</f>
        <v>73520985</v>
      </c>
      <c r="AK53" s="1">
        <f>IFERROR(__xludf.DUMMYFUNCTION("""COMPUTED_VALUE"""),9.0712783E8)</f>
        <v>907127830</v>
      </c>
      <c r="AL53" s="1" t="str">
        <f>IFERROR(__xludf.DUMMYFUNCTION("""COMPUTED_VALUE"""),"leonardo130403@outlook.com")</f>
        <v>leonardo130403@outlook.com</v>
      </c>
      <c r="AM53" s="1" t="str">
        <f>IFERROR(__xludf.DUMMYFUNCTION("""COMPUTED_VALUE"""),"MASCULINO")</f>
        <v>MASCULINO</v>
      </c>
      <c r="AN53" s="1">
        <f>IFERROR(__xludf.DUMMYFUNCTION("""COMPUTED_VALUE"""),1250.0)</f>
        <v>1250</v>
      </c>
      <c r="AO53" s="1">
        <f>IFERROR(__xludf.DUMMYFUNCTION("""COMPUTED_VALUE"""),552.0)</f>
        <v>552</v>
      </c>
      <c r="AP53" s="1" t="str">
        <f>IFERROR(__xludf.DUMMYFUNCTION("""COMPUTED_VALUE"""),"FORMULARIO")</f>
        <v>FORMULARIO</v>
      </c>
      <c r="AQ53" s="1" t="str">
        <f>IFERROR(__xludf.DUMMYFUNCTION("""COMPUTED_VALUE"""),"ORGANICO")</f>
        <v>ORGANICO</v>
      </c>
      <c r="AR53" s="1" t="str">
        <f>IFERROR(__xludf.DUMMYFUNCTION("""COMPUTED_VALUE"""),"NUEVO")</f>
        <v>NUEVO</v>
      </c>
      <c r="AS53" s="1"/>
      <c r="AT53" s="2">
        <f>IFERROR(__xludf.DUMMYFUNCTION("""COMPUTED_VALUE"""),45475.0)</f>
        <v>45475</v>
      </c>
      <c r="AU53" s="1">
        <f>IFERROR(__xludf.DUMMYFUNCTION("""COMPUTED_VALUE"""),1.0)</f>
        <v>1</v>
      </c>
      <c r="AV53" s="1" t="str">
        <f>IFERROR(__xludf.DUMMYFUNCTION("""COMPUTED_VALUE"""),"TRASLADO")</f>
        <v>TRASLADO</v>
      </c>
      <c r="AW53" s="1" t="str">
        <f>IFERROR(__xludf.DUMMYFUNCTION("""COMPUTED_VALUE"""),"SI")</f>
        <v>SI</v>
      </c>
      <c r="AX53" s="1"/>
      <c r="AY53" s="1" t="str">
        <f>IFERROR(__xludf.DUMMYFUNCTION("""COMPUTED_VALUE"""),"PAGO COMPLETO")</f>
        <v>PAGO COMPLETO</v>
      </c>
      <c r="AZ53" s="5">
        <f>IFERROR(__xludf.DUMMYFUNCTION("""COMPUTED_VALUE"""),45476.0)</f>
        <v>45476</v>
      </c>
      <c r="BA53" s="1">
        <f>IFERROR(__xludf.DUMMYFUNCTION("""COMPUTED_VALUE"""),0.0)</f>
        <v>0</v>
      </c>
      <c r="BB53" s="1">
        <f>IFERROR(__xludf.DUMMYFUNCTION("""COMPUTED_VALUE"""),0.0)</f>
        <v>0</v>
      </c>
      <c r="BC53" s="4">
        <f>IFERROR(__xludf.DUMMYFUNCTION("""COMPUTED_VALUE"""),0.0)</f>
        <v>0</v>
      </c>
      <c r="BD53" s="4">
        <f>IFERROR(__xludf.DUMMYFUNCTION("""COMPUTED_VALUE"""),0.0)</f>
        <v>0</v>
      </c>
      <c r="BE53" s="1">
        <f>IFERROR(__xludf.DUMMYFUNCTION("""COMPUTED_VALUE"""),7.0)</f>
        <v>7</v>
      </c>
      <c r="BF53" s="6">
        <f>IFERROR(__xludf.DUMMYFUNCTION("""COMPUTED_VALUE"""),1.0)</f>
        <v>1</v>
      </c>
      <c r="BG53" s="1">
        <f>IFERROR(__xludf.DUMMYFUNCTION("""COMPUTED_VALUE"""),1.0)</f>
        <v>1</v>
      </c>
      <c r="BH53" s="1" t="str">
        <f>IFERROR(__xludf.DUMMYFUNCTION("""COMPUTED_VALUE"""),"1")</f>
        <v>1</v>
      </c>
      <c r="BI53" s="4">
        <f>IFERROR(__xludf.DUMMYFUNCTION("""COMPUTED_VALUE"""),0.0)</f>
        <v>0</v>
      </c>
      <c r="BJ53" s="1">
        <f>IFERROR(__xludf.DUMMYFUNCTION("""COMPUTED_VALUE"""),1.0)</f>
        <v>1</v>
      </c>
      <c r="BK53" s="4">
        <f>IFERROR(__xludf.DUMMYFUNCTION("""COMPUTED_VALUE"""),0.0)</f>
        <v>0</v>
      </c>
      <c r="BL53" s="1">
        <f>IFERROR(__xludf.DUMMYFUNCTION("""COMPUTED_VALUE"""),900.0)</f>
        <v>900</v>
      </c>
      <c r="BM53" s="1">
        <f>IFERROR(__xludf.DUMMYFUNCTION("""COMPUTED_VALUE"""),27.0)</f>
        <v>27</v>
      </c>
      <c r="BN53" s="2">
        <f>IFERROR(__xludf.DUMMYFUNCTION("""COMPUTED_VALUE"""),45474.0)</f>
        <v>45474</v>
      </c>
      <c r="BO53" s="1">
        <f>IFERROR(__xludf.DUMMYFUNCTION("""COMPUTED_VALUE"""),7.0)</f>
        <v>7</v>
      </c>
      <c r="BP53" s="1">
        <f>IFERROR(__xludf.DUMMYFUNCTION("""COMPUTED_VALUE"""),2024.0)</f>
        <v>2024</v>
      </c>
    </row>
    <row r="54">
      <c r="A54" s="1">
        <f>IFERROR(__xludf.DUMMYFUNCTION("""COMPUTED_VALUE"""),53.0)</f>
        <v>53</v>
      </c>
      <c r="B54" s="1">
        <f>IFERROR(__xludf.DUMMYFUNCTION("""COMPUTED_VALUE"""),2097195.0)</f>
        <v>2097195</v>
      </c>
      <c r="C54" s="1" t="str">
        <f>IFERROR(__xludf.DUMMYFUNCTION("""COMPUTED_VALUE"""),"2025-1")</f>
        <v>2025-1</v>
      </c>
      <c r="D54" s="1" t="str">
        <f>IFERROR(__xludf.DUMMYFUNCTION("""COMPUTED_VALUE"""),"Admisión de Alto Rendimiento")</f>
        <v>Admisión de Alto Rendimiento</v>
      </c>
      <c r="E54" s="2">
        <f>IFERROR(__xludf.DUMMYFUNCTION("""COMPUTED_VALUE"""),45481.0)</f>
        <v>45481</v>
      </c>
      <c r="F54" s="1" t="str">
        <f>IFERROR(__xludf.DUMMYFUNCTION("""COMPUTED_VALUE"""),"MATHIAS ABDIEL")</f>
        <v>MATHIAS ABDIEL</v>
      </c>
      <c r="G54" s="1" t="str">
        <f>IFERROR(__xludf.DUMMYFUNCTION("""COMPUTED_VALUE"""),"GUTIERREZ LOPEZ")</f>
        <v>GUTIERREZ LOPEZ</v>
      </c>
      <c r="H54" s="1" t="str">
        <f>IFERROR(__xludf.DUMMYFUNCTION("""COMPUTED_VALUE"""),"Comunicación Audiovisual y Cine")</f>
        <v>Comunicación Audiovisual y Cine</v>
      </c>
      <c r="I54" s="1" t="str">
        <f>IFERROR(__xludf.DUMMYFUNCTION("""COMPUTED_VALUE"""),"Pago Link")</f>
        <v>Pago Link</v>
      </c>
      <c r="J54" s="1" t="str">
        <f>IFERROR(__xludf.DUMMYFUNCTION("""COMPUTED_VALUE"""),"Diurno")</f>
        <v>Diurno</v>
      </c>
      <c r="K54" s="1" t="str">
        <f>IFERROR(__xludf.DUMMYFUNCTION("""COMPUTED_VALUE"""),"NUEVO")</f>
        <v>NUEVO</v>
      </c>
      <c r="L54" s="1">
        <f>IFERROR(__xludf.DUMMYFUNCTION("""COMPUTED_VALUE"""),0.0)</f>
        <v>0</v>
      </c>
      <c r="M54" s="1">
        <f>IFERROR(__xludf.DUMMYFUNCTION("""COMPUTED_VALUE"""),0.0)</f>
        <v>0</v>
      </c>
      <c r="N54" s="1" t="str">
        <f>IFERROR(__xludf.DUMMYFUNCTION("""COMPUTED_VALUE"""),"BECA")</f>
        <v>BECA</v>
      </c>
      <c r="O54" s="1" t="str">
        <f>IFERROR(__xludf.DUMMYFUNCTION("""COMPUTED_VALUE"""),"BECA CARRERAS CORE")</f>
        <v>BECA CARRERAS CORE</v>
      </c>
      <c r="P54" s="4">
        <f>IFERROR(__xludf.DUMMYFUNCTION("""COMPUTED_VALUE"""),0.0)</f>
        <v>0</v>
      </c>
      <c r="Q54" s="4">
        <f>IFERROR(__xludf.DUMMYFUNCTION("""COMPUTED_VALUE"""),0.0)</f>
        <v>0</v>
      </c>
      <c r="R54" s="4">
        <f>IFERROR(__xludf.DUMMYFUNCTION("""COMPUTED_VALUE"""),1600.0)</f>
        <v>1600</v>
      </c>
      <c r="S54" s="4">
        <f>IFERROR(__xludf.DUMMYFUNCTION("""COMPUTED_VALUE"""),1300.0)</f>
        <v>1300</v>
      </c>
      <c r="T54" s="1" t="str">
        <f>IFERROR(__xludf.DUMMYFUNCTION("""COMPUTED_VALUE"""),"NINGUNO")</f>
        <v>NINGUNO</v>
      </c>
      <c r="U54" s="1" t="str">
        <f>IFERROR(__xludf.DUMMYFUNCTION("""COMPUTED_VALUE"""),"FABIOLA")</f>
        <v>FABIOLA</v>
      </c>
      <c r="V54" s="1" t="str">
        <f>IFERROR(__xludf.DUMMYFUNCTION("""COMPUTED_VALUE"""),"-")</f>
        <v>-</v>
      </c>
      <c r="W54" s="1" t="str">
        <f>IFERROR(__xludf.DUMMYFUNCTION("""COMPUTED_VALUE"""),"-")</f>
        <v>-</v>
      </c>
      <c r="X54" s="1" t="str">
        <f>IFERROR(__xludf.DUMMYFUNCTION("""COMPUTED_VALUE"""),"-")</f>
        <v>-</v>
      </c>
      <c r="Y54" s="1" t="str">
        <f>IFERROR(__xludf.DUMMYFUNCTION("""COMPUTED_VALUE"""),"PAGO COMPLETO")</f>
        <v>PAGO COMPLETO</v>
      </c>
      <c r="Z54" s="1">
        <f>IFERROR(__xludf.DUMMYFUNCTION("""COMPUTED_VALUE"""),650.0)</f>
        <v>650</v>
      </c>
      <c r="AA54" s="1" t="str">
        <f>IFERROR(__xludf.DUMMYFUNCTION("""COMPUTED_VALUE"""),"31/07/2024")</f>
        <v>31/07/2024</v>
      </c>
      <c r="AB54" s="1">
        <f>IFERROR(__xludf.DUMMYFUNCTION("""COMPUTED_VALUE"""),1.0)</f>
        <v>1</v>
      </c>
      <c r="AC54" s="1">
        <f>IFERROR(__xludf.DUMMYFUNCTION("""COMPUTED_VALUE"""),1.0)</f>
        <v>1</v>
      </c>
      <c r="AD54" s="1" t="str">
        <f>IFERROR(__xludf.DUMMYFUNCTION("""COMPUTED_VALUE"""),"Stefano Napuri")</f>
        <v>Stefano Napuri</v>
      </c>
      <c r="AE54" s="1" t="str">
        <f>IFERROR(__xludf.DUMMYFUNCTION("""COMPUTED_VALUE"""),"0")</f>
        <v>0</v>
      </c>
      <c r="AF54" s="1">
        <f>IFERROR(__xludf.DUMMYFUNCTION("""COMPUTED_VALUE"""),2024.0)</f>
        <v>2024</v>
      </c>
      <c r="AG54" s="1">
        <f>IFERROR(__xludf.DUMMYFUNCTION("""COMPUTED_VALUE"""),1320076.0)</f>
        <v>1320076</v>
      </c>
      <c r="AH54" s="1">
        <f>IFERROR(__xludf.DUMMYFUNCTION("""COMPUTED_VALUE"""),17.0)</f>
        <v>17</v>
      </c>
      <c r="AI54" s="1" t="str">
        <f>IFERROR(__xludf.DUMMYFUNCTION("""COMPUTED_VALUE"""),"0000384255")</f>
        <v>0000384255</v>
      </c>
      <c r="AJ54" s="1">
        <f>IFERROR(__xludf.DUMMYFUNCTION("""COMPUTED_VALUE"""),6.1445645E7)</f>
        <v>61445645</v>
      </c>
      <c r="AK54" s="1">
        <f>IFERROR(__xludf.DUMMYFUNCTION("""COMPUTED_VALUE"""),9.32203439E8)</f>
        <v>932203439</v>
      </c>
      <c r="AL54" s="1" t="str">
        <f>IFERROR(__xludf.DUMMYFUNCTION("""COMPUTED_VALUE"""),"GUTIERREZLOPEZMATIAS1@gmail.com")</f>
        <v>GUTIERREZLOPEZMATIAS1@gmail.com</v>
      </c>
      <c r="AM54" s="1" t="str">
        <f>IFERROR(__xludf.DUMMYFUNCTION("""COMPUTED_VALUE"""),"MASCULINO")</f>
        <v>MASCULINO</v>
      </c>
      <c r="AN54" s="1">
        <f>IFERROR(__xludf.DUMMYFUNCTION("""COMPUTED_VALUE"""),1600.0)</f>
        <v>1600</v>
      </c>
      <c r="AO54" s="1">
        <f>IFERROR(__xludf.DUMMYFUNCTION("""COMPUTED_VALUE"""),300.0)</f>
        <v>300</v>
      </c>
      <c r="AP54" s="1" t="str">
        <f>IFERROR(__xludf.DUMMYFUNCTION("""COMPUTED_VALUE"""),"FORMULARIO")</f>
        <v>FORMULARIO</v>
      </c>
      <c r="AQ54" s="1" t="str">
        <f>IFERROR(__xludf.DUMMYFUNCTION("""COMPUTED_VALUE"""),"SEARCH MARCA")</f>
        <v>SEARCH MARCA</v>
      </c>
      <c r="AR54" s="1" t="str">
        <f>IFERROR(__xludf.DUMMYFUNCTION("""COMPUTED_VALUE"""),"NUEVO")</f>
        <v>NUEVO</v>
      </c>
      <c r="AS54" s="1" t="str">
        <f>IFERROR(__xludf.DUMMYFUNCTION("""COMPUTED_VALUE"""),"ucal-pg-performance-sedes-abierta-cpl-search_conversion_marca_test_popup_malla-20240401")</f>
        <v>ucal-pg-performance-sedes-abierta-cpl-search_conversion_marca_test_popup_malla-20240401</v>
      </c>
      <c r="AT54" s="2">
        <f>IFERROR(__xludf.DUMMYFUNCTION("""COMPUTED_VALUE"""),45474.0)</f>
        <v>45474</v>
      </c>
      <c r="AU54" s="1">
        <f>IFERROR(__xludf.DUMMYFUNCTION("""COMPUTED_VALUE"""),1.0)</f>
        <v>1</v>
      </c>
      <c r="AV54" s="1" t="str">
        <f>IFERROR(__xludf.DUMMYFUNCTION("""COMPUTED_VALUE"""),"NUEVO")</f>
        <v>NUEVO</v>
      </c>
      <c r="AW54" s="1" t="str">
        <f>IFERROR(__xludf.DUMMYFUNCTION("""COMPUTED_VALUE"""),"SI")</f>
        <v>SI</v>
      </c>
      <c r="AX54" s="1"/>
      <c r="AY54" s="1" t="str">
        <f>IFERROR(__xludf.DUMMYFUNCTION("""COMPUTED_VALUE"""),"PAGO COMPLETO")</f>
        <v>PAGO COMPLETO</v>
      </c>
      <c r="AZ54" s="5">
        <f>IFERROR(__xludf.DUMMYFUNCTION("""COMPUTED_VALUE"""),45481.0)</f>
        <v>45481</v>
      </c>
      <c r="BA54" s="1">
        <f>IFERROR(__xludf.DUMMYFUNCTION("""COMPUTED_VALUE"""),0.0)</f>
        <v>0</v>
      </c>
      <c r="BB54" s="1">
        <f>IFERROR(__xludf.DUMMYFUNCTION("""COMPUTED_VALUE"""),0.0)</f>
        <v>0</v>
      </c>
      <c r="BC54" s="4">
        <f>IFERROR(__xludf.DUMMYFUNCTION("""COMPUTED_VALUE"""),0.0)</f>
        <v>0</v>
      </c>
      <c r="BD54" s="4">
        <f>IFERROR(__xludf.DUMMYFUNCTION("""COMPUTED_VALUE"""),0.0)</f>
        <v>0</v>
      </c>
      <c r="BE54" s="1">
        <f>IFERROR(__xludf.DUMMYFUNCTION("""COMPUTED_VALUE"""),7.0)</f>
        <v>7</v>
      </c>
      <c r="BF54" s="6">
        <f>IFERROR(__xludf.DUMMYFUNCTION("""COMPUTED_VALUE"""),1.0)</f>
        <v>1</v>
      </c>
      <c r="BG54" s="1">
        <f>IFERROR(__xludf.DUMMYFUNCTION("""COMPUTED_VALUE"""),1.0)</f>
        <v>1</v>
      </c>
      <c r="BH54" s="1" t="str">
        <f>IFERROR(__xludf.DUMMYFUNCTION("""COMPUTED_VALUE"""),"0")</f>
        <v>0</v>
      </c>
      <c r="BI54" s="4">
        <f>IFERROR(__xludf.DUMMYFUNCTION("""COMPUTED_VALUE"""),650.0)</f>
        <v>650</v>
      </c>
      <c r="BJ54" s="1">
        <f>IFERROR(__xludf.DUMMYFUNCTION("""COMPUTED_VALUE"""),0.0)</f>
        <v>0</v>
      </c>
      <c r="BK54" s="4">
        <f>IFERROR(__xludf.DUMMYFUNCTION("""COMPUTED_VALUE"""),0.0)</f>
        <v>0</v>
      </c>
      <c r="BL54" s="1">
        <f>IFERROR(__xludf.DUMMYFUNCTION("""COMPUTED_VALUE"""),1300.0)</f>
        <v>1300</v>
      </c>
      <c r="BM54" s="1">
        <f>IFERROR(__xludf.DUMMYFUNCTION("""COMPUTED_VALUE"""),28.0)</f>
        <v>28</v>
      </c>
      <c r="BN54" s="2">
        <f>IFERROR(__xludf.DUMMYFUNCTION("""COMPUTED_VALUE"""),45481.0)</f>
        <v>45481</v>
      </c>
      <c r="BO54" s="1">
        <f>IFERROR(__xludf.DUMMYFUNCTION("""COMPUTED_VALUE"""),7.0)</f>
        <v>7</v>
      </c>
      <c r="BP54" s="1">
        <f>IFERROR(__xludf.DUMMYFUNCTION("""COMPUTED_VALUE"""),2024.0)</f>
        <v>2024</v>
      </c>
    </row>
    <row r="55">
      <c r="A55" s="1">
        <f>IFERROR(__xludf.DUMMYFUNCTION("""COMPUTED_VALUE"""),54.0)</f>
        <v>54</v>
      </c>
      <c r="B55" s="1">
        <f>IFERROR(__xludf.DUMMYFUNCTION("""COMPUTED_VALUE"""),2596006.0)</f>
        <v>2596006</v>
      </c>
      <c r="C55" s="1" t="str">
        <f>IFERROR(__xludf.DUMMYFUNCTION("""COMPUTED_VALUE"""),"2025-1")</f>
        <v>2025-1</v>
      </c>
      <c r="D55" s="1" t="str">
        <f>IFERROR(__xludf.DUMMYFUNCTION("""COMPUTED_VALUE"""),"Admisión de Alto Rendimiento")</f>
        <v>Admisión de Alto Rendimiento</v>
      </c>
      <c r="E55" s="2">
        <f>IFERROR(__xludf.DUMMYFUNCTION("""COMPUTED_VALUE"""),45482.0)</f>
        <v>45482</v>
      </c>
      <c r="F55" s="1" t="str">
        <f>IFERROR(__xludf.DUMMYFUNCTION("""COMPUTED_VALUE"""),"ANDREA BELEN")</f>
        <v>ANDREA BELEN</v>
      </c>
      <c r="G55" s="1" t="str">
        <f>IFERROR(__xludf.DUMMYFUNCTION("""COMPUTED_VALUE"""),"MEDINA GUTIÉRREZ")</f>
        <v>MEDINA GUTIÉRREZ</v>
      </c>
      <c r="H55" s="1" t="str">
        <f>IFERROR(__xludf.DUMMYFUNCTION("""COMPUTED_VALUE"""),"Arquitectura")</f>
        <v>Arquitectura</v>
      </c>
      <c r="I55" s="1" t="str">
        <f>IFERROR(__xludf.DUMMYFUNCTION("""COMPUTED_VALUE"""),"CARGO")</f>
        <v>CARGO</v>
      </c>
      <c r="J55" s="1" t="str">
        <f>IFERROR(__xludf.DUMMYFUNCTION("""COMPUTED_VALUE"""),"Diurno")</f>
        <v>Diurno</v>
      </c>
      <c r="K55" s="1" t="str">
        <f>IFERROR(__xludf.DUMMYFUNCTION("""COMPUTED_VALUE"""),"NUEVO")</f>
        <v>NUEVO</v>
      </c>
      <c r="L55" s="1">
        <f>IFERROR(__xludf.DUMMYFUNCTION("""COMPUTED_VALUE"""),0.0)</f>
        <v>0</v>
      </c>
      <c r="M55" s="1">
        <f>IFERROR(__xludf.DUMMYFUNCTION("""COMPUTED_VALUE"""),0.0)</f>
        <v>0</v>
      </c>
      <c r="N55" s="1" t="str">
        <f>IFERROR(__xludf.DUMMYFUNCTION("""COMPUTED_VALUE"""),"RECA")</f>
        <v>RECA</v>
      </c>
      <c r="O55" s="1" t="str">
        <f>IFERROR(__xludf.DUMMYFUNCTION("""COMPUTED_VALUE"""),"RECATEGORIZACIÓN")</f>
        <v>RECATEGORIZACIÓN</v>
      </c>
      <c r="P55" s="4">
        <f>IFERROR(__xludf.DUMMYFUNCTION("""COMPUTED_VALUE"""),0.0)</f>
        <v>0</v>
      </c>
      <c r="Q55" s="4">
        <f>IFERROR(__xludf.DUMMYFUNCTION("""COMPUTED_VALUE"""),0.0)</f>
        <v>0</v>
      </c>
      <c r="R55" s="4">
        <f>IFERROR(__xludf.DUMMYFUNCTION("""COMPUTED_VALUE"""),1450.0)</f>
        <v>1450</v>
      </c>
      <c r="S55" s="4">
        <f>IFERROR(__xludf.DUMMYFUNCTION("""COMPUTED_VALUE"""),1450.0)</f>
        <v>1450</v>
      </c>
      <c r="T55" s="1" t="str">
        <f>IFERROR(__xludf.DUMMYFUNCTION("""COMPUTED_VALUE"""),"NINGUNO")</f>
        <v>NINGUNO</v>
      </c>
      <c r="U55" s="1" t="str">
        <f>IFERROR(__xludf.DUMMYFUNCTION("""COMPUTED_VALUE"""),"-")</f>
        <v>-</v>
      </c>
      <c r="V55" s="1" t="str">
        <f>IFERROR(__xludf.DUMMYFUNCTION("""COMPUTED_VALUE"""),"Reynaldo")</f>
        <v>Reynaldo</v>
      </c>
      <c r="W55" s="1" t="str">
        <f>IFERROR(__xludf.DUMMYFUNCTION("""COMPUTED_VALUE"""),"-")</f>
        <v>-</v>
      </c>
      <c r="X55" s="1" t="str">
        <f>IFERROR(__xludf.DUMMYFUNCTION("""COMPUTED_VALUE"""),"-")</f>
        <v>-</v>
      </c>
      <c r="Y55" s="1" t="str">
        <f>IFERROR(__xludf.DUMMYFUNCTION("""COMPUTED_VALUE"""),"PAGO COMPLETO")</f>
        <v>PAGO COMPLETO</v>
      </c>
      <c r="Z55" s="1">
        <f>IFERROR(__xludf.DUMMYFUNCTION("""COMPUTED_VALUE"""),1450.0)</f>
        <v>1450</v>
      </c>
      <c r="AA55" s="1" t="str">
        <f>IFERROR(__xludf.DUMMYFUNCTION("""COMPUTED_VALUE"""),"09/07/2024 11:07:53")</f>
        <v>09/07/2024 11:07:53</v>
      </c>
      <c r="AB55" s="1">
        <f>IFERROR(__xludf.DUMMYFUNCTION("""COMPUTED_VALUE"""),1.0)</f>
        <v>1</v>
      </c>
      <c r="AC55" s="1">
        <f>IFERROR(__xludf.DUMMYFUNCTION("""COMPUTED_VALUE"""),0.0)</f>
        <v>0</v>
      </c>
      <c r="AD55" s="1" t="str">
        <f>IFERROR(__xludf.DUMMYFUNCTION("""COMPUTED_VALUE"""),"Fiorella Lanegra")</f>
        <v>Fiorella Lanegra</v>
      </c>
      <c r="AE55" s="1" t="str">
        <f>IFERROR(__xludf.DUMMYFUNCTION("""COMPUTED_VALUE"""),"0")</f>
        <v>0</v>
      </c>
      <c r="AF55" s="1">
        <f>IFERROR(__xludf.DUMMYFUNCTION("""COMPUTED_VALUE"""),2024.0)</f>
        <v>2024</v>
      </c>
      <c r="AG55" s="1">
        <f>IFERROR(__xludf.DUMMYFUNCTION("""COMPUTED_VALUE"""),343608.0)</f>
        <v>343608</v>
      </c>
      <c r="AH55" s="1">
        <f>IFERROR(__xludf.DUMMYFUNCTION("""COMPUTED_VALUE"""),17.0)</f>
        <v>17</v>
      </c>
      <c r="AI55" s="1" t="str">
        <f>IFERROR(__xludf.DUMMYFUNCTION("""COMPUTED_VALUE"""),"0000384306")</f>
        <v>0000384306</v>
      </c>
      <c r="AJ55" s="1">
        <f>IFERROR(__xludf.DUMMYFUNCTION("""COMPUTED_VALUE"""),6.1291803E7)</f>
        <v>61291803</v>
      </c>
      <c r="AK55" s="1">
        <f>IFERROR(__xludf.DUMMYFUNCTION("""COMPUTED_VALUE"""),9.33826943E8)</f>
        <v>933826943</v>
      </c>
      <c r="AL55" s="1" t="str">
        <f>IFERROR(__xludf.DUMMYFUNCTION("""COMPUTED_VALUE"""),"andreabmedina12@gmail.com")</f>
        <v>andreabmedina12@gmail.com</v>
      </c>
      <c r="AM55" s="1" t="str">
        <f>IFERROR(__xludf.DUMMYFUNCTION("""COMPUTED_VALUE"""),"FEMENINO")</f>
        <v>FEMENINO</v>
      </c>
      <c r="AN55" s="1">
        <f>IFERROR(__xludf.DUMMYFUNCTION("""COMPUTED_VALUE"""),1450.0)</f>
        <v>1450</v>
      </c>
      <c r="AO55" s="1">
        <f>IFERROR(__xludf.DUMMYFUNCTION("""COMPUTED_VALUE"""),725.0)</f>
        <v>725</v>
      </c>
      <c r="AP55" s="1" t="str">
        <f>IFERROR(__xludf.DUMMYFUNCTION("""COMPUTED_VALUE"""),"COLEGIOS")</f>
        <v>COLEGIOS</v>
      </c>
      <c r="AQ55" s="1" t="str">
        <f>IFERROR(__xludf.DUMMYFUNCTION("""COMPUTED_VALUE"""),"COLEGIOS")</f>
        <v>COLEGIOS</v>
      </c>
      <c r="AR55" s="1" t="str">
        <f>IFERROR(__xludf.DUMMYFUNCTION("""COMPUTED_VALUE"""),"NUEVO")</f>
        <v>NUEVO</v>
      </c>
      <c r="AS55" s="1"/>
      <c r="AT55" s="2">
        <f>IFERROR(__xludf.DUMMYFUNCTION("""COMPUTED_VALUE"""),45443.0)</f>
        <v>45443</v>
      </c>
      <c r="AU55" s="1">
        <f>IFERROR(__xludf.DUMMYFUNCTION("""COMPUTED_VALUE"""),1.0)</f>
        <v>1</v>
      </c>
      <c r="AV55" s="1" t="str">
        <f>IFERROR(__xludf.DUMMYFUNCTION("""COMPUTED_VALUE"""),"NUEVO")</f>
        <v>NUEVO</v>
      </c>
      <c r="AW55" s="1" t="str">
        <f>IFERROR(__xludf.DUMMYFUNCTION("""COMPUTED_VALUE"""),"SI")</f>
        <v>SI</v>
      </c>
      <c r="AX55" s="1"/>
      <c r="AY55" s="1" t="str">
        <f>IFERROR(__xludf.DUMMYFUNCTION("""COMPUTED_VALUE"""),"PAGO COMPLETO")</f>
        <v>PAGO COMPLETO</v>
      </c>
      <c r="AZ55" s="5">
        <f>IFERROR(__xludf.DUMMYFUNCTION("""COMPUTED_VALUE"""),45482.0)</f>
        <v>45482</v>
      </c>
      <c r="BA55" s="1">
        <f>IFERROR(__xludf.DUMMYFUNCTION("""COMPUTED_VALUE"""),0.0)</f>
        <v>0</v>
      </c>
      <c r="BB55" s="1">
        <f>IFERROR(__xludf.DUMMYFUNCTION("""COMPUTED_VALUE"""),0.0)</f>
        <v>0</v>
      </c>
      <c r="BC55" s="4">
        <f>IFERROR(__xludf.DUMMYFUNCTION("""COMPUTED_VALUE"""),0.0)</f>
        <v>0</v>
      </c>
      <c r="BD55" s="4">
        <f>IFERROR(__xludf.DUMMYFUNCTION("""COMPUTED_VALUE"""),0.0)</f>
        <v>0</v>
      </c>
      <c r="BE55" s="1">
        <f>IFERROR(__xludf.DUMMYFUNCTION("""COMPUTED_VALUE"""),7.0)</f>
        <v>7</v>
      </c>
      <c r="BF55" s="6">
        <f>IFERROR(__xludf.DUMMYFUNCTION("""COMPUTED_VALUE"""),1.0)</f>
        <v>1</v>
      </c>
      <c r="BG55" s="1">
        <f>IFERROR(__xludf.DUMMYFUNCTION("""COMPUTED_VALUE"""),1.0)</f>
        <v>1</v>
      </c>
      <c r="BH55" s="1" t="str">
        <f>IFERROR(__xludf.DUMMYFUNCTION("""COMPUTED_VALUE"""),"0")</f>
        <v>0</v>
      </c>
      <c r="BI55" s="4">
        <f>IFERROR(__xludf.DUMMYFUNCTION("""COMPUTED_VALUE"""),1450.0)</f>
        <v>1450</v>
      </c>
      <c r="BJ55" s="1">
        <f>IFERROR(__xludf.DUMMYFUNCTION("""COMPUTED_VALUE"""),0.0)</f>
        <v>0</v>
      </c>
      <c r="BK55" s="4">
        <f>IFERROR(__xludf.DUMMYFUNCTION("""COMPUTED_VALUE"""),0.0)</f>
        <v>0</v>
      </c>
      <c r="BL55" s="1">
        <f>IFERROR(__xludf.DUMMYFUNCTION("""COMPUTED_VALUE"""),1450.0)</f>
        <v>1450</v>
      </c>
      <c r="BM55" s="1">
        <f>IFERROR(__xludf.DUMMYFUNCTION("""COMPUTED_VALUE"""),28.0)</f>
        <v>28</v>
      </c>
      <c r="BN55" s="2">
        <f>IFERROR(__xludf.DUMMYFUNCTION("""COMPUTED_VALUE"""),45481.0)</f>
        <v>45481</v>
      </c>
      <c r="BO55" s="1">
        <f>IFERROR(__xludf.DUMMYFUNCTION("""COMPUTED_VALUE"""),7.0)</f>
        <v>7</v>
      </c>
      <c r="BP55" s="1">
        <f>IFERROR(__xludf.DUMMYFUNCTION("""COMPUTED_VALUE"""),2024.0)</f>
        <v>2024</v>
      </c>
    </row>
    <row r="56">
      <c r="A56" s="1">
        <f>IFERROR(__xludf.DUMMYFUNCTION("""COMPUTED_VALUE"""),55.0)</f>
        <v>55</v>
      </c>
      <c r="B56" s="1">
        <f>IFERROR(__xludf.DUMMYFUNCTION("""COMPUTED_VALUE"""),3385131.0)</f>
        <v>3385131</v>
      </c>
      <c r="C56" s="1" t="str">
        <f>IFERROR(__xludf.DUMMYFUNCTION("""COMPUTED_VALUE"""),"2025-1")</f>
        <v>2025-1</v>
      </c>
      <c r="D56" s="1" t="str">
        <f>IFERROR(__xludf.DUMMYFUNCTION("""COMPUTED_VALUE"""),"Admisión de Alto Rendimiento")</f>
        <v>Admisión de Alto Rendimiento</v>
      </c>
      <c r="E56" s="2">
        <f>IFERROR(__xludf.DUMMYFUNCTION("""COMPUTED_VALUE"""),45483.0)</f>
        <v>45483</v>
      </c>
      <c r="F56" s="1" t="str">
        <f>IFERROR(__xludf.DUMMYFUNCTION("""COMPUTED_VALUE"""),"VALERIA RAYEN")</f>
        <v>VALERIA RAYEN</v>
      </c>
      <c r="G56" s="1" t="str">
        <f>IFERROR(__xludf.DUMMYFUNCTION("""COMPUTED_VALUE"""),"FLORES ALCON")</f>
        <v>FLORES ALCON</v>
      </c>
      <c r="H56" s="1" t="str">
        <f>IFERROR(__xludf.DUMMYFUNCTION("""COMPUTED_VALUE"""),"Comunicación Audiovisual y Cine")</f>
        <v>Comunicación Audiovisual y Cine</v>
      </c>
      <c r="I56" s="1" t="str">
        <f>IFERROR(__xludf.DUMMYFUNCTION("""COMPUTED_VALUE"""),"Pago Link")</f>
        <v>Pago Link</v>
      </c>
      <c r="J56" s="1" t="str">
        <f>IFERROR(__xludf.DUMMYFUNCTION("""COMPUTED_VALUE"""),"Diurno")</f>
        <v>Diurno</v>
      </c>
      <c r="K56" s="1" t="str">
        <f>IFERROR(__xludf.DUMMYFUNCTION("""COMPUTED_VALUE"""),"NUEVO")</f>
        <v>NUEVO</v>
      </c>
      <c r="L56" s="1">
        <f>IFERROR(__xludf.DUMMYFUNCTION("""COMPUTED_VALUE"""),0.0)</f>
        <v>0</v>
      </c>
      <c r="M56" s="1">
        <f>IFERROR(__xludf.DUMMYFUNCTION("""COMPUTED_VALUE"""),0.0)</f>
        <v>0</v>
      </c>
      <c r="N56" s="1" t="str">
        <f>IFERROR(__xludf.DUMMYFUNCTION("""COMPUTED_VALUE"""),"BECA")</f>
        <v>BECA</v>
      </c>
      <c r="O56" s="1" t="str">
        <f>IFERROR(__xludf.DUMMYFUNCTION("""COMPUTED_VALUE"""),"BECA CARRERAS CORE")</f>
        <v>BECA CARRERAS CORE</v>
      </c>
      <c r="P56" s="4">
        <f>IFERROR(__xludf.DUMMYFUNCTION("""COMPUTED_VALUE"""),0.0)</f>
        <v>0</v>
      </c>
      <c r="Q56" s="4">
        <f>IFERROR(__xludf.DUMMYFUNCTION("""COMPUTED_VALUE"""),0.0)</f>
        <v>0</v>
      </c>
      <c r="R56" s="4">
        <f>IFERROR(__xludf.DUMMYFUNCTION("""COMPUTED_VALUE"""),2200.0)</f>
        <v>2200</v>
      </c>
      <c r="S56" s="4">
        <f>IFERROR(__xludf.DUMMYFUNCTION("""COMPUTED_VALUE"""),1760.0)</f>
        <v>1760</v>
      </c>
      <c r="T56" s="1" t="str">
        <f>IFERROR(__xludf.DUMMYFUNCTION("""COMPUTED_VALUE"""),"NINGUNO")</f>
        <v>NINGUNO</v>
      </c>
      <c r="U56" s="1" t="str">
        <f>IFERROR(__xludf.DUMMYFUNCTION("""COMPUTED_VALUE"""),"-")</f>
        <v>-</v>
      </c>
      <c r="V56" s="1" t="str">
        <f>IFERROR(__xludf.DUMMYFUNCTION("""COMPUTED_VALUE"""),"Leandro")</f>
        <v>Leandro</v>
      </c>
      <c r="W56" s="1" t="str">
        <f>IFERROR(__xludf.DUMMYFUNCTION("""COMPUTED_VALUE"""),"-")</f>
        <v>-</v>
      </c>
      <c r="X56" s="1" t="str">
        <f>IFERROR(__xludf.DUMMYFUNCTION("""COMPUTED_VALUE"""),"-")</f>
        <v>-</v>
      </c>
      <c r="Y56" s="1" t="str">
        <f>IFERROR(__xludf.DUMMYFUNCTION("""COMPUTED_VALUE"""),"PAGO FRACCIONADO")</f>
        <v>PAGO FRACCIONADO</v>
      </c>
      <c r="Z56" s="1">
        <f>IFERROR(__xludf.DUMMYFUNCTION("""COMPUTED_VALUE"""),880.0)</f>
        <v>880</v>
      </c>
      <c r="AA56" s="1" t="str">
        <f>IFERROR(__xludf.DUMMYFUNCTION("""COMPUTED_VALUE"""),"25/07/2024 15:10:49")</f>
        <v>25/07/2024 15:10:49</v>
      </c>
      <c r="AB56" s="1">
        <f>IFERROR(__xludf.DUMMYFUNCTION("""COMPUTED_VALUE"""),0.0)</f>
        <v>0</v>
      </c>
      <c r="AC56" s="1">
        <f>IFERROR(__xludf.DUMMYFUNCTION("""COMPUTED_VALUE"""),0.0)</f>
        <v>0</v>
      </c>
      <c r="AD56" s="1" t="str">
        <f>IFERROR(__xludf.DUMMYFUNCTION("""COMPUTED_VALUE"""),"Cinthia Mariella Orosco")</f>
        <v>Cinthia Mariella Orosco</v>
      </c>
      <c r="AE56" s="1" t="str">
        <f>IFERROR(__xludf.DUMMYFUNCTION("""COMPUTED_VALUE"""),"0")</f>
        <v>0</v>
      </c>
      <c r="AF56" s="1">
        <f>IFERROR(__xludf.DUMMYFUNCTION("""COMPUTED_VALUE"""),2024.0)</f>
        <v>2024</v>
      </c>
      <c r="AG56" s="1">
        <f>IFERROR(__xludf.DUMMYFUNCTION("""COMPUTED_VALUE"""),314419.0)</f>
        <v>314419</v>
      </c>
      <c r="AH56" s="1">
        <f>IFERROR(__xludf.DUMMYFUNCTION("""COMPUTED_VALUE"""),17.0)</f>
        <v>17</v>
      </c>
      <c r="AI56" s="1" t="str">
        <f>IFERROR(__xludf.DUMMYFUNCTION("""COMPUTED_VALUE"""),"0000384493")</f>
        <v>0000384493</v>
      </c>
      <c r="AJ56" s="1">
        <f>IFERROR(__xludf.DUMMYFUNCTION("""COMPUTED_VALUE"""),7.1181889E7)</f>
        <v>71181889</v>
      </c>
      <c r="AK56" s="1">
        <f>IFERROR(__xludf.DUMMYFUNCTION("""COMPUTED_VALUE"""),9.23157575E8)</f>
        <v>923157575</v>
      </c>
      <c r="AL56" s="1" t="str">
        <f>IFERROR(__xludf.DUMMYFUNCTION("""COMPUTED_VALUE"""),"Valeria.rayen03@gmail.com")</f>
        <v>Valeria.rayen03@gmail.com</v>
      </c>
      <c r="AM56" s="1" t="str">
        <f>IFERROR(__xludf.DUMMYFUNCTION("""COMPUTED_VALUE"""),"FEMENINO")</f>
        <v>FEMENINO</v>
      </c>
      <c r="AN56" s="1">
        <f>IFERROR(__xludf.DUMMYFUNCTION("""COMPUTED_VALUE"""),2200.0)</f>
        <v>2200</v>
      </c>
      <c r="AO56" s="1">
        <f>IFERROR(__xludf.DUMMYFUNCTION("""COMPUTED_VALUE"""),1900.0)</f>
        <v>1900</v>
      </c>
      <c r="AP56" s="1" t="str">
        <f>IFERROR(__xludf.DUMMYFUNCTION("""COMPUTED_VALUE"""),"FORMULARIO")</f>
        <v>FORMULARIO</v>
      </c>
      <c r="AQ56" s="1" t="str">
        <f>IFERROR(__xludf.DUMMYFUNCTION("""COMPUTED_VALUE"""),"SEARCH MARCA")</f>
        <v>SEARCH MARCA</v>
      </c>
      <c r="AR56" s="1" t="str">
        <f>IFERROR(__xludf.DUMMYFUNCTION("""COMPUTED_VALUE"""),"NUEVO")</f>
        <v>NUEVO</v>
      </c>
      <c r="AS56" s="1" t="str">
        <f>IFERROR(__xludf.DUMMYFUNCTION("""COMPUTED_VALUE"""),"ucal-pg-performance-sedes-abierta-cpl-search_conversion_marca-20240401")</f>
        <v>ucal-pg-performance-sedes-abierta-cpl-search_conversion_marca-20240401</v>
      </c>
      <c r="AT56" s="2">
        <f>IFERROR(__xludf.DUMMYFUNCTION("""COMPUTED_VALUE"""),45476.0)</f>
        <v>45476</v>
      </c>
      <c r="AU56" s="1">
        <f>IFERROR(__xludf.DUMMYFUNCTION("""COMPUTED_VALUE"""),1.0)</f>
        <v>1</v>
      </c>
      <c r="AV56" s="1" t="str">
        <f>IFERROR(__xludf.DUMMYFUNCTION("""COMPUTED_VALUE"""),"NUEVO")</f>
        <v>NUEVO</v>
      </c>
      <c r="AW56" s="1" t="str">
        <f>IFERROR(__xludf.DUMMYFUNCTION("""COMPUTED_VALUE"""),"SI")</f>
        <v>SI</v>
      </c>
      <c r="AX56" s="1"/>
      <c r="AY56" s="1" t="str">
        <f>IFERROR(__xludf.DUMMYFUNCTION("""COMPUTED_VALUE"""),"PAGO COMPLETO")</f>
        <v>PAGO COMPLETO</v>
      </c>
      <c r="AZ56" s="5">
        <f>IFERROR(__xludf.DUMMYFUNCTION("""COMPUTED_VALUE"""),45495.0)</f>
        <v>45495</v>
      </c>
      <c r="BA56" s="1">
        <f>IFERROR(__xludf.DUMMYFUNCTION("""COMPUTED_VALUE"""),880.0)</f>
        <v>880</v>
      </c>
      <c r="BB56" s="1">
        <f>IFERROR(__xludf.DUMMYFUNCTION("""COMPUTED_VALUE"""),0.0)</f>
        <v>0</v>
      </c>
      <c r="BC56" s="4">
        <f>IFERROR(__xludf.DUMMYFUNCTION("""COMPUTED_VALUE"""),0.0)</f>
        <v>0</v>
      </c>
      <c r="BD56" s="4">
        <f>IFERROR(__xludf.DUMMYFUNCTION("""COMPUTED_VALUE"""),0.0)</f>
        <v>0</v>
      </c>
      <c r="BE56" s="1">
        <f>IFERROR(__xludf.DUMMYFUNCTION("""COMPUTED_VALUE"""),7.0)</f>
        <v>7</v>
      </c>
      <c r="BF56" s="6">
        <f>IFERROR(__xludf.DUMMYFUNCTION("""COMPUTED_VALUE"""),1.0)</f>
        <v>1</v>
      </c>
      <c r="BG56" s="1">
        <f>IFERROR(__xludf.DUMMYFUNCTION("""COMPUTED_VALUE"""),1.0)</f>
        <v>1</v>
      </c>
      <c r="BH56" s="1" t="str">
        <f>IFERROR(__xludf.DUMMYFUNCTION("""COMPUTED_VALUE"""),"0")</f>
        <v>0</v>
      </c>
      <c r="BI56" s="4">
        <f>IFERROR(__xludf.DUMMYFUNCTION("""COMPUTED_VALUE"""),1760.0)</f>
        <v>1760</v>
      </c>
      <c r="BJ56" s="1">
        <f>IFERROR(__xludf.DUMMYFUNCTION("""COMPUTED_VALUE"""),0.0)</f>
        <v>0</v>
      </c>
      <c r="BK56" s="4">
        <f>IFERROR(__xludf.DUMMYFUNCTION("""COMPUTED_VALUE"""),0.0)</f>
        <v>0</v>
      </c>
      <c r="BL56" s="1">
        <f>IFERROR(__xludf.DUMMYFUNCTION("""COMPUTED_VALUE"""),1760.0)</f>
        <v>1760</v>
      </c>
      <c r="BM56" s="1">
        <f>IFERROR(__xludf.DUMMYFUNCTION("""COMPUTED_VALUE"""),28.0)</f>
        <v>28</v>
      </c>
      <c r="BN56" s="2">
        <f>IFERROR(__xludf.DUMMYFUNCTION("""COMPUTED_VALUE"""),45481.0)</f>
        <v>45481</v>
      </c>
      <c r="BO56" s="1">
        <f>IFERROR(__xludf.DUMMYFUNCTION("""COMPUTED_VALUE"""),7.0)</f>
        <v>7</v>
      </c>
      <c r="BP56" s="1">
        <f>IFERROR(__xludf.DUMMYFUNCTION("""COMPUTED_VALUE"""),2024.0)</f>
        <v>2024</v>
      </c>
    </row>
    <row r="57">
      <c r="A57" s="1">
        <f>IFERROR(__xludf.DUMMYFUNCTION("""COMPUTED_VALUE"""),56.0)</f>
        <v>56</v>
      </c>
      <c r="B57" s="1">
        <f>IFERROR(__xludf.DUMMYFUNCTION("""COMPUTED_VALUE"""),3396859.0)</f>
        <v>3396859</v>
      </c>
      <c r="C57" s="1" t="str">
        <f>IFERROR(__xludf.DUMMYFUNCTION("""COMPUTED_VALUE"""),"2025-1")</f>
        <v>2025-1</v>
      </c>
      <c r="D57" s="1" t="str">
        <f>IFERROR(__xludf.DUMMYFUNCTION("""COMPUTED_VALUE"""),"Admisión de Alto Rendimiento")</f>
        <v>Admisión de Alto Rendimiento</v>
      </c>
      <c r="E57" s="2">
        <f>IFERROR(__xludf.DUMMYFUNCTION("""COMPUTED_VALUE"""),45484.0)</f>
        <v>45484</v>
      </c>
      <c r="F57" s="1" t="str">
        <f>IFERROR(__xludf.DUMMYFUNCTION("""COMPUTED_VALUE"""),"DANIELLA VERA")</f>
        <v>DANIELLA VERA</v>
      </c>
      <c r="G57" s="1" t="str">
        <f>IFERROR(__xludf.DUMMYFUNCTION("""COMPUTED_VALUE"""),"DE LUCCHI NUÑEZ")</f>
        <v>DE LUCCHI NUÑEZ</v>
      </c>
      <c r="H57" s="1" t="str">
        <f>IFERROR(__xludf.DUMMYFUNCTION("""COMPUTED_VALUE"""),"Comunicación y Publicidad Transmedia")</f>
        <v>Comunicación y Publicidad Transmedia</v>
      </c>
      <c r="I57" s="1" t="str">
        <f>IFERROR(__xludf.DUMMYFUNCTION("""COMPUTED_VALUE"""),"CARGO")</f>
        <v>CARGO</v>
      </c>
      <c r="J57" s="1" t="str">
        <f>IFERROR(__xludf.DUMMYFUNCTION("""COMPUTED_VALUE"""),"Diurno")</f>
        <v>Diurno</v>
      </c>
      <c r="K57" s="1" t="str">
        <f>IFERROR(__xludf.DUMMYFUNCTION("""COMPUTED_VALUE"""),"NUEVO")</f>
        <v>NUEVO</v>
      </c>
      <c r="L57" s="1">
        <f>IFERROR(__xludf.DUMMYFUNCTION("""COMPUTED_VALUE"""),0.0)</f>
        <v>0</v>
      </c>
      <c r="M57" s="1">
        <f>IFERROR(__xludf.DUMMYFUNCTION("""COMPUTED_VALUE"""),0.0)</f>
        <v>0</v>
      </c>
      <c r="N57" s="1" t="str">
        <f>IFERROR(__xludf.DUMMYFUNCTION("""COMPUTED_VALUE"""),"BECA")</f>
        <v>BECA</v>
      </c>
      <c r="O57" s="1" t="str">
        <f>IFERROR(__xludf.DUMMYFUNCTION("""COMPUTED_VALUE"""),"BECA CARRERAS CORE")</f>
        <v>BECA CARRERAS CORE</v>
      </c>
      <c r="P57" s="4">
        <f>IFERROR(__xludf.DUMMYFUNCTION("""COMPUTED_VALUE"""),0.0)</f>
        <v>0</v>
      </c>
      <c r="Q57" s="4">
        <f>IFERROR(__xludf.DUMMYFUNCTION("""COMPUTED_VALUE"""),0.0)</f>
        <v>0</v>
      </c>
      <c r="R57" s="4">
        <f>IFERROR(__xludf.DUMMYFUNCTION("""COMPUTED_VALUE"""),1850.0)</f>
        <v>1850</v>
      </c>
      <c r="S57" s="4">
        <f>IFERROR(__xludf.DUMMYFUNCTION("""COMPUTED_VALUE"""),1415.0)</f>
        <v>1415</v>
      </c>
      <c r="T57" s="1" t="str">
        <f>IFERROR(__xludf.DUMMYFUNCTION("""COMPUTED_VALUE"""),"NINGUNO")</f>
        <v>NINGUNO</v>
      </c>
      <c r="U57" s="1" t="str">
        <f>IFERROR(__xludf.DUMMYFUNCTION("""COMPUTED_VALUE"""),"FABIOLA")</f>
        <v>FABIOLA</v>
      </c>
      <c r="V57" s="1" t="str">
        <f>IFERROR(__xludf.DUMMYFUNCTION("""COMPUTED_VALUE"""),"-")</f>
        <v>-</v>
      </c>
      <c r="W57" s="1" t="str">
        <f>IFERROR(__xludf.DUMMYFUNCTION("""COMPUTED_VALUE"""),"Malla curricular")</f>
        <v>Malla curricular</v>
      </c>
      <c r="X57" s="1" t="str">
        <f>IFERROR(__xludf.DUMMYFUNCTION("""COMPUTED_VALUE"""),"-")</f>
        <v>-</v>
      </c>
      <c r="Y57" s="1" t="str">
        <f>IFERROR(__xludf.DUMMYFUNCTION("""COMPUTED_VALUE"""),"PAGO COMPLETO")</f>
        <v>PAGO COMPLETO</v>
      </c>
      <c r="Z57" s="1">
        <f>IFERROR(__xludf.DUMMYFUNCTION("""COMPUTED_VALUE"""),0.0)</f>
        <v>0</v>
      </c>
      <c r="AA57" s="1" t="str">
        <f>IFERROR(__xludf.DUMMYFUNCTION("""COMPUTED_VALUE"""),"-")</f>
        <v>-</v>
      </c>
      <c r="AB57" s="1">
        <f>IFERROR(__xludf.DUMMYFUNCTION("""COMPUTED_VALUE"""),0.0)</f>
        <v>0</v>
      </c>
      <c r="AC57" s="1">
        <f>IFERROR(__xludf.DUMMYFUNCTION("""COMPUTED_VALUE"""),0.0)</f>
        <v>0</v>
      </c>
      <c r="AD57" s="1" t="str">
        <f>IFERROR(__xludf.DUMMYFUNCTION("""COMPUTED_VALUE"""),"Lohana Rivera")</f>
        <v>Lohana Rivera</v>
      </c>
      <c r="AE57" s="1" t="str">
        <f>IFERROR(__xludf.DUMMYFUNCTION("""COMPUTED_VALUE"""),"0")</f>
        <v>0</v>
      </c>
      <c r="AF57" s="1">
        <f>IFERROR(__xludf.DUMMYFUNCTION("""COMPUTED_VALUE"""),2019.0)</f>
        <v>2019</v>
      </c>
      <c r="AG57" s="1">
        <f>IFERROR(__xludf.DUMMYFUNCTION("""COMPUTED_VALUE"""),329458.0)</f>
        <v>329458</v>
      </c>
      <c r="AH57" s="1">
        <f>IFERROR(__xludf.DUMMYFUNCTION("""COMPUTED_VALUE"""),22.0)</f>
        <v>22</v>
      </c>
      <c r="AI57" s="1" t="str">
        <f>IFERROR(__xludf.DUMMYFUNCTION("""COMPUTED_VALUE"""),"0000384806")</f>
        <v>0000384806</v>
      </c>
      <c r="AJ57" s="1">
        <f>IFERROR(__xludf.DUMMYFUNCTION("""COMPUTED_VALUE"""),7.3024676E7)</f>
        <v>73024676</v>
      </c>
      <c r="AK57" s="1">
        <f>IFERROR(__xludf.DUMMYFUNCTION("""COMPUTED_VALUE"""),9.84704424E8)</f>
        <v>984704424</v>
      </c>
      <c r="AL57" s="1" t="str">
        <f>IFERROR(__xludf.DUMMYFUNCTION("""COMPUTED_VALUE"""),"delucchidaniella@gmail.com")</f>
        <v>delucchidaniella@gmail.com</v>
      </c>
      <c r="AM57" s="1" t="str">
        <f>IFERROR(__xludf.DUMMYFUNCTION("""COMPUTED_VALUE"""),"FEMENINO")</f>
        <v>FEMENINO</v>
      </c>
      <c r="AN57" s="1">
        <f>IFERROR(__xludf.DUMMYFUNCTION("""COMPUTED_VALUE"""),1850.0)</f>
        <v>1850</v>
      </c>
      <c r="AO57" s="1">
        <f>IFERROR(__xludf.DUMMYFUNCTION("""COMPUTED_VALUE"""),800.0)</f>
        <v>800</v>
      </c>
      <c r="AP57" s="1" t="str">
        <f>IFERROR(__xludf.DUMMYFUNCTION("""COMPUTED_VALUE"""),"FORMULARIO")</f>
        <v>FORMULARIO</v>
      </c>
      <c r="AQ57" s="1" t="str">
        <f>IFERROR(__xludf.DUMMYFUNCTION("""COMPUTED_VALUE"""),"ORGANICO")</f>
        <v>ORGANICO</v>
      </c>
      <c r="AR57" s="1" t="str">
        <f>IFERROR(__xludf.DUMMYFUNCTION("""COMPUTED_VALUE"""),"NUEVO")</f>
        <v>NUEVO</v>
      </c>
      <c r="AS57" s="1"/>
      <c r="AT57" s="2">
        <f>IFERROR(__xludf.DUMMYFUNCTION("""COMPUTED_VALUE"""),45481.0)</f>
        <v>45481</v>
      </c>
      <c r="AU57" s="1">
        <f>IFERROR(__xludf.DUMMYFUNCTION("""COMPUTED_VALUE"""),1.0)</f>
        <v>1</v>
      </c>
      <c r="AV57" s="1" t="str">
        <f>IFERROR(__xludf.DUMMYFUNCTION("""COMPUTED_VALUE"""),"NUEVO")</f>
        <v>NUEVO</v>
      </c>
      <c r="AW57" s="1" t="str">
        <f>IFERROR(__xludf.DUMMYFUNCTION("""COMPUTED_VALUE"""),"SI")</f>
        <v>SI</v>
      </c>
      <c r="AX57" s="1"/>
      <c r="AY57" s="1" t="str">
        <f>IFERROR(__xludf.DUMMYFUNCTION("""COMPUTED_VALUE"""),"PAGO COMPLETO")</f>
        <v>PAGO COMPLETO</v>
      </c>
      <c r="AZ57" s="5">
        <f>IFERROR(__xludf.DUMMYFUNCTION("""COMPUTED_VALUE"""),45484.0)</f>
        <v>45484</v>
      </c>
      <c r="BA57" s="1">
        <f>IFERROR(__xludf.DUMMYFUNCTION("""COMPUTED_VALUE"""),0.0)</f>
        <v>0</v>
      </c>
      <c r="BB57" s="1">
        <f>IFERROR(__xludf.DUMMYFUNCTION("""COMPUTED_VALUE"""),0.0)</f>
        <v>0</v>
      </c>
      <c r="BC57" s="4">
        <f>IFERROR(__xludf.DUMMYFUNCTION("""COMPUTED_VALUE"""),0.0)</f>
        <v>0</v>
      </c>
      <c r="BD57" s="4">
        <f>IFERROR(__xludf.DUMMYFUNCTION("""COMPUTED_VALUE"""),0.0)</f>
        <v>0</v>
      </c>
      <c r="BE57" s="1">
        <f>IFERROR(__xludf.DUMMYFUNCTION("""COMPUTED_VALUE"""),7.0)</f>
        <v>7</v>
      </c>
      <c r="BF57" s="6">
        <f>IFERROR(__xludf.DUMMYFUNCTION("""COMPUTED_VALUE"""),1.0)</f>
        <v>1</v>
      </c>
      <c r="BG57" s="1">
        <f>IFERROR(__xludf.DUMMYFUNCTION("""COMPUTED_VALUE"""),1.0)</f>
        <v>1</v>
      </c>
      <c r="BH57" s="1" t="str">
        <f>IFERROR(__xludf.DUMMYFUNCTION("""COMPUTED_VALUE"""),"0")</f>
        <v>0</v>
      </c>
      <c r="BI57" s="4">
        <f>IFERROR(__xludf.DUMMYFUNCTION("""COMPUTED_VALUE"""),0.0)</f>
        <v>0</v>
      </c>
      <c r="BJ57" s="1">
        <f>IFERROR(__xludf.DUMMYFUNCTION("""COMPUTED_VALUE"""),1.0)</f>
        <v>1</v>
      </c>
      <c r="BK57" s="4">
        <f>IFERROR(__xludf.DUMMYFUNCTION("""COMPUTED_VALUE"""),0.0)</f>
        <v>0</v>
      </c>
      <c r="BL57" s="1">
        <f>IFERROR(__xludf.DUMMYFUNCTION("""COMPUTED_VALUE"""),1415.0)</f>
        <v>1415</v>
      </c>
      <c r="BM57" s="1">
        <f>IFERROR(__xludf.DUMMYFUNCTION("""COMPUTED_VALUE"""),28.0)</f>
        <v>28</v>
      </c>
      <c r="BN57" s="2">
        <f>IFERROR(__xludf.DUMMYFUNCTION("""COMPUTED_VALUE"""),45481.0)</f>
        <v>45481</v>
      </c>
      <c r="BO57" s="1">
        <f>IFERROR(__xludf.DUMMYFUNCTION("""COMPUTED_VALUE"""),7.0)</f>
        <v>7</v>
      </c>
      <c r="BP57" s="1">
        <f>IFERROR(__xludf.DUMMYFUNCTION("""COMPUTED_VALUE"""),2024.0)</f>
        <v>2024</v>
      </c>
    </row>
    <row r="58">
      <c r="A58" s="1">
        <f>IFERROR(__xludf.DUMMYFUNCTION("""COMPUTED_VALUE"""),57.0)</f>
        <v>57</v>
      </c>
      <c r="B58" s="1">
        <f>IFERROR(__xludf.DUMMYFUNCTION("""COMPUTED_VALUE"""),3323808.0)</f>
        <v>3323808</v>
      </c>
      <c r="C58" s="1" t="str">
        <f>IFERROR(__xludf.DUMMYFUNCTION("""COMPUTED_VALUE"""),"2025-1")</f>
        <v>2025-1</v>
      </c>
      <c r="D58" s="1" t="str">
        <f>IFERROR(__xludf.DUMMYFUNCTION("""COMPUTED_VALUE"""),"Admisión de Alto Rendimiento")</f>
        <v>Admisión de Alto Rendimiento</v>
      </c>
      <c r="E58" s="2">
        <f>IFERROR(__xludf.DUMMYFUNCTION("""COMPUTED_VALUE"""),45486.0)</f>
        <v>45486</v>
      </c>
      <c r="F58" s="1" t="str">
        <f>IFERROR(__xludf.DUMMYFUNCTION("""COMPUTED_VALUE"""),"NATALIA CAROLINA")</f>
        <v>NATALIA CAROLINA</v>
      </c>
      <c r="G58" s="1" t="str">
        <f>IFERROR(__xludf.DUMMYFUNCTION("""COMPUTED_VALUE"""),"CÁCERES CHINCHAY")</f>
        <v>CÁCERES CHINCHAY</v>
      </c>
      <c r="H58" s="1" t="str">
        <f>IFERROR(__xludf.DUMMYFUNCTION("""COMPUTED_VALUE"""),"Arquitectura")</f>
        <v>Arquitectura</v>
      </c>
      <c r="I58" s="1" t="str">
        <f>IFERROR(__xludf.DUMMYFUNCTION("""COMPUTED_VALUE"""),"POS")</f>
        <v>POS</v>
      </c>
      <c r="J58" s="1" t="str">
        <f>IFERROR(__xludf.DUMMYFUNCTION("""COMPUTED_VALUE"""),"Diurno")</f>
        <v>Diurno</v>
      </c>
      <c r="K58" s="1" t="str">
        <f>IFERROR(__xludf.DUMMYFUNCTION("""COMPUTED_VALUE"""),"NUEVO")</f>
        <v>NUEVO</v>
      </c>
      <c r="L58" s="1">
        <f>IFERROR(__xludf.DUMMYFUNCTION("""COMPUTED_VALUE"""),0.0)</f>
        <v>0</v>
      </c>
      <c r="M58" s="1">
        <f>IFERROR(__xludf.DUMMYFUNCTION("""COMPUTED_VALUE"""),0.0)</f>
        <v>0</v>
      </c>
      <c r="N58" s="1" t="str">
        <f>IFERROR(__xludf.DUMMYFUNCTION("""COMPUTED_VALUE"""),"ESCALA REGULAR")</f>
        <v>ESCALA REGULAR</v>
      </c>
      <c r="O58" s="1" t="str">
        <f>IFERROR(__xludf.DUMMYFUNCTION("""COMPUTED_VALUE"""),"NINGUNO")</f>
        <v>NINGUNO</v>
      </c>
      <c r="P58" s="4">
        <f>IFERROR(__xludf.DUMMYFUNCTION("""COMPUTED_VALUE"""),0.0)</f>
        <v>0</v>
      </c>
      <c r="Q58" s="4">
        <f>IFERROR(__xludf.DUMMYFUNCTION("""COMPUTED_VALUE"""),0.0)</f>
        <v>0</v>
      </c>
      <c r="R58" s="4">
        <f>IFERROR(__xludf.DUMMYFUNCTION("""COMPUTED_VALUE"""),1525.0)</f>
        <v>1525</v>
      </c>
      <c r="S58" s="4">
        <f>IFERROR(__xludf.DUMMYFUNCTION("""COMPUTED_VALUE"""),1525.0)</f>
        <v>1525</v>
      </c>
      <c r="T58" s="1" t="str">
        <f>IFERROR(__xludf.DUMMYFUNCTION("""COMPUTED_VALUE"""),"Visita guiada - refirio")</f>
        <v>Visita guiada - refirio</v>
      </c>
      <c r="U58" s="1" t="str">
        <f>IFERROR(__xludf.DUMMYFUNCTION("""COMPUTED_VALUE"""),"-")</f>
        <v>-</v>
      </c>
      <c r="V58" s="1" t="str">
        <f>IFERROR(__xludf.DUMMYFUNCTION("""COMPUTED_VALUE"""),"Nicola")</f>
        <v>Nicola</v>
      </c>
      <c r="W58" s="1" t="str">
        <f>IFERROR(__xludf.DUMMYFUNCTION("""COMPUTED_VALUE"""),"-")</f>
        <v>-</v>
      </c>
      <c r="X58" s="1" t="str">
        <f>IFERROR(__xludf.DUMMYFUNCTION("""COMPUTED_VALUE"""),"-")</f>
        <v>-</v>
      </c>
      <c r="Y58" s="1" t="str">
        <f>IFERROR(__xludf.DUMMYFUNCTION("""COMPUTED_VALUE"""),"PAGO COMPLETO")</f>
        <v>PAGO COMPLETO</v>
      </c>
      <c r="Z58" s="1">
        <f>IFERROR(__xludf.DUMMYFUNCTION("""COMPUTED_VALUE"""),0.0)</f>
        <v>0</v>
      </c>
      <c r="AA58" s="1" t="str">
        <f>IFERROR(__xludf.DUMMYFUNCTION("""COMPUTED_VALUE"""),"-")</f>
        <v>-</v>
      </c>
      <c r="AB58" s="1">
        <f>IFERROR(__xludf.DUMMYFUNCTION("""COMPUTED_VALUE"""),0.0)</f>
        <v>0</v>
      </c>
      <c r="AC58" s="1">
        <f>IFERROR(__xludf.DUMMYFUNCTION("""COMPUTED_VALUE"""),0.0)</f>
        <v>0</v>
      </c>
      <c r="AD58" s="1" t="str">
        <f>IFERROR(__xludf.DUMMYFUNCTION("""COMPUTED_VALUE"""),"Fiorella Lanegra")</f>
        <v>Fiorella Lanegra</v>
      </c>
      <c r="AE58" s="1" t="str">
        <f>IFERROR(__xludf.DUMMYFUNCTION("""COMPUTED_VALUE"""),"0")</f>
        <v>0</v>
      </c>
      <c r="AF58" s="1">
        <f>IFERROR(__xludf.DUMMYFUNCTION("""COMPUTED_VALUE"""),2024.0)</f>
        <v>2024</v>
      </c>
      <c r="AG58" s="1">
        <f>IFERROR(__xludf.DUMMYFUNCTION("""COMPUTED_VALUE"""),828491.0)</f>
        <v>828491</v>
      </c>
      <c r="AH58" s="1">
        <f>IFERROR(__xludf.DUMMYFUNCTION("""COMPUTED_VALUE"""),17.0)</f>
        <v>17</v>
      </c>
      <c r="AI58" s="1" t="str">
        <f>IFERROR(__xludf.DUMMYFUNCTION("""COMPUTED_VALUE"""),"0000385060")</f>
        <v>0000385060</v>
      </c>
      <c r="AJ58" s="1">
        <f>IFERROR(__xludf.DUMMYFUNCTION("""COMPUTED_VALUE"""),7.1159211E7)</f>
        <v>71159211</v>
      </c>
      <c r="AK58" s="1">
        <f>IFERROR(__xludf.DUMMYFUNCTION("""COMPUTED_VALUE"""),9.32968469E8)</f>
        <v>932968469</v>
      </c>
      <c r="AL58" s="1" t="str">
        <f>IFERROR(__xludf.DUMMYFUNCTION("""COMPUTED_VALUE"""),"natalia.caceres.28.08@gmail.com")</f>
        <v>natalia.caceres.28.08@gmail.com</v>
      </c>
      <c r="AM58" s="1" t="str">
        <f>IFERROR(__xludf.DUMMYFUNCTION("""COMPUTED_VALUE"""),"FEMENINO")</f>
        <v>FEMENINO</v>
      </c>
      <c r="AN58" s="1">
        <f>IFERROR(__xludf.DUMMYFUNCTION("""COMPUTED_VALUE"""),1525.0)</f>
        <v>1525</v>
      </c>
      <c r="AO58" s="1">
        <f>IFERROR(__xludf.DUMMYFUNCTION("""COMPUTED_VALUE"""),400.0)</f>
        <v>400</v>
      </c>
      <c r="AP58" s="1" t="str">
        <f>IFERROR(__xludf.DUMMYFUNCTION("""COMPUTED_VALUE"""),"COLEGIOS")</f>
        <v>COLEGIOS</v>
      </c>
      <c r="AQ58" s="1" t="str">
        <f>IFERROR(__xludf.DUMMYFUNCTION("""COMPUTED_VALUE"""),"COLEGIOS")</f>
        <v>COLEGIOS</v>
      </c>
      <c r="AR58" s="1" t="str">
        <f>IFERROR(__xludf.DUMMYFUNCTION("""COMPUTED_VALUE"""),"NUEVO")</f>
        <v>NUEVO</v>
      </c>
      <c r="AS58" s="1"/>
      <c r="AT58" s="2">
        <f>IFERROR(__xludf.DUMMYFUNCTION("""COMPUTED_VALUE"""),45455.0)</f>
        <v>45455</v>
      </c>
      <c r="AU58" s="1">
        <f>IFERROR(__xludf.DUMMYFUNCTION("""COMPUTED_VALUE"""),1.0)</f>
        <v>1</v>
      </c>
      <c r="AV58" s="1" t="str">
        <f>IFERROR(__xludf.DUMMYFUNCTION("""COMPUTED_VALUE"""),"NUEVO")</f>
        <v>NUEVO</v>
      </c>
      <c r="AW58" s="1" t="str">
        <f>IFERROR(__xludf.DUMMYFUNCTION("""COMPUTED_VALUE"""),"SI")</f>
        <v>SI</v>
      </c>
      <c r="AX58" s="1"/>
      <c r="AY58" s="1" t="str">
        <f>IFERROR(__xludf.DUMMYFUNCTION("""COMPUTED_VALUE"""),"PAGO COMPLETO")</f>
        <v>PAGO COMPLETO</v>
      </c>
      <c r="AZ58" s="5">
        <f>IFERROR(__xludf.DUMMYFUNCTION("""COMPUTED_VALUE"""),45486.0)</f>
        <v>45486</v>
      </c>
      <c r="BA58" s="1">
        <f>IFERROR(__xludf.DUMMYFUNCTION("""COMPUTED_VALUE"""),0.0)</f>
        <v>0</v>
      </c>
      <c r="BB58" s="1">
        <f>IFERROR(__xludf.DUMMYFUNCTION("""COMPUTED_VALUE"""),0.0)</f>
        <v>0</v>
      </c>
      <c r="BC58" s="4">
        <f>IFERROR(__xludf.DUMMYFUNCTION("""COMPUTED_VALUE"""),0.0)</f>
        <v>0</v>
      </c>
      <c r="BD58" s="4">
        <f>IFERROR(__xludf.DUMMYFUNCTION("""COMPUTED_VALUE"""),100.0)</f>
        <v>100</v>
      </c>
      <c r="BE58" s="1">
        <f>IFERROR(__xludf.DUMMYFUNCTION("""COMPUTED_VALUE"""),7.0)</f>
        <v>7</v>
      </c>
      <c r="BF58" s="6">
        <f>IFERROR(__xludf.DUMMYFUNCTION("""COMPUTED_VALUE"""),1.0)</f>
        <v>1</v>
      </c>
      <c r="BG58" s="1">
        <f>IFERROR(__xludf.DUMMYFUNCTION("""COMPUTED_VALUE"""),1.0)</f>
        <v>1</v>
      </c>
      <c r="BH58" s="1" t="str">
        <f>IFERROR(__xludf.DUMMYFUNCTION("""COMPUTED_VALUE"""),"0")</f>
        <v>0</v>
      </c>
      <c r="BI58" s="4">
        <f>IFERROR(__xludf.DUMMYFUNCTION("""COMPUTED_VALUE"""),100.0)</f>
        <v>100</v>
      </c>
      <c r="BJ58" s="1">
        <f>IFERROR(__xludf.DUMMYFUNCTION("""COMPUTED_VALUE"""),0.0)</f>
        <v>0</v>
      </c>
      <c r="BK58" s="4">
        <f>IFERROR(__xludf.DUMMYFUNCTION("""COMPUTED_VALUE"""),1625.0)</f>
        <v>1625</v>
      </c>
      <c r="BL58" s="1">
        <f>IFERROR(__xludf.DUMMYFUNCTION("""COMPUTED_VALUE"""),1200.0)</f>
        <v>1200</v>
      </c>
      <c r="BM58" s="1">
        <f>IFERROR(__xludf.DUMMYFUNCTION("""COMPUTED_VALUE"""),28.0)</f>
        <v>28</v>
      </c>
      <c r="BN58" s="2">
        <f>IFERROR(__xludf.DUMMYFUNCTION("""COMPUTED_VALUE"""),45481.0)</f>
        <v>45481</v>
      </c>
      <c r="BO58" s="1">
        <f>IFERROR(__xludf.DUMMYFUNCTION("""COMPUTED_VALUE"""),7.0)</f>
        <v>7</v>
      </c>
      <c r="BP58" s="1">
        <f>IFERROR(__xludf.DUMMYFUNCTION("""COMPUTED_VALUE"""),2024.0)</f>
        <v>2024</v>
      </c>
    </row>
    <row r="59">
      <c r="A59" s="1">
        <f>IFERROR(__xludf.DUMMYFUNCTION("""COMPUTED_VALUE"""),58.0)</f>
        <v>58</v>
      </c>
      <c r="B59" s="1">
        <f>IFERROR(__xludf.DUMMYFUNCTION("""COMPUTED_VALUE"""),4377003.0)</f>
        <v>4377003</v>
      </c>
      <c r="C59" s="1" t="str">
        <f>IFERROR(__xludf.DUMMYFUNCTION("""COMPUTED_VALUE"""),"2025-1")</f>
        <v>2025-1</v>
      </c>
      <c r="D59" s="1" t="str">
        <f>IFERROR(__xludf.DUMMYFUNCTION("""COMPUTED_VALUE"""),"Admisión de Alto Rendimiento")</f>
        <v>Admisión de Alto Rendimiento</v>
      </c>
      <c r="E59" s="2">
        <f>IFERROR(__xludf.DUMMYFUNCTION("""COMPUTED_VALUE"""),45489.0)</f>
        <v>45489</v>
      </c>
      <c r="F59" s="1" t="str">
        <f>IFERROR(__xludf.DUMMYFUNCTION("""COMPUTED_VALUE"""),"ISIS NEITH")</f>
        <v>ISIS NEITH</v>
      </c>
      <c r="G59" s="1" t="str">
        <f>IFERROR(__xludf.DUMMYFUNCTION("""COMPUTED_VALUE"""),"ANTON VÁSQUEZ")</f>
        <v>ANTON VÁSQUEZ</v>
      </c>
      <c r="H59" s="1" t="str">
        <f>IFERROR(__xludf.DUMMYFUNCTION("""COMPUTED_VALUE"""),"Comunicación y Publicidad Transmedia")</f>
        <v>Comunicación y Publicidad Transmedia</v>
      </c>
      <c r="I59" s="1" t="str">
        <f>IFERROR(__xludf.DUMMYFUNCTION("""COMPUTED_VALUE"""),"CARGO")</f>
        <v>CARGO</v>
      </c>
      <c r="J59" s="1" t="str">
        <f>IFERROR(__xludf.DUMMYFUNCTION("""COMPUTED_VALUE"""),"Diurno")</f>
        <v>Diurno</v>
      </c>
      <c r="K59" s="1" t="str">
        <f>IFERROR(__xludf.DUMMYFUNCTION("""COMPUTED_VALUE"""),"NUEVO")</f>
        <v>NUEVO</v>
      </c>
      <c r="L59" s="1">
        <f>IFERROR(__xludf.DUMMYFUNCTION("""COMPUTED_VALUE"""),0.0)</f>
        <v>0</v>
      </c>
      <c r="M59" s="1">
        <f>IFERROR(__xludf.DUMMYFUNCTION("""COMPUTED_VALUE"""),0.0)</f>
        <v>0</v>
      </c>
      <c r="N59" s="1" t="str">
        <f>IFERROR(__xludf.DUMMYFUNCTION("""COMPUTED_VALUE"""),"BECA")</f>
        <v>BECA</v>
      </c>
      <c r="O59" s="1" t="str">
        <f>IFERROR(__xludf.DUMMYFUNCTION("""COMPUTED_VALUE"""),"BECA TERCIO INNOVA")</f>
        <v>BECA TERCIO INNOVA</v>
      </c>
      <c r="P59" s="4">
        <f>IFERROR(__xludf.DUMMYFUNCTION("""COMPUTED_VALUE"""),0.0)</f>
        <v>0</v>
      </c>
      <c r="Q59" s="4">
        <f>IFERROR(__xludf.DUMMYFUNCTION("""COMPUTED_VALUE"""),0.0)</f>
        <v>0</v>
      </c>
      <c r="R59" s="4">
        <f>IFERROR(__xludf.DUMMYFUNCTION("""COMPUTED_VALUE"""),1600.0)</f>
        <v>1600</v>
      </c>
      <c r="S59" s="4">
        <f>IFERROR(__xludf.DUMMYFUNCTION("""COMPUTED_VALUE"""),1040.0)</f>
        <v>1040</v>
      </c>
      <c r="T59" s="1" t="str">
        <f>IFERROR(__xludf.DUMMYFUNCTION("""COMPUTED_VALUE"""),"NINGUNO")</f>
        <v>NINGUNO</v>
      </c>
      <c r="U59" s="1" t="str">
        <f>IFERROR(__xludf.DUMMYFUNCTION("""COMPUTED_VALUE"""),"FABIOLA")</f>
        <v>FABIOLA</v>
      </c>
      <c r="V59" s="1" t="str">
        <f>IFERROR(__xludf.DUMMYFUNCTION("""COMPUTED_VALUE"""),"Leandro")</f>
        <v>Leandro</v>
      </c>
      <c r="W59" s="1" t="str">
        <f>IFERROR(__xludf.DUMMYFUNCTION("""COMPUTED_VALUE"""),"-")</f>
        <v>-</v>
      </c>
      <c r="X59" s="1" t="str">
        <f>IFERROR(__xludf.DUMMYFUNCTION("""COMPUTED_VALUE"""),"-")</f>
        <v>-</v>
      </c>
      <c r="Y59" s="1" t="str">
        <f>IFERROR(__xludf.DUMMYFUNCTION("""COMPUTED_VALUE"""),"PAGO COMPLETO")</f>
        <v>PAGO COMPLETO</v>
      </c>
      <c r="Z59" s="1">
        <f>IFERROR(__xludf.DUMMYFUNCTION("""COMPUTED_VALUE"""),1480.0)</f>
        <v>1480</v>
      </c>
      <c r="AA59" s="1" t="str">
        <f>IFERROR(__xludf.DUMMYFUNCTION("""COMPUTED_VALUE"""),"16/07/2024")</f>
        <v>16/07/2024</v>
      </c>
      <c r="AB59" s="1">
        <f>IFERROR(__xludf.DUMMYFUNCTION("""COMPUTED_VALUE"""),0.0)</f>
        <v>0</v>
      </c>
      <c r="AC59" s="1">
        <f>IFERROR(__xludf.DUMMYFUNCTION("""COMPUTED_VALUE"""),0.0)</f>
        <v>0</v>
      </c>
      <c r="AD59" s="1" t="str">
        <f>IFERROR(__xludf.DUMMYFUNCTION("""COMPUTED_VALUE"""),"Stefano Napuri")</f>
        <v>Stefano Napuri</v>
      </c>
      <c r="AE59" s="1" t="str">
        <f>IFERROR(__xludf.DUMMYFUNCTION("""COMPUTED_VALUE"""),"0")</f>
        <v>0</v>
      </c>
      <c r="AF59" s="1">
        <f>IFERROR(__xludf.DUMMYFUNCTION("""COMPUTED_VALUE"""),2024.0)</f>
        <v>2024</v>
      </c>
      <c r="AG59" s="1">
        <f>IFERROR(__xludf.DUMMYFUNCTION("""COMPUTED_VALUE"""),1787654.0)</f>
        <v>1787654</v>
      </c>
      <c r="AH59" s="1">
        <f>IFERROR(__xludf.DUMMYFUNCTION("""COMPUTED_VALUE"""),17.0)</f>
        <v>17</v>
      </c>
      <c r="AI59" s="1" t="str">
        <f>IFERROR(__xludf.DUMMYFUNCTION("""COMPUTED_VALUE"""),"0000385445")</f>
        <v>0000385445</v>
      </c>
      <c r="AJ59" s="1">
        <f>IFERROR(__xludf.DUMMYFUNCTION("""COMPUTED_VALUE"""),7.1364667E7)</f>
        <v>71364667</v>
      </c>
      <c r="AK59" s="1">
        <f>IFERROR(__xludf.DUMMYFUNCTION("""COMPUTED_VALUE"""),9.12493338E8)</f>
        <v>912493338</v>
      </c>
      <c r="AL59" s="1" t="str">
        <f>IFERROR(__xludf.DUMMYFUNCTION("""COMPUTED_VALUE"""),"isisneithav@gmail.com")</f>
        <v>isisneithav@gmail.com</v>
      </c>
      <c r="AM59" s="1" t="str">
        <f>IFERROR(__xludf.DUMMYFUNCTION("""COMPUTED_VALUE"""),"MASCULINO")</f>
        <v>MASCULINO</v>
      </c>
      <c r="AN59" s="1">
        <f>IFERROR(__xludf.DUMMYFUNCTION("""COMPUTED_VALUE"""),1850.0)</f>
        <v>1850</v>
      </c>
      <c r="AO59" s="1">
        <f>IFERROR(__xludf.DUMMYFUNCTION("""COMPUTED_VALUE"""),780.0)</f>
        <v>780</v>
      </c>
      <c r="AP59" s="1" t="str">
        <f>IFERROR(__xludf.DUMMYFUNCTION("""COMPUTED_VALUE"""),"COLEGIOS")</f>
        <v>COLEGIOS</v>
      </c>
      <c r="AQ59" s="1" t="str">
        <f>IFERROR(__xludf.DUMMYFUNCTION("""COMPUTED_VALUE"""),"COLEGIOS")</f>
        <v>COLEGIOS</v>
      </c>
      <c r="AR59" s="1" t="str">
        <f>IFERROR(__xludf.DUMMYFUNCTION("""COMPUTED_VALUE"""),"NUEVO")</f>
        <v>NUEVO</v>
      </c>
      <c r="AS59" s="1"/>
      <c r="AT59" s="2">
        <f>IFERROR(__xludf.DUMMYFUNCTION("""COMPUTED_VALUE"""),45489.0)</f>
        <v>45489</v>
      </c>
      <c r="AU59" s="1">
        <f>IFERROR(__xludf.DUMMYFUNCTION("""COMPUTED_VALUE"""),1.0)</f>
        <v>1</v>
      </c>
      <c r="AV59" s="1" t="str">
        <f>IFERROR(__xludf.DUMMYFUNCTION("""COMPUTED_VALUE"""),"NUEVO")</f>
        <v>NUEVO</v>
      </c>
      <c r="AW59" s="1" t="str">
        <f>IFERROR(__xludf.DUMMYFUNCTION("""COMPUTED_VALUE"""),"SI")</f>
        <v>SI</v>
      </c>
      <c r="AX59" s="1"/>
      <c r="AY59" s="1" t="str">
        <f>IFERROR(__xludf.DUMMYFUNCTION("""COMPUTED_VALUE"""),"PAGO COMPLETO")</f>
        <v>PAGO COMPLETO</v>
      </c>
      <c r="AZ59" s="5">
        <f>IFERROR(__xludf.DUMMYFUNCTION("""COMPUTED_VALUE"""),45489.0)</f>
        <v>45489</v>
      </c>
      <c r="BA59" s="1">
        <f>IFERROR(__xludf.DUMMYFUNCTION("""COMPUTED_VALUE"""),0.0)</f>
        <v>0</v>
      </c>
      <c r="BB59" s="1">
        <f>IFERROR(__xludf.DUMMYFUNCTION("""COMPUTED_VALUE"""),0.0)</f>
        <v>0</v>
      </c>
      <c r="BC59" s="4">
        <f>IFERROR(__xludf.DUMMYFUNCTION("""COMPUTED_VALUE"""),0.0)</f>
        <v>0</v>
      </c>
      <c r="BD59" s="4">
        <f>IFERROR(__xludf.DUMMYFUNCTION("""COMPUTED_VALUE"""),0.0)</f>
        <v>0</v>
      </c>
      <c r="BE59" s="1">
        <f>IFERROR(__xludf.DUMMYFUNCTION("""COMPUTED_VALUE"""),7.0)</f>
        <v>7</v>
      </c>
      <c r="BF59" s="6">
        <f>IFERROR(__xludf.DUMMYFUNCTION("""COMPUTED_VALUE"""),1.0)</f>
        <v>1</v>
      </c>
      <c r="BG59" s="1">
        <f>IFERROR(__xludf.DUMMYFUNCTION("""COMPUTED_VALUE"""),1.0)</f>
        <v>1</v>
      </c>
      <c r="BH59" s="1" t="str">
        <f>IFERROR(__xludf.DUMMYFUNCTION("""COMPUTED_VALUE"""),"0")</f>
        <v>0</v>
      </c>
      <c r="BI59" s="4">
        <f>IFERROR(__xludf.DUMMYFUNCTION("""COMPUTED_VALUE"""),1480.0)</f>
        <v>1480</v>
      </c>
      <c r="BJ59" s="1">
        <f>IFERROR(__xludf.DUMMYFUNCTION("""COMPUTED_VALUE"""),0.0)</f>
        <v>0</v>
      </c>
      <c r="BK59" s="4">
        <f>IFERROR(__xludf.DUMMYFUNCTION("""COMPUTED_VALUE"""),0.0)</f>
        <v>0</v>
      </c>
      <c r="BL59" s="1">
        <f>IFERROR(__xludf.DUMMYFUNCTION("""COMPUTED_VALUE"""),1040.0)</f>
        <v>1040</v>
      </c>
      <c r="BM59" s="1">
        <f>IFERROR(__xludf.DUMMYFUNCTION("""COMPUTED_VALUE"""),29.0)</f>
        <v>29</v>
      </c>
      <c r="BN59" s="2">
        <f>IFERROR(__xludf.DUMMYFUNCTION("""COMPUTED_VALUE"""),45488.0)</f>
        <v>45488</v>
      </c>
      <c r="BO59" s="1">
        <f>IFERROR(__xludf.DUMMYFUNCTION("""COMPUTED_VALUE"""),7.0)</f>
        <v>7</v>
      </c>
      <c r="BP59" s="1">
        <f>IFERROR(__xludf.DUMMYFUNCTION("""COMPUTED_VALUE"""),2024.0)</f>
        <v>2024</v>
      </c>
    </row>
    <row r="60">
      <c r="A60" s="1">
        <f>IFERROR(__xludf.DUMMYFUNCTION("""COMPUTED_VALUE"""),59.0)</f>
        <v>59</v>
      </c>
      <c r="B60" s="1">
        <f>IFERROR(__xludf.DUMMYFUNCTION("""COMPUTED_VALUE"""),2142823.0)</f>
        <v>2142823</v>
      </c>
      <c r="C60" s="1" t="str">
        <f>IFERROR(__xludf.DUMMYFUNCTION("""COMPUTED_VALUE"""),"2025-1")</f>
        <v>2025-1</v>
      </c>
      <c r="D60" s="1" t="str">
        <f>IFERROR(__xludf.DUMMYFUNCTION("""COMPUTED_VALUE"""),"Admisión de Alto Rendimiento")</f>
        <v>Admisión de Alto Rendimiento</v>
      </c>
      <c r="E60" s="2">
        <f>IFERROR(__xludf.DUMMYFUNCTION("""COMPUTED_VALUE"""),45489.0)</f>
        <v>45489</v>
      </c>
      <c r="F60" s="1" t="str">
        <f>IFERROR(__xludf.DUMMYFUNCTION("""COMPUTED_VALUE"""),"ABBIE HARUMI")</f>
        <v>ABBIE HARUMI</v>
      </c>
      <c r="G60" s="1" t="str">
        <f>IFERROR(__xludf.DUMMYFUNCTION("""COMPUTED_VALUE"""),"CALLO FAJARDO")</f>
        <v>CALLO FAJARDO</v>
      </c>
      <c r="H60" s="1" t="str">
        <f>IFERROR(__xludf.DUMMYFUNCTION("""COMPUTED_VALUE"""),"Comunicación Audiovisual y Cine")</f>
        <v>Comunicación Audiovisual y Cine</v>
      </c>
      <c r="I60" s="1" t="str">
        <f>IFERROR(__xludf.DUMMYFUNCTION("""COMPUTED_VALUE"""),"Pago Link")</f>
        <v>Pago Link</v>
      </c>
      <c r="J60" s="1" t="str">
        <f>IFERROR(__xludf.DUMMYFUNCTION("""COMPUTED_VALUE"""),"Diurno")</f>
        <v>Diurno</v>
      </c>
      <c r="K60" s="1" t="str">
        <f>IFERROR(__xludf.DUMMYFUNCTION("""COMPUTED_VALUE"""),"NUEVO")</f>
        <v>NUEVO</v>
      </c>
      <c r="L60" s="1">
        <f>IFERROR(__xludf.DUMMYFUNCTION("""COMPUTED_VALUE"""),0.0)</f>
        <v>0</v>
      </c>
      <c r="M60" s="1">
        <f>IFERROR(__xludf.DUMMYFUNCTION("""COMPUTED_VALUE"""),0.0)</f>
        <v>0</v>
      </c>
      <c r="N60" s="1" t="str">
        <f>IFERROR(__xludf.DUMMYFUNCTION("""COMPUTED_VALUE"""),"BECA")</f>
        <v>BECA</v>
      </c>
      <c r="O60" s="1" t="str">
        <f>IFERROR(__xludf.DUMMYFUNCTION("""COMPUTED_VALUE"""),"BECA CARRERAS CORE")</f>
        <v>BECA CARRERAS CORE</v>
      </c>
      <c r="P60" s="4">
        <f>IFERROR(__xludf.DUMMYFUNCTION("""COMPUTED_VALUE"""),0.0)</f>
        <v>0</v>
      </c>
      <c r="Q60" s="4">
        <f>IFERROR(__xludf.DUMMYFUNCTION("""COMPUTED_VALUE"""),0.0)</f>
        <v>0</v>
      </c>
      <c r="R60" s="4">
        <f>IFERROR(__xludf.DUMMYFUNCTION("""COMPUTED_VALUE"""),1775.0)</f>
        <v>1775</v>
      </c>
      <c r="S60" s="4">
        <f>IFERROR(__xludf.DUMMYFUNCTION("""COMPUTED_VALUE"""),1400.0)</f>
        <v>1400</v>
      </c>
      <c r="T60" s="1" t="str">
        <f>IFERROR(__xludf.DUMMYFUNCTION("""COMPUTED_VALUE"""),"NINGUNO")</f>
        <v>NINGUNO</v>
      </c>
      <c r="U60" s="1" t="str">
        <f>IFERROR(__xludf.DUMMYFUNCTION("""COMPUTED_VALUE"""),"-")</f>
        <v>-</v>
      </c>
      <c r="V60" s="1" t="str">
        <f>IFERROR(__xludf.DUMMYFUNCTION("""COMPUTED_VALUE"""),"-")</f>
        <v>-</v>
      </c>
      <c r="W60" s="1" t="str">
        <f>IFERROR(__xludf.DUMMYFUNCTION("""COMPUTED_VALUE"""),"-")</f>
        <v>-</v>
      </c>
      <c r="X60" s="1" t="str">
        <f>IFERROR(__xludf.DUMMYFUNCTION("""COMPUTED_VALUE"""),"-")</f>
        <v>-</v>
      </c>
      <c r="Y60" s="1" t="str">
        <f>IFERROR(__xludf.DUMMYFUNCTION("""COMPUTED_VALUE"""),"PAGO FRACCIONADO")</f>
        <v>PAGO FRACCIONADO</v>
      </c>
      <c r="Z60" s="1">
        <f>IFERROR(__xludf.DUMMYFUNCTION("""COMPUTED_VALUE"""),500.0)</f>
        <v>500</v>
      </c>
      <c r="AA60" s="1" t="str">
        <f>IFERROR(__xludf.DUMMYFUNCTION("""COMPUTED_VALUE"""),"-")</f>
        <v>-</v>
      </c>
      <c r="AB60" s="1">
        <f>IFERROR(__xludf.DUMMYFUNCTION("""COMPUTED_VALUE"""),0.0)</f>
        <v>0</v>
      </c>
      <c r="AC60" s="1">
        <f>IFERROR(__xludf.DUMMYFUNCTION("""COMPUTED_VALUE"""),0.0)</f>
        <v>0</v>
      </c>
      <c r="AD60" s="1" t="str">
        <f>IFERROR(__xludf.DUMMYFUNCTION("""COMPUTED_VALUE"""),"Fiorella Lanegra")</f>
        <v>Fiorella Lanegra</v>
      </c>
      <c r="AE60" s="1" t="str">
        <f>IFERROR(__xludf.DUMMYFUNCTION("""COMPUTED_VALUE"""),"0")</f>
        <v>0</v>
      </c>
      <c r="AF60" s="1">
        <f>IFERROR(__xludf.DUMMYFUNCTION("""COMPUTED_VALUE"""),2024.0)</f>
        <v>2024</v>
      </c>
      <c r="AG60" s="1">
        <f>IFERROR(__xludf.DUMMYFUNCTION("""COMPUTED_VALUE"""),275792.0)</f>
        <v>275792</v>
      </c>
      <c r="AH60" s="1">
        <f>IFERROR(__xludf.DUMMYFUNCTION("""COMPUTED_VALUE"""),17.0)</f>
        <v>17</v>
      </c>
      <c r="AI60" s="1" t="str">
        <f>IFERROR(__xludf.DUMMYFUNCTION("""COMPUTED_VALUE"""),"0000385311")</f>
        <v>0000385311</v>
      </c>
      <c r="AJ60" s="1">
        <f>IFERROR(__xludf.DUMMYFUNCTION("""COMPUTED_VALUE"""),6.1281301E7)</f>
        <v>61281301</v>
      </c>
      <c r="AK60" s="1">
        <f>IFERROR(__xludf.DUMMYFUNCTION("""COMPUTED_VALUE"""),9.94760517E8)</f>
        <v>994760517</v>
      </c>
      <c r="AL60" s="1" t="str">
        <f>IFERROR(__xludf.DUMMYFUNCTION("""COMPUTED_VALUE"""),"abbiec.fajardo29@gmail.com")</f>
        <v>abbiec.fajardo29@gmail.com</v>
      </c>
      <c r="AM60" s="1" t="str">
        <f>IFERROR(__xludf.DUMMYFUNCTION("""COMPUTED_VALUE"""),"FEMENINO")</f>
        <v>FEMENINO</v>
      </c>
      <c r="AN60" s="1">
        <f>IFERROR(__xludf.DUMMYFUNCTION("""COMPUTED_VALUE"""),1775.0)</f>
        <v>1775</v>
      </c>
      <c r="AO60" s="1">
        <f>IFERROR(__xludf.DUMMYFUNCTION("""COMPUTED_VALUE"""),450.0)</f>
        <v>450</v>
      </c>
      <c r="AP60" s="1" t="str">
        <f>IFERROR(__xludf.DUMMYFUNCTION("""COMPUTED_VALUE"""),"FORMULARIO")</f>
        <v>FORMULARIO</v>
      </c>
      <c r="AQ60" s="1" t="str">
        <f>IFERROR(__xludf.DUMMYFUNCTION("""COMPUTED_VALUE"""),"ORGANICO")</f>
        <v>ORGANICO</v>
      </c>
      <c r="AR60" s="1" t="str">
        <f>IFERROR(__xludf.DUMMYFUNCTION("""COMPUTED_VALUE"""),"HEREDADO")</f>
        <v>HEREDADO</v>
      </c>
      <c r="AS60" s="1"/>
      <c r="AT60" s="2">
        <f>IFERROR(__xludf.DUMMYFUNCTION("""COMPUTED_VALUE"""),45450.0)</f>
        <v>45450</v>
      </c>
      <c r="AU60" s="1">
        <f>IFERROR(__xludf.DUMMYFUNCTION("""COMPUTED_VALUE"""),1.0)</f>
        <v>1</v>
      </c>
      <c r="AV60" s="1" t="str">
        <f>IFERROR(__xludf.DUMMYFUNCTION("""COMPUTED_VALUE"""),"NUEVO")</f>
        <v>NUEVO</v>
      </c>
      <c r="AW60" s="1" t="str">
        <f>IFERROR(__xludf.DUMMYFUNCTION("""COMPUTED_VALUE"""),"SI")</f>
        <v>SI</v>
      </c>
      <c r="AX60" s="1"/>
      <c r="AY60" s="1" t="str">
        <f>IFERROR(__xludf.DUMMYFUNCTION("""COMPUTED_VALUE"""),"PAGO COMPLETO")</f>
        <v>PAGO COMPLETO</v>
      </c>
      <c r="AZ60" s="5">
        <f>IFERROR(__xludf.DUMMYFUNCTION("""COMPUTED_VALUE"""),45509.0)</f>
        <v>45509</v>
      </c>
      <c r="BA60" s="1">
        <f>IFERROR(__xludf.DUMMYFUNCTION("""COMPUTED_VALUE"""),900.0)</f>
        <v>900</v>
      </c>
      <c r="BB60" s="1">
        <f>IFERROR(__xludf.DUMMYFUNCTION("""COMPUTED_VALUE"""),0.0)</f>
        <v>0</v>
      </c>
      <c r="BC60" s="4">
        <f>IFERROR(__xludf.DUMMYFUNCTION("""COMPUTED_VALUE"""),0.0)</f>
        <v>0</v>
      </c>
      <c r="BD60" s="4">
        <f>IFERROR(__xludf.DUMMYFUNCTION("""COMPUTED_VALUE"""),0.0)</f>
        <v>0</v>
      </c>
      <c r="BE60" s="1">
        <f>IFERROR(__xludf.DUMMYFUNCTION("""COMPUTED_VALUE"""),7.0)</f>
        <v>7</v>
      </c>
      <c r="BF60" s="6">
        <f>IFERROR(__xludf.DUMMYFUNCTION("""COMPUTED_VALUE"""),1.0)</f>
        <v>1</v>
      </c>
      <c r="BG60" s="1">
        <f>IFERROR(__xludf.DUMMYFUNCTION("""COMPUTED_VALUE"""),0.0)</f>
        <v>0</v>
      </c>
      <c r="BH60" s="1" t="str">
        <f>IFERROR(__xludf.DUMMYFUNCTION("""COMPUTED_VALUE"""),"0")</f>
        <v>0</v>
      </c>
      <c r="BI60" s="4">
        <f>IFERROR(__xludf.DUMMYFUNCTION("""COMPUTED_VALUE"""),1400.0)</f>
        <v>1400</v>
      </c>
      <c r="BJ60" s="1">
        <f>IFERROR(__xludf.DUMMYFUNCTION("""COMPUTED_VALUE"""),0.0)</f>
        <v>0</v>
      </c>
      <c r="BK60" s="4">
        <f>IFERROR(__xludf.DUMMYFUNCTION("""COMPUTED_VALUE"""),0.0)</f>
        <v>0</v>
      </c>
      <c r="BL60" s="1">
        <f>IFERROR(__xludf.DUMMYFUNCTION("""COMPUTED_VALUE"""),1400.0)</f>
        <v>1400</v>
      </c>
      <c r="BM60" s="1">
        <f>IFERROR(__xludf.DUMMYFUNCTION("""COMPUTED_VALUE"""),29.0)</f>
        <v>29</v>
      </c>
      <c r="BN60" s="2">
        <f>IFERROR(__xludf.DUMMYFUNCTION("""COMPUTED_VALUE"""),45488.0)</f>
        <v>45488</v>
      </c>
      <c r="BO60" s="1">
        <f>IFERROR(__xludf.DUMMYFUNCTION("""COMPUTED_VALUE"""),7.0)</f>
        <v>7</v>
      </c>
      <c r="BP60" s="1">
        <f>IFERROR(__xludf.DUMMYFUNCTION("""COMPUTED_VALUE"""),2024.0)</f>
        <v>2024</v>
      </c>
    </row>
    <row r="61">
      <c r="A61" s="1">
        <f>IFERROR(__xludf.DUMMYFUNCTION("""COMPUTED_VALUE"""),60.0)</f>
        <v>60</v>
      </c>
      <c r="B61" s="1">
        <f>IFERROR(__xludf.DUMMYFUNCTION("""COMPUTED_VALUE"""),4379418.0)</f>
        <v>4379418</v>
      </c>
      <c r="C61" s="1" t="str">
        <f>IFERROR(__xludf.DUMMYFUNCTION("""COMPUTED_VALUE"""),"2025-1")</f>
        <v>2025-1</v>
      </c>
      <c r="D61" s="1" t="str">
        <f>IFERROR(__xludf.DUMMYFUNCTION("""COMPUTED_VALUE"""),"Admisión de Alto Rendimiento")</f>
        <v>Admisión de Alto Rendimiento</v>
      </c>
      <c r="E61" s="2">
        <f>IFERROR(__xludf.DUMMYFUNCTION("""COMPUTED_VALUE"""),45492.0)</f>
        <v>45492</v>
      </c>
      <c r="F61" s="1" t="str">
        <f>IFERROR(__xludf.DUMMYFUNCTION("""COMPUTED_VALUE"""),"DAIRA CAMILA")</f>
        <v>DAIRA CAMILA</v>
      </c>
      <c r="G61" s="1" t="str">
        <f>IFERROR(__xludf.DUMMYFUNCTION("""COMPUTED_VALUE"""),"CALLE VALDEZ")</f>
        <v>CALLE VALDEZ</v>
      </c>
      <c r="H61" s="1" t="str">
        <f>IFERROR(__xludf.DUMMYFUNCTION("""COMPUTED_VALUE"""),"Comunicación Audiovisual y Cine")</f>
        <v>Comunicación Audiovisual y Cine</v>
      </c>
      <c r="I61" s="1" t="str">
        <f>IFERROR(__xludf.DUMMYFUNCTION("""COMPUTED_VALUE"""),"POS")</f>
        <v>POS</v>
      </c>
      <c r="J61" s="1" t="str">
        <f>IFERROR(__xludf.DUMMYFUNCTION("""COMPUTED_VALUE"""),"Diurno")</f>
        <v>Diurno</v>
      </c>
      <c r="K61" s="1" t="str">
        <f>IFERROR(__xludf.DUMMYFUNCTION("""COMPUTED_VALUE"""),"NUEVO")</f>
        <v>NUEVO</v>
      </c>
      <c r="L61" s="1">
        <f>IFERROR(__xludf.DUMMYFUNCTION("""COMPUTED_VALUE"""),0.0)</f>
        <v>0</v>
      </c>
      <c r="M61" s="1">
        <f>IFERROR(__xludf.DUMMYFUNCTION("""COMPUTED_VALUE"""),0.0)</f>
        <v>0</v>
      </c>
      <c r="N61" s="1" t="str">
        <f>IFERROR(__xludf.DUMMYFUNCTION("""COMPUTED_VALUE"""),"BECA")</f>
        <v>BECA</v>
      </c>
      <c r="O61" s="1" t="str">
        <f>IFERROR(__xludf.DUMMYFUNCTION("""COMPUTED_VALUE"""),"BECA CARRERAS CORE")</f>
        <v>BECA CARRERAS CORE</v>
      </c>
      <c r="P61" s="4">
        <f>IFERROR(__xludf.DUMMYFUNCTION("""COMPUTED_VALUE"""),0.0)</f>
        <v>0</v>
      </c>
      <c r="Q61" s="4">
        <f>IFERROR(__xludf.DUMMYFUNCTION("""COMPUTED_VALUE"""),0.0)</f>
        <v>0</v>
      </c>
      <c r="R61" s="4">
        <f>IFERROR(__xludf.DUMMYFUNCTION("""COMPUTED_VALUE"""),1775.0)</f>
        <v>1775</v>
      </c>
      <c r="S61" s="4">
        <f>IFERROR(__xludf.DUMMYFUNCTION("""COMPUTED_VALUE"""),1480.0)</f>
        <v>1480</v>
      </c>
      <c r="T61" s="1" t="str">
        <f>IFERROR(__xludf.DUMMYFUNCTION("""COMPUTED_VALUE"""),"NINGUNO")</f>
        <v>NINGUNO</v>
      </c>
      <c r="U61" s="1" t="str">
        <f>IFERROR(__xludf.DUMMYFUNCTION("""COMPUTED_VALUE"""),"FABIOLA")</f>
        <v>FABIOLA</v>
      </c>
      <c r="V61" s="1" t="str">
        <f>IFERROR(__xludf.DUMMYFUNCTION("""COMPUTED_VALUE"""),"Leandro")</f>
        <v>Leandro</v>
      </c>
      <c r="W61" s="1" t="str">
        <f>IFERROR(__xludf.DUMMYFUNCTION("""COMPUTED_VALUE"""),"-")</f>
        <v>-</v>
      </c>
      <c r="X61" s="1" t="str">
        <f>IFERROR(__xludf.DUMMYFUNCTION("""COMPUTED_VALUE"""),"-")</f>
        <v>-</v>
      </c>
      <c r="Y61" s="1" t="str">
        <f>IFERROR(__xludf.DUMMYFUNCTION("""COMPUTED_VALUE"""),"PAGO COMPLETO")</f>
        <v>PAGO COMPLETO</v>
      </c>
      <c r="Z61" s="1">
        <f>IFERROR(__xludf.DUMMYFUNCTION("""COMPUTED_VALUE"""),1480.0)</f>
        <v>1480</v>
      </c>
      <c r="AA61" s="1" t="str">
        <f>IFERROR(__xludf.DUMMYFUNCTION("""COMPUTED_VALUE"""),"19/07/2024")</f>
        <v>19/07/2024</v>
      </c>
      <c r="AB61" s="1">
        <f>IFERROR(__xludf.DUMMYFUNCTION("""COMPUTED_VALUE"""),1.0)</f>
        <v>1</v>
      </c>
      <c r="AC61" s="1">
        <f>IFERROR(__xludf.DUMMYFUNCTION("""COMPUTED_VALUE"""),0.0)</f>
        <v>0</v>
      </c>
      <c r="AD61" s="1" t="str">
        <f>IFERROR(__xludf.DUMMYFUNCTION("""COMPUTED_VALUE"""),"Stefano Napuri")</f>
        <v>Stefano Napuri</v>
      </c>
      <c r="AE61" s="1" t="str">
        <f>IFERROR(__xludf.DUMMYFUNCTION("""COMPUTED_VALUE"""),"0")</f>
        <v>0</v>
      </c>
      <c r="AF61" s="1">
        <f>IFERROR(__xludf.DUMMYFUNCTION("""COMPUTED_VALUE"""),2024.0)</f>
        <v>2024</v>
      </c>
      <c r="AG61" s="1">
        <f>IFERROR(__xludf.DUMMYFUNCTION("""COMPUTED_VALUE"""),1311521.0)</f>
        <v>1311521</v>
      </c>
      <c r="AH61" s="1">
        <f>IFERROR(__xludf.DUMMYFUNCTION("""COMPUTED_VALUE"""),17.0)</f>
        <v>17</v>
      </c>
      <c r="AI61" s="1" t="str">
        <f>IFERROR(__xludf.DUMMYFUNCTION("""COMPUTED_VALUE"""),"0000386901")</f>
        <v>0000386901</v>
      </c>
      <c r="AJ61" s="1">
        <f>IFERROR(__xludf.DUMMYFUNCTION("""COMPUTED_VALUE"""),7.1148626E7)</f>
        <v>71148626</v>
      </c>
      <c r="AK61" s="1">
        <f>IFERROR(__xludf.DUMMYFUNCTION("""COMPUTED_VALUE"""),9.72991486E8)</f>
        <v>972991486</v>
      </c>
      <c r="AL61" s="1" t="str">
        <f>IFERROR(__xludf.DUMMYFUNCTION("""COMPUTED_VALUE"""),"daicami19@gmail.com")</f>
        <v>daicami19@gmail.com</v>
      </c>
      <c r="AM61" s="1" t="str">
        <f>IFERROR(__xludf.DUMMYFUNCTION("""COMPUTED_VALUE"""),"FEMENINO")</f>
        <v>FEMENINO</v>
      </c>
      <c r="AN61" s="1">
        <f>IFERROR(__xludf.DUMMYFUNCTION("""COMPUTED_VALUE"""),1775.0)</f>
        <v>1775</v>
      </c>
      <c r="AO61" s="1">
        <f>IFERROR(__xludf.DUMMYFUNCTION("""COMPUTED_VALUE"""),349.0)</f>
        <v>349</v>
      </c>
      <c r="AP61" s="1" t="str">
        <f>IFERROR(__xludf.DUMMYFUNCTION("""COMPUTED_VALUE"""),"FORMULARIO")</f>
        <v>FORMULARIO</v>
      </c>
      <c r="AQ61" s="1" t="str">
        <f>IFERROR(__xludf.DUMMYFUNCTION("""COMPUTED_VALUE"""),"SEARCH MARCA")</f>
        <v>SEARCH MARCA</v>
      </c>
      <c r="AR61" s="1" t="str">
        <f>IFERROR(__xludf.DUMMYFUNCTION("""COMPUTED_VALUE"""),"NUEVO")</f>
        <v>NUEVO</v>
      </c>
      <c r="AS61" s="1" t="str">
        <f>IFERROR(__xludf.DUMMYFUNCTION("""COMPUTED_VALUE"""),"ucal-pg-performance-sedes-abierta-cpl-extensiones_beca_15-20240520")</f>
        <v>ucal-pg-performance-sedes-abierta-cpl-extensiones_beca_15-20240520</v>
      </c>
      <c r="AT61" s="2">
        <f>IFERROR(__xludf.DUMMYFUNCTION("""COMPUTED_VALUE"""),45450.0)</f>
        <v>45450</v>
      </c>
      <c r="AU61" s="1">
        <f>IFERROR(__xludf.DUMMYFUNCTION("""COMPUTED_VALUE"""),1.0)</f>
        <v>1</v>
      </c>
      <c r="AV61" s="1" t="str">
        <f>IFERROR(__xludf.DUMMYFUNCTION("""COMPUTED_VALUE"""),"NUEVO")</f>
        <v>NUEVO</v>
      </c>
      <c r="AW61" s="1" t="str">
        <f>IFERROR(__xludf.DUMMYFUNCTION("""COMPUTED_VALUE"""),"SI")</f>
        <v>SI</v>
      </c>
      <c r="AX61" s="1"/>
      <c r="AY61" s="1" t="str">
        <f>IFERROR(__xludf.DUMMYFUNCTION("""COMPUTED_VALUE"""),"PAGO COMPLETO")</f>
        <v>PAGO COMPLETO</v>
      </c>
      <c r="AZ61" s="5">
        <f>IFERROR(__xludf.DUMMYFUNCTION("""COMPUTED_VALUE"""),45492.0)</f>
        <v>45492</v>
      </c>
      <c r="BA61" s="1">
        <f>IFERROR(__xludf.DUMMYFUNCTION("""COMPUTED_VALUE"""),0.0)</f>
        <v>0</v>
      </c>
      <c r="BB61" s="1">
        <f>IFERROR(__xludf.DUMMYFUNCTION("""COMPUTED_VALUE"""),0.0)</f>
        <v>0</v>
      </c>
      <c r="BC61" s="4">
        <f>IFERROR(__xludf.DUMMYFUNCTION("""COMPUTED_VALUE"""),0.0)</f>
        <v>0</v>
      </c>
      <c r="BD61" s="4">
        <f>IFERROR(__xludf.DUMMYFUNCTION("""COMPUTED_VALUE"""),0.0)</f>
        <v>0</v>
      </c>
      <c r="BE61" s="1">
        <f>IFERROR(__xludf.DUMMYFUNCTION("""COMPUTED_VALUE"""),7.0)</f>
        <v>7</v>
      </c>
      <c r="BF61" s="6">
        <f>IFERROR(__xludf.DUMMYFUNCTION("""COMPUTED_VALUE"""),1.0)</f>
        <v>1</v>
      </c>
      <c r="BG61" s="1">
        <f>IFERROR(__xludf.DUMMYFUNCTION("""COMPUTED_VALUE"""),1.0)</f>
        <v>1</v>
      </c>
      <c r="BH61" s="1" t="str">
        <f>IFERROR(__xludf.DUMMYFUNCTION("""COMPUTED_VALUE"""),"0")</f>
        <v>0</v>
      </c>
      <c r="BI61" s="4">
        <f>IFERROR(__xludf.DUMMYFUNCTION("""COMPUTED_VALUE"""),1480.0)</f>
        <v>1480</v>
      </c>
      <c r="BJ61" s="1">
        <f>IFERROR(__xludf.DUMMYFUNCTION("""COMPUTED_VALUE"""),0.0)</f>
        <v>0</v>
      </c>
      <c r="BK61" s="4">
        <f>IFERROR(__xludf.DUMMYFUNCTION("""COMPUTED_VALUE"""),0.0)</f>
        <v>0</v>
      </c>
      <c r="BL61" s="1">
        <f>IFERROR(__xludf.DUMMYFUNCTION("""COMPUTED_VALUE"""),1480.0)</f>
        <v>1480</v>
      </c>
      <c r="BM61" s="1">
        <f>IFERROR(__xludf.DUMMYFUNCTION("""COMPUTED_VALUE"""),29.0)</f>
        <v>29</v>
      </c>
      <c r="BN61" s="2">
        <f>IFERROR(__xludf.DUMMYFUNCTION("""COMPUTED_VALUE"""),45488.0)</f>
        <v>45488</v>
      </c>
      <c r="BO61" s="1">
        <f>IFERROR(__xludf.DUMMYFUNCTION("""COMPUTED_VALUE"""),7.0)</f>
        <v>7</v>
      </c>
      <c r="BP61" s="1">
        <f>IFERROR(__xludf.DUMMYFUNCTION("""COMPUTED_VALUE"""),2024.0)</f>
        <v>2024</v>
      </c>
    </row>
    <row r="62">
      <c r="A62" s="1">
        <f>IFERROR(__xludf.DUMMYFUNCTION("""COMPUTED_VALUE"""),61.0)</f>
        <v>61</v>
      </c>
      <c r="B62" s="1">
        <f>IFERROR(__xludf.DUMMYFUNCTION("""COMPUTED_VALUE"""),3400461.0)</f>
        <v>3400461</v>
      </c>
      <c r="C62" s="1" t="str">
        <f>IFERROR(__xludf.DUMMYFUNCTION("""COMPUTED_VALUE"""),"2025-1")</f>
        <v>2025-1</v>
      </c>
      <c r="D62" s="1" t="str">
        <f>IFERROR(__xludf.DUMMYFUNCTION("""COMPUTED_VALUE"""),"Admisión de Alto Rendimiento")</f>
        <v>Admisión de Alto Rendimiento</v>
      </c>
      <c r="E62" s="2">
        <f>IFERROR(__xludf.DUMMYFUNCTION("""COMPUTED_VALUE"""),45492.0)</f>
        <v>45492</v>
      </c>
      <c r="F62" s="1" t="str">
        <f>IFERROR(__xludf.DUMMYFUNCTION("""COMPUTED_VALUE"""),"FRANCESCA LETICIA")</f>
        <v>FRANCESCA LETICIA</v>
      </c>
      <c r="G62" s="1" t="str">
        <f>IFERROR(__xludf.DUMMYFUNCTION("""COMPUTED_VALUE"""),"CENTENO PARIAN")</f>
        <v>CENTENO PARIAN</v>
      </c>
      <c r="H62" s="1" t="str">
        <f>IFERROR(__xludf.DUMMYFUNCTION("""COMPUTED_VALUE"""),"Comunicación Audiovisual y Cine")</f>
        <v>Comunicación Audiovisual y Cine</v>
      </c>
      <c r="I62" s="1" t="str">
        <f>IFERROR(__xludf.DUMMYFUNCTION("""COMPUTED_VALUE"""),"POS")</f>
        <v>POS</v>
      </c>
      <c r="J62" s="1" t="str">
        <f>IFERROR(__xludf.DUMMYFUNCTION("""COMPUTED_VALUE"""),"Diurno")</f>
        <v>Diurno</v>
      </c>
      <c r="K62" s="1" t="str">
        <f>IFERROR(__xludf.DUMMYFUNCTION("""COMPUTED_VALUE"""),"NUEVO")</f>
        <v>NUEVO</v>
      </c>
      <c r="L62" s="1">
        <f>IFERROR(__xludf.DUMMYFUNCTION("""COMPUTED_VALUE"""),0.0)</f>
        <v>0</v>
      </c>
      <c r="M62" s="1">
        <f>IFERROR(__xludf.DUMMYFUNCTION("""COMPUTED_VALUE"""),0.0)</f>
        <v>0</v>
      </c>
      <c r="N62" s="1" t="str">
        <f>IFERROR(__xludf.DUMMYFUNCTION("""COMPUTED_VALUE"""),"BECA")</f>
        <v>BECA</v>
      </c>
      <c r="O62" s="1" t="str">
        <f>IFERROR(__xludf.DUMMYFUNCTION("""COMPUTED_VALUE"""),"BECA CARRERAS CORE")</f>
        <v>BECA CARRERAS CORE</v>
      </c>
      <c r="P62" s="4">
        <f>IFERROR(__xludf.DUMMYFUNCTION("""COMPUTED_VALUE"""),0.0)</f>
        <v>0</v>
      </c>
      <c r="Q62" s="4">
        <f>IFERROR(__xludf.DUMMYFUNCTION("""COMPUTED_VALUE"""),0.0)</f>
        <v>0</v>
      </c>
      <c r="R62" s="4">
        <f>IFERROR(__xludf.DUMMYFUNCTION("""COMPUTED_VALUE"""),1775.0)</f>
        <v>1775</v>
      </c>
      <c r="S62" s="4">
        <f>IFERROR(__xludf.DUMMYFUNCTION("""COMPUTED_VALUE"""),1480.0)</f>
        <v>1480</v>
      </c>
      <c r="T62" s="1" t="str">
        <f>IFERROR(__xludf.DUMMYFUNCTION("""COMPUTED_VALUE"""),"NINGUNO")</f>
        <v>NINGUNO</v>
      </c>
      <c r="U62" s="1" t="str">
        <f>IFERROR(__xludf.DUMMYFUNCTION("""COMPUTED_VALUE"""),"-")</f>
        <v>-</v>
      </c>
      <c r="V62" s="1" t="str">
        <f>IFERROR(__xludf.DUMMYFUNCTION("""COMPUTED_VALUE"""),"Leandro")</f>
        <v>Leandro</v>
      </c>
      <c r="W62" s="1" t="str">
        <f>IFERROR(__xludf.DUMMYFUNCTION("""COMPUTED_VALUE"""),"-")</f>
        <v>-</v>
      </c>
      <c r="X62" s="1" t="str">
        <f>IFERROR(__xludf.DUMMYFUNCTION("""COMPUTED_VALUE"""),"-")</f>
        <v>-</v>
      </c>
      <c r="Y62" s="1" t="str">
        <f>IFERROR(__xludf.DUMMYFUNCTION("""COMPUTED_VALUE"""),"PAGO FRACCIONADO")</f>
        <v>PAGO FRACCIONADO</v>
      </c>
      <c r="Z62" s="1">
        <f>IFERROR(__xludf.DUMMYFUNCTION("""COMPUTED_VALUE"""),300.0)</f>
        <v>300</v>
      </c>
      <c r="AA62" s="1" t="str">
        <f>IFERROR(__xludf.DUMMYFUNCTION("""COMPUTED_VALUE"""),"28/07/2024")</f>
        <v>28/07/2024</v>
      </c>
      <c r="AB62" s="1">
        <f>IFERROR(__xludf.DUMMYFUNCTION("""COMPUTED_VALUE"""),1.0)</f>
        <v>1</v>
      </c>
      <c r="AC62" s="1">
        <f>IFERROR(__xludf.DUMMYFUNCTION("""COMPUTED_VALUE"""),0.0)</f>
        <v>0</v>
      </c>
      <c r="AD62" s="1" t="str">
        <f>IFERROR(__xludf.DUMMYFUNCTION("""COMPUTED_VALUE"""),"Leandro Urbina")</f>
        <v>Leandro Urbina</v>
      </c>
      <c r="AE62" s="1" t="str">
        <f>IFERROR(__xludf.DUMMYFUNCTION("""COMPUTED_VALUE"""),"0")</f>
        <v>0</v>
      </c>
      <c r="AF62" s="1">
        <f>IFERROR(__xludf.DUMMYFUNCTION("""COMPUTED_VALUE"""),2024.0)</f>
        <v>2024</v>
      </c>
      <c r="AG62" s="1">
        <f>IFERROR(__xludf.DUMMYFUNCTION("""COMPUTED_VALUE"""),1311521.0)</f>
        <v>1311521</v>
      </c>
      <c r="AH62" s="1">
        <f>IFERROR(__xludf.DUMMYFUNCTION("""COMPUTED_VALUE"""),17.0)</f>
        <v>17</v>
      </c>
      <c r="AI62" s="1" t="str">
        <f>IFERROR(__xludf.DUMMYFUNCTION("""COMPUTED_VALUE"""),"0000387011")</f>
        <v>0000387011</v>
      </c>
      <c r="AJ62" s="1">
        <f>IFERROR(__xludf.DUMMYFUNCTION("""COMPUTED_VALUE"""),6.1355124E7)</f>
        <v>61355124</v>
      </c>
      <c r="AK62" s="1">
        <f>IFERROR(__xludf.DUMMYFUNCTION("""COMPUTED_VALUE"""),9.62682116E8)</f>
        <v>962682116</v>
      </c>
      <c r="AL62" s="1" t="str">
        <f>IFERROR(__xludf.DUMMYFUNCTION("""COMPUTED_VALUE"""),"francescacenteno18@gmail.com")</f>
        <v>francescacenteno18@gmail.com</v>
      </c>
      <c r="AM62" s="1" t="str">
        <f>IFERROR(__xludf.DUMMYFUNCTION("""COMPUTED_VALUE"""),"FEMENINO")</f>
        <v>FEMENINO</v>
      </c>
      <c r="AN62" s="1">
        <f>IFERROR(__xludf.DUMMYFUNCTION("""COMPUTED_VALUE"""),1775.0)</f>
        <v>1775</v>
      </c>
      <c r="AO62" s="1">
        <f>IFERROR(__xludf.DUMMYFUNCTION("""COMPUTED_VALUE"""),349.0)</f>
        <v>349</v>
      </c>
      <c r="AP62" s="1" t="str">
        <f>IFERROR(__xludf.DUMMYFUNCTION("""COMPUTED_VALUE"""),"COLEGIOS")</f>
        <v>COLEGIOS</v>
      </c>
      <c r="AQ62" s="1" t="str">
        <f>IFERROR(__xludf.DUMMYFUNCTION("""COMPUTED_VALUE"""),"COLEGIOS")</f>
        <v>COLEGIOS</v>
      </c>
      <c r="AR62" s="1" t="str">
        <f>IFERROR(__xludf.DUMMYFUNCTION("""COMPUTED_VALUE"""),"NUEVO")</f>
        <v>NUEVO</v>
      </c>
      <c r="AS62" s="1"/>
      <c r="AT62" s="2">
        <f>IFERROR(__xludf.DUMMYFUNCTION("""COMPUTED_VALUE"""),45483.0)</f>
        <v>45483</v>
      </c>
      <c r="AU62" s="1">
        <f>IFERROR(__xludf.DUMMYFUNCTION("""COMPUTED_VALUE"""),1.0)</f>
        <v>1</v>
      </c>
      <c r="AV62" s="1" t="str">
        <f>IFERROR(__xludf.DUMMYFUNCTION("""COMPUTED_VALUE"""),"NUEVO")</f>
        <v>NUEVO</v>
      </c>
      <c r="AW62" s="1" t="str">
        <f>IFERROR(__xludf.DUMMYFUNCTION("""COMPUTED_VALUE"""),"SI")</f>
        <v>SI</v>
      </c>
      <c r="AX62" s="1"/>
      <c r="AY62" s="1" t="str">
        <f>IFERROR(__xludf.DUMMYFUNCTION("""COMPUTED_VALUE"""),"PAGO COMPLETO")</f>
        <v>PAGO COMPLETO</v>
      </c>
      <c r="AZ62" s="5">
        <f>IFERROR(__xludf.DUMMYFUNCTION("""COMPUTED_VALUE"""),45499.0)</f>
        <v>45499</v>
      </c>
      <c r="BA62" s="1">
        <f>IFERROR(__xludf.DUMMYFUNCTION("""COMPUTED_VALUE"""),1180.0)</f>
        <v>1180</v>
      </c>
      <c r="BB62" s="1">
        <f>IFERROR(__xludf.DUMMYFUNCTION("""COMPUTED_VALUE"""),0.0)</f>
        <v>0</v>
      </c>
      <c r="BC62" s="4">
        <f>IFERROR(__xludf.DUMMYFUNCTION("""COMPUTED_VALUE"""),0.0)</f>
        <v>0</v>
      </c>
      <c r="BD62" s="4">
        <f>IFERROR(__xludf.DUMMYFUNCTION("""COMPUTED_VALUE"""),0.0)</f>
        <v>0</v>
      </c>
      <c r="BE62" s="1">
        <f>IFERROR(__xludf.DUMMYFUNCTION("""COMPUTED_VALUE"""),7.0)</f>
        <v>7</v>
      </c>
      <c r="BF62" s="6">
        <f>IFERROR(__xludf.DUMMYFUNCTION("""COMPUTED_VALUE"""),1.0)</f>
        <v>1</v>
      </c>
      <c r="BG62" s="1">
        <f>IFERROR(__xludf.DUMMYFUNCTION("""COMPUTED_VALUE"""),0.0)</f>
        <v>0</v>
      </c>
      <c r="BH62" s="1" t="str">
        <f>IFERROR(__xludf.DUMMYFUNCTION("""COMPUTED_VALUE"""),"0")</f>
        <v>0</v>
      </c>
      <c r="BI62" s="4">
        <f>IFERROR(__xludf.DUMMYFUNCTION("""COMPUTED_VALUE"""),1480.0)</f>
        <v>1480</v>
      </c>
      <c r="BJ62" s="1">
        <f>IFERROR(__xludf.DUMMYFUNCTION("""COMPUTED_VALUE"""),0.0)</f>
        <v>0</v>
      </c>
      <c r="BK62" s="4">
        <f>IFERROR(__xludf.DUMMYFUNCTION("""COMPUTED_VALUE"""),0.0)</f>
        <v>0</v>
      </c>
      <c r="BL62" s="1">
        <f>IFERROR(__xludf.DUMMYFUNCTION("""COMPUTED_VALUE"""),1480.0)</f>
        <v>1480</v>
      </c>
      <c r="BM62" s="1">
        <f>IFERROR(__xludf.DUMMYFUNCTION("""COMPUTED_VALUE"""),29.0)</f>
        <v>29</v>
      </c>
      <c r="BN62" s="2">
        <f>IFERROR(__xludf.DUMMYFUNCTION("""COMPUTED_VALUE"""),45488.0)</f>
        <v>45488</v>
      </c>
      <c r="BO62" s="1">
        <f>IFERROR(__xludf.DUMMYFUNCTION("""COMPUTED_VALUE"""),7.0)</f>
        <v>7</v>
      </c>
      <c r="BP62" s="1">
        <f>IFERROR(__xludf.DUMMYFUNCTION("""COMPUTED_VALUE"""),2024.0)</f>
        <v>2024</v>
      </c>
    </row>
    <row r="63">
      <c r="A63" s="1">
        <f>IFERROR(__xludf.DUMMYFUNCTION("""COMPUTED_VALUE"""),62.0)</f>
        <v>62</v>
      </c>
      <c r="B63" s="1">
        <f>IFERROR(__xludf.DUMMYFUNCTION("""COMPUTED_VALUE"""),513985.0)</f>
        <v>513985</v>
      </c>
      <c r="C63" s="1" t="str">
        <f>IFERROR(__xludf.DUMMYFUNCTION("""COMPUTED_VALUE"""),"2025-1")</f>
        <v>2025-1</v>
      </c>
      <c r="D63" s="1" t="str">
        <f>IFERROR(__xludf.DUMMYFUNCTION("""COMPUTED_VALUE"""),"Admisión de Alto Rendimiento")</f>
        <v>Admisión de Alto Rendimiento</v>
      </c>
      <c r="E63" s="2">
        <f>IFERROR(__xludf.DUMMYFUNCTION("""COMPUTED_VALUE"""),45499.0)</f>
        <v>45499</v>
      </c>
      <c r="F63" s="1" t="str">
        <f>IFERROR(__xludf.DUMMYFUNCTION("""COMPUTED_VALUE"""),"CRISTINA MIA ")</f>
        <v>CRISTINA MIA </v>
      </c>
      <c r="G63" s="1" t="str">
        <f>IFERROR(__xludf.DUMMYFUNCTION("""COMPUTED_VALUE"""),"DIEZ CANSECO MENDOZA")</f>
        <v>DIEZ CANSECO MENDOZA</v>
      </c>
      <c r="H63" s="1" t="str">
        <f>IFERROR(__xludf.DUMMYFUNCTION("""COMPUTED_VALUE"""),"Comunicación Audiovisual y Cine")</f>
        <v>Comunicación Audiovisual y Cine</v>
      </c>
      <c r="I63" s="1" t="str">
        <f>IFERROR(__xludf.DUMMYFUNCTION("""COMPUTED_VALUE"""),"Pago Link")</f>
        <v>Pago Link</v>
      </c>
      <c r="J63" s="1" t="str">
        <f>IFERROR(__xludf.DUMMYFUNCTION("""COMPUTED_VALUE"""),"Diurno")</f>
        <v>Diurno</v>
      </c>
      <c r="K63" s="1" t="str">
        <f>IFERROR(__xludf.DUMMYFUNCTION("""COMPUTED_VALUE"""),"NUEVO")</f>
        <v>NUEVO</v>
      </c>
      <c r="L63" s="1">
        <f>IFERROR(__xludf.DUMMYFUNCTION("""COMPUTED_VALUE"""),0.0)</f>
        <v>0</v>
      </c>
      <c r="M63" s="1">
        <f>IFERROR(__xludf.DUMMYFUNCTION("""COMPUTED_VALUE"""),0.0)</f>
        <v>0</v>
      </c>
      <c r="N63" s="1" t="str">
        <f>IFERROR(__xludf.DUMMYFUNCTION("""COMPUTED_VALUE"""),"BECA")</f>
        <v>BECA</v>
      </c>
      <c r="O63" s="1" t="str">
        <f>IFERROR(__xludf.DUMMYFUNCTION("""COMPUTED_VALUE"""),"BECA CARRERAS CORE")</f>
        <v>BECA CARRERAS CORE</v>
      </c>
      <c r="P63" s="4">
        <f>IFERROR(__xludf.DUMMYFUNCTION("""COMPUTED_VALUE"""),0.0)</f>
        <v>0</v>
      </c>
      <c r="Q63" s="4">
        <f>IFERROR(__xludf.DUMMYFUNCTION("""COMPUTED_VALUE"""),0.0)</f>
        <v>0</v>
      </c>
      <c r="R63" s="4">
        <f>IFERROR(__xludf.DUMMYFUNCTION("""COMPUTED_VALUE"""),2900.0)</f>
        <v>2900</v>
      </c>
      <c r="S63" s="4">
        <f>IFERROR(__xludf.DUMMYFUNCTION("""COMPUTED_VALUE"""),1760.0)</f>
        <v>1760</v>
      </c>
      <c r="T63" s="1" t="str">
        <f>IFERROR(__xludf.DUMMYFUNCTION("""COMPUTED_VALUE"""),"Visita Guiada")</f>
        <v>Visita Guiada</v>
      </c>
      <c r="U63" s="1" t="str">
        <f>IFERROR(__xludf.DUMMYFUNCTION("""COMPUTED_VALUE"""),"FABIOLA")</f>
        <v>FABIOLA</v>
      </c>
      <c r="V63" s="1" t="str">
        <f>IFERROR(__xludf.DUMMYFUNCTION("""COMPUTED_VALUE"""),"Ninguno")</f>
        <v>Ninguno</v>
      </c>
      <c r="W63" s="1" t="str">
        <f>IFERROR(__xludf.DUMMYFUNCTION("""COMPUTED_VALUE"""),"Metodología de enseñanza")</f>
        <v>Metodología de enseñanza</v>
      </c>
      <c r="X63" s="1" t="str">
        <f>IFERROR(__xludf.DUMMYFUNCTION("""COMPUTED_VALUE"""),"le gusto la propuesta de UCAL DE LAS PRACTICAS DESDE EL PRIMER CICLO")</f>
        <v>le gusto la propuesta de UCAL DE LAS PRACTICAS DESDE EL PRIMER CICLO</v>
      </c>
      <c r="Y63" s="1" t="str">
        <f>IFERROR(__xludf.DUMMYFUNCTION("""COMPUTED_VALUE"""),"PAGO COMPLETO")</f>
        <v>PAGO COMPLETO</v>
      </c>
      <c r="Z63" s="1">
        <f>IFERROR(__xludf.DUMMYFUNCTION("""COMPUTED_VALUE"""),0.0)</f>
        <v>0</v>
      </c>
      <c r="AA63" s="1" t="str">
        <f>IFERROR(__xludf.DUMMYFUNCTION("""COMPUTED_VALUE"""),"-")</f>
        <v>-</v>
      </c>
      <c r="AB63" s="1">
        <f>IFERROR(__xludf.DUMMYFUNCTION("""COMPUTED_VALUE"""),1.0)</f>
        <v>1</v>
      </c>
      <c r="AC63" s="1">
        <f>IFERROR(__xludf.DUMMYFUNCTION("""COMPUTED_VALUE"""),0.0)</f>
        <v>0</v>
      </c>
      <c r="AD63" s="1" t="str">
        <f>IFERROR(__xludf.DUMMYFUNCTION("""COMPUTED_VALUE"""),"Jose Raul Mendez  Nonajulca")</f>
        <v>Jose Raul Mendez  Nonajulca</v>
      </c>
      <c r="AE63" s="1" t="str">
        <f>IFERROR(__xludf.DUMMYFUNCTION("""COMPUTED_VALUE"""),"0")</f>
        <v>0</v>
      </c>
      <c r="AF63" s="1">
        <f>IFERROR(__xludf.DUMMYFUNCTION("""COMPUTED_VALUE"""),2020.0)</f>
        <v>2020</v>
      </c>
      <c r="AG63" s="1">
        <f>IFERROR(__xludf.DUMMYFUNCTION("""COMPUTED_VALUE"""),314385.0)</f>
        <v>314385</v>
      </c>
      <c r="AH63" s="1">
        <f>IFERROR(__xludf.DUMMYFUNCTION("""COMPUTED_VALUE"""),21.0)</f>
        <v>21</v>
      </c>
      <c r="AI63" s="1" t="str">
        <f>IFERROR(__xludf.DUMMYFUNCTION("""COMPUTED_VALUE"""),"2015000138")</f>
        <v>2015000138</v>
      </c>
      <c r="AJ63" s="1">
        <f>IFERROR(__xludf.DUMMYFUNCTION("""COMPUTED_VALUE"""),7.4126014E7)</f>
        <v>74126014</v>
      </c>
      <c r="AK63" s="1">
        <f>IFERROR(__xludf.DUMMYFUNCTION("""COMPUTED_VALUE"""),9.98354275E8)</f>
        <v>998354275</v>
      </c>
      <c r="AL63" s="1" t="str">
        <f>IFERROR(__xludf.DUMMYFUNCTION("""COMPUTED_VALUE"""),"Cristina.diezcanseco2003@gmail.com")</f>
        <v>Cristina.diezcanseco2003@gmail.com</v>
      </c>
      <c r="AM63" s="1" t="str">
        <f>IFERROR(__xludf.DUMMYFUNCTION("""COMPUTED_VALUE"""),"FEMENINO")</f>
        <v>FEMENINO</v>
      </c>
      <c r="AN63" s="1">
        <f>IFERROR(__xludf.DUMMYFUNCTION("""COMPUTED_VALUE"""),2900.0)</f>
        <v>2900</v>
      </c>
      <c r="AO63" s="1">
        <f>IFERROR(__xludf.DUMMYFUNCTION("""COMPUTED_VALUE"""),1940.0)</f>
        <v>1940</v>
      </c>
      <c r="AP63" s="1" t="str">
        <f>IFERROR(__xludf.DUMMYFUNCTION("""COMPUTED_VALUE"""),"BIDIRECCIONAL")</f>
        <v>BIDIRECCIONAL</v>
      </c>
      <c r="AQ63" s="1" t="str">
        <f>IFERROR(__xludf.DUMMYFUNCTION("""COMPUTED_VALUE"""),"ORGANICO")</f>
        <v>ORGANICO</v>
      </c>
      <c r="AR63" s="1" t="str">
        <f>IFERROR(__xludf.DUMMYFUNCTION("""COMPUTED_VALUE"""),"HEREDADO")</f>
        <v>HEREDADO</v>
      </c>
      <c r="AS63" s="1"/>
      <c r="AT63" s="2">
        <f>IFERROR(__xludf.DUMMYFUNCTION("""COMPUTED_VALUE"""),45573.0)</f>
        <v>45573</v>
      </c>
      <c r="AU63" s="1">
        <f>IFERROR(__xludf.DUMMYFUNCTION("""COMPUTED_VALUE"""),1.0)</f>
        <v>1</v>
      </c>
      <c r="AV63" s="1" t="str">
        <f>IFERROR(__xludf.DUMMYFUNCTION("""COMPUTED_VALUE"""),"NUEVO")</f>
        <v>NUEVO</v>
      </c>
      <c r="AW63" s="1" t="str">
        <f>IFERROR(__xludf.DUMMYFUNCTION("""COMPUTED_VALUE"""),"SI")</f>
        <v>SI</v>
      </c>
      <c r="AX63" s="1"/>
      <c r="AY63" s="1" t="str">
        <f>IFERROR(__xludf.DUMMYFUNCTION("""COMPUTED_VALUE"""),"PAGO COMPLETO")</f>
        <v>PAGO COMPLETO</v>
      </c>
      <c r="AZ63" s="5">
        <f>IFERROR(__xludf.DUMMYFUNCTION("""COMPUTED_VALUE"""),45499.0)</f>
        <v>45499</v>
      </c>
      <c r="BA63" s="1">
        <f>IFERROR(__xludf.DUMMYFUNCTION("""COMPUTED_VALUE"""),0.0)</f>
        <v>0</v>
      </c>
      <c r="BB63" s="1">
        <f>IFERROR(__xludf.DUMMYFUNCTION("""COMPUTED_VALUE"""),0.0)</f>
        <v>0</v>
      </c>
      <c r="BC63" s="4">
        <f>IFERROR(__xludf.DUMMYFUNCTION("""COMPUTED_VALUE"""),0.0)</f>
        <v>0</v>
      </c>
      <c r="BD63" s="4">
        <f>IFERROR(__xludf.DUMMYFUNCTION("""COMPUTED_VALUE"""),100.0)</f>
        <v>100</v>
      </c>
      <c r="BE63" s="1">
        <f>IFERROR(__xludf.DUMMYFUNCTION("""COMPUTED_VALUE"""),7.0)</f>
        <v>7</v>
      </c>
      <c r="BF63" s="6">
        <f>IFERROR(__xludf.DUMMYFUNCTION("""COMPUTED_VALUE"""),1.0)</f>
        <v>1</v>
      </c>
      <c r="BG63" s="1">
        <f>IFERROR(__xludf.DUMMYFUNCTION("""COMPUTED_VALUE"""),1.0)</f>
        <v>1</v>
      </c>
      <c r="BH63" s="1" t="str">
        <f>IFERROR(__xludf.DUMMYFUNCTION("""COMPUTED_VALUE"""),"0")</f>
        <v>0</v>
      </c>
      <c r="BI63" s="4">
        <f>IFERROR(__xludf.DUMMYFUNCTION("""COMPUTED_VALUE"""),100.0)</f>
        <v>100</v>
      </c>
      <c r="BJ63" s="1">
        <f>IFERROR(__xludf.DUMMYFUNCTION("""COMPUTED_VALUE"""),1.0)</f>
        <v>1</v>
      </c>
      <c r="BK63" s="4">
        <f>IFERROR(__xludf.DUMMYFUNCTION("""COMPUTED_VALUE"""),100.0)</f>
        <v>100</v>
      </c>
      <c r="BL63" s="1">
        <f>IFERROR(__xludf.DUMMYFUNCTION("""COMPUTED_VALUE"""),1740.0)</f>
        <v>1740</v>
      </c>
      <c r="BM63" s="1">
        <f>IFERROR(__xludf.DUMMYFUNCTION("""COMPUTED_VALUE"""),30.0)</f>
        <v>30</v>
      </c>
      <c r="BN63" s="2">
        <f>IFERROR(__xludf.DUMMYFUNCTION("""COMPUTED_VALUE"""),45495.0)</f>
        <v>45495</v>
      </c>
      <c r="BO63" s="1">
        <f>IFERROR(__xludf.DUMMYFUNCTION("""COMPUTED_VALUE"""),7.0)</f>
        <v>7</v>
      </c>
      <c r="BP63" s="1">
        <f>IFERROR(__xludf.DUMMYFUNCTION("""COMPUTED_VALUE"""),2024.0)</f>
        <v>2024</v>
      </c>
    </row>
    <row r="64">
      <c r="A64" s="1">
        <f>IFERROR(__xludf.DUMMYFUNCTION("""COMPUTED_VALUE"""),63.0)</f>
        <v>63</v>
      </c>
      <c r="B64" s="1">
        <f>IFERROR(__xludf.DUMMYFUNCTION("""COMPUTED_VALUE"""),1098267.0)</f>
        <v>1098267</v>
      </c>
      <c r="C64" s="1" t="str">
        <f>IFERROR(__xludf.DUMMYFUNCTION("""COMPUTED_VALUE"""),"2025-1")</f>
        <v>2025-1</v>
      </c>
      <c r="D64" s="1" t="str">
        <f>IFERROR(__xludf.DUMMYFUNCTION("""COMPUTED_VALUE"""),"Admisión Extraordinaria (Traslados)")</f>
        <v>Admisión Extraordinaria (Traslados)</v>
      </c>
      <c r="E64" s="2">
        <f>IFERROR(__xludf.DUMMYFUNCTION("""COMPUTED_VALUE"""),45499.0)</f>
        <v>45499</v>
      </c>
      <c r="F64" s="1" t="str">
        <f>IFERROR(__xludf.DUMMYFUNCTION("""COMPUTED_VALUE"""),"GRECIA MARIA DE FATIMA ")</f>
        <v>GRECIA MARIA DE FATIMA </v>
      </c>
      <c r="G64" s="1" t="str">
        <f>IFERROR(__xludf.DUMMYFUNCTION("""COMPUTED_VALUE"""),"SALAS MATTOS")</f>
        <v>SALAS MATTOS</v>
      </c>
      <c r="H64" s="1" t="str">
        <f>IFERROR(__xludf.DUMMYFUNCTION("""COMPUTED_VALUE"""),"Arquitectura")</f>
        <v>Arquitectura</v>
      </c>
      <c r="I64" s="1" t="str">
        <f>IFERROR(__xludf.DUMMYFUNCTION("""COMPUTED_VALUE"""),"POS")</f>
        <v>POS</v>
      </c>
      <c r="J64" s="1" t="str">
        <f>IFERROR(__xludf.DUMMYFUNCTION("""COMPUTED_VALUE"""),"Diurno")</f>
        <v>Diurno</v>
      </c>
      <c r="K64" s="1" t="str">
        <f>IFERROR(__xludf.DUMMYFUNCTION("""COMPUTED_VALUE"""),"TRASLADO")</f>
        <v>TRASLADO</v>
      </c>
      <c r="L64" s="1">
        <f>IFERROR(__xludf.DUMMYFUNCTION("""COMPUTED_VALUE"""),1.0)</f>
        <v>1</v>
      </c>
      <c r="M64" s="1">
        <f>IFERROR(__xludf.DUMMYFUNCTION("""COMPUTED_VALUE"""),0.0)</f>
        <v>0</v>
      </c>
      <c r="N64" s="1" t="str">
        <f>IFERROR(__xludf.DUMMYFUNCTION("""COMPUTED_VALUE"""),"RECA")</f>
        <v>RECA</v>
      </c>
      <c r="O64" s="1" t="str">
        <f>IFERROR(__xludf.DUMMYFUNCTION("""COMPUTED_VALUE"""),"RECA TRASLADO CON CONVA")</f>
        <v>RECA TRASLADO CON CONVA</v>
      </c>
      <c r="P64" s="4">
        <f>IFERROR(__xludf.DUMMYFUNCTION("""COMPUTED_VALUE"""),0.0)</f>
        <v>0</v>
      </c>
      <c r="Q64" s="4">
        <f>IFERROR(__xludf.DUMMYFUNCTION("""COMPUTED_VALUE"""),0.0)</f>
        <v>0</v>
      </c>
      <c r="R64" s="4">
        <f>IFERROR(__xludf.DUMMYFUNCTION("""COMPUTED_VALUE"""),1775.0)</f>
        <v>1775</v>
      </c>
      <c r="S64" s="4">
        <f>IFERROR(__xludf.DUMMYFUNCTION("""COMPUTED_VALUE"""),900.0)</f>
        <v>900</v>
      </c>
      <c r="T64" s="1" t="str">
        <f>IFERROR(__xludf.DUMMYFUNCTION("""COMPUTED_VALUE"""),"NINGUNO")</f>
        <v>NINGUNO</v>
      </c>
      <c r="U64" s="1" t="str">
        <f>IFERROR(__xludf.DUMMYFUNCTION("""COMPUTED_VALUE"""),"FABIOLA")</f>
        <v>FABIOLA</v>
      </c>
      <c r="V64" s="1" t="str">
        <f>IFERROR(__xludf.DUMMYFUNCTION("""COMPUTED_VALUE"""),"Ninguno")</f>
        <v>Ninguno</v>
      </c>
      <c r="W64" s="1" t="str">
        <f>IFERROR(__xludf.DUMMYFUNCTION("""COMPUTED_VALUE"""),"Malla curricular")</f>
        <v>Malla curricular</v>
      </c>
      <c r="X64" s="1" t="str">
        <f>IFERROR(__xludf.DUMMYFUNCTION("""COMPUTED_VALUE"""),"-")</f>
        <v>-</v>
      </c>
      <c r="Y64" s="1" t="str">
        <f>IFERROR(__xludf.DUMMYFUNCTION("""COMPUTED_VALUE"""),"PAGO COMPLETO")</f>
        <v>PAGO COMPLETO</v>
      </c>
      <c r="Z64" s="1">
        <f>IFERROR(__xludf.DUMMYFUNCTION("""COMPUTED_VALUE"""),0.0)</f>
        <v>0</v>
      </c>
      <c r="AA64" s="1" t="str">
        <f>IFERROR(__xludf.DUMMYFUNCTION("""COMPUTED_VALUE"""),"-")</f>
        <v>-</v>
      </c>
      <c r="AB64" s="1">
        <f>IFERROR(__xludf.DUMMYFUNCTION("""COMPUTED_VALUE"""),1.0)</f>
        <v>1</v>
      </c>
      <c r="AC64" s="1">
        <f>IFERROR(__xludf.DUMMYFUNCTION("""COMPUTED_VALUE"""),1.0)</f>
        <v>1</v>
      </c>
      <c r="AD64" s="1" t="str">
        <f>IFERROR(__xludf.DUMMYFUNCTION("""COMPUTED_VALUE"""),"Andrea Araujo Antara")</f>
        <v>Andrea Araujo Antara</v>
      </c>
      <c r="AE64" s="1" t="str">
        <f>IFERROR(__xludf.DUMMYFUNCTION("""COMPUTED_VALUE"""),"Instituto de Educación Superior Tecnológico Privado Toulouse Lautrec")</f>
        <v>Instituto de Educación Superior Tecnológico Privado Toulouse Lautrec</v>
      </c>
      <c r="AF64" s="1">
        <f>IFERROR(__xludf.DUMMYFUNCTION("""COMPUTED_VALUE"""),2024.0)</f>
        <v>2024</v>
      </c>
      <c r="AG64" s="1">
        <f>IFERROR(__xludf.DUMMYFUNCTION("""COMPUTED_VALUE"""),304428.0)</f>
        <v>304428</v>
      </c>
      <c r="AH64" s="1">
        <f>IFERROR(__xludf.DUMMYFUNCTION("""COMPUTED_VALUE"""),27.0)</f>
        <v>27</v>
      </c>
      <c r="AI64" s="1" t="str">
        <f>IFERROR(__xludf.DUMMYFUNCTION("""COMPUTED_VALUE"""),"2020008861")</f>
        <v>2020008861</v>
      </c>
      <c r="AJ64" s="1">
        <f>IFERROR(__xludf.DUMMYFUNCTION("""COMPUTED_VALUE"""),7.3136437E7)</f>
        <v>73136437</v>
      </c>
      <c r="AK64" s="1">
        <f>IFERROR(__xludf.DUMMYFUNCTION("""COMPUTED_VALUE"""),9.89556452E8)</f>
        <v>989556452</v>
      </c>
      <c r="AL64" s="1" t="str">
        <f>IFERROR(__xludf.DUMMYFUNCTION("""COMPUTED_VALUE"""),"grecia.salasmattos@gmail.com")</f>
        <v>grecia.salasmattos@gmail.com</v>
      </c>
      <c r="AM64" s="1" t="str">
        <f>IFERROR(__xludf.DUMMYFUNCTION("""COMPUTED_VALUE"""),"FEMENINO")</f>
        <v>FEMENINO</v>
      </c>
      <c r="AN64" s="1">
        <f>IFERROR(__xludf.DUMMYFUNCTION("""COMPUTED_VALUE"""),1775.0)</f>
        <v>1775</v>
      </c>
      <c r="AO64" s="1">
        <f>IFERROR(__xludf.DUMMYFUNCTION("""COMPUTED_VALUE"""),475.0)</f>
        <v>475</v>
      </c>
      <c r="AP64" s="1" t="str">
        <f>IFERROR(__xludf.DUMMYFUNCTION("""COMPUTED_VALUE"""),"OUTBOUND")</f>
        <v>OUTBOUND</v>
      </c>
      <c r="AQ64" s="1" t="str">
        <f>IFERROR(__xludf.DUMMYFUNCTION("""COMPUTED_VALUE"""),"OUTBOUND")</f>
        <v>OUTBOUND</v>
      </c>
      <c r="AR64" s="1"/>
      <c r="AS64" s="1"/>
      <c r="AT64" s="1"/>
      <c r="AU64" s="1">
        <f>IFERROR(__xludf.DUMMYFUNCTION("""COMPUTED_VALUE"""),1.0)</f>
        <v>1</v>
      </c>
      <c r="AV64" s="1" t="str">
        <f>IFERROR(__xludf.DUMMYFUNCTION("""COMPUTED_VALUE"""),"TRASLADO")</f>
        <v>TRASLADO</v>
      </c>
      <c r="AW64" s="1" t="str">
        <f>IFERROR(__xludf.DUMMYFUNCTION("""COMPUTED_VALUE"""),"SI")</f>
        <v>SI</v>
      </c>
      <c r="AX64" s="1"/>
      <c r="AY64" s="1" t="str">
        <f>IFERROR(__xludf.DUMMYFUNCTION("""COMPUTED_VALUE"""),"PAGO COMPLETO")</f>
        <v>PAGO COMPLETO</v>
      </c>
      <c r="AZ64" s="5">
        <f>IFERROR(__xludf.DUMMYFUNCTION("""COMPUTED_VALUE"""),45499.0)</f>
        <v>45499</v>
      </c>
      <c r="BA64" s="1">
        <f>IFERROR(__xludf.DUMMYFUNCTION("""COMPUTED_VALUE"""),0.0)</f>
        <v>0</v>
      </c>
      <c r="BB64" s="1">
        <f>IFERROR(__xludf.DUMMYFUNCTION("""COMPUTED_VALUE"""),0.0)</f>
        <v>0</v>
      </c>
      <c r="BC64" s="4">
        <f>IFERROR(__xludf.DUMMYFUNCTION("""COMPUTED_VALUE"""),0.0)</f>
        <v>0</v>
      </c>
      <c r="BD64" s="4">
        <f>IFERROR(__xludf.DUMMYFUNCTION("""COMPUTED_VALUE"""),0.0)</f>
        <v>0</v>
      </c>
      <c r="BE64" s="1">
        <f>IFERROR(__xludf.DUMMYFUNCTION("""COMPUTED_VALUE"""),7.0)</f>
        <v>7</v>
      </c>
      <c r="BF64" s="6">
        <f>IFERROR(__xludf.DUMMYFUNCTION("""COMPUTED_VALUE"""),1.0)</f>
        <v>1</v>
      </c>
      <c r="BG64" s="1">
        <f>IFERROR(__xludf.DUMMYFUNCTION("""COMPUTED_VALUE"""),1.0)</f>
        <v>1</v>
      </c>
      <c r="BH64" s="1" t="str">
        <f>IFERROR(__xludf.DUMMYFUNCTION("""COMPUTED_VALUE"""),"0")</f>
        <v>0</v>
      </c>
      <c r="BI64" s="4">
        <f>IFERROR(__xludf.DUMMYFUNCTION("""COMPUTED_VALUE"""),0.0)</f>
        <v>0</v>
      </c>
      <c r="BJ64" s="1">
        <f>IFERROR(__xludf.DUMMYFUNCTION("""COMPUTED_VALUE"""),1.0)</f>
        <v>1</v>
      </c>
      <c r="BK64" s="4">
        <f>IFERROR(__xludf.DUMMYFUNCTION("""COMPUTED_VALUE"""),0.0)</f>
        <v>0</v>
      </c>
      <c r="BL64" s="1">
        <f>IFERROR(__xludf.DUMMYFUNCTION("""COMPUTED_VALUE"""),900.0)</f>
        <v>900</v>
      </c>
      <c r="BM64" s="1">
        <f>IFERROR(__xludf.DUMMYFUNCTION("""COMPUTED_VALUE"""),30.0)</f>
        <v>30</v>
      </c>
      <c r="BN64" s="2">
        <f>IFERROR(__xludf.DUMMYFUNCTION("""COMPUTED_VALUE"""),45495.0)</f>
        <v>45495</v>
      </c>
      <c r="BO64" s="1">
        <f>IFERROR(__xludf.DUMMYFUNCTION("""COMPUTED_VALUE"""),7.0)</f>
        <v>7</v>
      </c>
      <c r="BP64" s="1">
        <f>IFERROR(__xludf.DUMMYFUNCTION("""COMPUTED_VALUE"""),2024.0)</f>
        <v>2024</v>
      </c>
    </row>
    <row r="65">
      <c r="A65" s="1">
        <f>IFERROR(__xludf.DUMMYFUNCTION("""COMPUTED_VALUE"""),64.0)</f>
        <v>64</v>
      </c>
      <c r="B65" s="1">
        <f>IFERROR(__xludf.DUMMYFUNCTION("""COMPUTED_VALUE"""),2195434.0)</f>
        <v>2195434</v>
      </c>
      <c r="C65" s="1" t="str">
        <f>IFERROR(__xludf.DUMMYFUNCTION("""COMPUTED_VALUE"""),"2025-1")</f>
        <v>2025-1</v>
      </c>
      <c r="D65" s="1" t="str">
        <f>IFERROR(__xludf.DUMMYFUNCTION("""COMPUTED_VALUE"""),"Admisión de Alto Rendimiento")</f>
        <v>Admisión de Alto Rendimiento</v>
      </c>
      <c r="E65" s="2">
        <f>IFERROR(__xludf.DUMMYFUNCTION("""COMPUTED_VALUE"""),45500.0)</f>
        <v>45500</v>
      </c>
      <c r="F65" s="1" t="str">
        <f>IFERROR(__xludf.DUMMYFUNCTION("""COMPUTED_VALUE"""),"LUCIANA VALENTINA")</f>
        <v>LUCIANA VALENTINA</v>
      </c>
      <c r="G65" s="1" t="str">
        <f>IFERROR(__xludf.DUMMYFUNCTION("""COMPUTED_VALUE"""),"CHUNGA SANCHEZ")</f>
        <v>CHUNGA SANCHEZ</v>
      </c>
      <c r="H65" s="1" t="str">
        <f>IFERROR(__xludf.DUMMYFUNCTION("""COMPUTED_VALUE"""),"Diseño Gráfico Publicitario")</f>
        <v>Diseño Gráfico Publicitario</v>
      </c>
      <c r="I65" s="1" t="str">
        <f>IFERROR(__xludf.DUMMYFUNCTION("""COMPUTED_VALUE"""),"CARGO")</f>
        <v>CARGO</v>
      </c>
      <c r="J65" s="1" t="str">
        <f>IFERROR(__xludf.DUMMYFUNCTION("""COMPUTED_VALUE"""),"Diurno")</f>
        <v>Diurno</v>
      </c>
      <c r="K65" s="1" t="str">
        <f>IFERROR(__xludf.DUMMYFUNCTION("""COMPUTED_VALUE"""),"NUEVO")</f>
        <v>NUEVO</v>
      </c>
      <c r="L65" s="1">
        <f>IFERROR(__xludf.DUMMYFUNCTION("""COMPUTED_VALUE"""),0.0)</f>
        <v>0</v>
      </c>
      <c r="M65" s="1">
        <f>IFERROR(__xludf.DUMMYFUNCTION("""COMPUTED_VALUE"""),0.0)</f>
        <v>0</v>
      </c>
      <c r="N65" s="1" t="str">
        <f>IFERROR(__xludf.DUMMYFUNCTION("""COMPUTED_VALUE"""),"BECA")</f>
        <v>BECA</v>
      </c>
      <c r="O65" s="1" t="str">
        <f>IFERROR(__xludf.DUMMYFUNCTION("""COMPUTED_VALUE"""),"BECA CADENA COLEGIOS")</f>
        <v>BECA CADENA COLEGIOS</v>
      </c>
      <c r="P65" s="4">
        <f>IFERROR(__xludf.DUMMYFUNCTION("""COMPUTED_VALUE"""),0.0)</f>
        <v>0</v>
      </c>
      <c r="Q65" s="4">
        <f>IFERROR(__xludf.DUMMYFUNCTION("""COMPUTED_VALUE"""),0.0)</f>
        <v>0</v>
      </c>
      <c r="R65" s="4">
        <f>IFERROR(__xludf.DUMMYFUNCTION("""COMPUTED_VALUE"""),1850.0)</f>
        <v>1850</v>
      </c>
      <c r="S65" s="4">
        <f>IFERROR(__xludf.DUMMYFUNCTION("""COMPUTED_VALUE"""),1250.0)</f>
        <v>1250</v>
      </c>
      <c r="T65" s="1" t="str">
        <f>IFERROR(__xludf.DUMMYFUNCTION("""COMPUTED_VALUE"""),"NINGUNO")</f>
        <v>NINGUNO</v>
      </c>
      <c r="U65" s="1" t="str">
        <f>IFERROR(__xludf.DUMMYFUNCTION("""COMPUTED_VALUE"""),"FABIOLA")</f>
        <v>FABIOLA</v>
      </c>
      <c r="V65" s="1" t="str">
        <f>IFERROR(__xludf.DUMMYFUNCTION("""COMPUTED_VALUE"""),"-")</f>
        <v>-</v>
      </c>
      <c r="W65" s="1" t="str">
        <f>IFERROR(__xludf.DUMMYFUNCTION("""COMPUTED_VALUE"""),"Metodología de enseñanza")</f>
        <v>Metodología de enseñanza</v>
      </c>
      <c r="X65" s="1" t="str">
        <f>IFERROR(__xludf.DUMMYFUNCTION("""COMPUTED_VALUE"""),"-")</f>
        <v>-</v>
      </c>
      <c r="Y65" s="1" t="str">
        <f>IFERROR(__xludf.DUMMYFUNCTION("""COMPUTED_VALUE"""),"PAGO COMPLETO")</f>
        <v>PAGO COMPLETO</v>
      </c>
      <c r="Z65" s="1">
        <f>IFERROR(__xludf.DUMMYFUNCTION("""COMPUTED_VALUE"""),0.0)</f>
        <v>0</v>
      </c>
      <c r="AA65" s="1" t="str">
        <f>IFERROR(__xludf.DUMMYFUNCTION("""COMPUTED_VALUE"""),"-")</f>
        <v>-</v>
      </c>
      <c r="AB65" s="1">
        <f>IFERROR(__xludf.DUMMYFUNCTION("""COMPUTED_VALUE"""),0.0)</f>
        <v>0</v>
      </c>
      <c r="AC65" s="1">
        <f>IFERROR(__xludf.DUMMYFUNCTION("""COMPUTED_VALUE"""),0.0)</f>
        <v>0</v>
      </c>
      <c r="AD65" s="1" t="str">
        <f>IFERROR(__xludf.DUMMYFUNCTION("""COMPUTED_VALUE"""),"Stefano Napuri")</f>
        <v>Stefano Napuri</v>
      </c>
      <c r="AE65" s="1" t="str">
        <f>IFERROR(__xludf.DUMMYFUNCTION("""COMPUTED_VALUE"""),"0")</f>
        <v>0</v>
      </c>
      <c r="AF65" s="1">
        <f>IFERROR(__xludf.DUMMYFUNCTION("""COMPUTED_VALUE"""),2024.0)</f>
        <v>2024</v>
      </c>
      <c r="AG65" s="1">
        <f>IFERROR(__xludf.DUMMYFUNCTION("""COMPUTED_VALUE"""),1699206.0)</f>
        <v>1699206</v>
      </c>
      <c r="AH65" s="1">
        <f>IFERROR(__xludf.DUMMYFUNCTION("""COMPUTED_VALUE"""),17.0)</f>
        <v>17</v>
      </c>
      <c r="AI65" s="1" t="str">
        <f>IFERROR(__xludf.DUMMYFUNCTION("""COMPUTED_VALUE"""),"0000387879")</f>
        <v>0000387879</v>
      </c>
      <c r="AJ65" s="1">
        <f>IFERROR(__xludf.DUMMYFUNCTION("""COMPUTED_VALUE"""),7.0719791E7)</f>
        <v>70719791</v>
      </c>
      <c r="AK65" s="1">
        <f>IFERROR(__xludf.DUMMYFUNCTION("""COMPUTED_VALUE"""),9.48903813E8)</f>
        <v>948903813</v>
      </c>
      <c r="AL65" s="1" t="str">
        <f>IFERROR(__xludf.DUMMYFUNCTION("""COMPUTED_VALUE"""),"valena600.x@gmail.com")</f>
        <v>valena600.x@gmail.com</v>
      </c>
      <c r="AM65" s="1" t="str">
        <f>IFERROR(__xludf.DUMMYFUNCTION("""COMPUTED_VALUE"""),"FEMENINO")</f>
        <v>FEMENINO</v>
      </c>
      <c r="AN65" s="1">
        <f>IFERROR(__xludf.DUMMYFUNCTION("""COMPUTED_VALUE"""),1850.0)</f>
        <v>1850</v>
      </c>
      <c r="AO65" s="1">
        <f>IFERROR(__xludf.DUMMYFUNCTION("""COMPUTED_VALUE"""),657.0)</f>
        <v>657</v>
      </c>
      <c r="AP65" s="1" t="str">
        <f>IFERROR(__xludf.DUMMYFUNCTION("""COMPUTED_VALUE"""),"FORMULARIO")</f>
        <v>FORMULARIO</v>
      </c>
      <c r="AQ65" s="1" t="str">
        <f>IFERROR(__xludf.DUMMYFUNCTION("""COMPUTED_VALUE"""),"ORGANICO")</f>
        <v>ORGANICO</v>
      </c>
      <c r="AR65" s="1" t="str">
        <f>IFERROR(__xludf.DUMMYFUNCTION("""COMPUTED_VALUE"""),"NUEVO")</f>
        <v>NUEVO</v>
      </c>
      <c r="AS65" s="1"/>
      <c r="AT65" s="2">
        <f>IFERROR(__xludf.DUMMYFUNCTION("""COMPUTED_VALUE"""),45444.0)</f>
        <v>45444</v>
      </c>
      <c r="AU65" s="1">
        <f>IFERROR(__xludf.DUMMYFUNCTION("""COMPUTED_VALUE"""),1.0)</f>
        <v>1</v>
      </c>
      <c r="AV65" s="1" t="str">
        <f>IFERROR(__xludf.DUMMYFUNCTION("""COMPUTED_VALUE"""),"NUEVO")</f>
        <v>NUEVO</v>
      </c>
      <c r="AW65" s="1" t="str">
        <f>IFERROR(__xludf.DUMMYFUNCTION("""COMPUTED_VALUE"""),"SI")</f>
        <v>SI</v>
      </c>
      <c r="AX65" s="1"/>
      <c r="AY65" s="1" t="str">
        <f>IFERROR(__xludf.DUMMYFUNCTION("""COMPUTED_VALUE"""),"PAGO COMPLETO")</f>
        <v>PAGO COMPLETO</v>
      </c>
      <c r="AZ65" s="5">
        <f>IFERROR(__xludf.DUMMYFUNCTION("""COMPUTED_VALUE"""),45500.0)</f>
        <v>45500</v>
      </c>
      <c r="BA65" s="1">
        <f>IFERROR(__xludf.DUMMYFUNCTION("""COMPUTED_VALUE"""),0.0)</f>
        <v>0</v>
      </c>
      <c r="BB65" s="1">
        <f>IFERROR(__xludf.DUMMYFUNCTION("""COMPUTED_VALUE"""),0.0)</f>
        <v>0</v>
      </c>
      <c r="BC65" s="4">
        <f>IFERROR(__xludf.DUMMYFUNCTION("""COMPUTED_VALUE"""),0.0)</f>
        <v>0</v>
      </c>
      <c r="BD65" s="4">
        <f>IFERROR(__xludf.DUMMYFUNCTION("""COMPUTED_VALUE"""),0.0)</f>
        <v>0</v>
      </c>
      <c r="BE65" s="1">
        <f>IFERROR(__xludf.DUMMYFUNCTION("""COMPUTED_VALUE"""),7.0)</f>
        <v>7</v>
      </c>
      <c r="BF65" s="6">
        <f>IFERROR(__xludf.DUMMYFUNCTION("""COMPUTED_VALUE"""),1.0)</f>
        <v>1</v>
      </c>
      <c r="BG65" s="1">
        <f>IFERROR(__xludf.DUMMYFUNCTION("""COMPUTED_VALUE"""),1.0)</f>
        <v>1</v>
      </c>
      <c r="BH65" s="1" t="str">
        <f>IFERROR(__xludf.DUMMYFUNCTION("""COMPUTED_VALUE"""),"0")</f>
        <v>0</v>
      </c>
      <c r="BI65" s="4">
        <f>IFERROR(__xludf.DUMMYFUNCTION("""COMPUTED_VALUE"""),0.0)</f>
        <v>0</v>
      </c>
      <c r="BJ65" s="1">
        <f>IFERROR(__xludf.DUMMYFUNCTION("""COMPUTED_VALUE"""),0.0)</f>
        <v>0</v>
      </c>
      <c r="BK65" s="4">
        <f>IFERROR(__xludf.DUMMYFUNCTION("""COMPUTED_VALUE"""),0.0)</f>
        <v>0</v>
      </c>
      <c r="BL65" s="1">
        <f>IFERROR(__xludf.DUMMYFUNCTION("""COMPUTED_VALUE"""),1250.0)</f>
        <v>1250</v>
      </c>
      <c r="BM65" s="1">
        <f>IFERROR(__xludf.DUMMYFUNCTION("""COMPUTED_VALUE"""),30.0)</f>
        <v>30</v>
      </c>
      <c r="BN65" s="2">
        <f>IFERROR(__xludf.DUMMYFUNCTION("""COMPUTED_VALUE"""),45495.0)</f>
        <v>45495</v>
      </c>
      <c r="BO65" s="1">
        <f>IFERROR(__xludf.DUMMYFUNCTION("""COMPUTED_VALUE"""),7.0)</f>
        <v>7</v>
      </c>
      <c r="BP65" s="1">
        <f>IFERROR(__xludf.DUMMYFUNCTION("""COMPUTED_VALUE"""),2024.0)</f>
        <v>2024</v>
      </c>
    </row>
    <row r="66">
      <c r="A66" s="1">
        <f>IFERROR(__xludf.DUMMYFUNCTION("""COMPUTED_VALUE"""),65.0)</f>
        <v>65</v>
      </c>
      <c r="B66" s="1">
        <f>IFERROR(__xludf.DUMMYFUNCTION("""COMPUTED_VALUE"""),604610.0)</f>
        <v>604610</v>
      </c>
      <c r="C66" s="1" t="str">
        <f>IFERROR(__xludf.DUMMYFUNCTION("""COMPUTED_VALUE"""),"2025-1")</f>
        <v>2025-1</v>
      </c>
      <c r="D66" s="1" t="str">
        <f>IFERROR(__xludf.DUMMYFUNCTION("""COMPUTED_VALUE"""),"Admisión Extraordinaria (Traslados)")</f>
        <v>Admisión Extraordinaria (Traslados)</v>
      </c>
      <c r="E66" s="2">
        <f>IFERROR(__xludf.DUMMYFUNCTION("""COMPUTED_VALUE"""),45500.0)</f>
        <v>45500</v>
      </c>
      <c r="F66" s="1" t="str">
        <f>IFERROR(__xludf.DUMMYFUNCTION("""COMPUTED_VALUE"""),"ANA SOFIA ")</f>
        <v>ANA SOFIA </v>
      </c>
      <c r="G66" s="1" t="str">
        <f>IFERROR(__xludf.DUMMYFUNCTION("""COMPUTED_VALUE"""),"CORDERO VIDAL")</f>
        <v>CORDERO VIDAL</v>
      </c>
      <c r="H66" s="1" t="str">
        <f>IFERROR(__xludf.DUMMYFUNCTION("""COMPUTED_VALUE"""),"Arquitectura")</f>
        <v>Arquitectura</v>
      </c>
      <c r="I66" s="1" t="str">
        <f>IFERROR(__xludf.DUMMYFUNCTION("""COMPUTED_VALUE"""),"POS")</f>
        <v>POS</v>
      </c>
      <c r="J66" s="1" t="str">
        <f>IFERROR(__xludf.DUMMYFUNCTION("""COMPUTED_VALUE"""),"Diurno")</f>
        <v>Diurno</v>
      </c>
      <c r="K66" s="1" t="str">
        <f>IFERROR(__xludf.DUMMYFUNCTION("""COMPUTED_VALUE"""),"TRASLADO")</f>
        <v>TRASLADO</v>
      </c>
      <c r="L66" s="1">
        <f>IFERROR(__xludf.DUMMYFUNCTION("""COMPUTED_VALUE"""),1.0)</f>
        <v>1</v>
      </c>
      <c r="M66" s="1">
        <f>IFERROR(__xludf.DUMMYFUNCTION("""COMPUTED_VALUE"""),0.0)</f>
        <v>0</v>
      </c>
      <c r="N66" s="1" t="str">
        <f>IFERROR(__xludf.DUMMYFUNCTION("""COMPUTED_VALUE"""),"RECA")</f>
        <v>RECA</v>
      </c>
      <c r="O66" s="1" t="str">
        <f>IFERROR(__xludf.DUMMYFUNCTION("""COMPUTED_VALUE"""),"RECA TRASLADO CON CONVA")</f>
        <v>RECA TRASLADO CON CONVA</v>
      </c>
      <c r="P66" s="4">
        <f>IFERROR(__xludf.DUMMYFUNCTION("""COMPUTED_VALUE"""),0.0)</f>
        <v>0</v>
      </c>
      <c r="Q66" s="4">
        <f>IFERROR(__xludf.DUMMYFUNCTION("""COMPUTED_VALUE"""),0.0)</f>
        <v>0</v>
      </c>
      <c r="R66" s="4">
        <f>IFERROR(__xludf.DUMMYFUNCTION("""COMPUTED_VALUE"""),1775.0)</f>
        <v>1775</v>
      </c>
      <c r="S66" s="4">
        <f>IFERROR(__xludf.DUMMYFUNCTION("""COMPUTED_VALUE"""),900.0)</f>
        <v>900</v>
      </c>
      <c r="T66" s="1" t="str">
        <f>IFERROR(__xludf.DUMMYFUNCTION("""COMPUTED_VALUE"""),"NINGUNO")</f>
        <v>NINGUNO</v>
      </c>
      <c r="U66" s="1" t="str">
        <f>IFERROR(__xludf.DUMMYFUNCTION("""COMPUTED_VALUE"""),"FABIOLA")</f>
        <v>FABIOLA</v>
      </c>
      <c r="V66" s="1" t="str">
        <f>IFERROR(__xludf.DUMMYFUNCTION("""COMPUTED_VALUE"""),"Ninguno")</f>
        <v>Ninguno</v>
      </c>
      <c r="W66" s="1" t="str">
        <f>IFERROR(__xludf.DUMMYFUNCTION("""COMPUTED_VALUE"""),"Metodología de enseñanza")</f>
        <v>Metodología de enseñanza</v>
      </c>
      <c r="X66" s="1" t="str">
        <f>IFERROR(__xludf.DUMMYFUNCTION("""COMPUTED_VALUE"""),"desea sacar su titutlo con ucal ")</f>
        <v>desea sacar su titutlo con ucal </v>
      </c>
      <c r="Y66" s="1" t="str">
        <f>IFERROR(__xludf.DUMMYFUNCTION("""COMPUTED_VALUE"""),"PAGO COMPLETO")</f>
        <v>PAGO COMPLETO</v>
      </c>
      <c r="Z66" s="1">
        <f>IFERROR(__xludf.DUMMYFUNCTION("""COMPUTED_VALUE"""),0.0)</f>
        <v>0</v>
      </c>
      <c r="AA66" s="1" t="str">
        <f>IFERROR(__xludf.DUMMYFUNCTION("""COMPUTED_VALUE"""),"-")</f>
        <v>-</v>
      </c>
      <c r="AB66" s="1">
        <f>IFERROR(__xludf.DUMMYFUNCTION("""COMPUTED_VALUE"""),1.0)</f>
        <v>1</v>
      </c>
      <c r="AC66" s="1">
        <f>IFERROR(__xludf.DUMMYFUNCTION("""COMPUTED_VALUE"""),1.0)</f>
        <v>1</v>
      </c>
      <c r="AD66" s="1" t="str">
        <f>IFERROR(__xludf.DUMMYFUNCTION("""COMPUTED_VALUE"""),"Lohana Rivera")</f>
        <v>Lohana Rivera</v>
      </c>
      <c r="AE66" s="1" t="str">
        <f>IFERROR(__xludf.DUMMYFUNCTION("""COMPUTED_VALUE"""),"Instituto de Educación Superior Tecnológico Privado Toulouse Lautrec")</f>
        <v>Instituto de Educación Superior Tecnológico Privado Toulouse Lautrec</v>
      </c>
      <c r="AF66" s="1">
        <f>IFERROR(__xludf.DUMMYFUNCTION("""COMPUTED_VALUE"""),2017.0)</f>
        <v>2017</v>
      </c>
      <c r="AG66" s="1">
        <f>IFERROR(__xludf.DUMMYFUNCTION("""COMPUTED_VALUE"""),1512144.0)</f>
        <v>1512144</v>
      </c>
      <c r="AH66" s="1">
        <f>IFERROR(__xludf.DUMMYFUNCTION("""COMPUTED_VALUE"""),25.0)</f>
        <v>25</v>
      </c>
      <c r="AI66" s="1" t="str">
        <f>IFERROR(__xludf.DUMMYFUNCTION("""COMPUTED_VALUE"""),"2018002207")</f>
        <v>2018002207</v>
      </c>
      <c r="AJ66" s="1">
        <f>IFERROR(__xludf.DUMMYFUNCTION("""COMPUTED_VALUE"""),7.8976934E7)</f>
        <v>78976934</v>
      </c>
      <c r="AK66" s="1">
        <f>IFERROR(__xludf.DUMMYFUNCTION("""COMPUTED_VALUE"""),9.91085902E8)</f>
        <v>991085902</v>
      </c>
      <c r="AL66" s="1" t="str">
        <f>IFERROR(__xludf.DUMMYFUNCTION("""COMPUTED_VALUE"""),"sophiacv10@gmail.com")</f>
        <v>sophiacv10@gmail.com</v>
      </c>
      <c r="AM66" s="1" t="str">
        <f>IFERROR(__xludf.DUMMYFUNCTION("""COMPUTED_VALUE"""),"FEMENINO")</f>
        <v>FEMENINO</v>
      </c>
      <c r="AN66" s="1">
        <f>IFERROR(__xludf.DUMMYFUNCTION("""COMPUTED_VALUE"""),1775.0)</f>
        <v>1775</v>
      </c>
      <c r="AO66" s="1">
        <f>IFERROR(__xludf.DUMMYFUNCTION("""COMPUTED_VALUE"""),500.0)</f>
        <v>500</v>
      </c>
      <c r="AP66" s="1" t="str">
        <f>IFERROR(__xludf.DUMMYFUNCTION("""COMPUTED_VALUE"""),"BIDIRECCIONAL")</f>
        <v>BIDIRECCIONAL</v>
      </c>
      <c r="AQ66" s="1" t="str">
        <f>IFERROR(__xludf.DUMMYFUNCTION("""COMPUTED_VALUE"""),"ORGANICO")</f>
        <v>ORGANICO</v>
      </c>
      <c r="AR66" s="1"/>
      <c r="AS66" s="1"/>
      <c r="AT66" s="1"/>
      <c r="AU66" s="1">
        <f>IFERROR(__xludf.DUMMYFUNCTION("""COMPUTED_VALUE"""),1.0)</f>
        <v>1</v>
      </c>
      <c r="AV66" s="1" t="str">
        <f>IFERROR(__xludf.DUMMYFUNCTION("""COMPUTED_VALUE"""),"TRASLADO")</f>
        <v>TRASLADO</v>
      </c>
      <c r="AW66" s="1" t="str">
        <f>IFERROR(__xludf.DUMMYFUNCTION("""COMPUTED_VALUE"""),"SI")</f>
        <v>SI</v>
      </c>
      <c r="AX66" s="1"/>
      <c r="AY66" s="1" t="str">
        <f>IFERROR(__xludf.DUMMYFUNCTION("""COMPUTED_VALUE"""),"PAGO COMPLETO")</f>
        <v>PAGO COMPLETO</v>
      </c>
      <c r="AZ66" s="5">
        <f>IFERROR(__xludf.DUMMYFUNCTION("""COMPUTED_VALUE"""),45500.0)</f>
        <v>45500</v>
      </c>
      <c r="BA66" s="1">
        <f>IFERROR(__xludf.DUMMYFUNCTION("""COMPUTED_VALUE"""),0.0)</f>
        <v>0</v>
      </c>
      <c r="BB66" s="1">
        <f>IFERROR(__xludf.DUMMYFUNCTION("""COMPUTED_VALUE"""),0.0)</f>
        <v>0</v>
      </c>
      <c r="BC66" s="4">
        <f>IFERROR(__xludf.DUMMYFUNCTION("""COMPUTED_VALUE"""),0.0)</f>
        <v>0</v>
      </c>
      <c r="BD66" s="4">
        <f>IFERROR(__xludf.DUMMYFUNCTION("""COMPUTED_VALUE"""),0.0)</f>
        <v>0</v>
      </c>
      <c r="BE66" s="1">
        <f>IFERROR(__xludf.DUMMYFUNCTION("""COMPUTED_VALUE"""),7.0)</f>
        <v>7</v>
      </c>
      <c r="BF66" s="6">
        <f>IFERROR(__xludf.DUMMYFUNCTION("""COMPUTED_VALUE"""),1.0)</f>
        <v>1</v>
      </c>
      <c r="BG66" s="1">
        <f>IFERROR(__xludf.DUMMYFUNCTION("""COMPUTED_VALUE"""),1.0)</f>
        <v>1</v>
      </c>
      <c r="BH66" s="1" t="str">
        <f>IFERROR(__xludf.DUMMYFUNCTION("""COMPUTED_VALUE"""),"1")</f>
        <v>1</v>
      </c>
      <c r="BI66" s="4">
        <f>IFERROR(__xludf.DUMMYFUNCTION("""COMPUTED_VALUE"""),0.0)</f>
        <v>0</v>
      </c>
      <c r="BJ66" s="1">
        <f>IFERROR(__xludf.DUMMYFUNCTION("""COMPUTED_VALUE"""),1.0)</f>
        <v>1</v>
      </c>
      <c r="BK66" s="4">
        <f>IFERROR(__xludf.DUMMYFUNCTION("""COMPUTED_VALUE"""),0.0)</f>
        <v>0</v>
      </c>
      <c r="BL66" s="1">
        <f>IFERROR(__xludf.DUMMYFUNCTION("""COMPUTED_VALUE"""),900.0)</f>
        <v>900</v>
      </c>
      <c r="BM66" s="1">
        <f>IFERROR(__xludf.DUMMYFUNCTION("""COMPUTED_VALUE"""),30.0)</f>
        <v>30</v>
      </c>
      <c r="BN66" s="2">
        <f>IFERROR(__xludf.DUMMYFUNCTION("""COMPUTED_VALUE"""),45495.0)</f>
        <v>45495</v>
      </c>
      <c r="BO66" s="1">
        <f>IFERROR(__xludf.DUMMYFUNCTION("""COMPUTED_VALUE"""),7.0)</f>
        <v>7</v>
      </c>
      <c r="BP66" s="1">
        <f>IFERROR(__xludf.DUMMYFUNCTION("""COMPUTED_VALUE"""),2024.0)</f>
        <v>2024</v>
      </c>
    </row>
    <row r="67">
      <c r="A67" s="1">
        <f>IFERROR(__xludf.DUMMYFUNCTION("""COMPUTED_VALUE"""),66.0)</f>
        <v>66</v>
      </c>
      <c r="B67" s="1">
        <f>IFERROR(__xludf.DUMMYFUNCTION("""COMPUTED_VALUE"""),2600174.0)</f>
        <v>2600174</v>
      </c>
      <c r="C67" s="1" t="str">
        <f>IFERROR(__xludf.DUMMYFUNCTION("""COMPUTED_VALUE"""),"2025-1")</f>
        <v>2025-1</v>
      </c>
      <c r="D67" s="1" t="str">
        <f>IFERROR(__xludf.DUMMYFUNCTION("""COMPUTED_VALUE"""),"Admisión de Alto Rendimiento")</f>
        <v>Admisión de Alto Rendimiento</v>
      </c>
      <c r="E67" s="2">
        <f>IFERROR(__xludf.DUMMYFUNCTION("""COMPUTED_VALUE"""),45503.0)</f>
        <v>45503</v>
      </c>
      <c r="F67" s="1" t="str">
        <f>IFERROR(__xludf.DUMMYFUNCTION("""COMPUTED_VALUE"""),"Emily Xiomara ")</f>
        <v>Emily Xiomara </v>
      </c>
      <c r="G67" s="1" t="str">
        <f>IFERROR(__xludf.DUMMYFUNCTION("""COMPUTED_VALUE"""),"Purhuaya Díaz")</f>
        <v>Purhuaya Díaz</v>
      </c>
      <c r="H67" s="1" t="str">
        <f>IFERROR(__xludf.DUMMYFUNCTION("""COMPUTED_VALUE"""),"Arquitectura de Interiores")</f>
        <v>Arquitectura de Interiores</v>
      </c>
      <c r="I67" s="1" t="str">
        <f>IFERROR(__xludf.DUMMYFUNCTION("""COMPUTED_VALUE"""),"POS")</f>
        <v>POS</v>
      </c>
      <c r="J67" s="1" t="str">
        <f>IFERROR(__xludf.DUMMYFUNCTION("""COMPUTED_VALUE"""),"Diurno")</f>
        <v>Diurno</v>
      </c>
      <c r="K67" s="1" t="str">
        <f>IFERROR(__xludf.DUMMYFUNCTION("""COMPUTED_VALUE"""),"NUEVO")</f>
        <v>NUEVO</v>
      </c>
      <c r="L67" s="1">
        <f>IFERROR(__xludf.DUMMYFUNCTION("""COMPUTED_VALUE"""),0.0)</f>
        <v>0</v>
      </c>
      <c r="M67" s="1">
        <f>IFERROR(__xludf.DUMMYFUNCTION("""COMPUTED_VALUE"""),0.0)</f>
        <v>0</v>
      </c>
      <c r="N67" s="1" t="str">
        <f>IFERROR(__xludf.DUMMYFUNCTION("""COMPUTED_VALUE"""),"BECA")</f>
        <v>BECA</v>
      </c>
      <c r="O67" s="1" t="str">
        <f>IFERROR(__xludf.DUMMYFUNCTION("""COMPUTED_VALUE"""),"BECA CADENA COLEGIOS")</f>
        <v>BECA CADENA COLEGIOS</v>
      </c>
      <c r="P67" s="4">
        <f>IFERROR(__xludf.DUMMYFUNCTION("""COMPUTED_VALUE"""),0.0)</f>
        <v>0</v>
      </c>
      <c r="Q67" s="4">
        <f>IFERROR(__xludf.DUMMYFUNCTION("""COMPUTED_VALUE"""),0.0)</f>
        <v>0</v>
      </c>
      <c r="R67" s="4">
        <f>IFERROR(__xludf.DUMMYFUNCTION("""COMPUTED_VALUE"""),1775.0)</f>
        <v>1775</v>
      </c>
      <c r="S67" s="4">
        <f>IFERROR(__xludf.DUMMYFUNCTION("""COMPUTED_VALUE"""),1250.0)</f>
        <v>1250</v>
      </c>
      <c r="T67" s="1" t="str">
        <f>IFERROR(__xludf.DUMMYFUNCTION("""COMPUTED_VALUE"""),"Visita Guiada")</f>
        <v>Visita Guiada</v>
      </c>
      <c r="U67" s="1" t="str">
        <f>IFERROR(__xludf.DUMMYFUNCTION("""COMPUTED_VALUE"""),"FABIOLA")</f>
        <v>FABIOLA</v>
      </c>
      <c r="V67" s="1" t="str">
        <f>IFERROR(__xludf.DUMMYFUNCTION("""COMPUTED_VALUE"""),"-")</f>
        <v>-</v>
      </c>
      <c r="W67" s="1" t="str">
        <f>IFERROR(__xludf.DUMMYFUNCTION("""COMPUTED_VALUE"""),"Metodología de enseñanza")</f>
        <v>Metodología de enseñanza</v>
      </c>
      <c r="X67" s="1" t="str">
        <f>IFERROR(__xludf.DUMMYFUNCTION("""COMPUTED_VALUE"""),"le gusto la metodologia")</f>
        <v>le gusto la metodologia</v>
      </c>
      <c r="Y67" s="1" t="str">
        <f>IFERROR(__xludf.DUMMYFUNCTION("""COMPUTED_VALUE"""),"PAGO COMPLETO")</f>
        <v>PAGO COMPLETO</v>
      </c>
      <c r="Z67" s="1">
        <f>IFERROR(__xludf.DUMMYFUNCTION("""COMPUTED_VALUE"""),0.0)</f>
        <v>0</v>
      </c>
      <c r="AA67" s="1" t="str">
        <f>IFERROR(__xludf.DUMMYFUNCTION("""COMPUTED_VALUE"""),"-")</f>
        <v>-</v>
      </c>
      <c r="AB67" s="1">
        <f>IFERROR(__xludf.DUMMYFUNCTION("""COMPUTED_VALUE"""),1.0)</f>
        <v>1</v>
      </c>
      <c r="AC67" s="1">
        <f>IFERROR(__xludf.DUMMYFUNCTION("""COMPUTED_VALUE"""),0.0)</f>
        <v>0</v>
      </c>
      <c r="AD67" s="1" t="str">
        <f>IFERROR(__xludf.DUMMYFUNCTION("""COMPUTED_VALUE"""),"Cinthia Mariella Orosco")</f>
        <v>Cinthia Mariella Orosco</v>
      </c>
      <c r="AE67" s="1" t="str">
        <f>IFERROR(__xludf.DUMMYFUNCTION("""COMPUTED_VALUE"""),"0")</f>
        <v>0</v>
      </c>
      <c r="AF67" s="1">
        <f>IFERROR(__xludf.DUMMYFUNCTION("""COMPUTED_VALUE"""),2024.0)</f>
        <v>2024</v>
      </c>
      <c r="AG67" s="1">
        <f>IFERROR(__xludf.DUMMYFUNCTION("""COMPUTED_VALUE"""),1645118.0)</f>
        <v>1645118</v>
      </c>
      <c r="AH67" s="1">
        <f>IFERROR(__xludf.DUMMYFUNCTION("""COMPUTED_VALUE"""),17.0)</f>
        <v>17</v>
      </c>
      <c r="AI67" s="1" t="str">
        <f>IFERROR(__xludf.DUMMYFUNCTION("""COMPUTED_VALUE"""),"0000388162")</f>
        <v>0000388162</v>
      </c>
      <c r="AJ67" s="1">
        <f>IFERROR(__xludf.DUMMYFUNCTION("""COMPUTED_VALUE"""),6.1184413E7)</f>
        <v>61184413</v>
      </c>
      <c r="AK67" s="1">
        <f>IFERROR(__xludf.DUMMYFUNCTION("""COMPUTED_VALUE"""),9.80462727E8)</f>
        <v>980462727</v>
      </c>
      <c r="AL67" s="1" t="str">
        <f>IFERROR(__xludf.DUMMYFUNCTION("""COMPUTED_VALUE"""),"61184413@trilce.edu.pe")</f>
        <v>61184413@trilce.edu.pe</v>
      </c>
      <c r="AM67" s="1" t="str">
        <f>IFERROR(__xludf.DUMMYFUNCTION("""COMPUTED_VALUE"""),"FEMENINO")</f>
        <v>FEMENINO</v>
      </c>
      <c r="AN67" s="1">
        <f>IFERROR(__xludf.DUMMYFUNCTION("""COMPUTED_VALUE"""),1775.0)</f>
        <v>1775</v>
      </c>
      <c r="AO67" s="1">
        <f>IFERROR(__xludf.DUMMYFUNCTION("""COMPUTED_VALUE"""),530.0)</f>
        <v>530</v>
      </c>
      <c r="AP67" s="1" t="str">
        <f>IFERROR(__xludf.DUMMYFUNCTION("""COMPUTED_VALUE"""),"INBOUND")</f>
        <v>INBOUND</v>
      </c>
      <c r="AQ67" s="1" t="str">
        <f>IFERROR(__xludf.DUMMYFUNCTION("""COMPUTED_VALUE"""),"INBOUND")</f>
        <v>INBOUND</v>
      </c>
      <c r="AR67" s="1" t="str">
        <f>IFERROR(__xludf.DUMMYFUNCTION("""COMPUTED_VALUE"""),"HEREDADO")</f>
        <v>HEREDADO</v>
      </c>
      <c r="AS67" s="1"/>
      <c r="AT67" s="2">
        <f>IFERROR(__xludf.DUMMYFUNCTION("""COMPUTED_VALUE"""),45444.0)</f>
        <v>45444</v>
      </c>
      <c r="AU67" s="1">
        <f>IFERROR(__xludf.DUMMYFUNCTION("""COMPUTED_VALUE"""),1.0)</f>
        <v>1</v>
      </c>
      <c r="AV67" s="1" t="str">
        <f>IFERROR(__xludf.DUMMYFUNCTION("""COMPUTED_VALUE"""),"NUEVO")</f>
        <v>NUEVO</v>
      </c>
      <c r="AW67" s="1" t="str">
        <f>IFERROR(__xludf.DUMMYFUNCTION("""COMPUTED_VALUE"""),"SI")</f>
        <v>SI</v>
      </c>
      <c r="AX67" s="1"/>
      <c r="AY67" s="1" t="str">
        <f>IFERROR(__xludf.DUMMYFUNCTION("""COMPUTED_VALUE"""),"PAGO COMPLETO")</f>
        <v>PAGO COMPLETO</v>
      </c>
      <c r="AZ67" s="5">
        <f>IFERROR(__xludf.DUMMYFUNCTION("""COMPUTED_VALUE"""),45503.0)</f>
        <v>45503</v>
      </c>
      <c r="BA67" s="1">
        <f>IFERROR(__xludf.DUMMYFUNCTION("""COMPUTED_VALUE"""),0.0)</f>
        <v>0</v>
      </c>
      <c r="BB67" s="1">
        <f>IFERROR(__xludf.DUMMYFUNCTION("""COMPUTED_VALUE"""),0.0)</f>
        <v>0</v>
      </c>
      <c r="BC67" s="4">
        <f>IFERROR(__xludf.DUMMYFUNCTION("""COMPUTED_VALUE"""),0.0)</f>
        <v>0</v>
      </c>
      <c r="BD67" s="4">
        <f>IFERROR(__xludf.DUMMYFUNCTION("""COMPUTED_VALUE"""),100.0)</f>
        <v>100</v>
      </c>
      <c r="BE67" s="1">
        <f>IFERROR(__xludf.DUMMYFUNCTION("""COMPUTED_VALUE"""),7.0)</f>
        <v>7</v>
      </c>
      <c r="BF67" s="6">
        <f>IFERROR(__xludf.DUMMYFUNCTION("""COMPUTED_VALUE"""),1.0)</f>
        <v>1</v>
      </c>
      <c r="BG67" s="1">
        <f>IFERROR(__xludf.DUMMYFUNCTION("""COMPUTED_VALUE"""),1.0)</f>
        <v>1</v>
      </c>
      <c r="BH67" s="1" t="str">
        <f>IFERROR(__xludf.DUMMYFUNCTION("""COMPUTED_VALUE"""),"0")</f>
        <v>0</v>
      </c>
      <c r="BI67" s="4">
        <f>IFERROR(__xludf.DUMMYFUNCTION("""COMPUTED_VALUE"""),100.0)</f>
        <v>100</v>
      </c>
      <c r="BJ67" s="1">
        <f>IFERROR(__xludf.DUMMYFUNCTION("""COMPUTED_VALUE"""),0.0)</f>
        <v>0</v>
      </c>
      <c r="BK67" s="4">
        <f>IFERROR(__xludf.DUMMYFUNCTION("""COMPUTED_VALUE"""),100.0)</f>
        <v>100</v>
      </c>
      <c r="BL67" s="1">
        <f>IFERROR(__xludf.DUMMYFUNCTION("""COMPUTED_VALUE"""),1230.0)</f>
        <v>1230</v>
      </c>
      <c r="BM67" s="1">
        <f>IFERROR(__xludf.DUMMYFUNCTION("""COMPUTED_VALUE"""),31.0)</f>
        <v>31</v>
      </c>
      <c r="BN67" s="2">
        <f>IFERROR(__xludf.DUMMYFUNCTION("""COMPUTED_VALUE"""),45502.0)</f>
        <v>45502</v>
      </c>
      <c r="BO67" s="1">
        <f>IFERROR(__xludf.DUMMYFUNCTION("""COMPUTED_VALUE"""),7.0)</f>
        <v>7</v>
      </c>
      <c r="BP67" s="1">
        <f>IFERROR(__xludf.DUMMYFUNCTION("""COMPUTED_VALUE"""),2024.0)</f>
        <v>2024</v>
      </c>
    </row>
    <row r="68">
      <c r="A68" s="1">
        <f>IFERROR(__xludf.DUMMYFUNCTION("""COMPUTED_VALUE"""),67.0)</f>
        <v>67</v>
      </c>
      <c r="B68" s="1">
        <f>IFERROR(__xludf.DUMMYFUNCTION("""COMPUTED_VALUE"""),3323827.0)</f>
        <v>3323827</v>
      </c>
      <c r="C68" s="1" t="str">
        <f>IFERROR(__xludf.DUMMYFUNCTION("""COMPUTED_VALUE"""),"2025-1")</f>
        <v>2025-1</v>
      </c>
      <c r="D68" s="1" t="str">
        <f>IFERROR(__xludf.DUMMYFUNCTION("""COMPUTED_VALUE"""),"Admisión de Alto Rendimiento")</f>
        <v>Admisión de Alto Rendimiento</v>
      </c>
      <c r="E68" s="2">
        <f>IFERROR(__xludf.DUMMYFUNCTION("""COMPUTED_VALUE"""),45503.0)</f>
        <v>45503</v>
      </c>
      <c r="F68" s="1" t="str">
        <f>IFERROR(__xludf.DUMMYFUNCTION("""COMPUTED_VALUE"""),"ARANZA BELEN ")</f>
        <v>ARANZA BELEN </v>
      </c>
      <c r="G68" s="1" t="str">
        <f>IFERROR(__xludf.DUMMYFUNCTION("""COMPUTED_VALUE"""),"CASTILLO AGUILAR")</f>
        <v>CASTILLO AGUILAR</v>
      </c>
      <c r="H68" s="1" t="str">
        <f>IFERROR(__xludf.DUMMYFUNCTION("""COMPUTED_VALUE"""),"Diseño Gráfico Publicitario")</f>
        <v>Diseño Gráfico Publicitario</v>
      </c>
      <c r="I68" s="1" t="str">
        <f>IFERROR(__xludf.DUMMYFUNCTION("""COMPUTED_VALUE"""),"POS")</f>
        <v>POS</v>
      </c>
      <c r="J68" s="1" t="str">
        <f>IFERROR(__xludf.DUMMYFUNCTION("""COMPUTED_VALUE"""),"Diurno")</f>
        <v>Diurno</v>
      </c>
      <c r="K68" s="1" t="str">
        <f>IFERROR(__xludf.DUMMYFUNCTION("""COMPUTED_VALUE"""),"NUEVO")</f>
        <v>NUEVO</v>
      </c>
      <c r="L68" s="1">
        <f>IFERROR(__xludf.DUMMYFUNCTION("""COMPUTED_VALUE"""),0.0)</f>
        <v>0</v>
      </c>
      <c r="M68" s="1">
        <f>IFERROR(__xludf.DUMMYFUNCTION("""COMPUTED_VALUE"""),0.0)</f>
        <v>0</v>
      </c>
      <c r="N68" s="1" t="str">
        <f>IFERROR(__xludf.DUMMYFUNCTION("""COMPUTED_VALUE"""),"BECA")</f>
        <v>BECA</v>
      </c>
      <c r="O68" s="1" t="str">
        <f>IFERROR(__xludf.DUMMYFUNCTION("""COMPUTED_VALUE"""),"BECA CARRERAS CORE")</f>
        <v>BECA CARRERAS CORE</v>
      </c>
      <c r="P68" s="4">
        <f>IFERROR(__xludf.DUMMYFUNCTION("""COMPUTED_VALUE"""),0.0)</f>
        <v>0</v>
      </c>
      <c r="Q68" s="4">
        <f>IFERROR(__xludf.DUMMYFUNCTION("""COMPUTED_VALUE"""),0.0)</f>
        <v>0</v>
      </c>
      <c r="R68" s="4">
        <f>IFERROR(__xludf.DUMMYFUNCTION("""COMPUTED_VALUE"""),1775.0)</f>
        <v>1775</v>
      </c>
      <c r="S68" s="4">
        <f>IFERROR(__xludf.DUMMYFUNCTION("""COMPUTED_VALUE"""),1300.0)</f>
        <v>1300</v>
      </c>
      <c r="T68" s="1" t="str">
        <f>IFERROR(__xludf.DUMMYFUNCTION("""COMPUTED_VALUE"""),"Visita Guiada")</f>
        <v>Visita Guiada</v>
      </c>
      <c r="U68" s="1" t="str">
        <f>IFERROR(__xludf.DUMMYFUNCTION("""COMPUTED_VALUE"""),"FABIOLA")</f>
        <v>FABIOLA</v>
      </c>
      <c r="V68" s="1" t="str">
        <f>IFERROR(__xludf.DUMMYFUNCTION("""COMPUTED_VALUE"""),"Nicola")</f>
        <v>Nicola</v>
      </c>
      <c r="W68" s="1" t="str">
        <f>IFERROR(__xludf.DUMMYFUNCTION("""COMPUTED_VALUE"""),"Equipos e instalaciones")</f>
        <v>Equipos e instalaciones</v>
      </c>
      <c r="X68" s="1" t="str">
        <f>IFERROR(__xludf.DUMMYFUNCTION("""COMPUTED_VALUE"""),"infrasetructura")</f>
        <v>infrasetructura</v>
      </c>
      <c r="Y68" s="1" t="str">
        <f>IFERROR(__xludf.DUMMYFUNCTION("""COMPUTED_VALUE"""),"PAGO FRACCIONADO")</f>
        <v>PAGO FRACCIONADO</v>
      </c>
      <c r="Z68" s="1">
        <f>IFERROR(__xludf.DUMMYFUNCTION("""COMPUTED_VALUE"""),1100.0)</f>
        <v>1100</v>
      </c>
      <c r="AA68" s="1" t="str">
        <f>IFERROR(__xludf.DUMMYFUNCTION("""COMPUTED_VALUE"""),"31/07/2024")</f>
        <v>31/07/2024</v>
      </c>
      <c r="AB68" s="1">
        <f>IFERROR(__xludf.DUMMYFUNCTION("""COMPUTED_VALUE"""),0.0)</f>
        <v>0</v>
      </c>
      <c r="AC68" s="1">
        <f>IFERROR(__xludf.DUMMYFUNCTION("""COMPUTED_VALUE"""),0.0)</f>
        <v>0</v>
      </c>
      <c r="AD68" s="1" t="str">
        <f>IFERROR(__xludf.DUMMYFUNCTION("""COMPUTED_VALUE"""),"Cinthia Mariella Orosco")</f>
        <v>Cinthia Mariella Orosco</v>
      </c>
      <c r="AE68" s="1" t="str">
        <f>IFERROR(__xludf.DUMMYFUNCTION("""COMPUTED_VALUE"""),"0")</f>
        <v>0</v>
      </c>
      <c r="AF68" s="1">
        <f>IFERROR(__xludf.DUMMYFUNCTION("""COMPUTED_VALUE"""),2024.0)</f>
        <v>2024</v>
      </c>
      <c r="AG68" s="1">
        <f>IFERROR(__xludf.DUMMYFUNCTION("""COMPUTED_VALUE"""),1066513.0)</f>
        <v>1066513</v>
      </c>
      <c r="AH68" s="1">
        <f>IFERROR(__xludf.DUMMYFUNCTION("""COMPUTED_VALUE"""),17.0)</f>
        <v>17</v>
      </c>
      <c r="AI68" s="1" t="str">
        <f>IFERROR(__xludf.DUMMYFUNCTION("""COMPUTED_VALUE"""),"0000388168")</f>
        <v>0000388168</v>
      </c>
      <c r="AJ68" s="1">
        <f>IFERROR(__xludf.DUMMYFUNCTION("""COMPUTED_VALUE"""),7.0710679E7)</f>
        <v>70710679</v>
      </c>
      <c r="AK68" s="1">
        <f>IFERROR(__xludf.DUMMYFUNCTION("""COMPUTED_VALUE"""),9.49215654E8)</f>
        <v>949215654</v>
      </c>
      <c r="AL68" s="1" t="str">
        <f>IFERROR(__xludf.DUMMYFUNCTION("""COMPUTED_VALUE"""),"aranza.b2906@gmail.com")</f>
        <v>aranza.b2906@gmail.com</v>
      </c>
      <c r="AM68" s="1" t="str">
        <f>IFERROR(__xludf.DUMMYFUNCTION("""COMPUTED_VALUE"""),"FEMENINO")</f>
        <v>FEMENINO</v>
      </c>
      <c r="AN68" s="1">
        <f>IFERROR(__xludf.DUMMYFUNCTION("""COMPUTED_VALUE"""),1775.0)</f>
        <v>1775</v>
      </c>
      <c r="AO68" s="1">
        <f>IFERROR(__xludf.DUMMYFUNCTION("""COMPUTED_VALUE"""),500.0)</f>
        <v>500</v>
      </c>
      <c r="AP68" s="1" t="str">
        <f>IFERROR(__xludf.DUMMYFUNCTION("""COMPUTED_VALUE"""),"COLEGIOS")</f>
        <v>COLEGIOS</v>
      </c>
      <c r="AQ68" s="1" t="str">
        <f>IFERROR(__xludf.DUMMYFUNCTION("""COMPUTED_VALUE"""),"COLEGIOS")</f>
        <v>COLEGIOS</v>
      </c>
      <c r="AR68" s="1" t="str">
        <f>IFERROR(__xludf.DUMMYFUNCTION("""COMPUTED_VALUE"""),"NUEVO")</f>
        <v>NUEVO</v>
      </c>
      <c r="AS68" s="1"/>
      <c r="AT68" s="2">
        <f>IFERROR(__xludf.DUMMYFUNCTION("""COMPUTED_VALUE"""),45454.0)</f>
        <v>45454</v>
      </c>
      <c r="AU68" s="1">
        <f>IFERROR(__xludf.DUMMYFUNCTION("""COMPUTED_VALUE"""),1.0)</f>
        <v>1</v>
      </c>
      <c r="AV68" s="1" t="str">
        <f>IFERROR(__xludf.DUMMYFUNCTION("""COMPUTED_VALUE"""),"NUEVO")</f>
        <v>NUEVO</v>
      </c>
      <c r="AW68" s="1" t="str">
        <f>IFERROR(__xludf.DUMMYFUNCTION("""COMPUTED_VALUE"""),"SI")</f>
        <v>SI</v>
      </c>
      <c r="AX68" s="1"/>
      <c r="AY68" s="1" t="str">
        <f>IFERROR(__xludf.DUMMYFUNCTION("""COMPUTED_VALUE"""),"PAGO COMPLETO")</f>
        <v>PAGO COMPLETO</v>
      </c>
      <c r="AZ68" s="5">
        <f>IFERROR(__xludf.DUMMYFUNCTION("""COMPUTED_VALUE"""),45503.0)</f>
        <v>45503</v>
      </c>
      <c r="BA68" s="1">
        <f>IFERROR(__xludf.DUMMYFUNCTION("""COMPUTED_VALUE"""),100.0)</f>
        <v>100</v>
      </c>
      <c r="BB68" s="1">
        <f>IFERROR(__xludf.DUMMYFUNCTION("""COMPUTED_VALUE"""),0.0)</f>
        <v>0</v>
      </c>
      <c r="BC68" s="4">
        <f>IFERROR(__xludf.DUMMYFUNCTION("""COMPUTED_VALUE"""),0.0)</f>
        <v>0</v>
      </c>
      <c r="BD68" s="4">
        <f>IFERROR(__xludf.DUMMYFUNCTION("""COMPUTED_VALUE"""),100.0)</f>
        <v>100</v>
      </c>
      <c r="BE68" s="1">
        <f>IFERROR(__xludf.DUMMYFUNCTION("""COMPUTED_VALUE"""),7.0)</f>
        <v>7</v>
      </c>
      <c r="BF68" s="6">
        <f>IFERROR(__xludf.DUMMYFUNCTION("""COMPUTED_VALUE"""),1.0)</f>
        <v>1</v>
      </c>
      <c r="BG68" s="1">
        <f>IFERROR(__xludf.DUMMYFUNCTION("""COMPUTED_VALUE"""),1.0)</f>
        <v>1</v>
      </c>
      <c r="BH68" s="1" t="str">
        <f>IFERROR(__xludf.DUMMYFUNCTION("""COMPUTED_VALUE"""),"0")</f>
        <v>0</v>
      </c>
      <c r="BI68" s="4">
        <f>IFERROR(__xludf.DUMMYFUNCTION("""COMPUTED_VALUE"""),1300.0)</f>
        <v>1300</v>
      </c>
      <c r="BJ68" s="1">
        <f>IFERROR(__xludf.DUMMYFUNCTION("""COMPUTED_VALUE"""),0.0)</f>
        <v>0</v>
      </c>
      <c r="BK68" s="4">
        <f>IFERROR(__xludf.DUMMYFUNCTION("""COMPUTED_VALUE"""),100.0)</f>
        <v>100</v>
      </c>
      <c r="BL68" s="1">
        <f>IFERROR(__xludf.DUMMYFUNCTION("""COMPUTED_VALUE"""),1280.0)</f>
        <v>1280</v>
      </c>
      <c r="BM68" s="1">
        <f>IFERROR(__xludf.DUMMYFUNCTION("""COMPUTED_VALUE"""),31.0)</f>
        <v>31</v>
      </c>
      <c r="BN68" s="2">
        <f>IFERROR(__xludf.DUMMYFUNCTION("""COMPUTED_VALUE"""),45502.0)</f>
        <v>45502</v>
      </c>
      <c r="BO68" s="1">
        <f>IFERROR(__xludf.DUMMYFUNCTION("""COMPUTED_VALUE"""),7.0)</f>
        <v>7</v>
      </c>
      <c r="BP68" s="1">
        <f>IFERROR(__xludf.DUMMYFUNCTION("""COMPUTED_VALUE"""),2024.0)</f>
        <v>2024</v>
      </c>
    </row>
    <row r="69">
      <c r="A69" s="1">
        <f>IFERROR(__xludf.DUMMYFUNCTION("""COMPUTED_VALUE"""),68.0)</f>
        <v>68</v>
      </c>
      <c r="B69" s="1">
        <f>IFERROR(__xludf.DUMMYFUNCTION("""COMPUTED_VALUE"""),3323828.0)</f>
        <v>3323828</v>
      </c>
      <c r="C69" s="1" t="str">
        <f>IFERROR(__xludf.DUMMYFUNCTION("""COMPUTED_VALUE"""),"2025-1")</f>
        <v>2025-1</v>
      </c>
      <c r="D69" s="1" t="str">
        <f>IFERROR(__xludf.DUMMYFUNCTION("""COMPUTED_VALUE"""),"Admisión de Alto Rendimiento")</f>
        <v>Admisión de Alto Rendimiento</v>
      </c>
      <c r="E69" s="2">
        <f>IFERROR(__xludf.DUMMYFUNCTION("""COMPUTED_VALUE"""),45503.0)</f>
        <v>45503</v>
      </c>
      <c r="F69" s="1" t="str">
        <f>IFERROR(__xludf.DUMMYFUNCTION("""COMPUTED_VALUE"""),"XIMENA ALESSANDRA ")</f>
        <v>XIMENA ALESSANDRA </v>
      </c>
      <c r="G69" s="1" t="str">
        <f>IFERROR(__xludf.DUMMYFUNCTION("""COMPUTED_VALUE"""),"CASTILLO AGUILAR")</f>
        <v>CASTILLO AGUILAR</v>
      </c>
      <c r="H69" s="1" t="str">
        <f>IFERROR(__xludf.DUMMYFUNCTION("""COMPUTED_VALUE"""),"Comunicación Audiovisual y Cine")</f>
        <v>Comunicación Audiovisual y Cine</v>
      </c>
      <c r="I69" s="1" t="str">
        <f>IFERROR(__xludf.DUMMYFUNCTION("""COMPUTED_VALUE"""),"POS")</f>
        <v>POS</v>
      </c>
      <c r="J69" s="1" t="str">
        <f>IFERROR(__xludf.DUMMYFUNCTION("""COMPUTED_VALUE"""),"Diurno")</f>
        <v>Diurno</v>
      </c>
      <c r="K69" s="1" t="str">
        <f>IFERROR(__xludf.DUMMYFUNCTION("""COMPUTED_VALUE"""),"NUEVO")</f>
        <v>NUEVO</v>
      </c>
      <c r="L69" s="1">
        <f>IFERROR(__xludf.DUMMYFUNCTION("""COMPUTED_VALUE"""),0.0)</f>
        <v>0</v>
      </c>
      <c r="M69" s="1">
        <f>IFERROR(__xludf.DUMMYFUNCTION("""COMPUTED_VALUE"""),0.0)</f>
        <v>0</v>
      </c>
      <c r="N69" s="1" t="str">
        <f>IFERROR(__xludf.DUMMYFUNCTION("""COMPUTED_VALUE"""),"BECA")</f>
        <v>BECA</v>
      </c>
      <c r="O69" s="1" t="str">
        <f>IFERROR(__xludf.DUMMYFUNCTION("""COMPUTED_VALUE"""),"BECA CARRERAS CORE")</f>
        <v>BECA CARRERAS CORE</v>
      </c>
      <c r="P69" s="4">
        <f>IFERROR(__xludf.DUMMYFUNCTION("""COMPUTED_VALUE"""),0.0)</f>
        <v>0</v>
      </c>
      <c r="Q69" s="4">
        <f>IFERROR(__xludf.DUMMYFUNCTION("""COMPUTED_VALUE"""),0.0)</f>
        <v>0</v>
      </c>
      <c r="R69" s="4">
        <f>IFERROR(__xludf.DUMMYFUNCTION("""COMPUTED_VALUE"""),1775.0)</f>
        <v>1775</v>
      </c>
      <c r="S69" s="4">
        <f>IFERROR(__xludf.DUMMYFUNCTION("""COMPUTED_VALUE"""),1300.0)</f>
        <v>1300</v>
      </c>
      <c r="T69" s="1" t="str">
        <f>IFERROR(__xludf.DUMMYFUNCTION("""COMPUTED_VALUE"""),"Visita guiada - refirio")</f>
        <v>Visita guiada - refirio</v>
      </c>
      <c r="U69" s="1" t="str">
        <f>IFERROR(__xludf.DUMMYFUNCTION("""COMPUTED_VALUE"""),"FABIOLA")</f>
        <v>FABIOLA</v>
      </c>
      <c r="V69" s="1" t="str">
        <f>IFERROR(__xludf.DUMMYFUNCTION("""COMPUTED_VALUE"""),"Nicola")</f>
        <v>Nicola</v>
      </c>
      <c r="W69" s="1" t="str">
        <f>IFERROR(__xludf.DUMMYFUNCTION("""COMPUTED_VALUE"""),"Metodología de enseñanza")</f>
        <v>Metodología de enseñanza</v>
      </c>
      <c r="X69" s="1" t="str">
        <f>IFERROR(__xludf.DUMMYFUNCTION("""COMPUTED_VALUE"""),"metodologia")</f>
        <v>metodologia</v>
      </c>
      <c r="Y69" s="1" t="str">
        <f>IFERROR(__xludf.DUMMYFUNCTION("""COMPUTED_VALUE"""),"PAGO FRACCIONADO")</f>
        <v>PAGO FRACCIONADO</v>
      </c>
      <c r="Z69" s="1">
        <f>IFERROR(__xludf.DUMMYFUNCTION("""COMPUTED_VALUE"""),1100.0)</f>
        <v>1100</v>
      </c>
      <c r="AA69" s="1" t="str">
        <f>IFERROR(__xludf.DUMMYFUNCTION("""COMPUTED_VALUE"""),"31/07/2024")</f>
        <v>31/07/2024</v>
      </c>
      <c r="AB69" s="1">
        <f>IFERROR(__xludf.DUMMYFUNCTION("""COMPUTED_VALUE"""),0.0)</f>
        <v>0</v>
      </c>
      <c r="AC69" s="1">
        <f>IFERROR(__xludf.DUMMYFUNCTION("""COMPUTED_VALUE"""),0.0)</f>
        <v>0</v>
      </c>
      <c r="AD69" s="1" t="str">
        <f>IFERROR(__xludf.DUMMYFUNCTION("""COMPUTED_VALUE"""),"Cinthia Mariella Orosco")</f>
        <v>Cinthia Mariella Orosco</v>
      </c>
      <c r="AE69" s="1" t="str">
        <f>IFERROR(__xludf.DUMMYFUNCTION("""COMPUTED_VALUE"""),"0")</f>
        <v>0</v>
      </c>
      <c r="AF69" s="1">
        <f>IFERROR(__xludf.DUMMYFUNCTION("""COMPUTED_VALUE"""),2024.0)</f>
        <v>2024</v>
      </c>
      <c r="AG69" s="1">
        <f>IFERROR(__xludf.DUMMYFUNCTION("""COMPUTED_VALUE"""),1066513.0)</f>
        <v>1066513</v>
      </c>
      <c r="AH69" s="1">
        <f>IFERROR(__xludf.DUMMYFUNCTION("""COMPUTED_VALUE"""),17.0)</f>
        <v>17</v>
      </c>
      <c r="AI69" s="1" t="str">
        <f>IFERROR(__xludf.DUMMYFUNCTION("""COMPUTED_VALUE"""),"0000388170")</f>
        <v>0000388170</v>
      </c>
      <c r="AJ69" s="1">
        <f>IFERROR(__xludf.DUMMYFUNCTION("""COMPUTED_VALUE"""),7.0710673E7)</f>
        <v>70710673</v>
      </c>
      <c r="AK69" s="1">
        <f>IFERROR(__xludf.DUMMYFUNCTION("""COMPUTED_VALUE"""),9.50775789E8)</f>
        <v>950775789</v>
      </c>
      <c r="AL69" s="1" t="str">
        <f>IFERROR(__xludf.DUMMYFUNCTION("""COMPUTED_VALUE"""),"ximena.aca07@gmail.com")</f>
        <v>ximena.aca07@gmail.com</v>
      </c>
      <c r="AM69" s="1" t="str">
        <f>IFERROR(__xludf.DUMMYFUNCTION("""COMPUTED_VALUE"""),"FEMENINO")</f>
        <v>FEMENINO</v>
      </c>
      <c r="AN69" s="1">
        <f>IFERROR(__xludf.DUMMYFUNCTION("""COMPUTED_VALUE"""),1775.0)</f>
        <v>1775</v>
      </c>
      <c r="AO69" s="1">
        <f>IFERROR(__xludf.DUMMYFUNCTION("""COMPUTED_VALUE"""),500.0)</f>
        <v>500</v>
      </c>
      <c r="AP69" s="1" t="str">
        <f>IFERROR(__xludf.DUMMYFUNCTION("""COMPUTED_VALUE"""),"COLEGIOS")</f>
        <v>COLEGIOS</v>
      </c>
      <c r="AQ69" s="1" t="str">
        <f>IFERROR(__xludf.DUMMYFUNCTION("""COMPUTED_VALUE"""),"COLEGIOS")</f>
        <v>COLEGIOS</v>
      </c>
      <c r="AR69" s="1" t="str">
        <f>IFERROR(__xludf.DUMMYFUNCTION("""COMPUTED_VALUE"""),"NUEVO")</f>
        <v>NUEVO</v>
      </c>
      <c r="AS69" s="1"/>
      <c r="AT69" s="2">
        <f>IFERROR(__xludf.DUMMYFUNCTION("""COMPUTED_VALUE"""),45454.0)</f>
        <v>45454</v>
      </c>
      <c r="AU69" s="1">
        <f>IFERROR(__xludf.DUMMYFUNCTION("""COMPUTED_VALUE"""),1.0)</f>
        <v>1</v>
      </c>
      <c r="AV69" s="1" t="str">
        <f>IFERROR(__xludf.DUMMYFUNCTION("""COMPUTED_VALUE"""),"NUEVO")</f>
        <v>NUEVO</v>
      </c>
      <c r="AW69" s="1" t="str">
        <f>IFERROR(__xludf.DUMMYFUNCTION("""COMPUTED_VALUE"""),"SI")</f>
        <v>SI</v>
      </c>
      <c r="AX69" s="1"/>
      <c r="AY69" s="1" t="str">
        <f>IFERROR(__xludf.DUMMYFUNCTION("""COMPUTED_VALUE"""),"PAGO COMPLETO")</f>
        <v>PAGO COMPLETO</v>
      </c>
      <c r="AZ69" s="5">
        <f>IFERROR(__xludf.DUMMYFUNCTION("""COMPUTED_VALUE"""),45503.0)</f>
        <v>45503</v>
      </c>
      <c r="BA69" s="1">
        <f>IFERROR(__xludf.DUMMYFUNCTION("""COMPUTED_VALUE"""),100.0)</f>
        <v>100</v>
      </c>
      <c r="BB69" s="1">
        <f>IFERROR(__xludf.DUMMYFUNCTION("""COMPUTED_VALUE"""),0.0)</f>
        <v>0</v>
      </c>
      <c r="BC69" s="4">
        <f>IFERROR(__xludf.DUMMYFUNCTION("""COMPUTED_VALUE"""),0.0)</f>
        <v>0</v>
      </c>
      <c r="BD69" s="4">
        <f>IFERROR(__xludf.DUMMYFUNCTION("""COMPUTED_VALUE"""),100.0)</f>
        <v>100</v>
      </c>
      <c r="BE69" s="1">
        <f>IFERROR(__xludf.DUMMYFUNCTION("""COMPUTED_VALUE"""),7.0)</f>
        <v>7</v>
      </c>
      <c r="BF69" s="6">
        <f>IFERROR(__xludf.DUMMYFUNCTION("""COMPUTED_VALUE"""),1.0)</f>
        <v>1</v>
      </c>
      <c r="BG69" s="1">
        <f>IFERROR(__xludf.DUMMYFUNCTION("""COMPUTED_VALUE"""),1.0)</f>
        <v>1</v>
      </c>
      <c r="BH69" s="1" t="str">
        <f>IFERROR(__xludf.DUMMYFUNCTION("""COMPUTED_VALUE"""),"0")</f>
        <v>0</v>
      </c>
      <c r="BI69" s="4">
        <f>IFERROR(__xludf.DUMMYFUNCTION("""COMPUTED_VALUE"""),1300.0)</f>
        <v>1300</v>
      </c>
      <c r="BJ69" s="1">
        <f>IFERROR(__xludf.DUMMYFUNCTION("""COMPUTED_VALUE"""),0.0)</f>
        <v>0</v>
      </c>
      <c r="BK69" s="4">
        <f>IFERROR(__xludf.DUMMYFUNCTION("""COMPUTED_VALUE"""),1400.0)</f>
        <v>1400</v>
      </c>
      <c r="BL69" s="1">
        <f>IFERROR(__xludf.DUMMYFUNCTION("""COMPUTED_VALUE"""),1020.0)</f>
        <v>1020</v>
      </c>
      <c r="BM69" s="1">
        <f>IFERROR(__xludf.DUMMYFUNCTION("""COMPUTED_VALUE"""),31.0)</f>
        <v>31</v>
      </c>
      <c r="BN69" s="2">
        <f>IFERROR(__xludf.DUMMYFUNCTION("""COMPUTED_VALUE"""),45502.0)</f>
        <v>45502</v>
      </c>
      <c r="BO69" s="1">
        <f>IFERROR(__xludf.DUMMYFUNCTION("""COMPUTED_VALUE"""),7.0)</f>
        <v>7</v>
      </c>
      <c r="BP69" s="1">
        <f>IFERROR(__xludf.DUMMYFUNCTION("""COMPUTED_VALUE"""),2024.0)</f>
        <v>2024</v>
      </c>
    </row>
    <row r="70">
      <c r="A70" s="1">
        <f>IFERROR(__xludf.DUMMYFUNCTION("""COMPUTED_VALUE"""),69.0)</f>
        <v>69</v>
      </c>
      <c r="B70" s="1">
        <f>IFERROR(__xludf.DUMMYFUNCTION("""COMPUTED_VALUE"""),2427335.0)</f>
        <v>2427335</v>
      </c>
      <c r="C70" s="1" t="str">
        <f>IFERROR(__xludf.DUMMYFUNCTION("""COMPUTED_VALUE"""),"2025-1")</f>
        <v>2025-1</v>
      </c>
      <c r="D70" s="1" t="str">
        <f>IFERROR(__xludf.DUMMYFUNCTION("""COMPUTED_VALUE"""),"Admisión de Alto Rendimiento")</f>
        <v>Admisión de Alto Rendimiento</v>
      </c>
      <c r="E70" s="2">
        <f>IFERROR(__xludf.DUMMYFUNCTION("""COMPUTED_VALUE"""),45504.0)</f>
        <v>45504</v>
      </c>
      <c r="F70" s="1" t="str">
        <f>IFERROR(__xludf.DUMMYFUNCTION("""COMPUTED_VALUE"""),"ANDRE NICOLAS")</f>
        <v>ANDRE NICOLAS</v>
      </c>
      <c r="G70" s="1" t="str">
        <f>IFERROR(__xludf.DUMMYFUNCTION("""COMPUTED_VALUE"""),"DIAZ MELO")</f>
        <v>DIAZ MELO</v>
      </c>
      <c r="H70" s="1" t="str">
        <f>IFERROR(__xludf.DUMMYFUNCTION("""COMPUTED_VALUE"""),"Comunicación Audiovisual y Cine")</f>
        <v>Comunicación Audiovisual y Cine</v>
      </c>
      <c r="I70" s="1" t="str">
        <f>IFERROR(__xludf.DUMMYFUNCTION("""COMPUTED_VALUE"""),"POS")</f>
        <v>POS</v>
      </c>
      <c r="J70" s="1" t="str">
        <f>IFERROR(__xludf.DUMMYFUNCTION("""COMPUTED_VALUE"""),"Diurno")</f>
        <v>Diurno</v>
      </c>
      <c r="K70" s="1" t="str">
        <f>IFERROR(__xludf.DUMMYFUNCTION("""COMPUTED_VALUE"""),"NUEVO")</f>
        <v>NUEVO</v>
      </c>
      <c r="L70" s="1">
        <f>IFERROR(__xludf.DUMMYFUNCTION("""COMPUTED_VALUE"""),0.0)</f>
        <v>0</v>
      </c>
      <c r="M70" s="1">
        <f>IFERROR(__xludf.DUMMYFUNCTION("""COMPUTED_VALUE"""),0.0)</f>
        <v>0</v>
      </c>
      <c r="N70" s="1" t="str">
        <f>IFERROR(__xludf.DUMMYFUNCTION("""COMPUTED_VALUE"""),"BECA")</f>
        <v>BECA</v>
      </c>
      <c r="O70" s="1" t="str">
        <f>IFERROR(__xludf.DUMMYFUNCTION("""COMPUTED_VALUE"""),"BECA CARRERAS CORE")</f>
        <v>BECA CARRERAS CORE</v>
      </c>
      <c r="P70" s="4">
        <f>IFERROR(__xludf.DUMMYFUNCTION("""COMPUTED_VALUE"""),0.0)</f>
        <v>0</v>
      </c>
      <c r="Q70" s="4">
        <f>IFERROR(__xludf.DUMMYFUNCTION("""COMPUTED_VALUE"""),0.0)</f>
        <v>0</v>
      </c>
      <c r="R70" s="4">
        <f>IFERROR(__xludf.DUMMYFUNCTION("""COMPUTED_VALUE"""),3200.0)</f>
        <v>3200</v>
      </c>
      <c r="S70" s="4">
        <f>IFERROR(__xludf.DUMMYFUNCTION("""COMPUTED_VALUE"""),2320.0)</f>
        <v>2320</v>
      </c>
      <c r="T70" s="1" t="str">
        <f>IFERROR(__xludf.DUMMYFUNCTION("""COMPUTED_VALUE"""),"NINGUNO")</f>
        <v>NINGUNO</v>
      </c>
      <c r="U70" s="1" t="str">
        <f>IFERROR(__xludf.DUMMYFUNCTION("""COMPUTED_VALUE"""),"FABIOLA")</f>
        <v>FABIOLA</v>
      </c>
      <c r="V70" s="1" t="str">
        <f>IFERROR(__xludf.DUMMYFUNCTION("""COMPUTED_VALUE"""),"Leandro")</f>
        <v>Leandro</v>
      </c>
      <c r="W70" s="1" t="str">
        <f>IFERROR(__xludf.DUMMYFUNCTION("""COMPUTED_VALUE"""),"Metodología de enseñanza")</f>
        <v>Metodología de enseñanza</v>
      </c>
      <c r="X70" s="1" t="str">
        <f>IFERROR(__xludf.DUMMYFUNCTION("""COMPUTED_VALUE"""),"les encanto el modelo educativo")</f>
        <v>les encanto el modelo educativo</v>
      </c>
      <c r="Y70" s="1" t="str">
        <f>IFERROR(__xludf.DUMMYFUNCTION("""COMPUTED_VALUE"""),"PAGO COMPLETO")</f>
        <v>PAGO COMPLETO</v>
      </c>
      <c r="Z70" s="1">
        <f>IFERROR(__xludf.DUMMYFUNCTION("""COMPUTED_VALUE"""),0.0)</f>
        <v>0</v>
      </c>
      <c r="AA70" s="1" t="str">
        <f>IFERROR(__xludf.DUMMYFUNCTION("""COMPUTED_VALUE"""),"-")</f>
        <v>-</v>
      </c>
      <c r="AB70" s="1">
        <f>IFERROR(__xludf.DUMMYFUNCTION("""COMPUTED_VALUE"""),0.0)</f>
        <v>0</v>
      </c>
      <c r="AC70" s="1">
        <f>IFERROR(__xludf.DUMMYFUNCTION("""COMPUTED_VALUE"""),0.0)</f>
        <v>0</v>
      </c>
      <c r="AD70" s="1" t="str">
        <f>IFERROR(__xludf.DUMMYFUNCTION("""COMPUTED_VALUE"""),"Cinthia Mariella Orosco")</f>
        <v>Cinthia Mariella Orosco</v>
      </c>
      <c r="AE70" s="1" t="str">
        <f>IFERROR(__xludf.DUMMYFUNCTION("""COMPUTED_VALUE"""),"0")</f>
        <v>0</v>
      </c>
      <c r="AF70" s="1">
        <f>IFERROR(__xludf.DUMMYFUNCTION("""COMPUTED_VALUE"""),2024.0)</f>
        <v>2024</v>
      </c>
      <c r="AG70" s="1">
        <f>IFERROR(__xludf.DUMMYFUNCTION("""COMPUTED_VALUE"""),1188101.0)</f>
        <v>1188101</v>
      </c>
      <c r="AH70" s="1">
        <f>IFERROR(__xludf.DUMMYFUNCTION("""COMPUTED_VALUE"""),17.0)</f>
        <v>17</v>
      </c>
      <c r="AI70" s="1" t="str">
        <f>IFERROR(__xludf.DUMMYFUNCTION("""COMPUTED_VALUE"""),"0000024152")</f>
        <v>0000024152</v>
      </c>
      <c r="AJ70" s="1">
        <f>IFERROR(__xludf.DUMMYFUNCTION("""COMPUTED_VALUE"""),7.0706358E7)</f>
        <v>70706358</v>
      </c>
      <c r="AK70" s="1">
        <f>IFERROR(__xludf.DUMMYFUNCTION("""COMPUTED_VALUE"""),9.08944948E8)</f>
        <v>908944948</v>
      </c>
      <c r="AL70" s="1" t="str">
        <f>IFERROR(__xludf.DUMMYFUNCTION("""COMPUTED_VALUE"""),"gg1sandrediaz@gmail.com")</f>
        <v>gg1sandrediaz@gmail.com</v>
      </c>
      <c r="AM70" s="1" t="str">
        <f>IFERROR(__xludf.DUMMYFUNCTION("""COMPUTED_VALUE"""),"MASCULINO")</f>
        <v>MASCULINO</v>
      </c>
      <c r="AN70" s="1">
        <f>IFERROR(__xludf.DUMMYFUNCTION("""COMPUTED_VALUE"""),3200.0)</f>
        <v>3200</v>
      </c>
      <c r="AO70" s="1">
        <f>IFERROR(__xludf.DUMMYFUNCTION("""COMPUTED_VALUE"""),2100.0)</f>
        <v>2100</v>
      </c>
      <c r="AP70" s="1" t="str">
        <f>IFERROR(__xludf.DUMMYFUNCTION("""COMPUTED_VALUE"""),"COLEGIOS")</f>
        <v>COLEGIOS</v>
      </c>
      <c r="AQ70" s="1" t="str">
        <f>IFERROR(__xludf.DUMMYFUNCTION("""COMPUTED_VALUE"""),"COLEGIOS")</f>
        <v>COLEGIOS</v>
      </c>
      <c r="AR70" s="1" t="str">
        <f>IFERROR(__xludf.DUMMYFUNCTION("""COMPUTED_VALUE"""),"HEREDADO")</f>
        <v>HEREDADO</v>
      </c>
      <c r="AS70" s="1"/>
      <c r="AT70" s="2">
        <f>IFERROR(__xludf.DUMMYFUNCTION("""COMPUTED_VALUE"""),45392.0)</f>
        <v>45392</v>
      </c>
      <c r="AU70" s="1">
        <f>IFERROR(__xludf.DUMMYFUNCTION("""COMPUTED_VALUE"""),1.0)</f>
        <v>1</v>
      </c>
      <c r="AV70" s="1" t="str">
        <f>IFERROR(__xludf.DUMMYFUNCTION("""COMPUTED_VALUE"""),"NUEVO")</f>
        <v>NUEVO</v>
      </c>
      <c r="AW70" s="1" t="str">
        <f>IFERROR(__xludf.DUMMYFUNCTION("""COMPUTED_VALUE"""),"SI")</f>
        <v>SI</v>
      </c>
      <c r="AX70" s="1"/>
      <c r="AY70" s="1" t="str">
        <f>IFERROR(__xludf.DUMMYFUNCTION("""COMPUTED_VALUE"""),"PAGO COMPLETO")</f>
        <v>PAGO COMPLETO</v>
      </c>
      <c r="AZ70" s="5">
        <f>IFERROR(__xludf.DUMMYFUNCTION("""COMPUTED_VALUE"""),45504.0)</f>
        <v>45504</v>
      </c>
      <c r="BA70" s="1">
        <f>IFERROR(__xludf.DUMMYFUNCTION("""COMPUTED_VALUE"""),0.0)</f>
        <v>0</v>
      </c>
      <c r="BB70" s="1">
        <f>IFERROR(__xludf.DUMMYFUNCTION("""COMPUTED_VALUE"""),0.0)</f>
        <v>0</v>
      </c>
      <c r="BC70" s="4">
        <f>IFERROR(__xludf.DUMMYFUNCTION("""COMPUTED_VALUE"""),0.0)</f>
        <v>0</v>
      </c>
      <c r="BD70" s="4">
        <f>IFERROR(__xludf.DUMMYFUNCTION("""COMPUTED_VALUE"""),0.0)</f>
        <v>0</v>
      </c>
      <c r="BE70" s="1">
        <f>IFERROR(__xludf.DUMMYFUNCTION("""COMPUTED_VALUE"""),7.0)</f>
        <v>7</v>
      </c>
      <c r="BF70" s="6">
        <f>IFERROR(__xludf.DUMMYFUNCTION("""COMPUTED_VALUE"""),1.0)</f>
        <v>1</v>
      </c>
      <c r="BG70" s="1">
        <f>IFERROR(__xludf.DUMMYFUNCTION("""COMPUTED_VALUE"""),1.0)</f>
        <v>1</v>
      </c>
      <c r="BH70" s="1" t="str">
        <f>IFERROR(__xludf.DUMMYFUNCTION("""COMPUTED_VALUE"""),"0")</f>
        <v>0</v>
      </c>
      <c r="BI70" s="4">
        <f>IFERROR(__xludf.DUMMYFUNCTION("""COMPUTED_VALUE"""),0.0)</f>
        <v>0</v>
      </c>
      <c r="BJ70" s="1">
        <f>IFERROR(__xludf.DUMMYFUNCTION("""COMPUTED_VALUE"""),0.0)</f>
        <v>0</v>
      </c>
      <c r="BK70" s="4">
        <f>IFERROR(__xludf.DUMMYFUNCTION("""COMPUTED_VALUE"""),0.0)</f>
        <v>0</v>
      </c>
      <c r="BL70" s="1">
        <f>IFERROR(__xludf.DUMMYFUNCTION("""COMPUTED_VALUE"""),2320.0)</f>
        <v>2320</v>
      </c>
      <c r="BM70" s="1">
        <f>IFERROR(__xludf.DUMMYFUNCTION("""COMPUTED_VALUE"""),31.0)</f>
        <v>31</v>
      </c>
      <c r="BN70" s="2">
        <f>IFERROR(__xludf.DUMMYFUNCTION("""COMPUTED_VALUE"""),45502.0)</f>
        <v>45502</v>
      </c>
      <c r="BO70" s="1">
        <f>IFERROR(__xludf.DUMMYFUNCTION("""COMPUTED_VALUE"""),7.0)</f>
        <v>7</v>
      </c>
      <c r="BP70" s="1">
        <f>IFERROR(__xludf.DUMMYFUNCTION("""COMPUTED_VALUE"""),2024.0)</f>
        <v>2024</v>
      </c>
    </row>
    <row r="71">
      <c r="A71" s="1">
        <f>IFERROR(__xludf.DUMMYFUNCTION("""COMPUTED_VALUE"""),70.0)</f>
        <v>70</v>
      </c>
      <c r="B71" s="1">
        <f>IFERROR(__xludf.DUMMYFUNCTION("""COMPUTED_VALUE"""),3092832.0)</f>
        <v>3092832</v>
      </c>
      <c r="C71" s="1" t="str">
        <f>IFERROR(__xludf.DUMMYFUNCTION("""COMPUTED_VALUE"""),"2025-1")</f>
        <v>2025-1</v>
      </c>
      <c r="D71" s="1" t="str">
        <f>IFERROR(__xludf.DUMMYFUNCTION("""COMPUTED_VALUE"""),"Admisión de Alto Rendimiento")</f>
        <v>Admisión de Alto Rendimiento</v>
      </c>
      <c r="E71" s="2">
        <f>IFERROR(__xludf.DUMMYFUNCTION("""COMPUTED_VALUE"""),45504.0)</f>
        <v>45504</v>
      </c>
      <c r="F71" s="1" t="str">
        <f>IFERROR(__xludf.DUMMYFUNCTION("""COMPUTED_VALUE"""),"MIA ALEXANDRA DEL MILAGRO ")</f>
        <v>MIA ALEXANDRA DEL MILAGRO </v>
      </c>
      <c r="G71" s="1" t="str">
        <f>IFERROR(__xludf.DUMMYFUNCTION("""COMPUTED_VALUE"""),"GARCIA CHAUPIS")</f>
        <v>GARCIA CHAUPIS</v>
      </c>
      <c r="H71" s="1" t="str">
        <f>IFERROR(__xludf.DUMMYFUNCTION("""COMPUTED_VALUE"""),"Arquitectura")</f>
        <v>Arquitectura</v>
      </c>
      <c r="I71" s="1" t="str">
        <f>IFERROR(__xludf.DUMMYFUNCTION("""COMPUTED_VALUE"""),"Pago Link")</f>
        <v>Pago Link</v>
      </c>
      <c r="J71" s="1" t="str">
        <f>IFERROR(__xludf.DUMMYFUNCTION("""COMPUTED_VALUE"""),"Diurno")</f>
        <v>Diurno</v>
      </c>
      <c r="K71" s="1" t="str">
        <f>IFERROR(__xludf.DUMMYFUNCTION("""COMPUTED_VALUE"""),"NUEVO")</f>
        <v>NUEVO</v>
      </c>
      <c r="L71" s="1">
        <f>IFERROR(__xludf.DUMMYFUNCTION("""COMPUTED_VALUE"""),0.0)</f>
        <v>0</v>
      </c>
      <c r="M71" s="1">
        <f>IFERROR(__xludf.DUMMYFUNCTION("""COMPUTED_VALUE"""),0.0)</f>
        <v>0</v>
      </c>
      <c r="N71" s="1" t="str">
        <f>IFERROR(__xludf.DUMMYFUNCTION("""COMPUTED_VALUE"""),"RECA-BECA")</f>
        <v>RECA-BECA</v>
      </c>
      <c r="O71" s="1" t="str">
        <f>IFERROR(__xludf.DUMMYFUNCTION("""COMPUTED_VALUE"""),"BECA CADENA COLEGIOS")</f>
        <v>BECA CADENA COLEGIOS</v>
      </c>
      <c r="P71" s="4">
        <f>IFERROR(__xludf.DUMMYFUNCTION("""COMPUTED_VALUE"""),0.0)</f>
        <v>0</v>
      </c>
      <c r="Q71" s="4">
        <f>IFERROR(__xludf.DUMMYFUNCTION("""COMPUTED_VALUE"""),0.0)</f>
        <v>0</v>
      </c>
      <c r="R71" s="4">
        <f>IFERROR(__xludf.DUMMYFUNCTION("""COMPUTED_VALUE"""),1775.0)</f>
        <v>1775</v>
      </c>
      <c r="S71" s="4">
        <f>IFERROR(__xludf.DUMMYFUNCTION("""COMPUTED_VALUE"""),1075.0)</f>
        <v>1075</v>
      </c>
      <c r="T71" s="1" t="str">
        <f>IFERROR(__xludf.DUMMYFUNCTION("""COMPUTED_VALUE"""),"NINGUNO")</f>
        <v>NINGUNO</v>
      </c>
      <c r="U71" s="1" t="str">
        <f>IFERROR(__xludf.DUMMYFUNCTION("""COMPUTED_VALUE"""),"-")</f>
        <v>-</v>
      </c>
      <c r="V71" s="1" t="str">
        <f>IFERROR(__xludf.DUMMYFUNCTION("""COMPUTED_VALUE"""),"Reynaldo")</f>
        <v>Reynaldo</v>
      </c>
      <c r="W71" s="1" t="str">
        <f>IFERROR(__xludf.DUMMYFUNCTION("""COMPUTED_VALUE"""),"Metodología de enseñanza")</f>
        <v>Metodología de enseñanza</v>
      </c>
      <c r="X71" s="1" t="str">
        <f>IFERROR(__xludf.DUMMYFUNCTION("""COMPUTED_VALUE"""),"le encanto el modelo educativo")</f>
        <v>le encanto el modelo educativo</v>
      </c>
      <c r="Y71" s="1" t="str">
        <f>IFERROR(__xludf.DUMMYFUNCTION("""COMPUTED_VALUE"""),"PAGO COMPLETO")</f>
        <v>PAGO COMPLETO</v>
      </c>
      <c r="Z71" s="1">
        <f>IFERROR(__xludf.DUMMYFUNCTION("""COMPUTED_VALUE"""),0.0)</f>
        <v>0</v>
      </c>
      <c r="AA71" s="1" t="str">
        <f>IFERROR(__xludf.DUMMYFUNCTION("""COMPUTED_VALUE"""),"-")</f>
        <v>-</v>
      </c>
      <c r="AB71" s="1">
        <f>IFERROR(__xludf.DUMMYFUNCTION("""COMPUTED_VALUE"""),1.0)</f>
        <v>1</v>
      </c>
      <c r="AC71" s="1">
        <f>IFERROR(__xludf.DUMMYFUNCTION("""COMPUTED_VALUE"""),0.0)</f>
        <v>0</v>
      </c>
      <c r="AD71" s="1" t="str">
        <f>IFERROR(__xludf.DUMMYFUNCTION("""COMPUTED_VALUE"""),"Cinthia Mariella Orosco")</f>
        <v>Cinthia Mariella Orosco</v>
      </c>
      <c r="AE71" s="1" t="str">
        <f>IFERROR(__xludf.DUMMYFUNCTION("""COMPUTED_VALUE"""),"0")</f>
        <v>0</v>
      </c>
      <c r="AF71" s="1">
        <f>IFERROR(__xludf.DUMMYFUNCTION("""COMPUTED_VALUE"""),2024.0)</f>
        <v>2024</v>
      </c>
      <c r="AG71" s="1">
        <f>IFERROR(__xludf.DUMMYFUNCTION("""COMPUTED_VALUE"""),1422666.0)</f>
        <v>1422666</v>
      </c>
      <c r="AH71" s="1">
        <f>IFERROR(__xludf.DUMMYFUNCTION("""COMPUTED_VALUE"""),17.0)</f>
        <v>17</v>
      </c>
      <c r="AI71" s="1" t="str">
        <f>IFERROR(__xludf.DUMMYFUNCTION("""COMPUTED_VALUE"""),"0000388475")</f>
        <v>0000388475</v>
      </c>
      <c r="AJ71" s="1">
        <f>IFERROR(__xludf.DUMMYFUNCTION("""COMPUTED_VALUE"""),7.1145692E7)</f>
        <v>71145692</v>
      </c>
      <c r="AK71" s="1">
        <f>IFERROR(__xludf.DUMMYFUNCTION("""COMPUTED_VALUE"""),9.73953178E8)</f>
        <v>973953178</v>
      </c>
      <c r="AL71" s="1" t="str">
        <f>IFERROR(__xludf.DUMMYFUNCTION("""COMPUTED_VALUE"""),"M.GARCIA.CHAUPIS@gmail.com")</f>
        <v>M.GARCIA.CHAUPIS@gmail.com</v>
      </c>
      <c r="AM71" s="1" t="str">
        <f>IFERROR(__xludf.DUMMYFUNCTION("""COMPUTED_VALUE"""),"FEMENINO")</f>
        <v>FEMENINO</v>
      </c>
      <c r="AN71" s="1">
        <f>IFERROR(__xludf.DUMMYFUNCTION("""COMPUTED_VALUE"""),1850.0)</f>
        <v>1850</v>
      </c>
      <c r="AO71" s="1">
        <f>IFERROR(__xludf.DUMMYFUNCTION("""COMPUTED_VALUE"""),645.0)</f>
        <v>645</v>
      </c>
      <c r="AP71" s="1" t="str">
        <f>IFERROR(__xludf.DUMMYFUNCTION("""COMPUTED_VALUE"""),"COLEGIOS")</f>
        <v>COLEGIOS</v>
      </c>
      <c r="AQ71" s="1" t="str">
        <f>IFERROR(__xludf.DUMMYFUNCTION("""COMPUTED_VALUE"""),"COLEGIOS")</f>
        <v>COLEGIOS</v>
      </c>
      <c r="AR71" s="1" t="str">
        <f>IFERROR(__xludf.DUMMYFUNCTION("""COMPUTED_VALUE"""),"NUEVO")</f>
        <v>NUEVO</v>
      </c>
      <c r="AS71" s="1"/>
      <c r="AT71" s="2">
        <f>IFERROR(__xludf.DUMMYFUNCTION("""COMPUTED_VALUE"""),45471.0)</f>
        <v>45471</v>
      </c>
      <c r="AU71" s="1">
        <f>IFERROR(__xludf.DUMMYFUNCTION("""COMPUTED_VALUE"""),1.0)</f>
        <v>1</v>
      </c>
      <c r="AV71" s="1" t="str">
        <f>IFERROR(__xludf.DUMMYFUNCTION("""COMPUTED_VALUE"""),"NUEVO")</f>
        <v>NUEVO</v>
      </c>
      <c r="AW71" s="1" t="str">
        <f>IFERROR(__xludf.DUMMYFUNCTION("""COMPUTED_VALUE"""),"SI")</f>
        <v>SI</v>
      </c>
      <c r="AX71" s="1"/>
      <c r="AY71" s="1" t="str">
        <f>IFERROR(__xludf.DUMMYFUNCTION("""COMPUTED_VALUE"""),"PAGO COMPLETO")</f>
        <v>PAGO COMPLETO</v>
      </c>
      <c r="AZ71" s="5">
        <f>IFERROR(__xludf.DUMMYFUNCTION("""COMPUTED_VALUE"""),45504.0)</f>
        <v>45504</v>
      </c>
      <c r="BA71" s="1">
        <f>IFERROR(__xludf.DUMMYFUNCTION("""COMPUTED_VALUE"""),0.0)</f>
        <v>0</v>
      </c>
      <c r="BB71" s="1">
        <f>IFERROR(__xludf.DUMMYFUNCTION("""COMPUTED_VALUE"""),0.0)</f>
        <v>0</v>
      </c>
      <c r="BC71" s="4">
        <f>IFERROR(__xludf.DUMMYFUNCTION("""COMPUTED_VALUE"""),0.0)</f>
        <v>0</v>
      </c>
      <c r="BD71" s="4">
        <f>IFERROR(__xludf.DUMMYFUNCTION("""COMPUTED_VALUE"""),0.0)</f>
        <v>0</v>
      </c>
      <c r="BE71" s="1">
        <f>IFERROR(__xludf.DUMMYFUNCTION("""COMPUTED_VALUE"""),7.0)</f>
        <v>7</v>
      </c>
      <c r="BF71" s="6">
        <f>IFERROR(__xludf.DUMMYFUNCTION("""COMPUTED_VALUE"""),1.0)</f>
        <v>1</v>
      </c>
      <c r="BG71" s="1">
        <f>IFERROR(__xludf.DUMMYFUNCTION("""COMPUTED_VALUE"""),1.0)</f>
        <v>1</v>
      </c>
      <c r="BH71" s="1" t="str">
        <f>IFERROR(__xludf.DUMMYFUNCTION("""COMPUTED_VALUE"""),"0")</f>
        <v>0</v>
      </c>
      <c r="BI71" s="4">
        <f>IFERROR(__xludf.DUMMYFUNCTION("""COMPUTED_VALUE"""),0.0)</f>
        <v>0</v>
      </c>
      <c r="BJ71" s="1">
        <f>IFERROR(__xludf.DUMMYFUNCTION("""COMPUTED_VALUE"""),0.0)</f>
        <v>0</v>
      </c>
      <c r="BK71" s="4">
        <f>IFERROR(__xludf.DUMMYFUNCTION("""COMPUTED_VALUE"""),0.0)</f>
        <v>0</v>
      </c>
      <c r="BL71" s="1">
        <f>IFERROR(__xludf.DUMMYFUNCTION("""COMPUTED_VALUE"""),1075.0)</f>
        <v>1075</v>
      </c>
      <c r="BM71" s="1">
        <f>IFERROR(__xludf.DUMMYFUNCTION("""COMPUTED_VALUE"""),31.0)</f>
        <v>31</v>
      </c>
      <c r="BN71" s="2">
        <f>IFERROR(__xludf.DUMMYFUNCTION("""COMPUTED_VALUE"""),45502.0)</f>
        <v>45502</v>
      </c>
      <c r="BO71" s="1">
        <f>IFERROR(__xludf.DUMMYFUNCTION("""COMPUTED_VALUE"""),7.0)</f>
        <v>7</v>
      </c>
      <c r="BP71" s="1">
        <f>IFERROR(__xludf.DUMMYFUNCTION("""COMPUTED_VALUE"""),2024.0)</f>
        <v>2024</v>
      </c>
    </row>
    <row r="72">
      <c r="A72" s="1">
        <f>IFERROR(__xludf.DUMMYFUNCTION("""COMPUTED_VALUE"""),71.0)</f>
        <v>71</v>
      </c>
      <c r="B72" s="1">
        <f>IFERROR(__xludf.DUMMYFUNCTION("""COMPUTED_VALUE"""),4389745.0)</f>
        <v>4389745</v>
      </c>
      <c r="C72" s="1" t="str">
        <f>IFERROR(__xludf.DUMMYFUNCTION("""COMPUTED_VALUE"""),"2025-1")</f>
        <v>2025-1</v>
      </c>
      <c r="D72" s="1" t="str">
        <f>IFERROR(__xludf.DUMMYFUNCTION("""COMPUTED_VALUE"""),"Admisión de Alto Rendimiento")</f>
        <v>Admisión de Alto Rendimiento</v>
      </c>
      <c r="E72" s="2">
        <f>IFERROR(__xludf.DUMMYFUNCTION("""COMPUTED_VALUE"""),45505.0)</f>
        <v>45505</v>
      </c>
      <c r="F72" s="1" t="str">
        <f>IFERROR(__xludf.DUMMYFUNCTION("""COMPUTED_VALUE"""),"ANNIE WINNIE ")</f>
        <v>ANNIE WINNIE </v>
      </c>
      <c r="G72" s="1" t="str">
        <f>IFERROR(__xludf.DUMMYFUNCTION("""COMPUTED_VALUE"""),"MUNAYLLA CÓNDOR")</f>
        <v>MUNAYLLA CÓNDOR</v>
      </c>
      <c r="H72" s="1" t="str">
        <f>IFERROR(__xludf.DUMMYFUNCTION("""COMPUTED_VALUE"""),"Comunicación Audiovisual y Cine")</f>
        <v>Comunicación Audiovisual y Cine</v>
      </c>
      <c r="I72" s="1" t="str">
        <f>IFERROR(__xludf.DUMMYFUNCTION("""COMPUTED_VALUE"""),"Pago Link")</f>
        <v>Pago Link</v>
      </c>
      <c r="J72" s="1" t="str">
        <f>IFERROR(__xludf.DUMMYFUNCTION("""COMPUTED_VALUE"""),"Diurno")</f>
        <v>Diurno</v>
      </c>
      <c r="K72" s="1" t="str">
        <f>IFERROR(__xludf.DUMMYFUNCTION("""COMPUTED_VALUE"""),"NUEVO")</f>
        <v>NUEVO</v>
      </c>
      <c r="L72" s="1">
        <f>IFERROR(__xludf.DUMMYFUNCTION("""COMPUTED_VALUE"""),0.0)</f>
        <v>0</v>
      </c>
      <c r="M72" s="1">
        <f>IFERROR(__xludf.DUMMYFUNCTION("""COMPUTED_VALUE"""),0.0)</f>
        <v>0</v>
      </c>
      <c r="N72" s="1" t="str">
        <f>IFERROR(__xludf.DUMMYFUNCTION("""COMPUTED_VALUE"""),"BECA")</f>
        <v>BECA</v>
      </c>
      <c r="O72" s="1" t="str">
        <f>IFERROR(__xludf.DUMMYFUNCTION("""COMPUTED_VALUE"""),"BECA CARRERAS CORE")</f>
        <v>BECA CARRERAS CORE</v>
      </c>
      <c r="P72" s="4">
        <f>IFERROR(__xludf.DUMMYFUNCTION("""COMPUTED_VALUE"""),0.0)</f>
        <v>0</v>
      </c>
      <c r="Q72" s="4">
        <f>IFERROR(__xludf.DUMMYFUNCTION("""COMPUTED_VALUE"""),0.0)</f>
        <v>0</v>
      </c>
      <c r="R72" s="4">
        <f>IFERROR(__xludf.DUMMYFUNCTION("""COMPUTED_VALUE"""),1775.0)</f>
        <v>1775</v>
      </c>
      <c r="S72" s="4">
        <f>IFERROR(__xludf.DUMMYFUNCTION("""COMPUTED_VALUE"""),1300.0)</f>
        <v>1300</v>
      </c>
      <c r="T72" s="1" t="str">
        <f>IFERROR(__xludf.DUMMYFUNCTION("""COMPUTED_VALUE"""),"NINGUNO")</f>
        <v>NINGUNO</v>
      </c>
      <c r="U72" s="1" t="str">
        <f>IFERROR(__xludf.DUMMYFUNCTION("""COMPUTED_VALUE"""),"FABIOLA")</f>
        <v>FABIOLA</v>
      </c>
      <c r="V72" s="1" t="str">
        <f>IFERROR(__xludf.DUMMYFUNCTION("""COMPUTED_VALUE"""),"Ninguno")</f>
        <v>Ninguno</v>
      </c>
      <c r="W72" s="1" t="str">
        <f>IFERROR(__xludf.DUMMYFUNCTION("""COMPUTED_VALUE"""),"Otros")</f>
        <v>Otros</v>
      </c>
      <c r="X72" s="1" t="str">
        <f>IFERROR(__xludf.DUMMYFUNCTION("""COMPUTED_VALUE"""),"-")</f>
        <v>-</v>
      </c>
      <c r="Y72" s="1" t="str">
        <f>IFERROR(__xludf.DUMMYFUNCTION("""COMPUTED_VALUE"""),"PAGO FRACCIONADO")</f>
        <v>PAGO FRACCIONADO</v>
      </c>
      <c r="Z72" s="1">
        <f>IFERROR(__xludf.DUMMYFUNCTION("""COMPUTED_VALUE"""),650.0)</f>
        <v>650</v>
      </c>
      <c r="AA72" s="1" t="str">
        <f>IFERROR(__xludf.DUMMYFUNCTION("""COMPUTED_VALUE"""),"30/11/2024")</f>
        <v>30/11/2024</v>
      </c>
      <c r="AB72" s="1">
        <f>IFERROR(__xludf.DUMMYFUNCTION("""COMPUTED_VALUE"""),1.0)</f>
        <v>1</v>
      </c>
      <c r="AC72" s="1">
        <f>IFERROR(__xludf.DUMMYFUNCTION("""COMPUTED_VALUE"""),0.0)</f>
        <v>0</v>
      </c>
      <c r="AD72" s="1" t="str">
        <f>IFERROR(__xludf.DUMMYFUNCTION("""COMPUTED_VALUE"""),"Lohana Rivera")</f>
        <v>Lohana Rivera</v>
      </c>
      <c r="AE72" s="1" t="str">
        <f>IFERROR(__xludf.DUMMYFUNCTION("""COMPUTED_VALUE"""),"0")</f>
        <v>0</v>
      </c>
      <c r="AF72" s="1">
        <f>IFERROR(__xludf.DUMMYFUNCTION("""COMPUTED_VALUE"""),2023.0)</f>
        <v>2023</v>
      </c>
      <c r="AG72" s="1">
        <f>IFERROR(__xludf.DUMMYFUNCTION("""COMPUTED_VALUE"""),1351725.0)</f>
        <v>1351725</v>
      </c>
      <c r="AH72" s="1">
        <f>IFERROR(__xludf.DUMMYFUNCTION("""COMPUTED_VALUE"""),18.0)</f>
        <v>18</v>
      </c>
      <c r="AI72" s="1" t="str">
        <f>IFERROR(__xludf.DUMMYFUNCTION("""COMPUTED_VALUE"""),"0000388692")</f>
        <v>0000388692</v>
      </c>
      <c r="AJ72" s="1">
        <f>IFERROR(__xludf.DUMMYFUNCTION("""COMPUTED_VALUE"""),7.0501801E7)</f>
        <v>70501801</v>
      </c>
      <c r="AK72" s="1">
        <f>IFERROR(__xludf.DUMMYFUNCTION("""COMPUTED_VALUE"""),9.31380857E8)</f>
        <v>931380857</v>
      </c>
      <c r="AL72" s="1" t="str">
        <f>IFERROR(__xludf.DUMMYFUNCTION("""COMPUTED_VALUE"""),"awmunaylla@gmail.com")</f>
        <v>awmunaylla@gmail.com</v>
      </c>
      <c r="AM72" s="1" t="str">
        <f>IFERROR(__xludf.DUMMYFUNCTION("""COMPUTED_VALUE"""),"FEMENINO")</f>
        <v>FEMENINO</v>
      </c>
      <c r="AN72" s="1">
        <f>IFERROR(__xludf.DUMMYFUNCTION("""COMPUTED_VALUE"""),1775.0)</f>
        <v>1775</v>
      </c>
      <c r="AO72" s="1">
        <f>IFERROR(__xludf.DUMMYFUNCTION("""COMPUTED_VALUE"""),320.0)</f>
        <v>320</v>
      </c>
      <c r="AP72" s="1" t="str">
        <f>IFERROR(__xludf.DUMMYFUNCTION("""COMPUTED_VALUE"""),"BIDIRECCIONAL")</f>
        <v>BIDIRECCIONAL</v>
      </c>
      <c r="AQ72" s="1" t="str">
        <f>IFERROR(__xludf.DUMMYFUNCTION("""COMPUTED_VALUE"""),"ORGANICO")</f>
        <v>ORGANICO</v>
      </c>
      <c r="AR72" s="1" t="str">
        <f>IFERROR(__xludf.DUMMYFUNCTION("""COMPUTED_VALUE"""),"NUEVO")</f>
        <v>NUEVO</v>
      </c>
      <c r="AS72" s="1"/>
      <c r="AT72" s="2">
        <f>IFERROR(__xludf.DUMMYFUNCTION("""COMPUTED_VALUE"""),45495.0)</f>
        <v>45495</v>
      </c>
      <c r="AU72" s="1">
        <f>IFERROR(__xludf.DUMMYFUNCTION("""COMPUTED_VALUE"""),1.0)</f>
        <v>1</v>
      </c>
      <c r="AV72" s="1" t="str">
        <f>IFERROR(__xludf.DUMMYFUNCTION("""COMPUTED_VALUE"""),"NUEVO")</f>
        <v>NUEVO</v>
      </c>
      <c r="AW72" s="1" t="str">
        <f>IFERROR(__xludf.DUMMYFUNCTION("""COMPUTED_VALUE"""),"SI")</f>
        <v>SI</v>
      </c>
      <c r="AX72" s="1"/>
      <c r="AY72" s="1" t="str">
        <f>IFERROR(__xludf.DUMMYFUNCTION("""COMPUTED_VALUE"""),"PAGO FRACCIONADO")</f>
        <v>PAGO FRACCIONADO</v>
      </c>
      <c r="AZ72" s="1"/>
      <c r="BA72" s="1">
        <f>IFERROR(__xludf.DUMMYFUNCTION("""COMPUTED_VALUE"""),0.0)</f>
        <v>0</v>
      </c>
      <c r="BB72" s="1">
        <f>IFERROR(__xludf.DUMMYFUNCTION("""COMPUTED_VALUE"""),0.0)</f>
        <v>0</v>
      </c>
      <c r="BC72" s="4">
        <f>IFERROR(__xludf.DUMMYFUNCTION("""COMPUTED_VALUE"""),650.0)</f>
        <v>650</v>
      </c>
      <c r="BD72" s="4">
        <f>IFERROR(__xludf.DUMMYFUNCTION("""COMPUTED_VALUE"""),0.0)</f>
        <v>0</v>
      </c>
      <c r="BE72" s="1">
        <f>IFERROR(__xludf.DUMMYFUNCTION("""COMPUTED_VALUE"""),8.0)</f>
        <v>8</v>
      </c>
      <c r="BF72" s="6">
        <f>IFERROR(__xludf.DUMMYFUNCTION("""COMPUTED_VALUE"""),0.5)</f>
        <v>0.5</v>
      </c>
      <c r="BG72" s="1">
        <f>IFERROR(__xludf.DUMMYFUNCTION("""COMPUTED_VALUE"""),1.0)</f>
        <v>1</v>
      </c>
      <c r="BH72" s="1" t="str">
        <f>IFERROR(__xludf.DUMMYFUNCTION("""COMPUTED_VALUE"""),"0")</f>
        <v>0</v>
      </c>
      <c r="BI72" s="4">
        <f>IFERROR(__xludf.DUMMYFUNCTION("""COMPUTED_VALUE"""),650.0)</f>
        <v>650</v>
      </c>
      <c r="BJ72" s="1">
        <f>IFERROR(__xludf.DUMMYFUNCTION("""COMPUTED_VALUE"""),1.0)</f>
        <v>1</v>
      </c>
      <c r="BK72" s="4">
        <f>IFERROR(__xludf.DUMMYFUNCTION("""COMPUTED_VALUE"""),0.0)</f>
        <v>0</v>
      </c>
      <c r="BL72" s="1">
        <f>IFERROR(__xludf.DUMMYFUNCTION("""COMPUTED_VALUE"""),1300.0)</f>
        <v>1300</v>
      </c>
      <c r="BM72" s="1">
        <f>IFERROR(__xludf.DUMMYFUNCTION("""COMPUTED_VALUE"""),31.0)</f>
        <v>31</v>
      </c>
      <c r="BN72" s="2">
        <f>IFERROR(__xludf.DUMMYFUNCTION("""COMPUTED_VALUE"""),45502.0)</f>
        <v>45502</v>
      </c>
      <c r="BO72" s="1">
        <f>IFERROR(__xludf.DUMMYFUNCTION("""COMPUTED_VALUE"""),8.0)</f>
        <v>8</v>
      </c>
      <c r="BP72" s="1">
        <f>IFERROR(__xludf.DUMMYFUNCTION("""COMPUTED_VALUE"""),2024.0)</f>
        <v>2024</v>
      </c>
    </row>
    <row r="73">
      <c r="A73" s="1">
        <f>IFERROR(__xludf.DUMMYFUNCTION("""COMPUTED_VALUE"""),72.0)</f>
        <v>72</v>
      </c>
      <c r="B73" s="1">
        <f>IFERROR(__xludf.DUMMYFUNCTION("""COMPUTED_VALUE"""),475549.0)</f>
        <v>475549</v>
      </c>
      <c r="C73" s="1" t="str">
        <f>IFERROR(__xludf.DUMMYFUNCTION("""COMPUTED_VALUE"""),"2025-1")</f>
        <v>2025-1</v>
      </c>
      <c r="D73" s="1" t="str">
        <f>IFERROR(__xludf.DUMMYFUNCTION("""COMPUTED_VALUE"""),"Admisión Extraordinaria (Traslados)")</f>
        <v>Admisión Extraordinaria (Traslados)</v>
      </c>
      <c r="E73" s="2">
        <f>IFERROR(__xludf.DUMMYFUNCTION("""COMPUTED_VALUE"""),45509.0)</f>
        <v>45509</v>
      </c>
      <c r="F73" s="1" t="str">
        <f>IFERROR(__xludf.DUMMYFUNCTION("""COMPUTED_VALUE"""),"JEAN CARLOS FELIPE")</f>
        <v>JEAN CARLOS FELIPE</v>
      </c>
      <c r="G73" s="1" t="str">
        <f>IFERROR(__xludf.DUMMYFUNCTION("""COMPUTED_VALUE"""),"VARGAS OLIVOS")</f>
        <v>VARGAS OLIVOS</v>
      </c>
      <c r="H73" s="1" t="str">
        <f>IFERROR(__xludf.DUMMYFUNCTION("""COMPUTED_VALUE"""),"Diseño Gráfico Publicitario")</f>
        <v>Diseño Gráfico Publicitario</v>
      </c>
      <c r="I73" s="1" t="str">
        <f>IFERROR(__xludf.DUMMYFUNCTION("""COMPUTED_VALUE"""),"POS")</f>
        <v>POS</v>
      </c>
      <c r="J73" s="1" t="str">
        <f>IFERROR(__xludf.DUMMYFUNCTION("""COMPUTED_VALUE"""),"Diurno")</f>
        <v>Diurno</v>
      </c>
      <c r="K73" s="1" t="str">
        <f>IFERROR(__xludf.DUMMYFUNCTION("""COMPUTED_VALUE"""),"TRASLADO")</f>
        <v>TRASLADO</v>
      </c>
      <c r="L73" s="1">
        <f>IFERROR(__xludf.DUMMYFUNCTION("""COMPUTED_VALUE"""),1.0)</f>
        <v>1</v>
      </c>
      <c r="M73" s="1">
        <f>IFERROR(__xludf.DUMMYFUNCTION("""COMPUTED_VALUE"""),0.0)</f>
        <v>0</v>
      </c>
      <c r="N73" s="1" t="str">
        <f>IFERROR(__xludf.DUMMYFUNCTION("""COMPUTED_VALUE"""),"RECA")</f>
        <v>RECA</v>
      </c>
      <c r="O73" s="1" t="str">
        <f>IFERROR(__xludf.DUMMYFUNCTION("""COMPUTED_VALUE"""),"RECA TRASLADO CON CONVA")</f>
        <v>RECA TRASLADO CON CONVA</v>
      </c>
      <c r="P73" s="4">
        <f>IFERROR(__xludf.DUMMYFUNCTION("""COMPUTED_VALUE"""),0.0)</f>
        <v>0</v>
      </c>
      <c r="Q73" s="4">
        <f>IFERROR(__xludf.DUMMYFUNCTION("""COMPUTED_VALUE"""),0.0)</f>
        <v>0</v>
      </c>
      <c r="R73" s="4">
        <f>IFERROR(__xludf.DUMMYFUNCTION("""COMPUTED_VALUE"""),1600.0)</f>
        <v>1600</v>
      </c>
      <c r="S73" s="4">
        <f>IFERROR(__xludf.DUMMYFUNCTION("""COMPUTED_VALUE"""),900.0)</f>
        <v>900</v>
      </c>
      <c r="T73" s="1" t="str">
        <f>IFERROR(__xludf.DUMMYFUNCTION("""COMPUTED_VALUE"""),"NINGUNO")</f>
        <v>NINGUNO</v>
      </c>
      <c r="U73" s="1" t="str">
        <f>IFERROR(__xludf.DUMMYFUNCTION("""COMPUTED_VALUE"""),"FABIOLA")</f>
        <v>FABIOLA</v>
      </c>
      <c r="V73" s="1" t="str">
        <f>IFERROR(__xludf.DUMMYFUNCTION("""COMPUTED_VALUE"""),"Ninguno")</f>
        <v>Ninguno</v>
      </c>
      <c r="W73" s="1" t="str">
        <f>IFERROR(__xludf.DUMMYFUNCTION("""COMPUTED_VALUE"""),"Malla curricular")</f>
        <v>Malla curricular</v>
      </c>
      <c r="X73" s="1" t="str">
        <f>IFERROR(__xludf.DUMMYFUNCTION("""COMPUTED_VALUE"""),"-")</f>
        <v>-</v>
      </c>
      <c r="Y73" s="1" t="str">
        <f>IFERROR(__xludf.DUMMYFUNCTION("""COMPUTED_VALUE"""),"PAGO COMPLETO")</f>
        <v>PAGO COMPLETO</v>
      </c>
      <c r="Z73" s="1">
        <f>IFERROR(__xludf.DUMMYFUNCTION("""COMPUTED_VALUE"""),0.0)</f>
        <v>0</v>
      </c>
      <c r="AA73" s="1" t="str">
        <f>IFERROR(__xludf.DUMMYFUNCTION("""COMPUTED_VALUE"""),"-")</f>
        <v>-</v>
      </c>
      <c r="AB73" s="1">
        <f>IFERROR(__xludf.DUMMYFUNCTION("""COMPUTED_VALUE"""),1.0)</f>
        <v>1</v>
      </c>
      <c r="AC73" s="1">
        <f>IFERROR(__xludf.DUMMYFUNCTION("""COMPUTED_VALUE"""),0.0)</f>
        <v>0</v>
      </c>
      <c r="AD73" s="1" t="str">
        <f>IFERROR(__xludf.DUMMYFUNCTION("""COMPUTED_VALUE"""),"Angelica Iparraguirre")</f>
        <v>Angelica Iparraguirre</v>
      </c>
      <c r="AE73" s="1" t="str">
        <f>IFERROR(__xludf.DUMMYFUNCTION("""COMPUTED_VALUE"""),"Instituto de Educación Superior Tecnológico Privado Toulouse Lautrec")</f>
        <v>Instituto de Educación Superior Tecnológico Privado Toulouse Lautrec</v>
      </c>
      <c r="AF73" s="1">
        <f>IFERROR(__xludf.DUMMYFUNCTION("""COMPUTED_VALUE"""),2014.0)</f>
        <v>2014</v>
      </c>
      <c r="AG73" s="1">
        <f>IFERROR(__xludf.DUMMYFUNCTION("""COMPUTED_VALUE"""),1265743.0)</f>
        <v>1265743</v>
      </c>
      <c r="AH73" s="1">
        <f>IFERROR(__xludf.DUMMYFUNCTION("""COMPUTED_VALUE"""),27.0)</f>
        <v>27</v>
      </c>
      <c r="AI73" s="1" t="str">
        <f>IFERROR(__xludf.DUMMYFUNCTION("""COMPUTED_VALUE"""),"0000003155")</f>
        <v>0000003155</v>
      </c>
      <c r="AJ73" s="1">
        <f>IFERROR(__xludf.DUMMYFUNCTION("""COMPUTED_VALUE"""),7.281593E7)</f>
        <v>72815930</v>
      </c>
      <c r="AK73" s="1">
        <f>IFERROR(__xludf.DUMMYFUNCTION("""COMPUTED_VALUE"""),9.81611356E8)</f>
        <v>981611356</v>
      </c>
      <c r="AL73" s="1" t="str">
        <f>IFERROR(__xludf.DUMMYFUNCTION("""COMPUTED_VALUE"""),"jc.vargasolivos@gmail.com")</f>
        <v>jc.vargasolivos@gmail.com</v>
      </c>
      <c r="AM73" s="1" t="str">
        <f>IFERROR(__xludf.DUMMYFUNCTION("""COMPUTED_VALUE"""),"MASCULINO")</f>
        <v>MASCULINO</v>
      </c>
      <c r="AN73" s="1">
        <f>IFERROR(__xludf.DUMMYFUNCTION("""COMPUTED_VALUE"""),1600.0)</f>
        <v>1600</v>
      </c>
      <c r="AO73" s="1">
        <f>IFERROR(__xludf.DUMMYFUNCTION("""COMPUTED_VALUE"""),300.0)</f>
        <v>300</v>
      </c>
      <c r="AP73" s="1" t="str">
        <f>IFERROR(__xludf.DUMMYFUNCTION("""COMPUTED_VALUE"""),"OUTBOUND")</f>
        <v>OUTBOUND</v>
      </c>
      <c r="AQ73" s="1" t="str">
        <f>IFERROR(__xludf.DUMMYFUNCTION("""COMPUTED_VALUE"""),"OUTBOUND")</f>
        <v>OUTBOUND</v>
      </c>
      <c r="AR73" s="1" t="str">
        <f>IFERROR(__xludf.DUMMYFUNCTION("""COMPUTED_VALUE"""),"NUEVO")</f>
        <v>NUEVO</v>
      </c>
      <c r="AS73" s="1"/>
      <c r="AT73" s="2">
        <f>IFERROR(__xludf.DUMMYFUNCTION("""COMPUTED_VALUE"""),45500.0)</f>
        <v>45500</v>
      </c>
      <c r="AU73" s="1">
        <f>IFERROR(__xludf.DUMMYFUNCTION("""COMPUTED_VALUE"""),1.0)</f>
        <v>1</v>
      </c>
      <c r="AV73" s="1" t="str">
        <f>IFERROR(__xludf.DUMMYFUNCTION("""COMPUTED_VALUE"""),"TRASLADO")</f>
        <v>TRASLADO</v>
      </c>
      <c r="AW73" s="1" t="str">
        <f>IFERROR(__xludf.DUMMYFUNCTION("""COMPUTED_VALUE"""),"SI")</f>
        <v>SI</v>
      </c>
      <c r="AX73" s="1"/>
      <c r="AY73" s="1" t="str">
        <f>IFERROR(__xludf.DUMMYFUNCTION("""COMPUTED_VALUE"""),"PAGO COMPLETO")</f>
        <v>PAGO COMPLETO</v>
      </c>
      <c r="AZ73" s="5">
        <f>IFERROR(__xludf.DUMMYFUNCTION("""COMPUTED_VALUE"""),45509.0)</f>
        <v>45509</v>
      </c>
      <c r="BA73" s="1">
        <f>IFERROR(__xludf.DUMMYFUNCTION("""COMPUTED_VALUE"""),0.0)</f>
        <v>0</v>
      </c>
      <c r="BB73" s="1">
        <f>IFERROR(__xludf.DUMMYFUNCTION("""COMPUTED_VALUE"""),0.0)</f>
        <v>0</v>
      </c>
      <c r="BC73" s="4">
        <f>IFERROR(__xludf.DUMMYFUNCTION("""COMPUTED_VALUE"""),0.0)</f>
        <v>0</v>
      </c>
      <c r="BD73" s="4">
        <f>IFERROR(__xludf.DUMMYFUNCTION("""COMPUTED_VALUE"""),0.0)</f>
        <v>0</v>
      </c>
      <c r="BE73" s="1">
        <f>IFERROR(__xludf.DUMMYFUNCTION("""COMPUTED_VALUE"""),8.0)</f>
        <v>8</v>
      </c>
      <c r="BF73" s="6">
        <f>IFERROR(__xludf.DUMMYFUNCTION("""COMPUTED_VALUE"""),1.0)</f>
        <v>1</v>
      </c>
      <c r="BG73" s="1">
        <f>IFERROR(__xludf.DUMMYFUNCTION("""COMPUTED_VALUE"""),1.0)</f>
        <v>1</v>
      </c>
      <c r="BH73" s="1" t="str">
        <f>IFERROR(__xludf.DUMMYFUNCTION("""COMPUTED_VALUE"""),"1")</f>
        <v>1</v>
      </c>
      <c r="BI73" s="4">
        <f>IFERROR(__xludf.DUMMYFUNCTION("""COMPUTED_VALUE"""),0.0)</f>
        <v>0</v>
      </c>
      <c r="BJ73" s="1">
        <f>IFERROR(__xludf.DUMMYFUNCTION("""COMPUTED_VALUE"""),1.0)</f>
        <v>1</v>
      </c>
      <c r="BK73" s="4">
        <f>IFERROR(__xludf.DUMMYFUNCTION("""COMPUTED_VALUE"""),0.0)</f>
        <v>0</v>
      </c>
      <c r="BL73" s="1">
        <f>IFERROR(__xludf.DUMMYFUNCTION("""COMPUTED_VALUE"""),900.0)</f>
        <v>900</v>
      </c>
      <c r="BM73" s="1">
        <f>IFERROR(__xludf.DUMMYFUNCTION("""COMPUTED_VALUE"""),32.0)</f>
        <v>32</v>
      </c>
      <c r="BN73" s="2">
        <f>IFERROR(__xludf.DUMMYFUNCTION("""COMPUTED_VALUE"""),45509.0)</f>
        <v>45509</v>
      </c>
      <c r="BO73" s="1">
        <f>IFERROR(__xludf.DUMMYFUNCTION("""COMPUTED_VALUE"""),8.0)</f>
        <v>8</v>
      </c>
      <c r="BP73" s="1">
        <f>IFERROR(__xludf.DUMMYFUNCTION("""COMPUTED_VALUE"""),2024.0)</f>
        <v>2024</v>
      </c>
    </row>
    <row r="74">
      <c r="A74" s="1">
        <f>IFERROR(__xludf.DUMMYFUNCTION("""COMPUTED_VALUE"""),73.0)</f>
        <v>73</v>
      </c>
      <c r="B74" s="1">
        <f>IFERROR(__xludf.DUMMYFUNCTION("""COMPUTED_VALUE"""),1402833.0)</f>
        <v>1402833</v>
      </c>
      <c r="C74" s="1" t="str">
        <f>IFERROR(__xludf.DUMMYFUNCTION("""COMPUTED_VALUE"""),"2025-1")</f>
        <v>2025-1</v>
      </c>
      <c r="D74" s="1" t="str">
        <f>IFERROR(__xludf.DUMMYFUNCTION("""COMPUTED_VALUE"""),"Admisión Extraordinaria (Traslados)")</f>
        <v>Admisión Extraordinaria (Traslados)</v>
      </c>
      <c r="E74" s="2">
        <f>IFERROR(__xludf.DUMMYFUNCTION("""COMPUTED_VALUE"""),45513.0)</f>
        <v>45513</v>
      </c>
      <c r="F74" s="1" t="str">
        <f>IFERROR(__xludf.DUMMYFUNCTION("""COMPUTED_VALUE"""),"VICTORIA ALEXANDRA ")</f>
        <v>VICTORIA ALEXANDRA </v>
      </c>
      <c r="G74" s="1" t="str">
        <f>IFERROR(__xludf.DUMMYFUNCTION("""COMPUTED_VALUE"""),"VALENCIA SOTO")</f>
        <v>VALENCIA SOTO</v>
      </c>
      <c r="H74" s="1" t="str">
        <f>IFERROR(__xludf.DUMMYFUNCTION("""COMPUTED_VALUE"""),"Arquitectura")</f>
        <v>Arquitectura</v>
      </c>
      <c r="I74" s="1" t="str">
        <f>IFERROR(__xludf.DUMMYFUNCTION("""COMPUTED_VALUE"""),"CARGO")</f>
        <v>CARGO</v>
      </c>
      <c r="J74" s="1" t="str">
        <f>IFERROR(__xludf.DUMMYFUNCTION("""COMPUTED_VALUE"""),"Diurno")</f>
        <v>Diurno</v>
      </c>
      <c r="K74" s="1" t="str">
        <f>IFERROR(__xludf.DUMMYFUNCTION("""COMPUTED_VALUE"""),"TRASLADO")</f>
        <v>TRASLADO</v>
      </c>
      <c r="L74" s="1">
        <f>IFERROR(__xludf.DUMMYFUNCTION("""COMPUTED_VALUE"""),1.0)</f>
        <v>1</v>
      </c>
      <c r="M74" s="1">
        <f>IFERROR(__xludf.DUMMYFUNCTION("""COMPUTED_VALUE"""),0.0)</f>
        <v>0</v>
      </c>
      <c r="N74" s="1" t="str">
        <f>IFERROR(__xludf.DUMMYFUNCTION("""COMPUTED_VALUE"""),"RECA")</f>
        <v>RECA</v>
      </c>
      <c r="O74" s="1" t="str">
        <f>IFERROR(__xludf.DUMMYFUNCTION("""COMPUTED_VALUE"""),"RECA TRASLADO CON CONVA")</f>
        <v>RECA TRASLADO CON CONVA</v>
      </c>
      <c r="P74" s="4">
        <f>IFERROR(__xludf.DUMMYFUNCTION("""COMPUTED_VALUE"""),0.0)</f>
        <v>0</v>
      </c>
      <c r="Q74" s="4">
        <f>IFERROR(__xludf.DUMMYFUNCTION("""COMPUTED_VALUE"""),0.0)</f>
        <v>0</v>
      </c>
      <c r="R74" s="4">
        <f>IFERROR(__xludf.DUMMYFUNCTION("""COMPUTED_VALUE"""),1350.0)</f>
        <v>1350</v>
      </c>
      <c r="S74" s="4">
        <f>IFERROR(__xludf.DUMMYFUNCTION("""COMPUTED_VALUE"""),900.0)</f>
        <v>900</v>
      </c>
      <c r="T74" s="1" t="str">
        <f>IFERROR(__xludf.DUMMYFUNCTION("""COMPUTED_VALUE"""),"NINGUNO")</f>
        <v>NINGUNO</v>
      </c>
      <c r="U74" s="1" t="str">
        <f>IFERROR(__xludf.DUMMYFUNCTION("""COMPUTED_VALUE"""),"FABIOLA")</f>
        <v>FABIOLA</v>
      </c>
      <c r="V74" s="1" t="str">
        <f>IFERROR(__xludf.DUMMYFUNCTION("""COMPUTED_VALUE"""),"Ninguno")</f>
        <v>Ninguno</v>
      </c>
      <c r="W74" s="1" t="str">
        <f>IFERROR(__xludf.DUMMYFUNCTION("""COMPUTED_VALUE"""),"Malla curricular")</f>
        <v>Malla curricular</v>
      </c>
      <c r="X74" s="1" t="str">
        <f>IFERROR(__xludf.DUMMYFUNCTION("""COMPUTED_VALUE"""),"-")</f>
        <v>-</v>
      </c>
      <c r="Y74" s="1" t="str">
        <f>IFERROR(__xludf.DUMMYFUNCTION("""COMPUTED_VALUE"""),"PAGO COMPLETO")</f>
        <v>PAGO COMPLETO</v>
      </c>
      <c r="Z74" s="1">
        <f>IFERROR(__xludf.DUMMYFUNCTION("""COMPUTED_VALUE"""),0.0)</f>
        <v>0</v>
      </c>
      <c r="AA74" s="1" t="str">
        <f>IFERROR(__xludf.DUMMYFUNCTION("""COMPUTED_VALUE"""),"-")</f>
        <v>-</v>
      </c>
      <c r="AB74" s="1">
        <f>IFERROR(__xludf.DUMMYFUNCTION("""COMPUTED_VALUE"""),1.0)</f>
        <v>1</v>
      </c>
      <c r="AC74" s="1">
        <f>IFERROR(__xludf.DUMMYFUNCTION("""COMPUTED_VALUE"""),1.0)</f>
        <v>1</v>
      </c>
      <c r="AD74" s="1" t="str">
        <f>IFERROR(__xludf.DUMMYFUNCTION("""COMPUTED_VALUE"""),"Ingrid Guillermo Rivera")</f>
        <v>Ingrid Guillermo Rivera</v>
      </c>
      <c r="AE74" s="1" t="str">
        <f>IFERROR(__xludf.DUMMYFUNCTION("""COMPUTED_VALUE"""),"Instituto de Educación Superior Tecnológico Privado Toulouse Lautrec")</f>
        <v>Instituto de Educación Superior Tecnológico Privado Toulouse Lautrec</v>
      </c>
      <c r="AF74" s="1">
        <f>IFERROR(__xludf.DUMMYFUNCTION("""COMPUTED_VALUE"""),2007.0)</f>
        <v>2007</v>
      </c>
      <c r="AG74" s="1">
        <f>IFERROR(__xludf.DUMMYFUNCTION("""COMPUTED_VALUE"""),1243955.0)</f>
        <v>1243955</v>
      </c>
      <c r="AH74" s="1">
        <f>IFERROR(__xludf.DUMMYFUNCTION("""COMPUTED_VALUE"""),33.0)</f>
        <v>33</v>
      </c>
      <c r="AI74" s="1" t="str">
        <f>IFERROR(__xludf.DUMMYFUNCTION("""COMPUTED_VALUE"""),"0000016057")</f>
        <v>0000016057</v>
      </c>
      <c r="AJ74" s="1">
        <f>IFERROR(__xludf.DUMMYFUNCTION("""COMPUTED_VALUE"""),4.7157105E7)</f>
        <v>47157105</v>
      </c>
      <c r="AK74" s="1">
        <f>IFERROR(__xludf.DUMMYFUNCTION("""COMPUTED_VALUE"""),9.23517854E8)</f>
        <v>923517854</v>
      </c>
      <c r="AL74" s="1" t="str">
        <f>IFERROR(__xludf.DUMMYFUNCTION("""COMPUTED_VALUE"""),"valenciasoto.va@gmail.com")</f>
        <v>valenciasoto.va@gmail.com</v>
      </c>
      <c r="AM74" s="1" t="str">
        <f>IFERROR(__xludf.DUMMYFUNCTION("""COMPUTED_VALUE"""),"FEMENINO")</f>
        <v>FEMENINO</v>
      </c>
      <c r="AN74" s="1">
        <f>IFERROR(__xludf.DUMMYFUNCTION("""COMPUTED_VALUE"""),1350.0)</f>
        <v>1350</v>
      </c>
      <c r="AO74" s="1">
        <f>IFERROR(__xludf.DUMMYFUNCTION("""COMPUTED_VALUE"""),640.0)</f>
        <v>640</v>
      </c>
      <c r="AP74" s="1" t="str">
        <f>IFERROR(__xludf.DUMMYFUNCTION("""COMPUTED_VALUE"""),"OUTBOUND")</f>
        <v>OUTBOUND</v>
      </c>
      <c r="AQ74" s="1" t="str">
        <f>IFERROR(__xludf.DUMMYFUNCTION("""COMPUTED_VALUE"""),"OUTBOUND")</f>
        <v>OUTBOUND</v>
      </c>
      <c r="AR74" s="1"/>
      <c r="AS74" s="1"/>
      <c r="AT74" s="1"/>
      <c r="AU74" s="1">
        <f>IFERROR(__xludf.DUMMYFUNCTION("""COMPUTED_VALUE"""),1.0)</f>
        <v>1</v>
      </c>
      <c r="AV74" s="1" t="str">
        <f>IFERROR(__xludf.DUMMYFUNCTION("""COMPUTED_VALUE"""),"TRASLADO")</f>
        <v>TRASLADO</v>
      </c>
      <c r="AW74" s="1" t="str">
        <f>IFERROR(__xludf.DUMMYFUNCTION("""COMPUTED_VALUE"""),"SI")</f>
        <v>SI</v>
      </c>
      <c r="AX74" s="1"/>
      <c r="AY74" s="1" t="str">
        <f>IFERROR(__xludf.DUMMYFUNCTION("""COMPUTED_VALUE"""),"PAGO COMPLETO")</f>
        <v>PAGO COMPLETO</v>
      </c>
      <c r="AZ74" s="5">
        <f>IFERROR(__xludf.DUMMYFUNCTION("""COMPUTED_VALUE"""),45513.0)</f>
        <v>45513</v>
      </c>
      <c r="BA74" s="1">
        <f>IFERROR(__xludf.DUMMYFUNCTION("""COMPUTED_VALUE"""),0.0)</f>
        <v>0</v>
      </c>
      <c r="BB74" s="1">
        <f>IFERROR(__xludf.DUMMYFUNCTION("""COMPUTED_VALUE"""),0.0)</f>
        <v>0</v>
      </c>
      <c r="BC74" s="4">
        <f>IFERROR(__xludf.DUMMYFUNCTION("""COMPUTED_VALUE"""),0.0)</f>
        <v>0</v>
      </c>
      <c r="BD74" s="4">
        <f>IFERROR(__xludf.DUMMYFUNCTION("""COMPUTED_VALUE"""),0.0)</f>
        <v>0</v>
      </c>
      <c r="BE74" s="1">
        <f>IFERROR(__xludf.DUMMYFUNCTION("""COMPUTED_VALUE"""),8.0)</f>
        <v>8</v>
      </c>
      <c r="BF74" s="6">
        <f>IFERROR(__xludf.DUMMYFUNCTION("""COMPUTED_VALUE"""),1.0)</f>
        <v>1</v>
      </c>
      <c r="BG74" s="1">
        <f>IFERROR(__xludf.DUMMYFUNCTION("""COMPUTED_VALUE"""),1.0)</f>
        <v>1</v>
      </c>
      <c r="BH74" s="1" t="str">
        <f>IFERROR(__xludf.DUMMYFUNCTION("""COMPUTED_VALUE"""),"0")</f>
        <v>0</v>
      </c>
      <c r="BI74" s="4">
        <f>IFERROR(__xludf.DUMMYFUNCTION("""COMPUTED_VALUE"""),0.0)</f>
        <v>0</v>
      </c>
      <c r="BJ74" s="1">
        <f>IFERROR(__xludf.DUMMYFUNCTION("""COMPUTED_VALUE"""),1.0)</f>
        <v>1</v>
      </c>
      <c r="BK74" s="4">
        <f>IFERROR(__xludf.DUMMYFUNCTION("""COMPUTED_VALUE"""),0.0)</f>
        <v>0</v>
      </c>
      <c r="BL74" s="1">
        <f>IFERROR(__xludf.DUMMYFUNCTION("""COMPUTED_VALUE"""),900.0)</f>
        <v>900</v>
      </c>
      <c r="BM74" s="1">
        <f>IFERROR(__xludf.DUMMYFUNCTION("""COMPUTED_VALUE"""),32.0)</f>
        <v>32</v>
      </c>
      <c r="BN74" s="2">
        <f>IFERROR(__xludf.DUMMYFUNCTION("""COMPUTED_VALUE"""),45509.0)</f>
        <v>45509</v>
      </c>
      <c r="BO74" s="1">
        <f>IFERROR(__xludf.DUMMYFUNCTION("""COMPUTED_VALUE"""),8.0)</f>
        <v>8</v>
      </c>
      <c r="BP74" s="1">
        <f>IFERROR(__xludf.DUMMYFUNCTION("""COMPUTED_VALUE"""),2024.0)</f>
        <v>2024</v>
      </c>
    </row>
    <row r="75">
      <c r="A75" s="1">
        <f>IFERROR(__xludf.DUMMYFUNCTION("""COMPUTED_VALUE"""),74.0)</f>
        <v>74</v>
      </c>
      <c r="B75" s="1">
        <f>IFERROR(__xludf.DUMMYFUNCTION("""COMPUTED_VALUE"""),4402947.0)</f>
        <v>4402947</v>
      </c>
      <c r="C75" s="1" t="str">
        <f>IFERROR(__xludf.DUMMYFUNCTION("""COMPUTED_VALUE"""),"2025-1")</f>
        <v>2025-1</v>
      </c>
      <c r="D75" s="1" t="str">
        <f>IFERROR(__xludf.DUMMYFUNCTION("""COMPUTED_VALUE"""),"Admisión de Alto Rendimiento")</f>
        <v>Admisión de Alto Rendimiento</v>
      </c>
      <c r="E75" s="2">
        <f>IFERROR(__xludf.DUMMYFUNCTION("""COMPUTED_VALUE"""),45514.0)</f>
        <v>45514</v>
      </c>
      <c r="F75" s="1" t="str">
        <f>IFERROR(__xludf.DUMMYFUNCTION("""COMPUTED_VALUE"""),"DORA LUCERO")</f>
        <v>DORA LUCERO</v>
      </c>
      <c r="G75" s="1" t="str">
        <f>IFERROR(__xludf.DUMMYFUNCTION("""COMPUTED_VALUE"""),"PEREZ MENESES")</f>
        <v>PEREZ MENESES</v>
      </c>
      <c r="H75" s="1" t="str">
        <f>IFERROR(__xludf.DUMMYFUNCTION("""COMPUTED_VALUE"""),"Arquitectura de Interiores")</f>
        <v>Arquitectura de Interiores</v>
      </c>
      <c r="I75" s="1" t="str">
        <f>IFERROR(__xludf.DUMMYFUNCTION("""COMPUTED_VALUE"""),"CARGO")</f>
        <v>CARGO</v>
      </c>
      <c r="J75" s="1" t="str">
        <f>IFERROR(__xludf.DUMMYFUNCTION("""COMPUTED_VALUE"""),"Diurno")</f>
        <v>Diurno</v>
      </c>
      <c r="K75" s="1" t="str">
        <f>IFERROR(__xludf.DUMMYFUNCTION("""COMPUTED_VALUE"""),"NUEVO")</f>
        <v>NUEVO</v>
      </c>
      <c r="L75" s="1">
        <f>IFERROR(__xludf.DUMMYFUNCTION("""COMPUTED_VALUE"""),0.0)</f>
        <v>0</v>
      </c>
      <c r="M75" s="1">
        <f>IFERROR(__xludf.DUMMYFUNCTION("""COMPUTED_VALUE"""),0.0)</f>
        <v>0</v>
      </c>
      <c r="N75" s="1" t="str">
        <f>IFERROR(__xludf.DUMMYFUNCTION("""COMPUTED_VALUE"""),"BECA")</f>
        <v>BECA</v>
      </c>
      <c r="O75" s="1" t="str">
        <f>IFERROR(__xludf.DUMMYFUNCTION("""COMPUTED_VALUE"""),"BECA CARRERAS CORE")</f>
        <v>BECA CARRERAS CORE</v>
      </c>
      <c r="P75" s="4">
        <f>IFERROR(__xludf.DUMMYFUNCTION("""COMPUTED_VALUE"""),0.0)</f>
        <v>0</v>
      </c>
      <c r="Q75" s="4">
        <f>IFERROR(__xludf.DUMMYFUNCTION("""COMPUTED_VALUE"""),0.0)</f>
        <v>0</v>
      </c>
      <c r="R75" s="4">
        <f>IFERROR(__xludf.DUMMYFUNCTION("""COMPUTED_VALUE"""),1350.0)</f>
        <v>1350</v>
      </c>
      <c r="S75" s="4">
        <f>IFERROR(__xludf.DUMMYFUNCTION("""COMPUTED_VALUE"""),1075.0)</f>
        <v>1075</v>
      </c>
      <c r="T75" s="1" t="str">
        <f>IFERROR(__xludf.DUMMYFUNCTION("""COMPUTED_VALUE"""),"Visita Guiada")</f>
        <v>Visita Guiada</v>
      </c>
      <c r="U75" s="1" t="str">
        <f>IFERROR(__xludf.DUMMYFUNCTION("""COMPUTED_VALUE"""),"FABIOLA")</f>
        <v>FABIOLA</v>
      </c>
      <c r="V75" s="1" t="str">
        <f>IFERROR(__xludf.DUMMYFUNCTION("""COMPUTED_VALUE"""),"-")</f>
        <v>-</v>
      </c>
      <c r="W75" s="1" t="str">
        <f>IFERROR(__xludf.DUMMYFUNCTION("""COMPUTED_VALUE"""),"Malla curricular")</f>
        <v>Malla curricular</v>
      </c>
      <c r="X75" s="1" t="str">
        <f>IFERROR(__xludf.DUMMYFUNCTION("""COMPUTED_VALUE"""),"-")</f>
        <v>-</v>
      </c>
      <c r="Y75" s="1" t="str">
        <f>IFERROR(__xludf.DUMMYFUNCTION("""COMPUTED_VALUE"""),"PAGO COMPLETO")</f>
        <v>PAGO COMPLETO</v>
      </c>
      <c r="Z75" s="1">
        <f>IFERROR(__xludf.DUMMYFUNCTION("""COMPUTED_VALUE"""),0.0)</f>
        <v>0</v>
      </c>
      <c r="AA75" s="1" t="str">
        <f>IFERROR(__xludf.DUMMYFUNCTION("""COMPUTED_VALUE"""),"-")</f>
        <v>-</v>
      </c>
      <c r="AB75" s="1">
        <f>IFERROR(__xludf.DUMMYFUNCTION("""COMPUTED_VALUE"""),1.0)</f>
        <v>1</v>
      </c>
      <c r="AC75" s="1">
        <f>IFERROR(__xludf.DUMMYFUNCTION("""COMPUTED_VALUE"""),0.0)</f>
        <v>0</v>
      </c>
      <c r="AD75" s="1" t="str">
        <f>IFERROR(__xludf.DUMMYFUNCTION("""COMPUTED_VALUE"""),"Stefano Napuri")</f>
        <v>Stefano Napuri</v>
      </c>
      <c r="AE75" s="1" t="str">
        <f>IFERROR(__xludf.DUMMYFUNCTION("""COMPUTED_VALUE"""),"0")</f>
        <v>0</v>
      </c>
      <c r="AF75" s="1">
        <f>IFERROR(__xludf.DUMMYFUNCTION("""COMPUTED_VALUE"""),2024.0)</f>
        <v>2024</v>
      </c>
      <c r="AG75" s="1">
        <f>IFERROR(__xludf.DUMMYFUNCTION("""COMPUTED_VALUE"""),1068238.0)</f>
        <v>1068238</v>
      </c>
      <c r="AH75" s="1">
        <f>IFERROR(__xludf.DUMMYFUNCTION("""COMPUTED_VALUE"""),16.0)</f>
        <v>16</v>
      </c>
      <c r="AI75" s="1" t="str">
        <f>IFERROR(__xludf.DUMMYFUNCTION("""COMPUTED_VALUE"""),"0000388981")</f>
        <v>0000388981</v>
      </c>
      <c r="AJ75" s="1">
        <f>IFERROR(__xludf.DUMMYFUNCTION("""COMPUTED_VALUE"""),6.1420665E7)</f>
        <v>61420665</v>
      </c>
      <c r="AK75" s="1">
        <f>IFERROR(__xludf.DUMMYFUNCTION("""COMPUTED_VALUE"""),9.13101313E8)</f>
        <v>913101313</v>
      </c>
      <c r="AL75" s="1" t="str">
        <f>IFERROR(__xludf.DUMMYFUNCTION("""COMPUTED_VALUE"""),"perezmenesesdoralucero@gmail.com")</f>
        <v>perezmenesesdoralucero@gmail.com</v>
      </c>
      <c r="AM75" s="1" t="str">
        <f>IFERROR(__xludf.DUMMYFUNCTION("""COMPUTED_VALUE"""),"FEMENINO")</f>
        <v>FEMENINO</v>
      </c>
      <c r="AN75" s="1">
        <f>IFERROR(__xludf.DUMMYFUNCTION("""COMPUTED_VALUE"""),1350.0)</f>
        <v>1350</v>
      </c>
      <c r="AO75" s="1">
        <f>IFERROR(__xludf.DUMMYFUNCTION("""COMPUTED_VALUE"""),0.0)</f>
        <v>0</v>
      </c>
      <c r="AP75" s="1" t="str">
        <f>IFERROR(__xludf.DUMMYFUNCTION("""COMPUTED_VALUE"""),"FORMULARIO")</f>
        <v>FORMULARIO</v>
      </c>
      <c r="AQ75" s="1" t="str">
        <f>IFERROR(__xludf.DUMMYFUNCTION("""COMPUTED_VALUE"""),"SEARCH MARCA")</f>
        <v>SEARCH MARCA</v>
      </c>
      <c r="AR75" s="1" t="str">
        <f>IFERROR(__xludf.DUMMYFUNCTION("""COMPUTED_VALUE"""),"NUEVO")</f>
        <v>NUEVO</v>
      </c>
      <c r="AS75" s="1" t="str">
        <f>IFERROR(__xludf.DUMMYFUNCTION("""COMPUTED_VALUE"""),"ucal-pg-performance-sedes-abierta-cpl-search_conversion_marca-20240401")</f>
        <v>ucal-pg-performance-sedes-abierta-cpl-search_conversion_marca-20240401</v>
      </c>
      <c r="AT75" s="2">
        <f>IFERROR(__xludf.DUMMYFUNCTION("""COMPUTED_VALUE"""),45501.0)</f>
        <v>45501</v>
      </c>
      <c r="AU75" s="1">
        <f>IFERROR(__xludf.DUMMYFUNCTION("""COMPUTED_VALUE"""),1.0)</f>
        <v>1</v>
      </c>
      <c r="AV75" s="1" t="str">
        <f>IFERROR(__xludf.DUMMYFUNCTION("""COMPUTED_VALUE"""),"NUEVO")</f>
        <v>NUEVO</v>
      </c>
      <c r="AW75" s="1" t="str">
        <f>IFERROR(__xludf.DUMMYFUNCTION("""COMPUTED_VALUE"""),"SI")</f>
        <v>SI</v>
      </c>
      <c r="AX75" s="1"/>
      <c r="AY75" s="1" t="str">
        <f>IFERROR(__xludf.DUMMYFUNCTION("""COMPUTED_VALUE"""),"PAGO COMPLETO")</f>
        <v>PAGO COMPLETO</v>
      </c>
      <c r="AZ75" s="5">
        <f>IFERROR(__xludf.DUMMYFUNCTION("""COMPUTED_VALUE"""),45514.0)</f>
        <v>45514</v>
      </c>
      <c r="BA75" s="1">
        <f>IFERROR(__xludf.DUMMYFUNCTION("""COMPUTED_VALUE"""),0.0)</f>
        <v>0</v>
      </c>
      <c r="BB75" s="1">
        <f>IFERROR(__xludf.DUMMYFUNCTION("""COMPUTED_VALUE"""),0.0)</f>
        <v>0</v>
      </c>
      <c r="BC75" s="4">
        <f>IFERROR(__xludf.DUMMYFUNCTION("""COMPUTED_VALUE"""),0.0)</f>
        <v>0</v>
      </c>
      <c r="BD75" s="4">
        <f>IFERROR(__xludf.DUMMYFUNCTION("""COMPUTED_VALUE"""),100.0)</f>
        <v>100</v>
      </c>
      <c r="BE75" s="1">
        <f>IFERROR(__xludf.DUMMYFUNCTION("""COMPUTED_VALUE"""),8.0)</f>
        <v>8</v>
      </c>
      <c r="BF75" s="6">
        <f>IFERROR(__xludf.DUMMYFUNCTION("""COMPUTED_VALUE"""),1.0)</f>
        <v>1</v>
      </c>
      <c r="BG75" s="1">
        <f>IFERROR(__xludf.DUMMYFUNCTION("""COMPUTED_VALUE"""),1.0)</f>
        <v>1</v>
      </c>
      <c r="BH75" s="1" t="str">
        <f>IFERROR(__xludf.DUMMYFUNCTION("""COMPUTED_VALUE"""),"0")</f>
        <v>0</v>
      </c>
      <c r="BI75" s="4">
        <f>IFERROR(__xludf.DUMMYFUNCTION("""COMPUTED_VALUE"""),100.0)</f>
        <v>100</v>
      </c>
      <c r="BJ75" s="1">
        <f>IFERROR(__xludf.DUMMYFUNCTION("""COMPUTED_VALUE"""),0.0)</f>
        <v>0</v>
      </c>
      <c r="BK75" s="4">
        <f>IFERROR(__xludf.DUMMYFUNCTION("""COMPUTED_VALUE"""),100.0)</f>
        <v>100</v>
      </c>
      <c r="BL75" s="1">
        <f>IFERROR(__xludf.DUMMYFUNCTION("""COMPUTED_VALUE"""),1055.0)</f>
        <v>1055</v>
      </c>
      <c r="BM75" s="1">
        <f>IFERROR(__xludf.DUMMYFUNCTION("""COMPUTED_VALUE"""),32.0)</f>
        <v>32</v>
      </c>
      <c r="BN75" s="2">
        <f>IFERROR(__xludf.DUMMYFUNCTION("""COMPUTED_VALUE"""),45509.0)</f>
        <v>45509</v>
      </c>
      <c r="BO75" s="1">
        <f>IFERROR(__xludf.DUMMYFUNCTION("""COMPUTED_VALUE"""),8.0)</f>
        <v>8</v>
      </c>
      <c r="BP75" s="1">
        <f>IFERROR(__xludf.DUMMYFUNCTION("""COMPUTED_VALUE"""),2024.0)</f>
        <v>2024</v>
      </c>
    </row>
    <row r="76">
      <c r="A76" s="1">
        <f>IFERROR(__xludf.DUMMYFUNCTION("""COMPUTED_VALUE"""),75.0)</f>
        <v>75</v>
      </c>
      <c r="B76" s="1">
        <f>IFERROR(__xludf.DUMMYFUNCTION("""COMPUTED_VALUE"""),4377755.0)</f>
        <v>4377755</v>
      </c>
      <c r="C76" s="1" t="str">
        <f>IFERROR(__xludf.DUMMYFUNCTION("""COMPUTED_VALUE"""),"2025-1")</f>
        <v>2025-1</v>
      </c>
      <c r="D76" s="1" t="str">
        <f>IFERROR(__xludf.DUMMYFUNCTION("""COMPUTED_VALUE"""),"Admisión de Alto Rendimiento")</f>
        <v>Admisión de Alto Rendimiento</v>
      </c>
      <c r="E76" s="2">
        <f>IFERROR(__xludf.DUMMYFUNCTION("""COMPUTED_VALUE"""),45516.0)</f>
        <v>45516</v>
      </c>
      <c r="F76" s="1" t="str">
        <f>IFERROR(__xludf.DUMMYFUNCTION("""COMPUTED_VALUE"""),"JUAN DE DIOS SEBASTIÁN")</f>
        <v>JUAN DE DIOS SEBASTIÁN</v>
      </c>
      <c r="G76" s="1" t="str">
        <f>IFERROR(__xludf.DUMMYFUNCTION("""COMPUTED_VALUE"""),"URTEAGA CIEZA")</f>
        <v>URTEAGA CIEZA</v>
      </c>
      <c r="H76" s="1" t="str">
        <f>IFERROR(__xludf.DUMMYFUNCTION("""COMPUTED_VALUE"""),"Comunicación Audiovisual y Cine")</f>
        <v>Comunicación Audiovisual y Cine</v>
      </c>
      <c r="I76" s="1" t="str">
        <f>IFERROR(__xludf.DUMMYFUNCTION("""COMPUTED_VALUE"""),"CARGO")</f>
        <v>CARGO</v>
      </c>
      <c r="J76" s="1" t="str">
        <f>IFERROR(__xludf.DUMMYFUNCTION("""COMPUTED_VALUE"""),"Diurno")</f>
        <v>Diurno</v>
      </c>
      <c r="K76" s="1" t="str">
        <f>IFERROR(__xludf.DUMMYFUNCTION("""COMPUTED_VALUE"""),"NUEVO")</f>
        <v>NUEVO</v>
      </c>
      <c r="L76" s="1">
        <f>IFERROR(__xludf.DUMMYFUNCTION("""COMPUTED_VALUE"""),0.0)</f>
        <v>0</v>
      </c>
      <c r="M76" s="1">
        <f>IFERROR(__xludf.DUMMYFUNCTION("""COMPUTED_VALUE"""),0.0)</f>
        <v>0</v>
      </c>
      <c r="N76" s="1" t="str">
        <f>IFERROR(__xludf.DUMMYFUNCTION("""COMPUTED_VALUE"""),"BECA")</f>
        <v>BECA</v>
      </c>
      <c r="O76" s="1" t="str">
        <f>IFERROR(__xludf.DUMMYFUNCTION("""COMPUTED_VALUE"""),"BECA CARRERAS CORE")</f>
        <v>BECA CARRERAS CORE</v>
      </c>
      <c r="P76" s="4">
        <f>IFERROR(__xludf.DUMMYFUNCTION("""COMPUTED_VALUE"""),0.0)</f>
        <v>0</v>
      </c>
      <c r="Q76" s="4">
        <f>IFERROR(__xludf.DUMMYFUNCTION("""COMPUTED_VALUE"""),0.0)</f>
        <v>0</v>
      </c>
      <c r="R76" s="4">
        <f>IFERROR(__xludf.DUMMYFUNCTION("""COMPUTED_VALUE"""),1350.0)</f>
        <v>1350</v>
      </c>
      <c r="S76" s="4">
        <f>IFERROR(__xludf.DUMMYFUNCTION("""COMPUTED_VALUE"""),1075.0)</f>
        <v>1075</v>
      </c>
      <c r="T76" s="1" t="str">
        <f>IFERROR(__xludf.DUMMYFUNCTION("""COMPUTED_VALUE"""),"NINGUNO")</f>
        <v>NINGUNO</v>
      </c>
      <c r="U76" s="1" t="str">
        <f>IFERROR(__xludf.DUMMYFUNCTION("""COMPUTED_VALUE"""),"FABIOLA")</f>
        <v>FABIOLA</v>
      </c>
      <c r="V76" s="1" t="str">
        <f>IFERROR(__xludf.DUMMYFUNCTION("""COMPUTED_VALUE"""),"-")</f>
        <v>-</v>
      </c>
      <c r="W76" s="1" t="str">
        <f>IFERROR(__xludf.DUMMYFUNCTION("""COMPUTED_VALUE"""),"Malla curricular")</f>
        <v>Malla curricular</v>
      </c>
      <c r="X76" s="1" t="str">
        <f>IFERROR(__xludf.DUMMYFUNCTION("""COMPUTED_VALUE"""),"le encanto la malla curricular")</f>
        <v>le encanto la malla curricular</v>
      </c>
      <c r="Y76" s="1" t="str">
        <f>IFERROR(__xludf.DUMMYFUNCTION("""COMPUTED_VALUE"""),"PAGO COMPLETO")</f>
        <v>PAGO COMPLETO</v>
      </c>
      <c r="Z76" s="1">
        <f>IFERROR(__xludf.DUMMYFUNCTION("""COMPUTED_VALUE"""),0.0)</f>
        <v>0</v>
      </c>
      <c r="AA76" s="1" t="str">
        <f>IFERROR(__xludf.DUMMYFUNCTION("""COMPUTED_VALUE"""),"-")</f>
        <v>-</v>
      </c>
      <c r="AB76" s="1">
        <f>IFERROR(__xludf.DUMMYFUNCTION("""COMPUTED_VALUE"""),0.0)</f>
        <v>0</v>
      </c>
      <c r="AC76" s="1">
        <f>IFERROR(__xludf.DUMMYFUNCTION("""COMPUTED_VALUE"""),0.0)</f>
        <v>0</v>
      </c>
      <c r="AD76" s="1" t="str">
        <f>IFERROR(__xludf.DUMMYFUNCTION("""COMPUTED_VALUE"""),"Cinthia Mariella Orosco")</f>
        <v>Cinthia Mariella Orosco</v>
      </c>
      <c r="AE76" s="1" t="str">
        <f>IFERROR(__xludf.DUMMYFUNCTION("""COMPUTED_VALUE"""),"0")</f>
        <v>0</v>
      </c>
      <c r="AF76" s="1">
        <f>IFERROR(__xludf.DUMMYFUNCTION("""COMPUTED_VALUE"""),2024.0)</f>
        <v>2024</v>
      </c>
      <c r="AG76" s="1">
        <f>IFERROR(__xludf.DUMMYFUNCTION("""COMPUTED_VALUE"""),1444215.0)</f>
        <v>1444215</v>
      </c>
      <c r="AH76" s="1">
        <f>IFERROR(__xludf.DUMMYFUNCTION("""COMPUTED_VALUE"""),18.0)</f>
        <v>18</v>
      </c>
      <c r="AI76" s="1" t="str">
        <f>IFERROR(__xludf.DUMMYFUNCTION("""COMPUTED_VALUE"""),"0000390124")</f>
        <v>0000390124</v>
      </c>
      <c r="AJ76" s="1">
        <f>IFERROR(__xludf.DUMMYFUNCTION("""COMPUTED_VALUE"""),6.0779748E7)</f>
        <v>60779748</v>
      </c>
      <c r="AK76" s="1">
        <f>IFERROR(__xludf.DUMMYFUNCTION("""COMPUTED_VALUE"""),9.47799452E8)</f>
        <v>947799452</v>
      </c>
      <c r="AL76" s="1" t="str">
        <f>IFERROR(__xludf.DUMMYFUNCTION("""COMPUTED_VALUE"""),"sebastianurteaga562@gmail.com")</f>
        <v>sebastianurteaga562@gmail.com</v>
      </c>
      <c r="AM76" s="1" t="str">
        <f>IFERROR(__xludf.DUMMYFUNCTION("""COMPUTED_VALUE"""),"MASCULINO")</f>
        <v>MASCULINO</v>
      </c>
      <c r="AN76" s="1">
        <f>IFERROR(__xludf.DUMMYFUNCTION("""COMPUTED_VALUE"""),1350.0)</f>
        <v>1350</v>
      </c>
      <c r="AO76" s="1">
        <f>IFERROR(__xludf.DUMMYFUNCTION("""COMPUTED_VALUE"""),0.0)</f>
        <v>0</v>
      </c>
      <c r="AP76" s="1" t="str">
        <f>IFERROR(__xludf.DUMMYFUNCTION("""COMPUTED_VALUE"""),"FORMULARIO")</f>
        <v>FORMULARIO</v>
      </c>
      <c r="AQ76" s="1" t="str">
        <f>IFERROR(__xludf.DUMMYFUNCTION("""COMPUTED_VALUE"""),"ORGANICO")</f>
        <v>ORGANICO</v>
      </c>
      <c r="AR76" s="1" t="str">
        <f>IFERROR(__xludf.DUMMYFUNCTION("""COMPUTED_VALUE"""),"NUEVO")</f>
        <v>NUEVO</v>
      </c>
      <c r="AS76" s="1"/>
      <c r="AT76" s="2">
        <f>IFERROR(__xludf.DUMMYFUNCTION("""COMPUTED_VALUE"""),45489.0)</f>
        <v>45489</v>
      </c>
      <c r="AU76" s="1">
        <f>IFERROR(__xludf.DUMMYFUNCTION("""COMPUTED_VALUE"""),1.0)</f>
        <v>1</v>
      </c>
      <c r="AV76" s="1" t="str">
        <f>IFERROR(__xludf.DUMMYFUNCTION("""COMPUTED_VALUE"""),"NUEVO")</f>
        <v>NUEVO</v>
      </c>
      <c r="AW76" s="1" t="str">
        <f>IFERROR(__xludf.DUMMYFUNCTION("""COMPUTED_VALUE"""),"SI")</f>
        <v>SI</v>
      </c>
      <c r="AX76" s="1"/>
      <c r="AY76" s="1" t="str">
        <f>IFERROR(__xludf.DUMMYFUNCTION("""COMPUTED_VALUE"""),"PAGO COMPLETO")</f>
        <v>PAGO COMPLETO</v>
      </c>
      <c r="AZ76" s="5">
        <f>IFERROR(__xludf.DUMMYFUNCTION("""COMPUTED_VALUE"""),45516.0)</f>
        <v>45516</v>
      </c>
      <c r="BA76" s="1">
        <f>IFERROR(__xludf.DUMMYFUNCTION("""COMPUTED_VALUE"""),0.0)</f>
        <v>0</v>
      </c>
      <c r="BB76" s="1">
        <f>IFERROR(__xludf.DUMMYFUNCTION("""COMPUTED_VALUE"""),0.0)</f>
        <v>0</v>
      </c>
      <c r="BC76" s="4">
        <f>IFERROR(__xludf.DUMMYFUNCTION("""COMPUTED_VALUE"""),0.0)</f>
        <v>0</v>
      </c>
      <c r="BD76" s="4">
        <f>IFERROR(__xludf.DUMMYFUNCTION("""COMPUTED_VALUE"""),0.0)</f>
        <v>0</v>
      </c>
      <c r="BE76" s="1">
        <f>IFERROR(__xludf.DUMMYFUNCTION("""COMPUTED_VALUE"""),8.0)</f>
        <v>8</v>
      </c>
      <c r="BF76" s="6">
        <f>IFERROR(__xludf.DUMMYFUNCTION("""COMPUTED_VALUE"""),1.0)</f>
        <v>1</v>
      </c>
      <c r="BG76" s="1">
        <f>IFERROR(__xludf.DUMMYFUNCTION("""COMPUTED_VALUE"""),1.0)</f>
        <v>1</v>
      </c>
      <c r="BH76" s="1" t="str">
        <f>IFERROR(__xludf.DUMMYFUNCTION("""COMPUTED_VALUE"""),"0")</f>
        <v>0</v>
      </c>
      <c r="BI76" s="4">
        <f>IFERROR(__xludf.DUMMYFUNCTION("""COMPUTED_VALUE"""),0.0)</f>
        <v>0</v>
      </c>
      <c r="BJ76" s="1">
        <f>IFERROR(__xludf.DUMMYFUNCTION("""COMPUTED_VALUE"""),0.0)</f>
        <v>0</v>
      </c>
      <c r="BK76" s="4">
        <f>IFERROR(__xludf.DUMMYFUNCTION("""COMPUTED_VALUE"""),0.0)</f>
        <v>0</v>
      </c>
      <c r="BL76" s="1">
        <f>IFERROR(__xludf.DUMMYFUNCTION("""COMPUTED_VALUE"""),1075.0)</f>
        <v>1075</v>
      </c>
      <c r="BM76" s="1">
        <f>IFERROR(__xludf.DUMMYFUNCTION("""COMPUTED_VALUE"""),33.0)</f>
        <v>33</v>
      </c>
      <c r="BN76" s="2">
        <f>IFERROR(__xludf.DUMMYFUNCTION("""COMPUTED_VALUE"""),45516.0)</f>
        <v>45516</v>
      </c>
      <c r="BO76" s="1">
        <f>IFERROR(__xludf.DUMMYFUNCTION("""COMPUTED_VALUE"""),8.0)</f>
        <v>8</v>
      </c>
      <c r="BP76" s="1">
        <f>IFERROR(__xludf.DUMMYFUNCTION("""COMPUTED_VALUE"""),2024.0)</f>
        <v>2024</v>
      </c>
    </row>
    <row r="77">
      <c r="A77" s="1">
        <f>IFERROR(__xludf.DUMMYFUNCTION("""COMPUTED_VALUE"""),76.0)</f>
        <v>76</v>
      </c>
      <c r="B77" s="1">
        <f>IFERROR(__xludf.DUMMYFUNCTION("""COMPUTED_VALUE"""),2454638.0)</f>
        <v>2454638</v>
      </c>
      <c r="C77" s="1" t="str">
        <f>IFERROR(__xludf.DUMMYFUNCTION("""COMPUTED_VALUE"""),"2025-1")</f>
        <v>2025-1</v>
      </c>
      <c r="D77" s="1" t="str">
        <f>IFERROR(__xludf.DUMMYFUNCTION("""COMPUTED_VALUE"""),"Admisión de Alto Rendimiento")</f>
        <v>Admisión de Alto Rendimiento</v>
      </c>
      <c r="E77" s="2">
        <f>IFERROR(__xludf.DUMMYFUNCTION("""COMPUTED_VALUE"""),45516.0)</f>
        <v>45516</v>
      </c>
      <c r="F77" s="1" t="str">
        <f>IFERROR(__xludf.DUMMYFUNCTION("""COMPUTED_VALUE"""),"CAMILA ROSANGEL")</f>
        <v>CAMILA ROSANGEL</v>
      </c>
      <c r="G77" s="1" t="str">
        <f>IFERROR(__xludf.DUMMYFUNCTION("""COMPUTED_VALUE"""),"CAJAN CHICOMA")</f>
        <v>CAJAN CHICOMA</v>
      </c>
      <c r="H77" s="1" t="str">
        <f>IFERROR(__xludf.DUMMYFUNCTION("""COMPUTED_VALUE"""),"Arquitectura de Interiores")</f>
        <v>Arquitectura de Interiores</v>
      </c>
      <c r="I77" s="1" t="str">
        <f>IFERROR(__xludf.DUMMYFUNCTION("""COMPUTED_VALUE"""),"Pago Link")</f>
        <v>Pago Link</v>
      </c>
      <c r="J77" s="1" t="str">
        <f>IFERROR(__xludf.DUMMYFUNCTION("""COMPUTED_VALUE"""),"Diurno")</f>
        <v>Diurno</v>
      </c>
      <c r="K77" s="1" t="str">
        <f>IFERROR(__xludf.DUMMYFUNCTION("""COMPUTED_VALUE"""),"NUEVO")</f>
        <v>NUEVO</v>
      </c>
      <c r="L77" s="1">
        <f>IFERROR(__xludf.DUMMYFUNCTION("""COMPUTED_VALUE"""),0.0)</f>
        <v>0</v>
      </c>
      <c r="M77" s="1">
        <f>IFERROR(__xludf.DUMMYFUNCTION("""COMPUTED_VALUE"""),0.0)</f>
        <v>0</v>
      </c>
      <c r="N77" s="1" t="str">
        <f>IFERROR(__xludf.DUMMYFUNCTION("""COMPUTED_VALUE"""),"RECA-BECA")</f>
        <v>RECA-BECA</v>
      </c>
      <c r="O77" s="1" t="str">
        <f>IFERROR(__xludf.DUMMYFUNCTION("""COMPUTED_VALUE"""),"BECA CARRERAS CORE")</f>
        <v>BECA CARRERAS CORE</v>
      </c>
      <c r="P77" s="4">
        <f>IFERROR(__xludf.DUMMYFUNCTION("""COMPUTED_VALUE"""),0.0)</f>
        <v>0</v>
      </c>
      <c r="Q77" s="4">
        <f>IFERROR(__xludf.DUMMYFUNCTION("""COMPUTED_VALUE"""),0.0)</f>
        <v>0</v>
      </c>
      <c r="R77" s="4">
        <f>IFERROR(__xludf.DUMMYFUNCTION("""COMPUTED_VALUE"""),1525.0)</f>
        <v>1525</v>
      </c>
      <c r="S77" s="4">
        <f>IFERROR(__xludf.DUMMYFUNCTION("""COMPUTED_VALUE"""),1250.0)</f>
        <v>1250</v>
      </c>
      <c r="T77" s="1" t="str">
        <f>IFERROR(__xludf.DUMMYFUNCTION("""COMPUTED_VALUE"""),"Refirio")</f>
        <v>Refirio</v>
      </c>
      <c r="U77" s="1" t="str">
        <f>IFERROR(__xludf.DUMMYFUNCTION("""COMPUTED_VALUE"""),"FABIOLA")</f>
        <v>FABIOLA</v>
      </c>
      <c r="V77" s="1" t="str">
        <f>IFERROR(__xludf.DUMMYFUNCTION("""COMPUTED_VALUE"""),"-")</f>
        <v>-</v>
      </c>
      <c r="W77" s="1" t="str">
        <f>IFERROR(__xludf.DUMMYFUNCTION("""COMPUTED_VALUE"""),"Equipos e instalaciones")</f>
        <v>Equipos e instalaciones</v>
      </c>
      <c r="X77" s="1" t="str">
        <f>IFERROR(__xludf.DUMMYFUNCTION("""COMPUTED_VALUE"""),"Beneficio del 100% en la última Boleta por referir a 4778940")</f>
        <v>Beneficio del 100% en la última Boleta por referir a 4778940</v>
      </c>
      <c r="Y77" s="1" t="str">
        <f>IFERROR(__xludf.DUMMYFUNCTION("""COMPUTED_VALUE"""),"PAGO FRACCIONADO")</f>
        <v>PAGO FRACCIONADO</v>
      </c>
      <c r="Z77" s="1">
        <f>IFERROR(__xludf.DUMMYFUNCTION("""COMPUTED_VALUE"""),600.0)</f>
        <v>600</v>
      </c>
      <c r="AA77" s="1" t="str">
        <f>IFERROR(__xludf.DUMMYFUNCTION("""COMPUTED_VALUE"""),"31/08/2024")</f>
        <v>31/08/2024</v>
      </c>
      <c r="AB77" s="1">
        <f>IFERROR(__xludf.DUMMYFUNCTION("""COMPUTED_VALUE"""),0.0)</f>
        <v>0</v>
      </c>
      <c r="AC77" s="1">
        <f>IFERROR(__xludf.DUMMYFUNCTION("""COMPUTED_VALUE"""),0.0)</f>
        <v>0</v>
      </c>
      <c r="AD77" s="1" t="str">
        <f>IFERROR(__xludf.DUMMYFUNCTION("""COMPUTED_VALUE"""),"Fiorella Lanegra")</f>
        <v>Fiorella Lanegra</v>
      </c>
      <c r="AE77" s="1" t="str">
        <f>IFERROR(__xludf.DUMMYFUNCTION("""COMPUTED_VALUE"""),"0")</f>
        <v>0</v>
      </c>
      <c r="AF77" s="1">
        <f>IFERROR(__xludf.DUMMYFUNCTION("""COMPUTED_VALUE"""),2024.0)</f>
        <v>2024</v>
      </c>
      <c r="AG77" s="1">
        <f>IFERROR(__xludf.DUMMYFUNCTION("""COMPUTED_VALUE"""),1082874.0)</f>
        <v>1082874</v>
      </c>
      <c r="AH77" s="1">
        <f>IFERROR(__xludf.DUMMYFUNCTION("""COMPUTED_VALUE"""),16.0)</f>
        <v>16</v>
      </c>
      <c r="AI77" s="1" t="str">
        <f>IFERROR(__xludf.DUMMYFUNCTION("""COMPUTED_VALUE"""),"0000390364")</f>
        <v>0000390364</v>
      </c>
      <c r="AJ77" s="1">
        <f>IFERROR(__xludf.DUMMYFUNCTION("""COMPUTED_VALUE"""),6.1264842E7)</f>
        <v>61264842</v>
      </c>
      <c r="AK77" s="1">
        <f>IFERROR(__xludf.DUMMYFUNCTION("""COMPUTED_VALUE"""),9.34859032E8)</f>
        <v>934859032</v>
      </c>
      <c r="AL77" s="1" t="str">
        <f>IFERROR(__xludf.DUMMYFUNCTION("""COMPUTED_VALUE"""),"cajanchicoma@gmail.com")</f>
        <v>cajanchicoma@gmail.com</v>
      </c>
      <c r="AM77" s="1" t="str">
        <f>IFERROR(__xludf.DUMMYFUNCTION("""COMPUTED_VALUE"""),"FEMENINO")</f>
        <v>FEMENINO</v>
      </c>
      <c r="AN77" s="1">
        <f>IFERROR(__xludf.DUMMYFUNCTION("""COMPUTED_VALUE"""),1775.0)</f>
        <v>1775</v>
      </c>
      <c r="AO77" s="1">
        <f>IFERROR(__xludf.DUMMYFUNCTION("""COMPUTED_VALUE"""),480.0)</f>
        <v>480</v>
      </c>
      <c r="AP77" s="1" t="str">
        <f>IFERROR(__xludf.DUMMYFUNCTION("""COMPUTED_VALUE"""),"FORMULARIO")</f>
        <v>FORMULARIO</v>
      </c>
      <c r="AQ77" s="1" t="str">
        <f>IFERROR(__xludf.DUMMYFUNCTION("""COMPUTED_VALUE"""),"SEARCH MARCA")</f>
        <v>SEARCH MARCA</v>
      </c>
      <c r="AR77" s="1" t="str">
        <f>IFERROR(__xludf.DUMMYFUNCTION("""COMPUTED_VALUE"""),"NUEVO")</f>
        <v>NUEVO</v>
      </c>
      <c r="AS77" s="1" t="str">
        <f>IFERROR(__xludf.DUMMYFUNCTION("""COMPUTED_VALUE"""),"ucal-pg-performance-sedes-abierta-cpl-search_conversion_marca-20240401")</f>
        <v>ucal-pg-performance-sedes-abierta-cpl-search_conversion_marca-20240401</v>
      </c>
      <c r="AT77" s="2">
        <f>IFERROR(__xludf.DUMMYFUNCTION("""COMPUTED_VALUE"""),45501.0)</f>
        <v>45501</v>
      </c>
      <c r="AU77" s="1">
        <f>IFERROR(__xludf.DUMMYFUNCTION("""COMPUTED_VALUE"""),1.0)</f>
        <v>1</v>
      </c>
      <c r="AV77" s="1" t="str">
        <f>IFERROR(__xludf.DUMMYFUNCTION("""COMPUTED_VALUE"""),"NUEVO")</f>
        <v>NUEVO</v>
      </c>
      <c r="AW77" s="1" t="str">
        <f>IFERROR(__xludf.DUMMYFUNCTION("""COMPUTED_VALUE"""),"SI")</f>
        <v>SI</v>
      </c>
      <c r="AX77" s="1"/>
      <c r="AY77" s="1" t="str">
        <f>IFERROR(__xludf.DUMMYFUNCTION("""COMPUTED_VALUE"""),"PAGO COMPLETO")</f>
        <v>PAGO COMPLETO</v>
      </c>
      <c r="AZ77" s="5">
        <f>IFERROR(__xludf.DUMMYFUNCTION("""COMPUTED_VALUE"""),45533.0)</f>
        <v>45533</v>
      </c>
      <c r="BA77" s="1">
        <f>IFERROR(__xludf.DUMMYFUNCTION("""COMPUTED_VALUE"""),650.0)</f>
        <v>650</v>
      </c>
      <c r="BB77" s="1">
        <f>IFERROR(__xludf.DUMMYFUNCTION("""COMPUTED_VALUE"""),0.0)</f>
        <v>0</v>
      </c>
      <c r="BC77" s="4">
        <f>IFERROR(__xludf.DUMMYFUNCTION("""COMPUTED_VALUE"""),0.0)</f>
        <v>0</v>
      </c>
      <c r="BD77" s="4">
        <f>IFERROR(__xludf.DUMMYFUNCTION("""COMPUTED_VALUE"""),0.0)</f>
        <v>0</v>
      </c>
      <c r="BE77" s="1">
        <f>IFERROR(__xludf.DUMMYFUNCTION("""COMPUTED_VALUE"""),8.0)</f>
        <v>8</v>
      </c>
      <c r="BF77" s="6">
        <f>IFERROR(__xludf.DUMMYFUNCTION("""COMPUTED_VALUE"""),1.0)</f>
        <v>1</v>
      </c>
      <c r="BG77" s="1">
        <f>IFERROR(__xludf.DUMMYFUNCTION("""COMPUTED_VALUE"""),0.0)</f>
        <v>0</v>
      </c>
      <c r="BH77" s="1" t="str">
        <f>IFERROR(__xludf.DUMMYFUNCTION("""COMPUTED_VALUE"""),"0")</f>
        <v>0</v>
      </c>
      <c r="BI77" s="4">
        <f>IFERROR(__xludf.DUMMYFUNCTION("""COMPUTED_VALUE"""),1250.0)</f>
        <v>1250</v>
      </c>
      <c r="BJ77" s="1">
        <f>IFERROR(__xludf.DUMMYFUNCTION("""COMPUTED_VALUE"""),0.0)</f>
        <v>0</v>
      </c>
      <c r="BK77" s="4">
        <f>IFERROR(__xludf.DUMMYFUNCTION("""COMPUTED_VALUE"""),1250.0)</f>
        <v>1250</v>
      </c>
      <c r="BL77" s="1">
        <f>IFERROR(__xludf.DUMMYFUNCTION("""COMPUTED_VALUE"""),1000.0)</f>
        <v>1000</v>
      </c>
      <c r="BM77" s="1">
        <f>IFERROR(__xludf.DUMMYFUNCTION("""COMPUTED_VALUE"""),33.0)</f>
        <v>33</v>
      </c>
      <c r="BN77" s="2">
        <f>IFERROR(__xludf.DUMMYFUNCTION("""COMPUTED_VALUE"""),45516.0)</f>
        <v>45516</v>
      </c>
      <c r="BO77" s="1">
        <f>IFERROR(__xludf.DUMMYFUNCTION("""COMPUTED_VALUE"""),8.0)</f>
        <v>8</v>
      </c>
      <c r="BP77" s="1">
        <f>IFERROR(__xludf.DUMMYFUNCTION("""COMPUTED_VALUE"""),2024.0)</f>
        <v>2024</v>
      </c>
    </row>
    <row r="78">
      <c r="A78" s="1">
        <f>IFERROR(__xludf.DUMMYFUNCTION("""COMPUTED_VALUE"""),77.0)</f>
        <v>77</v>
      </c>
      <c r="B78" s="1">
        <f>IFERROR(__xludf.DUMMYFUNCTION("""COMPUTED_VALUE"""),4400720.0)</f>
        <v>4400720</v>
      </c>
      <c r="C78" s="1" t="str">
        <f>IFERROR(__xludf.DUMMYFUNCTION("""COMPUTED_VALUE"""),"2025-1")</f>
        <v>2025-1</v>
      </c>
      <c r="D78" s="1" t="str">
        <f>IFERROR(__xludf.DUMMYFUNCTION("""COMPUTED_VALUE"""),"Admisión de Alto Rendimiento")</f>
        <v>Admisión de Alto Rendimiento</v>
      </c>
      <c r="E78" s="2">
        <f>IFERROR(__xludf.DUMMYFUNCTION("""COMPUTED_VALUE"""),45518.0)</f>
        <v>45518</v>
      </c>
      <c r="F78" s="1" t="str">
        <f>IFERROR(__xludf.DUMMYFUNCTION("""COMPUTED_VALUE"""),"KIARA VALERIA FLOR ")</f>
        <v>KIARA VALERIA FLOR </v>
      </c>
      <c r="G78" s="1" t="str">
        <f>IFERROR(__xludf.DUMMYFUNCTION("""COMPUTED_VALUE"""),"CHUCOS GARAY")</f>
        <v>CHUCOS GARAY</v>
      </c>
      <c r="H78" s="1" t="str">
        <f>IFERROR(__xludf.DUMMYFUNCTION("""COMPUTED_VALUE"""),"Arquitectura de Interiores")</f>
        <v>Arquitectura de Interiores</v>
      </c>
      <c r="I78" s="1" t="str">
        <f>IFERROR(__xludf.DUMMYFUNCTION("""COMPUTED_VALUE"""),"Pago Link")</f>
        <v>Pago Link</v>
      </c>
      <c r="J78" s="1" t="str">
        <f>IFERROR(__xludf.DUMMYFUNCTION("""COMPUTED_VALUE"""),"Diurno")</f>
        <v>Diurno</v>
      </c>
      <c r="K78" s="1" t="str">
        <f>IFERROR(__xludf.DUMMYFUNCTION("""COMPUTED_VALUE"""),"NUEVO")</f>
        <v>NUEVO</v>
      </c>
      <c r="L78" s="1">
        <f>IFERROR(__xludf.DUMMYFUNCTION("""COMPUTED_VALUE"""),0.0)</f>
        <v>0</v>
      </c>
      <c r="M78" s="1">
        <f>IFERROR(__xludf.DUMMYFUNCTION("""COMPUTED_VALUE"""),0.0)</f>
        <v>0</v>
      </c>
      <c r="N78" s="1" t="str">
        <f>IFERROR(__xludf.DUMMYFUNCTION("""COMPUTED_VALUE"""),"BECA")</f>
        <v>BECA</v>
      </c>
      <c r="O78" s="1" t="str">
        <f>IFERROR(__xludf.DUMMYFUNCTION("""COMPUTED_VALUE"""),"BECA CARRERAS CORE")</f>
        <v>BECA CARRERAS CORE</v>
      </c>
      <c r="P78" s="4">
        <f>IFERROR(__xludf.DUMMYFUNCTION("""COMPUTED_VALUE"""),0.0)</f>
        <v>0</v>
      </c>
      <c r="Q78" s="4">
        <f>IFERROR(__xludf.DUMMYFUNCTION("""COMPUTED_VALUE"""),0.0)</f>
        <v>0</v>
      </c>
      <c r="R78" s="4">
        <f>IFERROR(__xludf.DUMMYFUNCTION("""COMPUTED_VALUE"""),1350.0)</f>
        <v>1350</v>
      </c>
      <c r="S78" s="4">
        <f>IFERROR(__xludf.DUMMYFUNCTION("""COMPUTED_VALUE"""),1075.0)</f>
        <v>1075</v>
      </c>
      <c r="T78" s="1" t="str">
        <f>IFERROR(__xludf.DUMMYFUNCTION("""COMPUTED_VALUE"""),"NINGUNO")</f>
        <v>NINGUNO</v>
      </c>
      <c r="U78" s="1" t="str">
        <f>IFERROR(__xludf.DUMMYFUNCTION("""COMPUTED_VALUE"""),"FABIOLA")</f>
        <v>FABIOLA</v>
      </c>
      <c r="V78" s="1" t="str">
        <f>IFERROR(__xludf.DUMMYFUNCTION("""COMPUTED_VALUE"""),"-")</f>
        <v>-</v>
      </c>
      <c r="W78" s="1" t="str">
        <f>IFERROR(__xludf.DUMMYFUNCTION("""COMPUTED_VALUE"""),"Metodología de enseñanza")</f>
        <v>Metodología de enseñanza</v>
      </c>
      <c r="X78" s="1" t="str">
        <f>IFERROR(__xludf.DUMMYFUNCTION("""COMPUTED_VALUE"""),"LE ENCANTO LA MALLA CURRICULAR")</f>
        <v>LE ENCANTO LA MALLA CURRICULAR</v>
      </c>
      <c r="Y78" s="1" t="str">
        <f>IFERROR(__xludf.DUMMYFUNCTION("""COMPUTED_VALUE"""),"PAGO COMPLETO")</f>
        <v>PAGO COMPLETO</v>
      </c>
      <c r="Z78" s="1">
        <f>IFERROR(__xludf.DUMMYFUNCTION("""COMPUTED_VALUE"""),0.0)</f>
        <v>0</v>
      </c>
      <c r="AA78" s="1" t="str">
        <f>IFERROR(__xludf.DUMMYFUNCTION("""COMPUTED_VALUE"""),"-")</f>
        <v>-</v>
      </c>
      <c r="AB78" s="1">
        <f>IFERROR(__xludf.DUMMYFUNCTION("""COMPUTED_VALUE"""),0.0)</f>
        <v>0</v>
      </c>
      <c r="AC78" s="1">
        <f>IFERROR(__xludf.DUMMYFUNCTION("""COMPUTED_VALUE"""),0.0)</f>
        <v>0</v>
      </c>
      <c r="AD78" s="1" t="str">
        <f>IFERROR(__xludf.DUMMYFUNCTION("""COMPUTED_VALUE"""),"Cinthia Mariella Orosco")</f>
        <v>Cinthia Mariella Orosco</v>
      </c>
      <c r="AE78" s="1" t="str">
        <f>IFERROR(__xludf.DUMMYFUNCTION("""COMPUTED_VALUE"""),"0")</f>
        <v>0</v>
      </c>
      <c r="AF78" s="1">
        <f>IFERROR(__xludf.DUMMYFUNCTION("""COMPUTED_VALUE"""),2024.0)</f>
        <v>2024</v>
      </c>
      <c r="AG78" s="1">
        <f>IFERROR(__xludf.DUMMYFUNCTION("""COMPUTED_VALUE"""),336545.0)</f>
        <v>336545</v>
      </c>
      <c r="AH78" s="1">
        <f>IFERROR(__xludf.DUMMYFUNCTION("""COMPUTED_VALUE"""),17.0)</f>
        <v>17</v>
      </c>
      <c r="AI78" s="1" t="str">
        <f>IFERROR(__xludf.DUMMYFUNCTION("""COMPUTED_VALUE"""),"0000390427")</f>
        <v>0000390427</v>
      </c>
      <c r="AJ78" s="1">
        <f>IFERROR(__xludf.DUMMYFUNCTION("""COMPUTED_VALUE"""),6.0529461E7)</f>
        <v>60529461</v>
      </c>
      <c r="AK78" s="1">
        <f>IFERROR(__xludf.DUMMYFUNCTION("""COMPUTED_VALUE"""),9.35381206E8)</f>
        <v>935381206</v>
      </c>
      <c r="AL78" s="1" t="str">
        <f>IFERROR(__xludf.DUMMYFUNCTION("""COMPUTED_VALUE"""),"kiarachucosg@gmail.com")</f>
        <v>kiarachucosg@gmail.com</v>
      </c>
      <c r="AM78" s="1" t="str">
        <f>IFERROR(__xludf.DUMMYFUNCTION("""COMPUTED_VALUE"""),"FEMENINO")</f>
        <v>FEMENINO</v>
      </c>
      <c r="AN78" s="1">
        <f>IFERROR(__xludf.DUMMYFUNCTION("""COMPUTED_VALUE"""),1350.0)</f>
        <v>1350</v>
      </c>
      <c r="AO78" s="1">
        <f>IFERROR(__xludf.DUMMYFUNCTION("""COMPUTED_VALUE"""),0.0)</f>
        <v>0</v>
      </c>
      <c r="AP78" s="1" t="str">
        <f>IFERROR(__xludf.DUMMYFUNCTION("""COMPUTED_VALUE"""),"COLEGIOS")</f>
        <v>COLEGIOS</v>
      </c>
      <c r="AQ78" s="1" t="str">
        <f>IFERROR(__xludf.DUMMYFUNCTION("""COMPUTED_VALUE"""),"COLEGIOS")</f>
        <v>COLEGIOS</v>
      </c>
      <c r="AR78" s="1" t="str">
        <f>IFERROR(__xludf.DUMMYFUNCTION("""COMPUTED_VALUE"""),"NUEVO")</f>
        <v>NUEVO</v>
      </c>
      <c r="AS78" s="1"/>
      <c r="AT78" s="2">
        <f>IFERROR(__xludf.DUMMYFUNCTION("""COMPUTED_VALUE"""),45497.0)</f>
        <v>45497</v>
      </c>
      <c r="AU78" s="1">
        <f>IFERROR(__xludf.DUMMYFUNCTION("""COMPUTED_VALUE"""),1.0)</f>
        <v>1</v>
      </c>
      <c r="AV78" s="1" t="str">
        <f>IFERROR(__xludf.DUMMYFUNCTION("""COMPUTED_VALUE"""),"NUEVO")</f>
        <v>NUEVO</v>
      </c>
      <c r="AW78" s="1" t="str">
        <f>IFERROR(__xludf.DUMMYFUNCTION("""COMPUTED_VALUE"""),"SI")</f>
        <v>SI</v>
      </c>
      <c r="AX78" s="1"/>
      <c r="AY78" s="1" t="str">
        <f>IFERROR(__xludf.DUMMYFUNCTION("""COMPUTED_VALUE"""),"PAGO COMPLETO")</f>
        <v>PAGO COMPLETO</v>
      </c>
      <c r="AZ78" s="5">
        <f>IFERROR(__xludf.DUMMYFUNCTION("""COMPUTED_VALUE"""),45518.0)</f>
        <v>45518</v>
      </c>
      <c r="BA78" s="1">
        <f>IFERROR(__xludf.DUMMYFUNCTION("""COMPUTED_VALUE"""),0.0)</f>
        <v>0</v>
      </c>
      <c r="BB78" s="1">
        <f>IFERROR(__xludf.DUMMYFUNCTION("""COMPUTED_VALUE"""),0.0)</f>
        <v>0</v>
      </c>
      <c r="BC78" s="4">
        <f>IFERROR(__xludf.DUMMYFUNCTION("""COMPUTED_VALUE"""),0.0)</f>
        <v>0</v>
      </c>
      <c r="BD78" s="4">
        <f>IFERROR(__xludf.DUMMYFUNCTION("""COMPUTED_VALUE"""),0.0)</f>
        <v>0</v>
      </c>
      <c r="BE78" s="1">
        <f>IFERROR(__xludf.DUMMYFUNCTION("""COMPUTED_VALUE"""),8.0)</f>
        <v>8</v>
      </c>
      <c r="BF78" s="6">
        <f>IFERROR(__xludf.DUMMYFUNCTION("""COMPUTED_VALUE"""),1.0)</f>
        <v>1</v>
      </c>
      <c r="BG78" s="1">
        <f>IFERROR(__xludf.DUMMYFUNCTION("""COMPUTED_VALUE"""),1.0)</f>
        <v>1</v>
      </c>
      <c r="BH78" s="1" t="str">
        <f>IFERROR(__xludf.DUMMYFUNCTION("""COMPUTED_VALUE"""),"0")</f>
        <v>0</v>
      </c>
      <c r="BI78" s="4">
        <f>IFERROR(__xludf.DUMMYFUNCTION("""COMPUTED_VALUE"""),0.0)</f>
        <v>0</v>
      </c>
      <c r="BJ78" s="1">
        <f>IFERROR(__xludf.DUMMYFUNCTION("""COMPUTED_VALUE"""),0.0)</f>
        <v>0</v>
      </c>
      <c r="BK78" s="4">
        <f>IFERROR(__xludf.DUMMYFUNCTION("""COMPUTED_VALUE"""),0.0)</f>
        <v>0</v>
      </c>
      <c r="BL78" s="1">
        <f>IFERROR(__xludf.DUMMYFUNCTION("""COMPUTED_VALUE"""),1075.0)</f>
        <v>1075</v>
      </c>
      <c r="BM78" s="1">
        <f>IFERROR(__xludf.DUMMYFUNCTION("""COMPUTED_VALUE"""),33.0)</f>
        <v>33</v>
      </c>
      <c r="BN78" s="2">
        <f>IFERROR(__xludf.DUMMYFUNCTION("""COMPUTED_VALUE"""),45516.0)</f>
        <v>45516</v>
      </c>
      <c r="BO78" s="1">
        <f>IFERROR(__xludf.DUMMYFUNCTION("""COMPUTED_VALUE"""),8.0)</f>
        <v>8</v>
      </c>
      <c r="BP78" s="1">
        <f>IFERROR(__xludf.DUMMYFUNCTION("""COMPUTED_VALUE"""),2024.0)</f>
        <v>2024</v>
      </c>
    </row>
    <row r="79">
      <c r="A79" s="1">
        <f>IFERROR(__xludf.DUMMYFUNCTION("""COMPUTED_VALUE"""),78.0)</f>
        <v>78</v>
      </c>
      <c r="B79" s="1">
        <f>IFERROR(__xludf.DUMMYFUNCTION("""COMPUTED_VALUE"""),1649476.0)</f>
        <v>1649476</v>
      </c>
      <c r="C79" s="1" t="str">
        <f>IFERROR(__xludf.DUMMYFUNCTION("""COMPUTED_VALUE"""),"2025-1")</f>
        <v>2025-1</v>
      </c>
      <c r="D79" s="1" t="str">
        <f>IFERROR(__xludf.DUMMYFUNCTION("""COMPUTED_VALUE"""),"Admisión Ordinaria")</f>
        <v>Admisión Ordinaria</v>
      </c>
      <c r="E79" s="2">
        <f>IFERROR(__xludf.DUMMYFUNCTION("""COMPUTED_VALUE"""),45519.0)</f>
        <v>45519</v>
      </c>
      <c r="F79" s="1" t="str">
        <f>IFERROR(__xludf.DUMMYFUNCTION("""COMPUTED_VALUE"""),"DANIXA")</f>
        <v>DANIXA</v>
      </c>
      <c r="G79" s="1" t="str">
        <f>IFERROR(__xludf.DUMMYFUNCTION("""COMPUTED_VALUE"""),"MORE IPANAQUE")</f>
        <v>MORE IPANAQUE</v>
      </c>
      <c r="H79" s="1" t="str">
        <f>IFERROR(__xludf.DUMMYFUNCTION("""COMPUTED_VALUE"""),"Diseño Gráfico Publicitario")</f>
        <v>Diseño Gráfico Publicitario</v>
      </c>
      <c r="I79" s="1" t="str">
        <f>IFERROR(__xludf.DUMMYFUNCTION("""COMPUTED_VALUE"""),"CARGO")</f>
        <v>CARGO</v>
      </c>
      <c r="J79" s="1" t="str">
        <f>IFERROR(__xludf.DUMMYFUNCTION("""COMPUTED_VALUE"""),"Diurno")</f>
        <v>Diurno</v>
      </c>
      <c r="K79" s="1" t="str">
        <f>IFERROR(__xludf.DUMMYFUNCTION("""COMPUTED_VALUE"""),"TRASLADO")</f>
        <v>TRASLADO</v>
      </c>
      <c r="L79" s="1">
        <f>IFERROR(__xludf.DUMMYFUNCTION("""COMPUTED_VALUE"""),0.0)</f>
        <v>0</v>
      </c>
      <c r="M79" s="1">
        <f>IFERROR(__xludf.DUMMYFUNCTION("""COMPUTED_VALUE"""),0.0)</f>
        <v>0</v>
      </c>
      <c r="N79" s="1" t="str">
        <f>IFERROR(__xludf.DUMMYFUNCTION("""COMPUTED_VALUE"""),"BECA")</f>
        <v>BECA</v>
      </c>
      <c r="O79" s="1" t="str">
        <f>IFERROR(__xludf.DUMMYFUNCTION("""COMPUTED_VALUE"""),"BECA CARRERAS CORE-TRASLADOS SIN CONVA")</f>
        <v>BECA CARRERAS CORE-TRASLADOS SIN CONVA</v>
      </c>
      <c r="P79" s="4">
        <f>IFERROR(__xludf.DUMMYFUNCTION("""COMPUTED_VALUE"""),0.0)</f>
        <v>0</v>
      </c>
      <c r="Q79" s="4">
        <f>IFERROR(__xludf.DUMMYFUNCTION("""COMPUTED_VALUE"""),0.0)</f>
        <v>0</v>
      </c>
      <c r="R79" s="4">
        <f>IFERROR(__xludf.DUMMYFUNCTION("""COMPUTED_VALUE"""),1350.0)</f>
        <v>1350</v>
      </c>
      <c r="S79" s="4">
        <f>IFERROR(__xludf.DUMMYFUNCTION("""COMPUTED_VALUE"""),1000.0)</f>
        <v>1000</v>
      </c>
      <c r="T79" s="1" t="str">
        <f>IFERROR(__xludf.DUMMYFUNCTION("""COMPUTED_VALUE"""),"NINGUNO")</f>
        <v>NINGUNO</v>
      </c>
      <c r="U79" s="1" t="str">
        <f>IFERROR(__xludf.DUMMYFUNCTION("""COMPUTED_VALUE"""),"FABIOLA")</f>
        <v>FABIOLA</v>
      </c>
      <c r="V79" s="1" t="str">
        <f>IFERROR(__xludf.DUMMYFUNCTION("""COMPUTED_VALUE"""),"Ninguno")</f>
        <v>Ninguno</v>
      </c>
      <c r="W79" s="1" t="str">
        <f>IFERROR(__xludf.DUMMYFUNCTION("""COMPUTED_VALUE"""),"Metodología de enseñanza")</f>
        <v>Metodología de enseñanza</v>
      </c>
      <c r="X79" s="1" t="str">
        <f>IFERROR(__xludf.DUMMYFUNCTION("""COMPUTED_VALUE"""),"-")</f>
        <v>-</v>
      </c>
      <c r="Y79" s="1" t="str">
        <f>IFERROR(__xludf.DUMMYFUNCTION("""COMPUTED_VALUE"""),"PAGO COMPLETO")</f>
        <v>PAGO COMPLETO</v>
      </c>
      <c r="Z79" s="1">
        <f>IFERROR(__xludf.DUMMYFUNCTION("""COMPUTED_VALUE"""),0.0)</f>
        <v>0</v>
      </c>
      <c r="AA79" s="1" t="str">
        <f>IFERROR(__xludf.DUMMYFUNCTION("""COMPUTED_VALUE"""),"-")</f>
        <v>-</v>
      </c>
      <c r="AB79" s="1">
        <f>IFERROR(__xludf.DUMMYFUNCTION("""COMPUTED_VALUE"""),0.0)</f>
        <v>0</v>
      </c>
      <c r="AC79" s="1">
        <f>IFERROR(__xludf.DUMMYFUNCTION("""COMPUTED_VALUE"""),0.0)</f>
        <v>0</v>
      </c>
      <c r="AD79" s="1" t="str">
        <f>IFERROR(__xludf.DUMMYFUNCTION("""COMPUTED_VALUE"""),"Ingrid Guillermo Rivera")</f>
        <v>Ingrid Guillermo Rivera</v>
      </c>
      <c r="AE79" s="1" t="str">
        <f>IFERROR(__xludf.DUMMYFUNCTION("""COMPUTED_VALUE"""),"IDAT")</f>
        <v>IDAT</v>
      </c>
      <c r="AF79" s="1">
        <f>IFERROR(__xludf.DUMMYFUNCTION("""COMPUTED_VALUE"""),2018.0)</f>
        <v>2018</v>
      </c>
      <c r="AG79" s="1">
        <f>IFERROR(__xludf.DUMMYFUNCTION("""COMPUTED_VALUE"""),1137439.0)</f>
        <v>1137439</v>
      </c>
      <c r="AH79" s="1">
        <f>IFERROR(__xludf.DUMMYFUNCTION("""COMPUTED_VALUE"""),22.0)</f>
        <v>22</v>
      </c>
      <c r="AI79" s="1" t="str">
        <f>IFERROR(__xludf.DUMMYFUNCTION("""COMPUTED_VALUE"""),"0000390626")</f>
        <v>0000390626</v>
      </c>
      <c r="AJ79" s="1">
        <f>IFERROR(__xludf.DUMMYFUNCTION("""COMPUTED_VALUE"""),7.2301155E7)</f>
        <v>72301155</v>
      </c>
      <c r="AK79" s="1">
        <f>IFERROR(__xludf.DUMMYFUNCTION("""COMPUTED_VALUE"""),9.21929826E8)</f>
        <v>921929826</v>
      </c>
      <c r="AL79" s="1" t="str">
        <f>IFERROR(__xludf.DUMMYFUNCTION("""COMPUTED_VALUE"""),"danimoreipa.5@gmail.com")</f>
        <v>danimoreipa.5@gmail.com</v>
      </c>
      <c r="AM79" s="1" t="str">
        <f>IFERROR(__xludf.DUMMYFUNCTION("""COMPUTED_VALUE"""),"FEMENINO")</f>
        <v>FEMENINO</v>
      </c>
      <c r="AN79" s="1">
        <f>IFERROR(__xludf.DUMMYFUNCTION("""COMPUTED_VALUE"""),1350.0)</f>
        <v>1350</v>
      </c>
      <c r="AO79" s="1">
        <f>IFERROR(__xludf.DUMMYFUNCTION("""COMPUTED_VALUE"""),0.0)</f>
        <v>0</v>
      </c>
      <c r="AP79" s="1" t="str">
        <f>IFERROR(__xludf.DUMMYFUNCTION("""COMPUTED_VALUE"""),"FORMULARIO")</f>
        <v>FORMULARIO</v>
      </c>
      <c r="AQ79" s="1" t="str">
        <f>IFERROR(__xludf.DUMMYFUNCTION("""COMPUTED_VALUE"""),"ORGANICO")</f>
        <v>ORGANICO</v>
      </c>
      <c r="AR79" s="1" t="str">
        <f>IFERROR(__xludf.DUMMYFUNCTION("""COMPUTED_VALUE"""),"HEREDADO")</f>
        <v>HEREDADO</v>
      </c>
      <c r="AS79" s="1"/>
      <c r="AT79" s="2">
        <f>IFERROR(__xludf.DUMMYFUNCTION("""COMPUTED_VALUE"""),45516.0)</f>
        <v>45516</v>
      </c>
      <c r="AU79" s="1">
        <f>IFERROR(__xludf.DUMMYFUNCTION("""COMPUTED_VALUE"""),1.0)</f>
        <v>1</v>
      </c>
      <c r="AV79" s="1" t="str">
        <f>IFERROR(__xludf.DUMMYFUNCTION("""COMPUTED_VALUE"""),"NUEVO")</f>
        <v>NUEVO</v>
      </c>
      <c r="AW79" s="1" t="str">
        <f>IFERROR(__xludf.DUMMYFUNCTION("""COMPUTED_VALUE"""),"SI")</f>
        <v>SI</v>
      </c>
      <c r="AX79" s="1"/>
      <c r="AY79" s="1" t="str">
        <f>IFERROR(__xludf.DUMMYFUNCTION("""COMPUTED_VALUE"""),"PAGO COMPLETO")</f>
        <v>PAGO COMPLETO</v>
      </c>
      <c r="AZ79" s="5">
        <f>IFERROR(__xludf.DUMMYFUNCTION("""COMPUTED_VALUE"""),45519.0)</f>
        <v>45519</v>
      </c>
      <c r="BA79" s="1">
        <f>IFERROR(__xludf.DUMMYFUNCTION("""COMPUTED_VALUE"""),0.0)</f>
        <v>0</v>
      </c>
      <c r="BB79" s="1">
        <f>IFERROR(__xludf.DUMMYFUNCTION("""COMPUTED_VALUE"""),0.0)</f>
        <v>0</v>
      </c>
      <c r="BC79" s="4">
        <f>IFERROR(__xludf.DUMMYFUNCTION("""COMPUTED_VALUE"""),0.0)</f>
        <v>0</v>
      </c>
      <c r="BD79" s="4">
        <f>IFERROR(__xludf.DUMMYFUNCTION("""COMPUTED_VALUE"""),0.0)</f>
        <v>0</v>
      </c>
      <c r="BE79" s="1">
        <f>IFERROR(__xludf.DUMMYFUNCTION("""COMPUTED_VALUE"""),8.0)</f>
        <v>8</v>
      </c>
      <c r="BF79" s="6">
        <f>IFERROR(__xludf.DUMMYFUNCTION("""COMPUTED_VALUE"""),1.0)</f>
        <v>1</v>
      </c>
      <c r="BG79" s="1">
        <f>IFERROR(__xludf.DUMMYFUNCTION("""COMPUTED_VALUE"""),1.0)</f>
        <v>1</v>
      </c>
      <c r="BH79" s="1" t="str">
        <f>IFERROR(__xludf.DUMMYFUNCTION("""COMPUTED_VALUE"""),"0")</f>
        <v>0</v>
      </c>
      <c r="BI79" s="4">
        <f>IFERROR(__xludf.DUMMYFUNCTION("""COMPUTED_VALUE"""),0.0)</f>
        <v>0</v>
      </c>
      <c r="BJ79" s="1">
        <f>IFERROR(__xludf.DUMMYFUNCTION("""COMPUTED_VALUE"""),1.0)</f>
        <v>1</v>
      </c>
      <c r="BK79" s="4">
        <f>IFERROR(__xludf.DUMMYFUNCTION("""COMPUTED_VALUE"""),0.0)</f>
        <v>0</v>
      </c>
      <c r="BL79" s="1">
        <f>IFERROR(__xludf.DUMMYFUNCTION("""COMPUTED_VALUE"""),1000.0)</f>
        <v>1000</v>
      </c>
      <c r="BM79" s="1">
        <f>IFERROR(__xludf.DUMMYFUNCTION("""COMPUTED_VALUE"""),33.0)</f>
        <v>33</v>
      </c>
      <c r="BN79" s="2">
        <f>IFERROR(__xludf.DUMMYFUNCTION("""COMPUTED_VALUE"""),45516.0)</f>
        <v>45516</v>
      </c>
      <c r="BO79" s="1">
        <f>IFERROR(__xludf.DUMMYFUNCTION("""COMPUTED_VALUE"""),8.0)</f>
        <v>8</v>
      </c>
      <c r="BP79" s="1">
        <f>IFERROR(__xludf.DUMMYFUNCTION("""COMPUTED_VALUE"""),2024.0)</f>
        <v>2024</v>
      </c>
    </row>
    <row r="80">
      <c r="A80" s="1">
        <f>IFERROR(__xludf.DUMMYFUNCTION("""COMPUTED_VALUE"""),79.0)</f>
        <v>79</v>
      </c>
      <c r="B80" s="1">
        <f>IFERROR(__xludf.DUMMYFUNCTION("""COMPUTED_VALUE"""),791068.0)</f>
        <v>791068</v>
      </c>
      <c r="C80" s="1" t="str">
        <f>IFERROR(__xludf.DUMMYFUNCTION("""COMPUTED_VALUE"""),"2025-1")</f>
        <v>2025-1</v>
      </c>
      <c r="D80" s="1" t="str">
        <f>IFERROR(__xludf.DUMMYFUNCTION("""COMPUTED_VALUE"""),"Admisión de Alto Rendimiento")</f>
        <v>Admisión de Alto Rendimiento</v>
      </c>
      <c r="E80" s="2">
        <f>IFERROR(__xludf.DUMMYFUNCTION("""COMPUTED_VALUE"""),45520.0)</f>
        <v>45520</v>
      </c>
      <c r="F80" s="1" t="str">
        <f>IFERROR(__xludf.DUMMYFUNCTION("""COMPUTED_VALUE"""),"CAMILA ALEJANDRA ")</f>
        <v>CAMILA ALEJANDRA </v>
      </c>
      <c r="G80" s="1" t="str">
        <f>IFERROR(__xludf.DUMMYFUNCTION("""COMPUTED_VALUE"""),"GOMEZ MERINO")</f>
        <v>GOMEZ MERINO</v>
      </c>
      <c r="H80" s="1" t="str">
        <f>IFERROR(__xludf.DUMMYFUNCTION("""COMPUTED_VALUE"""),"Comunicación Audiovisual y Cine")</f>
        <v>Comunicación Audiovisual y Cine</v>
      </c>
      <c r="I80" s="1" t="str">
        <f>IFERROR(__xludf.DUMMYFUNCTION("""COMPUTED_VALUE"""),"POS")</f>
        <v>POS</v>
      </c>
      <c r="J80" s="1" t="str">
        <f>IFERROR(__xludf.DUMMYFUNCTION("""COMPUTED_VALUE"""),"Diurno")</f>
        <v>Diurno</v>
      </c>
      <c r="K80" s="1" t="str">
        <f>IFERROR(__xludf.DUMMYFUNCTION("""COMPUTED_VALUE"""),"NUEVO")</f>
        <v>NUEVO</v>
      </c>
      <c r="L80" s="1">
        <f>IFERROR(__xludf.DUMMYFUNCTION("""COMPUTED_VALUE"""),0.0)</f>
        <v>0</v>
      </c>
      <c r="M80" s="1">
        <f>IFERROR(__xludf.DUMMYFUNCTION("""COMPUTED_VALUE"""),0.0)</f>
        <v>0</v>
      </c>
      <c r="N80" s="1" t="str">
        <f>IFERROR(__xludf.DUMMYFUNCTION("""COMPUTED_VALUE"""),"RECA")</f>
        <v>RECA</v>
      </c>
      <c r="O80" s="1" t="str">
        <f>IFERROR(__xludf.DUMMYFUNCTION("""COMPUTED_VALUE"""),"RECATEGORIZACIÓN")</f>
        <v>RECATEGORIZACIÓN</v>
      </c>
      <c r="P80" s="4">
        <f>IFERROR(__xludf.DUMMYFUNCTION("""COMPUTED_VALUE"""),0.0)</f>
        <v>0</v>
      </c>
      <c r="Q80" s="4">
        <f>IFERROR(__xludf.DUMMYFUNCTION("""COMPUTED_VALUE"""),0.0)</f>
        <v>0</v>
      </c>
      <c r="R80" s="4">
        <f>IFERROR(__xludf.DUMMYFUNCTION("""COMPUTED_VALUE"""),1775.0)</f>
        <v>1775</v>
      </c>
      <c r="S80" s="4">
        <f>IFERROR(__xludf.DUMMYFUNCTION("""COMPUTED_VALUE"""),1525.0)</f>
        <v>1525</v>
      </c>
      <c r="T80" s="1" t="str">
        <f>IFERROR(__xludf.DUMMYFUNCTION("""COMPUTED_VALUE"""),"NINGUNO")</f>
        <v>NINGUNO</v>
      </c>
      <c r="U80" s="1" t="str">
        <f>IFERROR(__xludf.DUMMYFUNCTION("""COMPUTED_VALUE"""),"FABIOLA")</f>
        <v>FABIOLA</v>
      </c>
      <c r="V80" s="1" t="str">
        <f>IFERROR(__xludf.DUMMYFUNCTION("""COMPUTED_VALUE"""),"-")</f>
        <v>-</v>
      </c>
      <c r="W80" s="1" t="str">
        <f>IFERROR(__xludf.DUMMYFUNCTION("""COMPUTED_VALUE"""),"Equipos e instalaciones")</f>
        <v>Equipos e instalaciones</v>
      </c>
      <c r="X80" s="1" t="str">
        <f>IFERROR(__xludf.DUMMYFUNCTION("""COMPUTED_VALUE"""),"-")</f>
        <v>-</v>
      </c>
      <c r="Y80" s="1" t="str">
        <f>IFERROR(__xludf.DUMMYFUNCTION("""COMPUTED_VALUE"""),"PAGO COMPLETO")</f>
        <v>PAGO COMPLETO</v>
      </c>
      <c r="Z80" s="1">
        <f>IFERROR(__xludf.DUMMYFUNCTION("""COMPUTED_VALUE"""),0.0)</f>
        <v>0</v>
      </c>
      <c r="AA80" s="1" t="str">
        <f>IFERROR(__xludf.DUMMYFUNCTION("""COMPUTED_VALUE"""),"-")</f>
        <v>-</v>
      </c>
      <c r="AB80" s="1">
        <f>IFERROR(__xludf.DUMMYFUNCTION("""COMPUTED_VALUE"""),0.0)</f>
        <v>0</v>
      </c>
      <c r="AC80" s="1">
        <f>IFERROR(__xludf.DUMMYFUNCTION("""COMPUTED_VALUE"""),0.0)</f>
        <v>0</v>
      </c>
      <c r="AD80" s="1" t="str">
        <f>IFERROR(__xludf.DUMMYFUNCTION("""COMPUTED_VALUE"""),"Fiorella Lanegra")</f>
        <v>Fiorella Lanegra</v>
      </c>
      <c r="AE80" s="1" t="str">
        <f>IFERROR(__xludf.DUMMYFUNCTION("""COMPUTED_VALUE"""),"0")</f>
        <v>0</v>
      </c>
      <c r="AF80" s="1">
        <f>IFERROR(__xludf.DUMMYFUNCTION("""COMPUTED_VALUE"""),2024.0)</f>
        <v>2024</v>
      </c>
      <c r="AG80" s="1">
        <f>IFERROR(__xludf.DUMMYFUNCTION("""COMPUTED_VALUE"""),1267111.0)</f>
        <v>1267111</v>
      </c>
      <c r="AH80" s="1">
        <f>IFERROR(__xludf.DUMMYFUNCTION("""COMPUTED_VALUE"""),17.0)</f>
        <v>17</v>
      </c>
      <c r="AI80" s="1" t="str">
        <f>IFERROR(__xludf.DUMMYFUNCTION("""COMPUTED_VALUE"""),"0000391000")</f>
        <v>0000391000</v>
      </c>
      <c r="AJ80" s="1">
        <f>IFERROR(__xludf.DUMMYFUNCTION("""COMPUTED_VALUE"""),6.1138933E7)</f>
        <v>61138933</v>
      </c>
      <c r="AK80" s="1">
        <f>IFERROR(__xludf.DUMMYFUNCTION("""COMPUTED_VALUE"""),9.18476248E8)</f>
        <v>918476248</v>
      </c>
      <c r="AL80" s="1" t="str">
        <f>IFERROR(__xludf.DUMMYFUNCTION("""COMPUTED_VALUE"""),"camilagomez12340@gmail.com")</f>
        <v>camilagomez12340@gmail.com</v>
      </c>
      <c r="AM80" s="1" t="str">
        <f>IFERROR(__xludf.DUMMYFUNCTION("""COMPUTED_VALUE"""),"FEMENINO")</f>
        <v>FEMENINO</v>
      </c>
      <c r="AN80" s="1">
        <f>IFERROR(__xludf.DUMMYFUNCTION("""COMPUTED_VALUE"""),1775.0)</f>
        <v>1775</v>
      </c>
      <c r="AO80" s="1">
        <f>IFERROR(__xludf.DUMMYFUNCTION("""COMPUTED_VALUE"""),430.0)</f>
        <v>430</v>
      </c>
      <c r="AP80" s="1" t="str">
        <f>IFERROR(__xludf.DUMMYFUNCTION("""COMPUTED_VALUE"""),"VISITA")</f>
        <v>VISITA</v>
      </c>
      <c r="AQ80" s="1" t="str">
        <f>IFERROR(__xludf.DUMMYFUNCTION("""COMPUTED_VALUE"""),"VISITA")</f>
        <v>VISITA</v>
      </c>
      <c r="AR80" s="1" t="str">
        <f>IFERROR(__xludf.DUMMYFUNCTION("""COMPUTED_VALUE"""),"NUEVO")</f>
        <v>NUEVO</v>
      </c>
      <c r="AS80" s="1"/>
      <c r="AT80" s="2">
        <f>IFERROR(__xludf.DUMMYFUNCTION("""COMPUTED_VALUE"""),45520.0)</f>
        <v>45520</v>
      </c>
      <c r="AU80" s="1">
        <f>IFERROR(__xludf.DUMMYFUNCTION("""COMPUTED_VALUE"""),1.0)</f>
        <v>1</v>
      </c>
      <c r="AV80" s="1" t="str">
        <f>IFERROR(__xludf.DUMMYFUNCTION("""COMPUTED_VALUE"""),"NUEVO")</f>
        <v>NUEVO</v>
      </c>
      <c r="AW80" s="1" t="str">
        <f>IFERROR(__xludf.DUMMYFUNCTION("""COMPUTED_VALUE"""),"SI")</f>
        <v>SI</v>
      </c>
      <c r="AX80" s="1"/>
      <c r="AY80" s="1" t="str">
        <f>IFERROR(__xludf.DUMMYFUNCTION("""COMPUTED_VALUE"""),"PAGO COMPLETO")</f>
        <v>PAGO COMPLETO</v>
      </c>
      <c r="AZ80" s="5">
        <f>IFERROR(__xludf.DUMMYFUNCTION("""COMPUTED_VALUE"""),45520.0)</f>
        <v>45520</v>
      </c>
      <c r="BA80" s="1">
        <f>IFERROR(__xludf.DUMMYFUNCTION("""COMPUTED_VALUE"""),0.0)</f>
        <v>0</v>
      </c>
      <c r="BB80" s="1">
        <f>IFERROR(__xludf.DUMMYFUNCTION("""COMPUTED_VALUE"""),0.0)</f>
        <v>0</v>
      </c>
      <c r="BC80" s="4">
        <f>IFERROR(__xludf.DUMMYFUNCTION("""COMPUTED_VALUE"""),0.0)</f>
        <v>0</v>
      </c>
      <c r="BD80" s="4">
        <f>IFERROR(__xludf.DUMMYFUNCTION("""COMPUTED_VALUE"""),0.0)</f>
        <v>0</v>
      </c>
      <c r="BE80" s="1">
        <f>IFERROR(__xludf.DUMMYFUNCTION("""COMPUTED_VALUE"""),8.0)</f>
        <v>8</v>
      </c>
      <c r="BF80" s="6">
        <f>IFERROR(__xludf.DUMMYFUNCTION("""COMPUTED_VALUE"""),1.0)</f>
        <v>1</v>
      </c>
      <c r="BG80" s="1">
        <f>IFERROR(__xludf.DUMMYFUNCTION("""COMPUTED_VALUE"""),1.0)</f>
        <v>1</v>
      </c>
      <c r="BH80" s="1" t="str">
        <f>IFERROR(__xludf.DUMMYFUNCTION("""COMPUTED_VALUE"""),"0")</f>
        <v>0</v>
      </c>
      <c r="BI80" s="4">
        <f>IFERROR(__xludf.DUMMYFUNCTION("""COMPUTED_VALUE"""),0.0)</f>
        <v>0</v>
      </c>
      <c r="BJ80" s="1">
        <f>IFERROR(__xludf.DUMMYFUNCTION("""COMPUTED_VALUE"""),0.0)</f>
        <v>0</v>
      </c>
      <c r="BK80" s="4">
        <f>IFERROR(__xludf.DUMMYFUNCTION("""COMPUTED_VALUE"""),0.0)</f>
        <v>0</v>
      </c>
      <c r="BL80" s="1">
        <f>IFERROR(__xludf.DUMMYFUNCTION("""COMPUTED_VALUE"""),1525.0)</f>
        <v>1525</v>
      </c>
      <c r="BM80" s="1">
        <f>IFERROR(__xludf.DUMMYFUNCTION("""COMPUTED_VALUE"""),33.0)</f>
        <v>33</v>
      </c>
      <c r="BN80" s="2">
        <f>IFERROR(__xludf.DUMMYFUNCTION("""COMPUTED_VALUE"""),45516.0)</f>
        <v>45516</v>
      </c>
      <c r="BO80" s="1">
        <f>IFERROR(__xludf.DUMMYFUNCTION("""COMPUTED_VALUE"""),8.0)</f>
        <v>8</v>
      </c>
      <c r="BP80" s="1">
        <f>IFERROR(__xludf.DUMMYFUNCTION("""COMPUTED_VALUE"""),2024.0)</f>
        <v>2024</v>
      </c>
    </row>
    <row r="81">
      <c r="A81" s="1">
        <f>IFERROR(__xludf.DUMMYFUNCTION("""COMPUTED_VALUE"""),80.0)</f>
        <v>80</v>
      </c>
      <c r="B81" s="1">
        <f>IFERROR(__xludf.DUMMYFUNCTION("""COMPUTED_VALUE"""),2515740.0)</f>
        <v>2515740</v>
      </c>
      <c r="C81" s="1" t="str">
        <f>IFERROR(__xludf.DUMMYFUNCTION("""COMPUTED_VALUE"""),"2025-1")</f>
        <v>2025-1</v>
      </c>
      <c r="D81" s="1" t="str">
        <f>IFERROR(__xludf.DUMMYFUNCTION("""COMPUTED_VALUE"""),"Admisión de Alto Rendimiento")</f>
        <v>Admisión de Alto Rendimiento</v>
      </c>
      <c r="E81" s="2">
        <f>IFERROR(__xludf.DUMMYFUNCTION("""COMPUTED_VALUE"""),45520.0)</f>
        <v>45520</v>
      </c>
      <c r="F81" s="1" t="str">
        <f>IFERROR(__xludf.DUMMYFUNCTION("""COMPUTED_VALUE"""),"BRENDA FLORESMILA")</f>
        <v>BRENDA FLORESMILA</v>
      </c>
      <c r="G81" s="1" t="str">
        <f>IFERROR(__xludf.DUMMYFUNCTION("""COMPUTED_VALUE"""),"VASQUEZ SANTA MARIA")</f>
        <v>VASQUEZ SANTA MARIA</v>
      </c>
      <c r="H81" s="1" t="str">
        <f>IFERROR(__xludf.DUMMYFUNCTION("""COMPUTED_VALUE"""),"Arquitectura de Interiores")</f>
        <v>Arquitectura de Interiores</v>
      </c>
      <c r="I81" s="1" t="str">
        <f>IFERROR(__xludf.DUMMYFUNCTION("""COMPUTED_VALUE"""),"Pago Link")</f>
        <v>Pago Link</v>
      </c>
      <c r="J81" s="1" t="str">
        <f>IFERROR(__xludf.DUMMYFUNCTION("""COMPUTED_VALUE"""),"Diurno")</f>
        <v>Diurno</v>
      </c>
      <c r="K81" s="1" t="str">
        <f>IFERROR(__xludf.DUMMYFUNCTION("""COMPUTED_VALUE"""),"NUEVO")</f>
        <v>NUEVO</v>
      </c>
      <c r="L81" s="1">
        <f>IFERROR(__xludf.DUMMYFUNCTION("""COMPUTED_VALUE"""),0.0)</f>
        <v>0</v>
      </c>
      <c r="M81" s="1">
        <f>IFERROR(__xludf.DUMMYFUNCTION("""COMPUTED_VALUE"""),0.0)</f>
        <v>0</v>
      </c>
      <c r="N81" s="1" t="str">
        <f>IFERROR(__xludf.DUMMYFUNCTION("""COMPUTED_VALUE"""),"BECA")</f>
        <v>BECA</v>
      </c>
      <c r="O81" s="1" t="str">
        <f>IFERROR(__xludf.DUMMYFUNCTION("""COMPUTED_VALUE"""),"BECA CARRERAS CORE")</f>
        <v>BECA CARRERAS CORE</v>
      </c>
      <c r="P81" s="4">
        <f>IFERROR(__xludf.DUMMYFUNCTION("""COMPUTED_VALUE"""),0.0)</f>
        <v>0</v>
      </c>
      <c r="Q81" s="4">
        <f>IFERROR(__xludf.DUMMYFUNCTION("""COMPUTED_VALUE"""),0.0)</f>
        <v>0</v>
      </c>
      <c r="R81" s="4">
        <f>IFERROR(__xludf.DUMMYFUNCTION("""COMPUTED_VALUE"""),1350.0)</f>
        <v>1350</v>
      </c>
      <c r="S81" s="4">
        <f>IFERROR(__xludf.DUMMYFUNCTION("""COMPUTED_VALUE"""),1075.0)</f>
        <v>1075</v>
      </c>
      <c r="T81" s="1" t="str">
        <f>IFERROR(__xludf.DUMMYFUNCTION("""COMPUTED_VALUE"""),"Visita guiada - refirio")</f>
        <v>Visita guiada - refirio</v>
      </c>
      <c r="U81" s="1" t="str">
        <f>IFERROR(__xludf.DUMMYFUNCTION("""COMPUTED_VALUE"""),"FABIOLA")</f>
        <v>FABIOLA</v>
      </c>
      <c r="V81" s="1" t="str">
        <f>IFERROR(__xludf.DUMMYFUNCTION("""COMPUTED_VALUE"""),"-")</f>
        <v>-</v>
      </c>
      <c r="W81" s="1" t="str">
        <f>IFERROR(__xludf.DUMMYFUNCTION("""COMPUTED_VALUE"""),"Metodología de enseñanza")</f>
        <v>Metodología de enseñanza</v>
      </c>
      <c r="X81" s="1" t="str">
        <f>IFERROR(__xludf.DUMMYFUNCTION("""COMPUTED_VALUE"""),"-")</f>
        <v>-</v>
      </c>
      <c r="Y81" s="1" t="str">
        <f>IFERROR(__xludf.DUMMYFUNCTION("""COMPUTED_VALUE"""),"PAGO FRACCIONADO")</f>
        <v>PAGO FRACCIONADO</v>
      </c>
      <c r="Z81" s="1">
        <f>IFERROR(__xludf.DUMMYFUNCTION("""COMPUTED_VALUE"""),500.0)</f>
        <v>500</v>
      </c>
      <c r="AA81" s="1" t="str">
        <f>IFERROR(__xludf.DUMMYFUNCTION("""COMPUTED_VALUE"""),"30/08/2024")</f>
        <v>30/08/2024</v>
      </c>
      <c r="AB81" s="1">
        <f>IFERROR(__xludf.DUMMYFUNCTION("""COMPUTED_VALUE"""),0.0)</f>
        <v>0</v>
      </c>
      <c r="AC81" s="1">
        <f>IFERROR(__xludf.DUMMYFUNCTION("""COMPUTED_VALUE"""),0.0)</f>
        <v>0</v>
      </c>
      <c r="AD81" s="1" t="str">
        <f>IFERROR(__xludf.DUMMYFUNCTION("""COMPUTED_VALUE"""),"Stefano Napuri")</f>
        <v>Stefano Napuri</v>
      </c>
      <c r="AE81" s="1" t="str">
        <f>IFERROR(__xludf.DUMMYFUNCTION("""COMPUTED_VALUE"""),"0")</f>
        <v>0</v>
      </c>
      <c r="AF81" s="1">
        <f>IFERROR(__xludf.DUMMYFUNCTION("""COMPUTED_VALUE"""),2024.0)</f>
        <v>2024</v>
      </c>
      <c r="AG81" s="1">
        <f>IFERROR(__xludf.DUMMYFUNCTION("""COMPUTED_VALUE"""),437400.0)</f>
        <v>437400</v>
      </c>
      <c r="AH81" s="1">
        <f>IFERROR(__xludf.DUMMYFUNCTION("""COMPUTED_VALUE"""),17.0)</f>
        <v>17</v>
      </c>
      <c r="AI81" s="1" t="str">
        <f>IFERROR(__xludf.DUMMYFUNCTION("""COMPUTED_VALUE"""),"0000390961")</f>
        <v>0000390961</v>
      </c>
      <c r="AJ81" s="1">
        <f>IFERROR(__xludf.DUMMYFUNCTION("""COMPUTED_VALUE"""),7.0736789E7)</f>
        <v>70736789</v>
      </c>
      <c r="AK81" s="1">
        <f>IFERROR(__xludf.DUMMYFUNCTION("""COMPUTED_VALUE"""),9.77675989E8)</f>
        <v>977675989</v>
      </c>
      <c r="AL81" s="1" t="str">
        <f>IFERROR(__xludf.DUMMYFUNCTION("""COMPUTED_VALUE"""),"vasquezsantamariab@gmail.com")</f>
        <v>vasquezsantamariab@gmail.com</v>
      </c>
      <c r="AM81" s="1" t="str">
        <f>IFERROR(__xludf.DUMMYFUNCTION("""COMPUTED_VALUE"""),"FEMENINO")</f>
        <v>FEMENINO</v>
      </c>
      <c r="AN81" s="1">
        <f>IFERROR(__xludf.DUMMYFUNCTION("""COMPUTED_VALUE"""),1350.0)</f>
        <v>1350</v>
      </c>
      <c r="AO81" s="1">
        <f>IFERROR(__xludf.DUMMYFUNCTION("""COMPUTED_VALUE"""),0.0)</f>
        <v>0</v>
      </c>
      <c r="AP81" s="1" t="str">
        <f>IFERROR(__xludf.DUMMYFUNCTION("""COMPUTED_VALUE"""),"OUTBOUND")</f>
        <v>OUTBOUND</v>
      </c>
      <c r="AQ81" s="1" t="str">
        <f>IFERROR(__xludf.DUMMYFUNCTION("""COMPUTED_VALUE"""),"OUTBOUND")</f>
        <v>OUTBOUND</v>
      </c>
      <c r="AR81" s="1" t="str">
        <f>IFERROR(__xludf.DUMMYFUNCTION("""COMPUTED_VALUE"""),"HEREDADO")</f>
        <v>HEREDADO</v>
      </c>
      <c r="AS81" s="1"/>
      <c r="AT81" s="2">
        <f>IFERROR(__xludf.DUMMYFUNCTION("""COMPUTED_VALUE"""),45504.0)</f>
        <v>45504</v>
      </c>
      <c r="AU81" s="1">
        <f>IFERROR(__xludf.DUMMYFUNCTION("""COMPUTED_VALUE"""),1.0)</f>
        <v>1</v>
      </c>
      <c r="AV81" s="1" t="str">
        <f>IFERROR(__xludf.DUMMYFUNCTION("""COMPUTED_VALUE"""),"NUEVO")</f>
        <v>NUEVO</v>
      </c>
      <c r="AW81" s="1" t="str">
        <f>IFERROR(__xludf.DUMMYFUNCTION("""COMPUTED_VALUE"""),"SI")</f>
        <v>SI</v>
      </c>
      <c r="AX81" s="1"/>
      <c r="AY81" s="1" t="str">
        <f>IFERROR(__xludf.DUMMYFUNCTION("""COMPUTED_VALUE"""),"PAGO COMPLETO")</f>
        <v>PAGO COMPLETO</v>
      </c>
      <c r="AZ81" s="5">
        <f>IFERROR(__xludf.DUMMYFUNCTION("""COMPUTED_VALUE"""),45535.0)</f>
        <v>45535</v>
      </c>
      <c r="BA81" s="1">
        <f>IFERROR(__xludf.DUMMYFUNCTION("""COMPUTED_VALUE"""),475.0)</f>
        <v>475</v>
      </c>
      <c r="BB81" s="1">
        <f>IFERROR(__xludf.DUMMYFUNCTION("""COMPUTED_VALUE"""),0.0)</f>
        <v>0</v>
      </c>
      <c r="BC81" s="4">
        <f>IFERROR(__xludf.DUMMYFUNCTION("""COMPUTED_VALUE"""),0.0)</f>
        <v>0</v>
      </c>
      <c r="BD81" s="4">
        <f>IFERROR(__xludf.DUMMYFUNCTION("""COMPUTED_VALUE"""),100.0)</f>
        <v>100</v>
      </c>
      <c r="BE81" s="1">
        <f>IFERROR(__xludf.DUMMYFUNCTION("""COMPUTED_VALUE"""),8.0)</f>
        <v>8</v>
      </c>
      <c r="BF81" s="6">
        <f>IFERROR(__xludf.DUMMYFUNCTION("""COMPUTED_VALUE"""),1.0)</f>
        <v>1</v>
      </c>
      <c r="BG81" s="1">
        <f>IFERROR(__xludf.DUMMYFUNCTION("""COMPUTED_VALUE"""),1.0)</f>
        <v>1</v>
      </c>
      <c r="BH81" s="1" t="str">
        <f>IFERROR(__xludf.DUMMYFUNCTION("""COMPUTED_VALUE"""),"0")</f>
        <v>0</v>
      </c>
      <c r="BI81" s="4">
        <f>IFERROR(__xludf.DUMMYFUNCTION("""COMPUTED_VALUE"""),1075.0)</f>
        <v>1075</v>
      </c>
      <c r="BJ81" s="1">
        <f>IFERROR(__xludf.DUMMYFUNCTION("""COMPUTED_VALUE"""),0.0)</f>
        <v>0</v>
      </c>
      <c r="BK81" s="4">
        <f>IFERROR(__xludf.DUMMYFUNCTION("""COMPUTED_VALUE"""),1175.0)</f>
        <v>1175</v>
      </c>
      <c r="BL81" s="1">
        <f>IFERROR(__xludf.DUMMYFUNCTION("""COMPUTED_VALUE"""),840.0)</f>
        <v>840</v>
      </c>
      <c r="BM81" s="1">
        <f>IFERROR(__xludf.DUMMYFUNCTION("""COMPUTED_VALUE"""),33.0)</f>
        <v>33</v>
      </c>
      <c r="BN81" s="2">
        <f>IFERROR(__xludf.DUMMYFUNCTION("""COMPUTED_VALUE"""),45516.0)</f>
        <v>45516</v>
      </c>
      <c r="BO81" s="1">
        <f>IFERROR(__xludf.DUMMYFUNCTION("""COMPUTED_VALUE"""),8.0)</f>
        <v>8</v>
      </c>
      <c r="BP81" s="1">
        <f>IFERROR(__xludf.DUMMYFUNCTION("""COMPUTED_VALUE"""),2024.0)</f>
        <v>2024</v>
      </c>
    </row>
    <row r="82">
      <c r="A82" s="1">
        <f>IFERROR(__xludf.DUMMYFUNCTION("""COMPUTED_VALUE"""),81.0)</f>
        <v>81</v>
      </c>
      <c r="B82" s="1">
        <f>IFERROR(__xludf.DUMMYFUNCTION("""COMPUTED_VALUE"""),1200296.0)</f>
        <v>1200296</v>
      </c>
      <c r="C82" s="1" t="str">
        <f>IFERROR(__xludf.DUMMYFUNCTION("""COMPUTED_VALUE"""),"2025-1")</f>
        <v>2025-1</v>
      </c>
      <c r="D82" s="1" t="str">
        <f>IFERROR(__xludf.DUMMYFUNCTION("""COMPUTED_VALUE"""),"Admisión Extraordinaria (Traslados)")</f>
        <v>Admisión Extraordinaria (Traslados)</v>
      </c>
      <c r="E82" s="2">
        <f>IFERROR(__xludf.DUMMYFUNCTION("""COMPUTED_VALUE"""),45523.0)</f>
        <v>45523</v>
      </c>
      <c r="F82" s="1" t="str">
        <f>IFERROR(__xludf.DUMMYFUNCTION("""COMPUTED_VALUE"""),"MARK")</f>
        <v>MARK</v>
      </c>
      <c r="G82" s="1" t="str">
        <f>IFERROR(__xludf.DUMMYFUNCTION("""COMPUTED_VALUE"""),"GOMEZ CERRON")</f>
        <v>GOMEZ CERRON</v>
      </c>
      <c r="H82" s="1" t="str">
        <f>IFERROR(__xludf.DUMMYFUNCTION("""COMPUTED_VALUE"""),"Diseño Gráfico Publicitario")</f>
        <v>Diseño Gráfico Publicitario</v>
      </c>
      <c r="I82" s="1" t="str">
        <f>IFERROR(__xludf.DUMMYFUNCTION("""COMPUTED_VALUE"""),"CARGO")</f>
        <v>CARGO</v>
      </c>
      <c r="J82" s="1" t="str">
        <f>IFERROR(__xludf.DUMMYFUNCTION("""COMPUTED_VALUE"""),"Diurno")</f>
        <v>Diurno</v>
      </c>
      <c r="K82" s="1" t="str">
        <f>IFERROR(__xludf.DUMMYFUNCTION("""COMPUTED_VALUE"""),"TRASLADO")</f>
        <v>TRASLADO</v>
      </c>
      <c r="L82" s="1">
        <f>IFERROR(__xludf.DUMMYFUNCTION("""COMPUTED_VALUE"""),1.0)</f>
        <v>1</v>
      </c>
      <c r="M82" s="1">
        <f>IFERROR(__xludf.DUMMYFUNCTION("""COMPUTED_VALUE"""),0.0)</f>
        <v>0</v>
      </c>
      <c r="N82" s="1" t="str">
        <f>IFERROR(__xludf.DUMMYFUNCTION("""COMPUTED_VALUE"""),"RECA")</f>
        <v>RECA</v>
      </c>
      <c r="O82" s="1" t="str">
        <f>IFERROR(__xludf.DUMMYFUNCTION("""COMPUTED_VALUE"""),"RECA TRASLADO SIN CONVA")</f>
        <v>RECA TRASLADO SIN CONVA</v>
      </c>
      <c r="P82" s="4">
        <f>IFERROR(__xludf.DUMMYFUNCTION("""COMPUTED_VALUE"""),0.0)</f>
        <v>0</v>
      </c>
      <c r="Q82" s="4">
        <f>IFERROR(__xludf.DUMMYFUNCTION("""COMPUTED_VALUE"""),237.5)</f>
        <v>237.5</v>
      </c>
      <c r="R82" s="4">
        <f>IFERROR(__xludf.DUMMYFUNCTION("""COMPUTED_VALUE"""),1350.0)</f>
        <v>1350</v>
      </c>
      <c r="S82" s="4">
        <f>IFERROR(__xludf.DUMMYFUNCTION("""COMPUTED_VALUE"""),1150.0)</f>
        <v>1150</v>
      </c>
      <c r="T82" s="1" t="str">
        <f>IFERROR(__xludf.DUMMYFUNCTION("""COMPUTED_VALUE"""),"Referido")</f>
        <v>Referido</v>
      </c>
      <c r="U82" s="1" t="str">
        <f>IFERROR(__xludf.DUMMYFUNCTION("""COMPUTED_VALUE"""),"FABIOLA")</f>
        <v>FABIOLA</v>
      </c>
      <c r="V82" s="1" t="str">
        <f>IFERROR(__xludf.DUMMYFUNCTION("""COMPUTED_VALUE"""),"Ninguno")</f>
        <v>Ninguno</v>
      </c>
      <c r="W82" s="1" t="str">
        <f>IFERROR(__xludf.DUMMYFUNCTION("""COMPUTED_VALUE"""),"Prestigio de la institución")</f>
        <v>Prestigio de la institución</v>
      </c>
      <c r="X82" s="1" t="str">
        <f>IFERROR(__xludf.DUMMYFUNCTION("""COMPUTED_VALUE"""),"ES REFERIDO DE  1294202 / XIOMARA IVON CORPUS BOLAÑOS , APLICAR DESCUENTO EN SU ULTIMA CUOTA EL 30% ")</f>
        <v>ES REFERIDO DE  1294202 / XIOMARA IVON CORPUS BOLAÑOS , APLICAR DESCUENTO EN SU ULTIMA CUOTA EL 30% </v>
      </c>
      <c r="Y82" s="1" t="str">
        <f>IFERROR(__xludf.DUMMYFUNCTION("""COMPUTED_VALUE"""),"PAGO COMPLETO")</f>
        <v>PAGO COMPLETO</v>
      </c>
      <c r="Z82" s="1">
        <f>IFERROR(__xludf.DUMMYFUNCTION("""COMPUTED_VALUE"""),0.0)</f>
        <v>0</v>
      </c>
      <c r="AA82" s="1" t="str">
        <f>IFERROR(__xludf.DUMMYFUNCTION("""COMPUTED_VALUE"""),"-")</f>
        <v>-</v>
      </c>
      <c r="AB82" s="1">
        <f>IFERROR(__xludf.DUMMYFUNCTION("""COMPUTED_VALUE"""),0.0)</f>
        <v>0</v>
      </c>
      <c r="AC82" s="1">
        <f>IFERROR(__xludf.DUMMYFUNCTION("""COMPUTED_VALUE"""),0.0)</f>
        <v>0</v>
      </c>
      <c r="AD82" s="1" t="str">
        <f>IFERROR(__xludf.DUMMYFUNCTION("""COMPUTED_VALUE"""),"Ingrid Guillermo Rivera")</f>
        <v>Ingrid Guillermo Rivera</v>
      </c>
      <c r="AE82" s="1" t="str">
        <f>IFERROR(__xludf.DUMMYFUNCTION("""COMPUTED_VALUE"""),"Instituto de Educación Superior Tecnológico Privado Toulouse Lautrec")</f>
        <v>Instituto de Educación Superior Tecnológico Privado Toulouse Lautrec</v>
      </c>
      <c r="AF82" s="1">
        <f>IFERROR(__xludf.DUMMYFUNCTION("""COMPUTED_VALUE"""),2021.0)</f>
        <v>2021</v>
      </c>
      <c r="AG82" s="1">
        <f>IFERROR(__xludf.DUMMYFUNCTION("""COMPUTED_VALUE"""),1638915.0)</f>
        <v>1638915</v>
      </c>
      <c r="AH82" s="1">
        <f>IFERROR(__xludf.DUMMYFUNCTION("""COMPUTED_VALUE"""),19.0)</f>
        <v>19</v>
      </c>
      <c r="AI82" s="1" t="str">
        <f>IFERROR(__xludf.DUMMYFUNCTION("""COMPUTED_VALUE"""),"2020000373")</f>
        <v>2020000373</v>
      </c>
      <c r="AJ82" s="1">
        <f>IFERROR(__xludf.DUMMYFUNCTION("""COMPUTED_VALUE"""),7.1939558E7)</f>
        <v>71939558</v>
      </c>
      <c r="AK82" s="1">
        <f>IFERROR(__xludf.DUMMYFUNCTION("""COMPUTED_VALUE"""),9.95535697E8)</f>
        <v>995535697</v>
      </c>
      <c r="AL82" s="1" t="str">
        <f>IFERROR(__xludf.DUMMYFUNCTION("""COMPUTED_VALUE"""),"markcrigc04@gmail.com")</f>
        <v>markcrigc04@gmail.com</v>
      </c>
      <c r="AM82" s="1" t="str">
        <f>IFERROR(__xludf.DUMMYFUNCTION("""COMPUTED_VALUE"""),"MASCULINO")</f>
        <v>MASCULINO</v>
      </c>
      <c r="AN82" s="1">
        <f>IFERROR(__xludf.DUMMYFUNCTION("""COMPUTED_VALUE"""),1350.0)</f>
        <v>1350</v>
      </c>
      <c r="AO82" s="1">
        <f>IFERROR(__xludf.DUMMYFUNCTION("""COMPUTED_VALUE"""),320.0)</f>
        <v>320</v>
      </c>
      <c r="AP82" s="1" t="str">
        <f>IFERROR(__xludf.DUMMYFUNCTION("""COMPUTED_VALUE"""),"BIDIRECCIONAL")</f>
        <v>BIDIRECCIONAL</v>
      </c>
      <c r="AQ82" s="1" t="str">
        <f>IFERROR(__xludf.DUMMYFUNCTION("""COMPUTED_VALUE"""),"SEARCH MARCA")</f>
        <v>SEARCH MARCA</v>
      </c>
      <c r="AR82" s="1" t="str">
        <f>IFERROR(__xludf.DUMMYFUNCTION("""COMPUTED_VALUE"""),"NUEVO")</f>
        <v>NUEVO</v>
      </c>
      <c r="AS82" s="1" t="str">
        <f>IFERROR(__xludf.DUMMYFUNCTION("""COMPUTED_VALUE"""),"ucal-pg-performance-sedes-abierta-cpl-search_conversion_marca-20240401")</f>
        <v>ucal-pg-performance-sedes-abierta-cpl-search_conversion_marca-20240401</v>
      </c>
      <c r="AT82" s="2">
        <f>IFERROR(__xludf.DUMMYFUNCTION("""COMPUTED_VALUE"""),45702.0)</f>
        <v>45702</v>
      </c>
      <c r="AU82" s="1">
        <f>IFERROR(__xludf.DUMMYFUNCTION("""COMPUTED_VALUE"""),1.0)</f>
        <v>1</v>
      </c>
      <c r="AV82" s="1" t="str">
        <f>IFERROR(__xludf.DUMMYFUNCTION("""COMPUTED_VALUE"""),"TRASLADO")</f>
        <v>TRASLADO</v>
      </c>
      <c r="AW82" s="1" t="str">
        <f>IFERROR(__xludf.DUMMYFUNCTION("""COMPUTED_VALUE"""),"SI")</f>
        <v>SI</v>
      </c>
      <c r="AX82" s="1"/>
      <c r="AY82" s="1" t="str">
        <f>IFERROR(__xludf.DUMMYFUNCTION("""COMPUTED_VALUE"""),"PAGO COMPLETO")</f>
        <v>PAGO COMPLETO</v>
      </c>
      <c r="AZ82" s="5">
        <f>IFERROR(__xludf.DUMMYFUNCTION("""COMPUTED_VALUE"""),45523.0)</f>
        <v>45523</v>
      </c>
      <c r="BA82" s="1">
        <f>IFERROR(__xludf.DUMMYFUNCTION("""COMPUTED_VALUE"""),0.0)</f>
        <v>0</v>
      </c>
      <c r="BB82" s="1">
        <f>IFERROR(__xludf.DUMMYFUNCTION("""COMPUTED_VALUE"""),0.0)</f>
        <v>0</v>
      </c>
      <c r="BC82" s="4">
        <f>IFERROR(__xludf.DUMMYFUNCTION("""COMPUTED_VALUE"""),0.0)</f>
        <v>0</v>
      </c>
      <c r="BD82" s="4">
        <f>IFERROR(__xludf.DUMMYFUNCTION("""COMPUTED_VALUE"""),0.0)</f>
        <v>0</v>
      </c>
      <c r="BE82" s="1">
        <f>IFERROR(__xludf.DUMMYFUNCTION("""COMPUTED_VALUE"""),8.0)</f>
        <v>8</v>
      </c>
      <c r="BF82" s="6">
        <f>IFERROR(__xludf.DUMMYFUNCTION("""COMPUTED_VALUE"""),1.0)</f>
        <v>1</v>
      </c>
      <c r="BG82" s="1">
        <f>IFERROR(__xludf.DUMMYFUNCTION("""COMPUTED_VALUE"""),1.0)</f>
        <v>1</v>
      </c>
      <c r="BH82" s="1" t="str">
        <f>IFERROR(__xludf.DUMMYFUNCTION("""COMPUTED_VALUE"""),"1")</f>
        <v>1</v>
      </c>
      <c r="BI82" s="4">
        <f>IFERROR(__xludf.DUMMYFUNCTION("""COMPUTED_VALUE"""),0.0)</f>
        <v>0</v>
      </c>
      <c r="BJ82" s="1">
        <f>IFERROR(__xludf.DUMMYFUNCTION("""COMPUTED_VALUE"""),1.0)</f>
        <v>1</v>
      </c>
      <c r="BK82" s="4">
        <f>IFERROR(__xludf.DUMMYFUNCTION("""COMPUTED_VALUE"""),575.0)</f>
        <v>575</v>
      </c>
      <c r="BL82" s="1">
        <f>IFERROR(__xludf.DUMMYFUNCTION("""COMPUTED_VALUE"""),1035.0)</f>
        <v>1035</v>
      </c>
      <c r="BM82" s="1">
        <f>IFERROR(__xludf.DUMMYFUNCTION("""COMPUTED_VALUE"""),34.0)</f>
        <v>34</v>
      </c>
      <c r="BN82" s="2">
        <f>IFERROR(__xludf.DUMMYFUNCTION("""COMPUTED_VALUE"""),45523.0)</f>
        <v>45523</v>
      </c>
      <c r="BO82" s="1">
        <f>IFERROR(__xludf.DUMMYFUNCTION("""COMPUTED_VALUE"""),8.0)</f>
        <v>8</v>
      </c>
      <c r="BP82" s="1">
        <f>IFERROR(__xludf.DUMMYFUNCTION("""COMPUTED_VALUE"""),2024.0)</f>
        <v>2024</v>
      </c>
    </row>
    <row r="83">
      <c r="A83" s="1">
        <f>IFERROR(__xludf.DUMMYFUNCTION("""COMPUTED_VALUE"""),82.0)</f>
        <v>82</v>
      </c>
      <c r="B83" s="1">
        <f>IFERROR(__xludf.DUMMYFUNCTION("""COMPUTED_VALUE"""),1321556.0)</f>
        <v>1321556</v>
      </c>
      <c r="C83" s="1" t="str">
        <f>IFERROR(__xludf.DUMMYFUNCTION("""COMPUTED_VALUE"""),"2025-1")</f>
        <v>2025-1</v>
      </c>
      <c r="D83" s="1" t="str">
        <f>IFERROR(__xludf.DUMMYFUNCTION("""COMPUTED_VALUE"""),"Admisión de Alto Rendimiento")</f>
        <v>Admisión de Alto Rendimiento</v>
      </c>
      <c r="E83" s="2">
        <f>IFERROR(__xludf.DUMMYFUNCTION("""COMPUTED_VALUE"""),45530.0)</f>
        <v>45530</v>
      </c>
      <c r="F83" s="1" t="str">
        <f>IFERROR(__xludf.DUMMYFUNCTION("""COMPUTED_VALUE""")," STEPHANIE JULIET")</f>
        <v> STEPHANIE JULIET</v>
      </c>
      <c r="G83" s="1" t="str">
        <f>IFERROR(__xludf.DUMMYFUNCTION("""COMPUTED_VALUE"""),"SULCA PEREZ")</f>
        <v>SULCA PEREZ</v>
      </c>
      <c r="H83" s="1" t="str">
        <f>IFERROR(__xludf.DUMMYFUNCTION("""COMPUTED_VALUE"""),"Comunicación Audiovisual y Cine")</f>
        <v>Comunicación Audiovisual y Cine</v>
      </c>
      <c r="I83" s="1" t="str">
        <f>IFERROR(__xludf.DUMMYFUNCTION("""COMPUTED_VALUE"""),"POS")</f>
        <v>POS</v>
      </c>
      <c r="J83" s="1" t="str">
        <f>IFERROR(__xludf.DUMMYFUNCTION("""COMPUTED_VALUE"""),"Diurno")</f>
        <v>Diurno</v>
      </c>
      <c r="K83" s="1" t="str">
        <f>IFERROR(__xludf.DUMMYFUNCTION("""COMPUTED_VALUE"""),"NUEVO")</f>
        <v>NUEVO</v>
      </c>
      <c r="L83" s="1">
        <f>IFERROR(__xludf.DUMMYFUNCTION("""COMPUTED_VALUE"""),0.0)</f>
        <v>0</v>
      </c>
      <c r="M83" s="1">
        <f>IFERROR(__xludf.DUMMYFUNCTION("""COMPUTED_VALUE"""),0.0)</f>
        <v>0</v>
      </c>
      <c r="N83" s="1" t="str">
        <f>IFERROR(__xludf.DUMMYFUNCTION("""COMPUTED_VALUE"""),"BECA")</f>
        <v>BECA</v>
      </c>
      <c r="O83" s="1" t="str">
        <f>IFERROR(__xludf.DUMMYFUNCTION("""COMPUTED_VALUE"""),"BECA CARRERAS CORE")</f>
        <v>BECA CARRERAS CORE</v>
      </c>
      <c r="P83" s="4">
        <f>IFERROR(__xludf.DUMMYFUNCTION("""COMPUTED_VALUE"""),0.0)</f>
        <v>0</v>
      </c>
      <c r="Q83" s="4">
        <f>IFERROR(__xludf.DUMMYFUNCTION("""COMPUTED_VALUE"""),0.0)</f>
        <v>0</v>
      </c>
      <c r="R83" s="4">
        <f>IFERROR(__xludf.DUMMYFUNCTION("""COMPUTED_VALUE"""),1350.0)</f>
        <v>1350</v>
      </c>
      <c r="S83" s="4">
        <f>IFERROR(__xludf.DUMMYFUNCTION("""COMPUTED_VALUE"""),1075.0)</f>
        <v>1075</v>
      </c>
      <c r="T83" s="1" t="str">
        <f>IFERROR(__xludf.DUMMYFUNCTION("""COMPUTED_VALUE"""),"Visita Guiada")</f>
        <v>Visita Guiada</v>
      </c>
      <c r="U83" s="1" t="str">
        <f>IFERROR(__xludf.DUMMYFUNCTION("""COMPUTED_VALUE"""),"FABIOLA")</f>
        <v>FABIOLA</v>
      </c>
      <c r="V83" s="1" t="str">
        <f>IFERROR(__xludf.DUMMYFUNCTION("""COMPUTED_VALUE"""),"-")</f>
        <v>-</v>
      </c>
      <c r="W83" s="1" t="str">
        <f>IFERROR(__xludf.DUMMYFUNCTION("""COMPUTED_VALUE"""),"Malla curricular")</f>
        <v>Malla curricular</v>
      </c>
      <c r="X83" s="1" t="str">
        <f>IFERROR(__xludf.DUMMYFUNCTION("""COMPUTED_VALUE"""),"-")</f>
        <v>-</v>
      </c>
      <c r="Y83" s="1" t="str">
        <f>IFERROR(__xludf.DUMMYFUNCTION("""COMPUTED_VALUE"""),"PAGO COMPLETO")</f>
        <v>PAGO COMPLETO</v>
      </c>
      <c r="Z83" s="1">
        <f>IFERROR(__xludf.DUMMYFUNCTION("""COMPUTED_VALUE"""),0.0)</f>
        <v>0</v>
      </c>
      <c r="AA83" s="1" t="str">
        <f>IFERROR(__xludf.DUMMYFUNCTION("""COMPUTED_VALUE"""),"-")</f>
        <v>-</v>
      </c>
      <c r="AB83" s="1">
        <f>IFERROR(__xludf.DUMMYFUNCTION("""COMPUTED_VALUE"""),1.0)</f>
        <v>1</v>
      </c>
      <c r="AC83" s="1">
        <f>IFERROR(__xludf.DUMMYFUNCTION("""COMPUTED_VALUE"""),0.0)</f>
        <v>0</v>
      </c>
      <c r="AD83" s="1" t="str">
        <f>IFERROR(__xludf.DUMMYFUNCTION("""COMPUTED_VALUE"""),"Stefano Napuri")</f>
        <v>Stefano Napuri</v>
      </c>
      <c r="AE83" s="1" t="str">
        <f>IFERROR(__xludf.DUMMYFUNCTION("""COMPUTED_VALUE"""),"0")</f>
        <v>0</v>
      </c>
      <c r="AF83" s="1">
        <f>IFERROR(__xludf.DUMMYFUNCTION("""COMPUTED_VALUE"""),2024.0)</f>
        <v>2024</v>
      </c>
      <c r="AG83" s="1">
        <f>IFERROR(__xludf.DUMMYFUNCTION("""COMPUTED_VALUE"""),905067.0)</f>
        <v>905067</v>
      </c>
      <c r="AH83" s="1">
        <f>IFERROR(__xludf.DUMMYFUNCTION("""COMPUTED_VALUE"""),16.0)</f>
        <v>16</v>
      </c>
      <c r="AI83" s="1" t="str">
        <f>IFERROR(__xludf.DUMMYFUNCTION("""COMPUTED_VALUE"""),"0000392705")</f>
        <v>0000392705</v>
      </c>
      <c r="AJ83" s="1">
        <f>IFERROR(__xludf.DUMMYFUNCTION("""COMPUTED_VALUE"""),7.1185899E7)</f>
        <v>71185899</v>
      </c>
      <c r="AK83" s="1">
        <f>IFERROR(__xludf.DUMMYFUNCTION("""COMPUTED_VALUE"""),9.79662685E8)</f>
        <v>979662685</v>
      </c>
      <c r="AL83" s="1" t="str">
        <f>IFERROR(__xludf.DUMMYFUNCTION("""COMPUTED_VALUE"""),"sjsp0104@gmail.com")</f>
        <v>sjsp0104@gmail.com</v>
      </c>
      <c r="AM83" s="1" t="str">
        <f>IFERROR(__xludf.DUMMYFUNCTION("""COMPUTED_VALUE"""),"FEMENINO")</f>
        <v>FEMENINO</v>
      </c>
      <c r="AN83" s="1">
        <f>IFERROR(__xludf.DUMMYFUNCTION("""COMPUTED_VALUE"""),1350.0)</f>
        <v>1350</v>
      </c>
      <c r="AO83" s="1">
        <f>IFERROR(__xludf.DUMMYFUNCTION("""COMPUTED_VALUE"""),0.0)</f>
        <v>0</v>
      </c>
      <c r="AP83" s="1" t="str">
        <f>IFERROR(__xludf.DUMMYFUNCTION("""COMPUTED_VALUE"""),"BIDIRECCIONAL")</f>
        <v>BIDIRECCIONAL</v>
      </c>
      <c r="AQ83" s="1" t="str">
        <f>IFERROR(__xludf.DUMMYFUNCTION("""COMPUTED_VALUE"""),"ORGANICO")</f>
        <v>ORGANICO</v>
      </c>
      <c r="AR83" s="1" t="str">
        <f>IFERROR(__xludf.DUMMYFUNCTION("""COMPUTED_VALUE"""),"HEREDADO")</f>
        <v>HEREDADO</v>
      </c>
      <c r="AS83" s="1"/>
      <c r="AT83" s="2">
        <f>IFERROR(__xludf.DUMMYFUNCTION("""COMPUTED_VALUE"""),45527.0)</f>
        <v>45527</v>
      </c>
      <c r="AU83" s="1">
        <f>IFERROR(__xludf.DUMMYFUNCTION("""COMPUTED_VALUE"""),1.0)</f>
        <v>1</v>
      </c>
      <c r="AV83" s="1" t="str">
        <f>IFERROR(__xludf.DUMMYFUNCTION("""COMPUTED_VALUE"""),"NUEVO")</f>
        <v>NUEVO</v>
      </c>
      <c r="AW83" s="1" t="str">
        <f>IFERROR(__xludf.DUMMYFUNCTION("""COMPUTED_VALUE"""),"SI")</f>
        <v>SI</v>
      </c>
      <c r="AX83" s="1"/>
      <c r="AY83" s="1" t="str">
        <f>IFERROR(__xludf.DUMMYFUNCTION("""COMPUTED_VALUE"""),"PAGO COMPLETO")</f>
        <v>PAGO COMPLETO</v>
      </c>
      <c r="AZ83" s="5">
        <f>IFERROR(__xludf.DUMMYFUNCTION("""COMPUTED_VALUE"""),45530.0)</f>
        <v>45530</v>
      </c>
      <c r="BA83" s="1">
        <f>IFERROR(__xludf.DUMMYFUNCTION("""COMPUTED_VALUE"""),0.0)</f>
        <v>0</v>
      </c>
      <c r="BB83" s="1">
        <f>IFERROR(__xludf.DUMMYFUNCTION("""COMPUTED_VALUE"""),0.0)</f>
        <v>0</v>
      </c>
      <c r="BC83" s="4">
        <f>IFERROR(__xludf.DUMMYFUNCTION("""COMPUTED_VALUE"""),0.0)</f>
        <v>0</v>
      </c>
      <c r="BD83" s="4">
        <f>IFERROR(__xludf.DUMMYFUNCTION("""COMPUTED_VALUE"""),100.0)</f>
        <v>100</v>
      </c>
      <c r="BE83" s="1">
        <f>IFERROR(__xludf.DUMMYFUNCTION("""COMPUTED_VALUE"""),8.0)</f>
        <v>8</v>
      </c>
      <c r="BF83" s="6">
        <f>IFERROR(__xludf.DUMMYFUNCTION("""COMPUTED_VALUE"""),1.0)</f>
        <v>1</v>
      </c>
      <c r="BG83" s="1">
        <f>IFERROR(__xludf.DUMMYFUNCTION("""COMPUTED_VALUE"""),1.0)</f>
        <v>1</v>
      </c>
      <c r="BH83" s="1" t="str">
        <f>IFERROR(__xludf.DUMMYFUNCTION("""COMPUTED_VALUE"""),"0")</f>
        <v>0</v>
      </c>
      <c r="BI83" s="4">
        <f>IFERROR(__xludf.DUMMYFUNCTION("""COMPUTED_VALUE"""),100.0)</f>
        <v>100</v>
      </c>
      <c r="BJ83" s="1">
        <f>IFERROR(__xludf.DUMMYFUNCTION("""COMPUTED_VALUE"""),0.0)</f>
        <v>0</v>
      </c>
      <c r="BK83" s="4">
        <f>IFERROR(__xludf.DUMMYFUNCTION("""COMPUTED_VALUE"""),100.0)</f>
        <v>100</v>
      </c>
      <c r="BL83" s="1">
        <f>IFERROR(__xludf.DUMMYFUNCTION("""COMPUTED_VALUE"""),1055.0)</f>
        <v>1055</v>
      </c>
      <c r="BM83" s="1">
        <f>IFERROR(__xludf.DUMMYFUNCTION("""COMPUTED_VALUE"""),35.0)</f>
        <v>35</v>
      </c>
      <c r="BN83" s="2">
        <f>IFERROR(__xludf.DUMMYFUNCTION("""COMPUTED_VALUE"""),45530.0)</f>
        <v>45530</v>
      </c>
      <c r="BO83" s="1">
        <f>IFERROR(__xludf.DUMMYFUNCTION("""COMPUTED_VALUE"""),8.0)</f>
        <v>8</v>
      </c>
      <c r="BP83" s="1">
        <f>IFERROR(__xludf.DUMMYFUNCTION("""COMPUTED_VALUE"""),2024.0)</f>
        <v>2024</v>
      </c>
    </row>
    <row r="84">
      <c r="A84" s="1">
        <f>IFERROR(__xludf.DUMMYFUNCTION("""COMPUTED_VALUE"""),83.0)</f>
        <v>83</v>
      </c>
      <c r="B84" s="1">
        <f>IFERROR(__xludf.DUMMYFUNCTION("""COMPUTED_VALUE"""),4529095.0)</f>
        <v>4529095</v>
      </c>
      <c r="C84" s="1" t="str">
        <f>IFERROR(__xludf.DUMMYFUNCTION("""COMPUTED_VALUE"""),"2025-1")</f>
        <v>2025-1</v>
      </c>
      <c r="D84" s="1" t="str">
        <f>IFERROR(__xludf.DUMMYFUNCTION("""COMPUTED_VALUE"""),"Admisión de Alto Rendimiento")</f>
        <v>Admisión de Alto Rendimiento</v>
      </c>
      <c r="E84" s="2">
        <f>IFERROR(__xludf.DUMMYFUNCTION("""COMPUTED_VALUE"""),45530.0)</f>
        <v>45530</v>
      </c>
      <c r="F84" s="1" t="str">
        <f>IFERROR(__xludf.DUMMYFUNCTION("""COMPUTED_VALUE"""),"HECTOR DANIEL")</f>
        <v>HECTOR DANIEL</v>
      </c>
      <c r="G84" s="1" t="str">
        <f>IFERROR(__xludf.DUMMYFUNCTION("""COMPUTED_VALUE"""),"RIMACHI GUTIERREZ")</f>
        <v>RIMACHI GUTIERREZ</v>
      </c>
      <c r="H84" s="1" t="str">
        <f>IFERROR(__xludf.DUMMYFUNCTION("""COMPUTED_VALUE"""),"Comunicación Audiovisual y Cine")</f>
        <v>Comunicación Audiovisual y Cine</v>
      </c>
      <c r="I84" s="1" t="str">
        <f>IFERROR(__xludf.DUMMYFUNCTION("""COMPUTED_VALUE"""),"CARGO")</f>
        <v>CARGO</v>
      </c>
      <c r="J84" s="1" t="str">
        <f>IFERROR(__xludf.DUMMYFUNCTION("""COMPUTED_VALUE"""),"Diurno")</f>
        <v>Diurno</v>
      </c>
      <c r="K84" s="1" t="str">
        <f>IFERROR(__xludf.DUMMYFUNCTION("""COMPUTED_VALUE"""),"TRASLADO")</f>
        <v>TRASLADO</v>
      </c>
      <c r="L84" s="1">
        <f>IFERROR(__xludf.DUMMYFUNCTION("""COMPUTED_VALUE"""),0.0)</f>
        <v>0</v>
      </c>
      <c r="M84" s="1">
        <f>IFERROR(__xludf.DUMMYFUNCTION("""COMPUTED_VALUE"""),0.0)</f>
        <v>0</v>
      </c>
      <c r="N84" s="1" t="str">
        <f>IFERROR(__xludf.DUMMYFUNCTION("""COMPUTED_VALUE"""),"RECA-BECA")</f>
        <v>RECA-BECA</v>
      </c>
      <c r="O84" s="1" t="str">
        <f>IFERROR(__xludf.DUMMYFUNCTION("""COMPUTED_VALUE"""),"BECA CARRERAS CORE-TRASLADOS SIN CONVA")</f>
        <v>BECA CARRERAS CORE-TRASLADOS SIN CONVA</v>
      </c>
      <c r="P84" s="4">
        <f>IFERROR(__xludf.DUMMYFUNCTION("""COMPUTED_VALUE"""),0.0)</f>
        <v>0</v>
      </c>
      <c r="Q84" s="4">
        <f>IFERROR(__xludf.DUMMYFUNCTION("""COMPUTED_VALUE"""),0.0)</f>
        <v>0</v>
      </c>
      <c r="R84" s="4">
        <f>IFERROR(__xludf.DUMMYFUNCTION("""COMPUTED_VALUE"""),1350.0)</f>
        <v>1350</v>
      </c>
      <c r="S84" s="4">
        <f>IFERROR(__xludf.DUMMYFUNCTION("""COMPUTED_VALUE"""),1000.0)</f>
        <v>1000</v>
      </c>
      <c r="T84" s="1" t="str">
        <f>IFERROR(__xludf.DUMMYFUNCTION("""COMPUTED_VALUE"""),"Visita Guiada")</f>
        <v>Visita Guiada</v>
      </c>
      <c r="U84" s="1" t="str">
        <f>IFERROR(__xludf.DUMMYFUNCTION("""COMPUTED_VALUE"""),"FABIOLA")</f>
        <v>FABIOLA</v>
      </c>
      <c r="V84" s="1" t="str">
        <f>IFERROR(__xludf.DUMMYFUNCTION("""COMPUTED_VALUE"""),"-")</f>
        <v>-</v>
      </c>
      <c r="W84" s="1" t="str">
        <f>IFERROR(__xludf.DUMMYFUNCTION("""COMPUTED_VALUE"""),"Malla curricular")</f>
        <v>Malla curricular</v>
      </c>
      <c r="X84" s="1" t="str">
        <f>IFERROR(__xludf.DUMMYFUNCTION("""COMPUTED_VALUE"""),"-")</f>
        <v>-</v>
      </c>
      <c r="Y84" s="1" t="str">
        <f>IFERROR(__xludf.DUMMYFUNCTION("""COMPUTED_VALUE"""),"PAGO COMPLETO")</f>
        <v>PAGO COMPLETO</v>
      </c>
      <c r="Z84" s="1">
        <f>IFERROR(__xludf.DUMMYFUNCTION("""COMPUTED_VALUE"""),0.0)</f>
        <v>0</v>
      </c>
      <c r="AA84" s="1" t="str">
        <f>IFERROR(__xludf.DUMMYFUNCTION("""COMPUTED_VALUE"""),"-")</f>
        <v>-</v>
      </c>
      <c r="AB84" s="1">
        <f>IFERROR(__xludf.DUMMYFUNCTION("""COMPUTED_VALUE"""),0.0)</f>
        <v>0</v>
      </c>
      <c r="AC84" s="1">
        <f>IFERROR(__xludf.DUMMYFUNCTION("""COMPUTED_VALUE"""),0.0)</f>
        <v>0</v>
      </c>
      <c r="AD84" s="1" t="str">
        <f>IFERROR(__xludf.DUMMYFUNCTION("""COMPUTED_VALUE"""),"Stefano Napuri")</f>
        <v>Stefano Napuri</v>
      </c>
      <c r="AE84" s="1" t="str">
        <f>IFERROR(__xludf.DUMMYFUNCTION("""COMPUTED_VALUE"""),"Universidad Nacional De Ingenieria")</f>
        <v>Universidad Nacional De Ingenieria</v>
      </c>
      <c r="AF84" s="1">
        <f>IFERROR(__xludf.DUMMYFUNCTION("""COMPUTED_VALUE"""),2019.0)</f>
        <v>2019</v>
      </c>
      <c r="AG84" s="1">
        <f>IFERROR(__xludf.DUMMYFUNCTION("""COMPUTED_VALUE"""),305664.0)</f>
        <v>305664</v>
      </c>
      <c r="AH84" s="1">
        <f>IFERROR(__xludf.DUMMYFUNCTION("""COMPUTED_VALUE"""),22.0)</f>
        <v>22</v>
      </c>
      <c r="AI84" s="1" t="str">
        <f>IFERROR(__xludf.DUMMYFUNCTION("""COMPUTED_VALUE"""),"0000392653")</f>
        <v>0000392653</v>
      </c>
      <c r="AJ84" s="1">
        <f>IFERROR(__xludf.DUMMYFUNCTION("""COMPUTED_VALUE"""),7.325576E7)</f>
        <v>73255760</v>
      </c>
      <c r="AK84" s="1">
        <f>IFERROR(__xludf.DUMMYFUNCTION("""COMPUTED_VALUE"""),9.24769413E8)</f>
        <v>924769413</v>
      </c>
      <c r="AL84" s="1" t="str">
        <f>IFERROR(__xludf.DUMMYFUNCTION("""COMPUTED_VALUE"""),"hdrg20@hotmail.com")</f>
        <v>hdrg20@hotmail.com</v>
      </c>
      <c r="AM84" s="1" t="str">
        <f>IFERROR(__xludf.DUMMYFUNCTION("""COMPUTED_VALUE"""),"MASCULINO")</f>
        <v>MASCULINO</v>
      </c>
      <c r="AN84" s="1">
        <f>IFERROR(__xludf.DUMMYFUNCTION("""COMPUTED_VALUE"""),1775.0)</f>
        <v>1775</v>
      </c>
      <c r="AO84" s="1">
        <f>IFERROR(__xludf.DUMMYFUNCTION("""COMPUTED_VALUE"""),505.0)</f>
        <v>505</v>
      </c>
      <c r="AP84" s="1" t="str">
        <f>IFERROR(__xludf.DUMMYFUNCTION("""COMPUTED_VALUE"""),"OUTBOUND")</f>
        <v>OUTBOUND</v>
      </c>
      <c r="AQ84" s="1" t="str">
        <f>IFERROR(__xludf.DUMMYFUNCTION("""COMPUTED_VALUE"""),"OUTBOUND")</f>
        <v>OUTBOUND</v>
      </c>
      <c r="AR84" s="1" t="str">
        <f>IFERROR(__xludf.DUMMYFUNCTION("""COMPUTED_VALUE"""),"NUEVO")</f>
        <v>NUEVO</v>
      </c>
      <c r="AS84" s="1"/>
      <c r="AT84" s="2">
        <f>IFERROR(__xludf.DUMMYFUNCTION("""COMPUTED_VALUE"""),45528.0)</f>
        <v>45528</v>
      </c>
      <c r="AU84" s="1">
        <f>IFERROR(__xludf.DUMMYFUNCTION("""COMPUTED_VALUE"""),1.0)</f>
        <v>1</v>
      </c>
      <c r="AV84" s="1" t="str">
        <f>IFERROR(__xludf.DUMMYFUNCTION("""COMPUTED_VALUE"""),"NUEVO")</f>
        <v>NUEVO</v>
      </c>
      <c r="AW84" s="1" t="str">
        <f>IFERROR(__xludf.DUMMYFUNCTION("""COMPUTED_VALUE"""),"SI")</f>
        <v>SI</v>
      </c>
      <c r="AX84" s="1"/>
      <c r="AY84" s="1" t="str">
        <f>IFERROR(__xludf.DUMMYFUNCTION("""COMPUTED_VALUE"""),"PAGO COMPLETO")</f>
        <v>PAGO COMPLETO</v>
      </c>
      <c r="AZ84" s="5">
        <f>IFERROR(__xludf.DUMMYFUNCTION("""COMPUTED_VALUE"""),45530.0)</f>
        <v>45530</v>
      </c>
      <c r="BA84" s="1">
        <f>IFERROR(__xludf.DUMMYFUNCTION("""COMPUTED_VALUE"""),0.0)</f>
        <v>0</v>
      </c>
      <c r="BB84" s="1">
        <f>IFERROR(__xludf.DUMMYFUNCTION("""COMPUTED_VALUE"""),0.0)</f>
        <v>0</v>
      </c>
      <c r="BC84" s="4">
        <f>IFERROR(__xludf.DUMMYFUNCTION("""COMPUTED_VALUE"""),0.0)</f>
        <v>0</v>
      </c>
      <c r="BD84" s="4">
        <f>IFERROR(__xludf.DUMMYFUNCTION("""COMPUTED_VALUE"""),100.0)</f>
        <v>100</v>
      </c>
      <c r="BE84" s="1">
        <f>IFERROR(__xludf.DUMMYFUNCTION("""COMPUTED_VALUE"""),8.0)</f>
        <v>8</v>
      </c>
      <c r="BF84" s="6">
        <f>IFERROR(__xludf.DUMMYFUNCTION("""COMPUTED_VALUE"""),1.0)</f>
        <v>1</v>
      </c>
      <c r="BG84" s="1">
        <f>IFERROR(__xludf.DUMMYFUNCTION("""COMPUTED_VALUE"""),1.0)</f>
        <v>1</v>
      </c>
      <c r="BH84" s="1" t="str">
        <f>IFERROR(__xludf.DUMMYFUNCTION("""COMPUTED_VALUE"""),"0")</f>
        <v>0</v>
      </c>
      <c r="BI84" s="4">
        <f>IFERROR(__xludf.DUMMYFUNCTION("""COMPUTED_VALUE"""),100.0)</f>
        <v>100</v>
      </c>
      <c r="BJ84" s="1">
        <f>IFERROR(__xludf.DUMMYFUNCTION("""COMPUTED_VALUE"""),0.0)</f>
        <v>0</v>
      </c>
      <c r="BK84" s="4">
        <f>IFERROR(__xludf.DUMMYFUNCTION("""COMPUTED_VALUE"""),100.0)</f>
        <v>100</v>
      </c>
      <c r="BL84" s="1">
        <f>IFERROR(__xludf.DUMMYFUNCTION("""COMPUTED_VALUE"""),980.0)</f>
        <v>980</v>
      </c>
      <c r="BM84" s="1">
        <f>IFERROR(__xludf.DUMMYFUNCTION("""COMPUTED_VALUE"""),35.0)</f>
        <v>35</v>
      </c>
      <c r="BN84" s="2">
        <f>IFERROR(__xludf.DUMMYFUNCTION("""COMPUTED_VALUE"""),45530.0)</f>
        <v>45530</v>
      </c>
      <c r="BO84" s="1">
        <f>IFERROR(__xludf.DUMMYFUNCTION("""COMPUTED_VALUE"""),8.0)</f>
        <v>8</v>
      </c>
      <c r="BP84" s="1">
        <f>IFERROR(__xludf.DUMMYFUNCTION("""COMPUTED_VALUE"""),2024.0)</f>
        <v>2024</v>
      </c>
    </row>
    <row r="85">
      <c r="A85" s="1">
        <f>IFERROR(__xludf.DUMMYFUNCTION("""COMPUTED_VALUE"""),84.0)</f>
        <v>84</v>
      </c>
      <c r="B85" s="1">
        <f>IFERROR(__xludf.DUMMYFUNCTION("""COMPUTED_VALUE"""),2694451.0)</f>
        <v>2694451</v>
      </c>
      <c r="C85" s="1" t="str">
        <f>IFERROR(__xludf.DUMMYFUNCTION("""COMPUTED_VALUE"""),"2025-1")</f>
        <v>2025-1</v>
      </c>
      <c r="D85" s="1" t="str">
        <f>IFERROR(__xludf.DUMMYFUNCTION("""COMPUTED_VALUE"""),"Admisión Ordinaria")</f>
        <v>Admisión Ordinaria</v>
      </c>
      <c r="E85" s="2">
        <f>IFERROR(__xludf.DUMMYFUNCTION("""COMPUTED_VALUE"""),45530.0)</f>
        <v>45530</v>
      </c>
      <c r="F85" s="1" t="str">
        <f>IFERROR(__xludf.DUMMYFUNCTION("""COMPUTED_VALUE"""),"ANGEL DANIEL ")</f>
        <v>ANGEL DANIEL </v>
      </c>
      <c r="G85" s="1" t="str">
        <f>IFERROR(__xludf.DUMMYFUNCTION("""COMPUTED_VALUE"""),"ZEA IGLESIAS")</f>
        <v>ZEA IGLESIAS</v>
      </c>
      <c r="H85" s="1" t="str">
        <f>IFERROR(__xludf.DUMMYFUNCTION("""COMPUTED_VALUE"""),"Administración")</f>
        <v>Administración</v>
      </c>
      <c r="I85" s="1" t="str">
        <f>IFERROR(__xludf.DUMMYFUNCTION("""COMPUTED_VALUE"""),"CARGO")</f>
        <v>CARGO</v>
      </c>
      <c r="J85" s="1" t="str">
        <f>IFERROR(__xludf.DUMMYFUNCTION("""COMPUTED_VALUE"""),"Diurno")</f>
        <v>Diurno</v>
      </c>
      <c r="K85" s="1" t="str">
        <f>IFERROR(__xludf.DUMMYFUNCTION("""COMPUTED_VALUE"""),"TRASLADO")</f>
        <v>TRASLADO</v>
      </c>
      <c r="L85" s="1">
        <f>IFERROR(__xludf.DUMMYFUNCTION("""COMPUTED_VALUE"""),0.0)</f>
        <v>0</v>
      </c>
      <c r="M85" s="1">
        <f>IFERROR(__xludf.DUMMYFUNCTION("""COMPUTED_VALUE"""),0.0)</f>
        <v>0</v>
      </c>
      <c r="N85" s="1" t="str">
        <f>IFERROR(__xludf.DUMMYFUNCTION("""COMPUTED_VALUE"""),"RECA")</f>
        <v>RECA</v>
      </c>
      <c r="O85" s="1" t="str">
        <f>IFERROR(__xludf.DUMMYFUNCTION("""COMPUTED_VALUE"""),"RECA TRASLADO SIN CONVA")</f>
        <v>RECA TRASLADO SIN CONVA</v>
      </c>
      <c r="P85" s="4">
        <f>IFERROR(__xludf.DUMMYFUNCTION("""COMPUTED_VALUE"""),0.0)</f>
        <v>0</v>
      </c>
      <c r="Q85" s="4">
        <f>IFERROR(__xludf.DUMMYFUNCTION("""COMPUTED_VALUE"""),0.0)</f>
        <v>0</v>
      </c>
      <c r="R85" s="4">
        <f>IFERROR(__xludf.DUMMYFUNCTION("""COMPUTED_VALUE"""),1525.0)</f>
        <v>1525</v>
      </c>
      <c r="S85" s="4">
        <f>IFERROR(__xludf.DUMMYFUNCTION("""COMPUTED_VALUE"""),1150.0)</f>
        <v>1150</v>
      </c>
      <c r="T85" s="1" t="str">
        <f>IFERROR(__xludf.DUMMYFUNCTION("""COMPUTED_VALUE"""),"NINGUNO")</f>
        <v>NINGUNO</v>
      </c>
      <c r="U85" s="1" t="str">
        <f>IFERROR(__xludf.DUMMYFUNCTION("""COMPUTED_VALUE"""),"FABIOLA")</f>
        <v>FABIOLA</v>
      </c>
      <c r="V85" s="1" t="str">
        <f>IFERROR(__xludf.DUMMYFUNCTION("""COMPUTED_VALUE"""),"Ninguno")</f>
        <v>Ninguno</v>
      </c>
      <c r="W85" s="1" t="str">
        <f>IFERROR(__xludf.DUMMYFUNCTION("""COMPUTED_VALUE"""),"Prestigio de la institución")</f>
        <v>Prestigio de la institución</v>
      </c>
      <c r="X85" s="1" t="str">
        <f>IFERROR(__xludf.DUMMYFUNCTION("""COMPUTED_VALUE"""),"-")</f>
        <v>-</v>
      </c>
      <c r="Y85" s="1" t="str">
        <f>IFERROR(__xludf.DUMMYFUNCTION("""COMPUTED_VALUE"""),"PAGO COMPLETO")</f>
        <v>PAGO COMPLETO</v>
      </c>
      <c r="Z85" s="1">
        <f>IFERROR(__xludf.DUMMYFUNCTION("""COMPUTED_VALUE"""),0.0)</f>
        <v>0</v>
      </c>
      <c r="AA85" s="1" t="str">
        <f>IFERROR(__xludf.DUMMYFUNCTION("""COMPUTED_VALUE"""),"-")</f>
        <v>-</v>
      </c>
      <c r="AB85" s="1">
        <f>IFERROR(__xludf.DUMMYFUNCTION("""COMPUTED_VALUE"""),0.0)</f>
        <v>0</v>
      </c>
      <c r="AC85" s="1">
        <f>IFERROR(__xludf.DUMMYFUNCTION("""COMPUTED_VALUE"""),0.0)</f>
        <v>0</v>
      </c>
      <c r="AD85" s="1" t="str">
        <f>IFERROR(__xludf.DUMMYFUNCTION("""COMPUTED_VALUE"""),"Andrea Araujo Antara")</f>
        <v>Andrea Araujo Antara</v>
      </c>
      <c r="AE85" s="1" t="str">
        <f>IFERROR(__xludf.DUMMYFUNCTION("""COMPUTED_VALUE"""),"Instituto de Formación Bancaria (IFB)")</f>
        <v>Instituto de Formación Bancaria (IFB)</v>
      </c>
      <c r="AF85" s="1">
        <f>IFERROR(__xludf.DUMMYFUNCTION("""COMPUTED_VALUE"""),2018.0)</f>
        <v>2018</v>
      </c>
      <c r="AG85" s="1">
        <f>IFERROR(__xludf.DUMMYFUNCTION("""COMPUTED_VALUE"""),1054360.0)</f>
        <v>1054360</v>
      </c>
      <c r="AH85" s="1">
        <f>IFERROR(__xludf.DUMMYFUNCTION("""COMPUTED_VALUE"""),24.0)</f>
        <v>24</v>
      </c>
      <c r="AI85" s="1" t="str">
        <f>IFERROR(__xludf.DUMMYFUNCTION("""COMPUTED_VALUE"""),"0000108467")</f>
        <v>0000108467</v>
      </c>
      <c r="AJ85" s="1">
        <f>IFERROR(__xludf.DUMMYFUNCTION("""COMPUTED_VALUE"""),7.135216E7)</f>
        <v>71352160</v>
      </c>
      <c r="AK85" s="1">
        <f>IFERROR(__xludf.DUMMYFUNCTION("""COMPUTED_VALUE"""),9.68709076E8)</f>
        <v>968709076</v>
      </c>
      <c r="AL85" s="1" t="str">
        <f>IFERROR(__xludf.DUMMYFUNCTION("""COMPUTED_VALUE"""),"ANGELZEAIGLESIAS@gmail.com")</f>
        <v>ANGELZEAIGLESIAS@gmail.com</v>
      </c>
      <c r="AM85" s="1" t="str">
        <f>IFERROR(__xludf.DUMMYFUNCTION("""COMPUTED_VALUE"""),"MASCULINO")</f>
        <v>MASCULINO</v>
      </c>
      <c r="AN85" s="1">
        <f>IFERROR(__xludf.DUMMYFUNCTION("""COMPUTED_VALUE"""),1525.0)</f>
        <v>1525</v>
      </c>
      <c r="AO85" s="1">
        <f>IFERROR(__xludf.DUMMYFUNCTION("""COMPUTED_VALUE"""),280.0)</f>
        <v>280</v>
      </c>
      <c r="AP85" s="1" t="str">
        <f>IFERROR(__xludf.DUMMYFUNCTION("""COMPUTED_VALUE"""),"BIDIRECCIONAL")</f>
        <v>BIDIRECCIONAL</v>
      </c>
      <c r="AQ85" s="1" t="str">
        <f>IFERROR(__xludf.DUMMYFUNCTION("""COMPUTED_VALUE"""),"ORGANICO")</f>
        <v>ORGANICO</v>
      </c>
      <c r="AR85" s="1" t="str">
        <f>IFERROR(__xludf.DUMMYFUNCTION("""COMPUTED_VALUE"""),"NUEVO")</f>
        <v>NUEVO</v>
      </c>
      <c r="AS85" s="1"/>
      <c r="AT85" s="2">
        <f>IFERROR(__xludf.DUMMYFUNCTION("""COMPUTED_VALUE"""),45404.0)</f>
        <v>45404</v>
      </c>
      <c r="AU85" s="1">
        <f>IFERROR(__xludf.DUMMYFUNCTION("""COMPUTED_VALUE"""),1.0)</f>
        <v>1</v>
      </c>
      <c r="AV85" s="1" t="str">
        <f>IFERROR(__xludf.DUMMYFUNCTION("""COMPUTED_VALUE"""),"NUEVO")</f>
        <v>NUEVO</v>
      </c>
      <c r="AW85" s="1" t="str">
        <f>IFERROR(__xludf.DUMMYFUNCTION("""COMPUTED_VALUE"""),"SI")</f>
        <v>SI</v>
      </c>
      <c r="AX85" s="1"/>
      <c r="AY85" s="1" t="str">
        <f>IFERROR(__xludf.DUMMYFUNCTION("""COMPUTED_VALUE"""),"PAGO COMPLETO")</f>
        <v>PAGO COMPLETO</v>
      </c>
      <c r="AZ85" s="5">
        <f>IFERROR(__xludf.DUMMYFUNCTION("""COMPUTED_VALUE"""),45530.0)</f>
        <v>45530</v>
      </c>
      <c r="BA85" s="1">
        <f>IFERROR(__xludf.DUMMYFUNCTION("""COMPUTED_VALUE"""),0.0)</f>
        <v>0</v>
      </c>
      <c r="BB85" s="1">
        <f>IFERROR(__xludf.DUMMYFUNCTION("""COMPUTED_VALUE"""),0.0)</f>
        <v>0</v>
      </c>
      <c r="BC85" s="4">
        <f>IFERROR(__xludf.DUMMYFUNCTION("""COMPUTED_VALUE"""),0.0)</f>
        <v>0</v>
      </c>
      <c r="BD85" s="4">
        <f>IFERROR(__xludf.DUMMYFUNCTION("""COMPUTED_VALUE"""),0.0)</f>
        <v>0</v>
      </c>
      <c r="BE85" s="1">
        <f>IFERROR(__xludf.DUMMYFUNCTION("""COMPUTED_VALUE"""),8.0)</f>
        <v>8</v>
      </c>
      <c r="BF85" s="6">
        <f>IFERROR(__xludf.DUMMYFUNCTION("""COMPUTED_VALUE"""),1.0)</f>
        <v>1</v>
      </c>
      <c r="BG85" s="1">
        <f>IFERROR(__xludf.DUMMYFUNCTION("""COMPUTED_VALUE"""),1.0)</f>
        <v>1</v>
      </c>
      <c r="BH85" s="1" t="str">
        <f>IFERROR(__xludf.DUMMYFUNCTION("""COMPUTED_VALUE"""),"0")</f>
        <v>0</v>
      </c>
      <c r="BI85" s="4">
        <f>IFERROR(__xludf.DUMMYFUNCTION("""COMPUTED_VALUE"""),0.0)</f>
        <v>0</v>
      </c>
      <c r="BJ85" s="1">
        <f>IFERROR(__xludf.DUMMYFUNCTION("""COMPUTED_VALUE"""),1.0)</f>
        <v>1</v>
      </c>
      <c r="BK85" s="4">
        <f>IFERROR(__xludf.DUMMYFUNCTION("""COMPUTED_VALUE"""),0.0)</f>
        <v>0</v>
      </c>
      <c r="BL85" s="1">
        <f>IFERROR(__xludf.DUMMYFUNCTION("""COMPUTED_VALUE"""),1150.0)</f>
        <v>1150</v>
      </c>
      <c r="BM85" s="1">
        <f>IFERROR(__xludf.DUMMYFUNCTION("""COMPUTED_VALUE"""),35.0)</f>
        <v>35</v>
      </c>
      <c r="BN85" s="2">
        <f>IFERROR(__xludf.DUMMYFUNCTION("""COMPUTED_VALUE"""),45530.0)</f>
        <v>45530</v>
      </c>
      <c r="BO85" s="1">
        <f>IFERROR(__xludf.DUMMYFUNCTION("""COMPUTED_VALUE"""),8.0)</f>
        <v>8</v>
      </c>
      <c r="BP85" s="1">
        <f>IFERROR(__xludf.DUMMYFUNCTION("""COMPUTED_VALUE"""),2024.0)</f>
        <v>2024</v>
      </c>
    </row>
    <row r="86">
      <c r="A86" s="1">
        <f>IFERROR(__xludf.DUMMYFUNCTION("""COMPUTED_VALUE"""),85.0)</f>
        <v>85</v>
      </c>
      <c r="B86" s="1">
        <f>IFERROR(__xludf.DUMMYFUNCTION("""COMPUTED_VALUE"""),4522942.0)</f>
        <v>4522942</v>
      </c>
      <c r="C86" s="1" t="str">
        <f>IFERROR(__xludf.DUMMYFUNCTION("""COMPUTED_VALUE"""),"2025-1")</f>
        <v>2025-1</v>
      </c>
      <c r="D86" s="1" t="str">
        <f>IFERROR(__xludf.DUMMYFUNCTION("""COMPUTED_VALUE"""),"Admisión de Alto Rendimiento")</f>
        <v>Admisión de Alto Rendimiento</v>
      </c>
      <c r="E86" s="2">
        <f>IFERROR(__xludf.DUMMYFUNCTION("""COMPUTED_VALUE"""),45533.0)</f>
        <v>45533</v>
      </c>
      <c r="F86" s="1" t="str">
        <f>IFERROR(__xludf.DUMMYFUNCTION("""COMPUTED_VALUE"""),"CARMEN FRANCESCA")</f>
        <v>CARMEN FRANCESCA</v>
      </c>
      <c r="G86" s="1" t="str">
        <f>IFERROR(__xludf.DUMMYFUNCTION("""COMPUTED_VALUE"""),"CASTAÑEDA RENGIFO")</f>
        <v>CASTAÑEDA RENGIFO</v>
      </c>
      <c r="H86" s="1" t="str">
        <f>IFERROR(__xludf.DUMMYFUNCTION("""COMPUTED_VALUE"""),"Arquitectura")</f>
        <v>Arquitectura</v>
      </c>
      <c r="I86" s="1" t="str">
        <f>IFERROR(__xludf.DUMMYFUNCTION("""COMPUTED_VALUE"""),"CARGO")</f>
        <v>CARGO</v>
      </c>
      <c r="J86" s="1" t="str">
        <f>IFERROR(__xludf.DUMMYFUNCTION("""COMPUTED_VALUE"""),"Diurno")</f>
        <v>Diurno</v>
      </c>
      <c r="K86" s="1" t="str">
        <f>IFERROR(__xludf.DUMMYFUNCTION("""COMPUTED_VALUE"""),"NUEVO")</f>
        <v>NUEVO</v>
      </c>
      <c r="L86" s="1">
        <f>IFERROR(__xludf.DUMMYFUNCTION("""COMPUTED_VALUE"""),0.0)</f>
        <v>0</v>
      </c>
      <c r="M86" s="1">
        <f>IFERROR(__xludf.DUMMYFUNCTION("""COMPUTED_VALUE"""),0.0)</f>
        <v>0</v>
      </c>
      <c r="N86" s="1" t="str">
        <f>IFERROR(__xludf.DUMMYFUNCTION("""COMPUTED_VALUE"""),"BECA")</f>
        <v>BECA</v>
      </c>
      <c r="O86" s="1" t="str">
        <f>IFERROR(__xludf.DUMMYFUNCTION("""COMPUTED_VALUE"""),"BECA CADENA COLEGIOS")</f>
        <v>BECA CADENA COLEGIOS</v>
      </c>
      <c r="P86" s="4">
        <f>IFERROR(__xludf.DUMMYFUNCTION("""COMPUTED_VALUE"""),0.0)</f>
        <v>0</v>
      </c>
      <c r="Q86" s="4">
        <f>IFERROR(__xludf.DUMMYFUNCTION("""COMPUTED_VALUE"""),0.0)</f>
        <v>0</v>
      </c>
      <c r="R86" s="4">
        <f>IFERROR(__xludf.DUMMYFUNCTION("""COMPUTED_VALUE"""),1525.0)</f>
        <v>1525</v>
      </c>
      <c r="S86" s="4">
        <f>IFERROR(__xludf.DUMMYFUNCTION("""COMPUTED_VALUE"""),1250.0)</f>
        <v>1250</v>
      </c>
      <c r="T86" s="1" t="str">
        <f>IFERROR(__xludf.DUMMYFUNCTION("""COMPUTED_VALUE"""),"NINGUNO")</f>
        <v>NINGUNO</v>
      </c>
      <c r="U86" s="1" t="str">
        <f>IFERROR(__xludf.DUMMYFUNCTION("""COMPUTED_VALUE"""),"FABIOLA")</f>
        <v>FABIOLA</v>
      </c>
      <c r="V86" s="1" t="str">
        <f>IFERROR(__xludf.DUMMYFUNCTION("""COMPUTED_VALUE"""),"Ninguno")</f>
        <v>Ninguno</v>
      </c>
      <c r="W86" s="1" t="str">
        <f>IFERROR(__xludf.DUMMYFUNCTION("""COMPUTED_VALUE"""),"Metodología de enseñanza")</f>
        <v>Metodología de enseñanza</v>
      </c>
      <c r="X86" s="1" t="str">
        <f>IFERROR(__xludf.DUMMYFUNCTION("""COMPUTED_VALUE"""),"-")</f>
        <v>-</v>
      </c>
      <c r="Y86" s="1" t="str">
        <f>IFERROR(__xludf.DUMMYFUNCTION("""COMPUTED_VALUE"""),"PAGO COMPLETO")</f>
        <v>PAGO COMPLETO</v>
      </c>
      <c r="Z86" s="1">
        <f>IFERROR(__xludf.DUMMYFUNCTION("""COMPUTED_VALUE"""),0.0)</f>
        <v>0</v>
      </c>
      <c r="AA86" s="1" t="str">
        <f>IFERROR(__xludf.DUMMYFUNCTION("""COMPUTED_VALUE"""),"-")</f>
        <v>-</v>
      </c>
      <c r="AB86" s="1">
        <f>IFERROR(__xludf.DUMMYFUNCTION("""COMPUTED_VALUE"""),0.0)</f>
        <v>0</v>
      </c>
      <c r="AC86" s="1">
        <f>IFERROR(__xludf.DUMMYFUNCTION("""COMPUTED_VALUE"""),0.0)</f>
        <v>0</v>
      </c>
      <c r="AD86" s="1" t="str">
        <f>IFERROR(__xludf.DUMMYFUNCTION("""COMPUTED_VALUE"""),"Fiorella Lanegra")</f>
        <v>Fiorella Lanegra</v>
      </c>
      <c r="AE86" s="1" t="str">
        <f>IFERROR(__xludf.DUMMYFUNCTION("""COMPUTED_VALUE"""),"0")</f>
        <v>0</v>
      </c>
      <c r="AF86" s="1">
        <f>IFERROR(__xludf.DUMMYFUNCTION("""COMPUTED_VALUE"""),2024.0)</f>
        <v>2024</v>
      </c>
      <c r="AG86" s="1">
        <f>IFERROR(__xludf.DUMMYFUNCTION("""COMPUTED_VALUE"""),1772839.0)</f>
        <v>1772839</v>
      </c>
      <c r="AH86" s="1">
        <f>IFERROR(__xludf.DUMMYFUNCTION("""COMPUTED_VALUE"""),16.0)</f>
        <v>16</v>
      </c>
      <c r="AI86" s="1" t="str">
        <f>IFERROR(__xludf.DUMMYFUNCTION("""COMPUTED_VALUE"""),"0000393017")</f>
        <v>0000393017</v>
      </c>
      <c r="AJ86" s="1">
        <f>IFERROR(__xludf.DUMMYFUNCTION("""COMPUTED_VALUE"""),6.1251034E7)</f>
        <v>61251034</v>
      </c>
      <c r="AK86" s="1">
        <f>IFERROR(__xludf.DUMMYFUNCTION("""COMPUTED_VALUE"""),9.6957037E8)</f>
        <v>969570370</v>
      </c>
      <c r="AL86" s="1" t="str">
        <f>IFERROR(__xludf.DUMMYFUNCTION("""COMPUTED_VALUE"""),"carmenfrancescacr@gmail.com")</f>
        <v>carmenfrancescacr@gmail.com</v>
      </c>
      <c r="AM86" s="1" t="str">
        <f>IFERROR(__xludf.DUMMYFUNCTION("""COMPUTED_VALUE"""),"FEMENINO")</f>
        <v>FEMENINO</v>
      </c>
      <c r="AN86" s="1">
        <f>IFERROR(__xludf.DUMMYFUNCTION("""COMPUTED_VALUE"""),1775.0)</f>
        <v>1775</v>
      </c>
      <c r="AO86" s="1">
        <f>IFERROR(__xludf.DUMMYFUNCTION("""COMPUTED_VALUE"""),577.0)</f>
        <v>577</v>
      </c>
      <c r="AP86" s="1" t="str">
        <f>IFERROR(__xludf.DUMMYFUNCTION("""COMPUTED_VALUE"""),"VISITA")</f>
        <v>VISITA</v>
      </c>
      <c r="AQ86" s="1" t="str">
        <f>IFERROR(__xludf.DUMMYFUNCTION("""COMPUTED_VALUE"""),"VISITA")</f>
        <v>VISITA</v>
      </c>
      <c r="AR86" s="1" t="str">
        <f>IFERROR(__xludf.DUMMYFUNCTION("""COMPUTED_VALUE"""),"NUEVO")</f>
        <v>NUEVO</v>
      </c>
      <c r="AS86" s="1"/>
      <c r="AT86" s="2">
        <f>IFERROR(__xludf.DUMMYFUNCTION("""COMPUTED_VALUE"""),45527.0)</f>
        <v>45527</v>
      </c>
      <c r="AU86" s="1">
        <f>IFERROR(__xludf.DUMMYFUNCTION("""COMPUTED_VALUE"""),1.0)</f>
        <v>1</v>
      </c>
      <c r="AV86" s="1" t="str">
        <f>IFERROR(__xludf.DUMMYFUNCTION("""COMPUTED_VALUE"""),"NUEVO")</f>
        <v>NUEVO</v>
      </c>
      <c r="AW86" s="1" t="str">
        <f>IFERROR(__xludf.DUMMYFUNCTION("""COMPUTED_VALUE"""),"SI")</f>
        <v>SI</v>
      </c>
      <c r="AX86" s="1"/>
      <c r="AY86" s="1" t="str">
        <f>IFERROR(__xludf.DUMMYFUNCTION("""COMPUTED_VALUE"""),"PAGO COMPLETO")</f>
        <v>PAGO COMPLETO</v>
      </c>
      <c r="AZ86" s="5">
        <f>IFERROR(__xludf.DUMMYFUNCTION("""COMPUTED_VALUE"""),45533.0)</f>
        <v>45533</v>
      </c>
      <c r="BA86" s="1">
        <f>IFERROR(__xludf.DUMMYFUNCTION("""COMPUTED_VALUE"""),0.0)</f>
        <v>0</v>
      </c>
      <c r="BB86" s="1">
        <f>IFERROR(__xludf.DUMMYFUNCTION("""COMPUTED_VALUE"""),0.0)</f>
        <v>0</v>
      </c>
      <c r="BC86" s="4">
        <f>IFERROR(__xludf.DUMMYFUNCTION("""COMPUTED_VALUE"""),0.0)</f>
        <v>0</v>
      </c>
      <c r="BD86" s="4">
        <f>IFERROR(__xludf.DUMMYFUNCTION("""COMPUTED_VALUE"""),0.0)</f>
        <v>0</v>
      </c>
      <c r="BE86" s="1">
        <f>IFERROR(__xludf.DUMMYFUNCTION("""COMPUTED_VALUE"""),8.0)</f>
        <v>8</v>
      </c>
      <c r="BF86" s="6">
        <f>IFERROR(__xludf.DUMMYFUNCTION("""COMPUTED_VALUE"""),1.0)</f>
        <v>1</v>
      </c>
      <c r="BG86" s="1">
        <f>IFERROR(__xludf.DUMMYFUNCTION("""COMPUTED_VALUE"""),1.0)</f>
        <v>1</v>
      </c>
      <c r="BH86" s="1" t="str">
        <f>IFERROR(__xludf.DUMMYFUNCTION("""COMPUTED_VALUE"""),"0")</f>
        <v>0</v>
      </c>
      <c r="BI86" s="4">
        <f>IFERROR(__xludf.DUMMYFUNCTION("""COMPUTED_VALUE"""),0.0)</f>
        <v>0</v>
      </c>
      <c r="BJ86" s="1">
        <f>IFERROR(__xludf.DUMMYFUNCTION("""COMPUTED_VALUE"""),0.0)</f>
        <v>0</v>
      </c>
      <c r="BK86" s="4">
        <f>IFERROR(__xludf.DUMMYFUNCTION("""COMPUTED_VALUE"""),0.0)</f>
        <v>0</v>
      </c>
      <c r="BL86" s="1">
        <f>IFERROR(__xludf.DUMMYFUNCTION("""COMPUTED_VALUE"""),1250.0)</f>
        <v>1250</v>
      </c>
      <c r="BM86" s="1">
        <f>IFERROR(__xludf.DUMMYFUNCTION("""COMPUTED_VALUE"""),35.0)</f>
        <v>35</v>
      </c>
      <c r="BN86" s="2">
        <f>IFERROR(__xludf.DUMMYFUNCTION("""COMPUTED_VALUE"""),45530.0)</f>
        <v>45530</v>
      </c>
      <c r="BO86" s="1">
        <f>IFERROR(__xludf.DUMMYFUNCTION("""COMPUTED_VALUE"""),8.0)</f>
        <v>8</v>
      </c>
      <c r="BP86" s="1">
        <f>IFERROR(__xludf.DUMMYFUNCTION("""COMPUTED_VALUE"""),2024.0)</f>
        <v>2024</v>
      </c>
    </row>
    <row r="87">
      <c r="A87" s="1">
        <f>IFERROR(__xludf.DUMMYFUNCTION("""COMPUTED_VALUE"""),86.0)</f>
        <v>86</v>
      </c>
      <c r="B87" s="1">
        <f>IFERROR(__xludf.DUMMYFUNCTION("""COMPUTED_VALUE"""),4534881.0)</f>
        <v>4534881</v>
      </c>
      <c r="C87" s="1" t="str">
        <f>IFERROR(__xludf.DUMMYFUNCTION("""COMPUTED_VALUE"""),"2025-1")</f>
        <v>2025-1</v>
      </c>
      <c r="D87" s="1" t="str">
        <f>IFERROR(__xludf.DUMMYFUNCTION("""COMPUTED_VALUE"""),"Admisión Ordinaria")</f>
        <v>Admisión Ordinaria</v>
      </c>
      <c r="E87" s="2">
        <f>IFERROR(__xludf.DUMMYFUNCTION("""COMPUTED_VALUE"""),45533.0)</f>
        <v>45533</v>
      </c>
      <c r="F87" s="1" t="str">
        <f>IFERROR(__xludf.DUMMYFUNCTION("""COMPUTED_VALUE"""),"KATTY ")</f>
        <v>KATTY </v>
      </c>
      <c r="G87" s="1" t="str">
        <f>IFERROR(__xludf.DUMMYFUNCTION("""COMPUTED_VALUE"""),"QUICAÑO HUAMANI")</f>
        <v>QUICAÑO HUAMANI</v>
      </c>
      <c r="H87" s="1" t="str">
        <f>IFERROR(__xludf.DUMMYFUNCTION("""COMPUTED_VALUE"""),"Administración")</f>
        <v>Administración</v>
      </c>
      <c r="I87" s="1" t="str">
        <f>IFERROR(__xludf.DUMMYFUNCTION("""COMPUTED_VALUE"""),"CARGO")</f>
        <v>CARGO</v>
      </c>
      <c r="J87" s="1" t="str">
        <f>IFERROR(__xludf.DUMMYFUNCTION("""COMPUTED_VALUE"""),"Diurno")</f>
        <v>Diurno</v>
      </c>
      <c r="K87" s="1" t="str">
        <f>IFERROR(__xludf.DUMMYFUNCTION("""COMPUTED_VALUE"""),"NUEVO")</f>
        <v>NUEVO</v>
      </c>
      <c r="L87" s="1">
        <f>IFERROR(__xludf.DUMMYFUNCTION("""COMPUTED_VALUE"""),0.0)</f>
        <v>0</v>
      </c>
      <c r="M87" s="1">
        <f>IFERROR(__xludf.DUMMYFUNCTION("""COMPUTED_VALUE"""),0.0)</f>
        <v>0</v>
      </c>
      <c r="N87" s="1" t="str">
        <f>IFERROR(__xludf.DUMMYFUNCTION("""COMPUTED_VALUE"""),"BECA")</f>
        <v>BECA</v>
      </c>
      <c r="O87" s="1" t="str">
        <f>IFERROR(__xludf.DUMMYFUNCTION("""COMPUTED_VALUE"""),"BECA CARRERAS NUEVAS")</f>
        <v>BECA CARRERAS NUEVAS</v>
      </c>
      <c r="P87" s="4">
        <f>IFERROR(__xludf.DUMMYFUNCTION("""COMPUTED_VALUE"""),0.0)</f>
        <v>0</v>
      </c>
      <c r="Q87" s="4">
        <f>IFERROR(__xludf.DUMMYFUNCTION("""COMPUTED_VALUE"""),0.0)</f>
        <v>0</v>
      </c>
      <c r="R87" s="4">
        <f>IFERROR(__xludf.DUMMYFUNCTION("""COMPUTED_VALUE"""),1525.0)</f>
        <v>1525</v>
      </c>
      <c r="S87" s="4">
        <f>IFERROR(__xludf.DUMMYFUNCTION("""COMPUTED_VALUE"""),1150.0)</f>
        <v>1150</v>
      </c>
      <c r="T87" s="1" t="str">
        <f>IFERROR(__xludf.DUMMYFUNCTION("""COMPUTED_VALUE"""),"NINGUNO")</f>
        <v>NINGUNO</v>
      </c>
      <c r="U87" s="1" t="str">
        <f>IFERROR(__xludf.DUMMYFUNCTION("""COMPUTED_VALUE"""),"FABIOLA")</f>
        <v>FABIOLA</v>
      </c>
      <c r="V87" s="1" t="str">
        <f>IFERROR(__xludf.DUMMYFUNCTION("""COMPUTED_VALUE"""),"-")</f>
        <v>-</v>
      </c>
      <c r="W87" s="1" t="str">
        <f>IFERROR(__xludf.DUMMYFUNCTION("""COMPUTED_VALUE"""),"Malla curricular")</f>
        <v>Malla curricular</v>
      </c>
      <c r="X87" s="1" t="str">
        <f>IFERROR(__xludf.DUMMYFUNCTION("""COMPUTED_VALUE"""),"-")</f>
        <v>-</v>
      </c>
      <c r="Y87" s="1" t="str">
        <f>IFERROR(__xludf.DUMMYFUNCTION("""COMPUTED_VALUE"""),"PAGO COMPLETO")</f>
        <v>PAGO COMPLETO</v>
      </c>
      <c r="Z87" s="1">
        <f>IFERROR(__xludf.DUMMYFUNCTION("""COMPUTED_VALUE"""),0.0)</f>
        <v>0</v>
      </c>
      <c r="AA87" s="1" t="str">
        <f>IFERROR(__xludf.DUMMYFUNCTION("""COMPUTED_VALUE"""),"-")</f>
        <v>-</v>
      </c>
      <c r="AB87" s="1">
        <f>IFERROR(__xludf.DUMMYFUNCTION("""COMPUTED_VALUE"""),1.0)</f>
        <v>1</v>
      </c>
      <c r="AC87" s="1">
        <f>IFERROR(__xludf.DUMMYFUNCTION("""COMPUTED_VALUE"""),0.0)</f>
        <v>0</v>
      </c>
      <c r="AD87" s="1" t="str">
        <f>IFERROR(__xludf.DUMMYFUNCTION("""COMPUTED_VALUE"""),"Stefano Napuri")</f>
        <v>Stefano Napuri</v>
      </c>
      <c r="AE87" s="1" t="str">
        <f>IFERROR(__xludf.DUMMYFUNCTION("""COMPUTED_VALUE"""),"0")</f>
        <v>0</v>
      </c>
      <c r="AF87" s="1">
        <f>IFERROR(__xludf.DUMMYFUNCTION("""COMPUTED_VALUE"""),2019.0)</f>
        <v>2019</v>
      </c>
      <c r="AG87" s="1">
        <f>IFERROR(__xludf.DUMMYFUNCTION("""COMPUTED_VALUE"""),1474832.0)</f>
        <v>1474832</v>
      </c>
      <c r="AH87" s="1">
        <f>IFERROR(__xludf.DUMMYFUNCTION("""COMPUTED_VALUE"""),22.0)</f>
        <v>22</v>
      </c>
      <c r="AI87" s="1" t="str">
        <f>IFERROR(__xludf.DUMMYFUNCTION("""COMPUTED_VALUE"""),"0000393123")</f>
        <v>0000393123</v>
      </c>
      <c r="AJ87" s="1">
        <f>IFERROR(__xludf.DUMMYFUNCTION("""COMPUTED_VALUE"""),7.717917E7)</f>
        <v>77179170</v>
      </c>
      <c r="AK87" s="1">
        <f>IFERROR(__xludf.DUMMYFUNCTION("""COMPUTED_VALUE"""),9.44345314E8)</f>
        <v>944345314</v>
      </c>
      <c r="AL87" s="1" t="str">
        <f>IFERROR(__xludf.DUMMYFUNCTION("""COMPUTED_VALUE"""),"nm7904324@gmail.com")</f>
        <v>nm7904324@gmail.com</v>
      </c>
      <c r="AM87" s="1" t="str">
        <f>IFERROR(__xludf.DUMMYFUNCTION("""COMPUTED_VALUE"""),"FEMENINO")</f>
        <v>FEMENINO</v>
      </c>
      <c r="AN87" s="1">
        <f>IFERROR(__xludf.DUMMYFUNCTION("""COMPUTED_VALUE"""),1775.0)</f>
        <v>1775</v>
      </c>
      <c r="AO87" s="1">
        <f>IFERROR(__xludf.DUMMYFUNCTION("""COMPUTED_VALUE"""),345.0)</f>
        <v>345</v>
      </c>
      <c r="AP87" s="1" t="str">
        <f>IFERROR(__xludf.DUMMYFUNCTION("""COMPUTED_VALUE"""),"OUTBOUND")</f>
        <v>OUTBOUND</v>
      </c>
      <c r="AQ87" s="1" t="str">
        <f>IFERROR(__xludf.DUMMYFUNCTION("""COMPUTED_VALUE"""),"OUTBOUND")</f>
        <v>OUTBOUND</v>
      </c>
      <c r="AR87" s="1" t="str">
        <f>IFERROR(__xludf.DUMMYFUNCTION("""COMPUTED_VALUE"""),"NUEVO")</f>
        <v>NUEVO</v>
      </c>
      <c r="AS87" s="1"/>
      <c r="AT87" s="2">
        <f>IFERROR(__xludf.DUMMYFUNCTION("""COMPUTED_VALUE"""),45533.0)</f>
        <v>45533</v>
      </c>
      <c r="AU87" s="1">
        <f>IFERROR(__xludf.DUMMYFUNCTION("""COMPUTED_VALUE"""),1.0)</f>
        <v>1</v>
      </c>
      <c r="AV87" s="1" t="str">
        <f>IFERROR(__xludf.DUMMYFUNCTION("""COMPUTED_VALUE"""),"NUEVO")</f>
        <v>NUEVO</v>
      </c>
      <c r="AW87" s="1" t="str">
        <f>IFERROR(__xludf.DUMMYFUNCTION("""COMPUTED_VALUE"""),"SI")</f>
        <v>SI</v>
      </c>
      <c r="AX87" s="1"/>
      <c r="AY87" s="1" t="str">
        <f>IFERROR(__xludf.DUMMYFUNCTION("""COMPUTED_VALUE"""),"PAGO COMPLETO")</f>
        <v>PAGO COMPLETO</v>
      </c>
      <c r="AZ87" s="5">
        <f>IFERROR(__xludf.DUMMYFUNCTION("""COMPUTED_VALUE"""),45533.0)</f>
        <v>45533</v>
      </c>
      <c r="BA87" s="1">
        <f>IFERROR(__xludf.DUMMYFUNCTION("""COMPUTED_VALUE"""),0.0)</f>
        <v>0</v>
      </c>
      <c r="BB87" s="1">
        <f>IFERROR(__xludf.DUMMYFUNCTION("""COMPUTED_VALUE"""),0.0)</f>
        <v>0</v>
      </c>
      <c r="BC87" s="4">
        <f>IFERROR(__xludf.DUMMYFUNCTION("""COMPUTED_VALUE"""),0.0)</f>
        <v>0</v>
      </c>
      <c r="BD87" s="4">
        <f>IFERROR(__xludf.DUMMYFUNCTION("""COMPUTED_VALUE"""),0.0)</f>
        <v>0</v>
      </c>
      <c r="BE87" s="1">
        <f>IFERROR(__xludf.DUMMYFUNCTION("""COMPUTED_VALUE"""),8.0)</f>
        <v>8</v>
      </c>
      <c r="BF87" s="6">
        <f>IFERROR(__xludf.DUMMYFUNCTION("""COMPUTED_VALUE"""),1.0)</f>
        <v>1</v>
      </c>
      <c r="BG87" s="1">
        <f>IFERROR(__xludf.DUMMYFUNCTION("""COMPUTED_VALUE"""),1.0)</f>
        <v>1</v>
      </c>
      <c r="BH87" s="1" t="str">
        <f>IFERROR(__xludf.DUMMYFUNCTION("""COMPUTED_VALUE"""),"0")</f>
        <v>0</v>
      </c>
      <c r="BI87" s="4">
        <f>IFERROR(__xludf.DUMMYFUNCTION("""COMPUTED_VALUE"""),0.0)</f>
        <v>0</v>
      </c>
      <c r="BJ87" s="1">
        <f>IFERROR(__xludf.DUMMYFUNCTION("""COMPUTED_VALUE"""),0.0)</f>
        <v>0</v>
      </c>
      <c r="BK87" s="4">
        <f>IFERROR(__xludf.DUMMYFUNCTION("""COMPUTED_VALUE"""),0.0)</f>
        <v>0</v>
      </c>
      <c r="BL87" s="1">
        <f>IFERROR(__xludf.DUMMYFUNCTION("""COMPUTED_VALUE"""),1150.0)</f>
        <v>1150</v>
      </c>
      <c r="BM87" s="1">
        <f>IFERROR(__xludf.DUMMYFUNCTION("""COMPUTED_VALUE"""),35.0)</f>
        <v>35</v>
      </c>
      <c r="BN87" s="2">
        <f>IFERROR(__xludf.DUMMYFUNCTION("""COMPUTED_VALUE"""),45530.0)</f>
        <v>45530</v>
      </c>
      <c r="BO87" s="1">
        <f>IFERROR(__xludf.DUMMYFUNCTION("""COMPUTED_VALUE"""),8.0)</f>
        <v>8</v>
      </c>
      <c r="BP87" s="1">
        <f>IFERROR(__xludf.DUMMYFUNCTION("""COMPUTED_VALUE"""),2024.0)</f>
        <v>2024</v>
      </c>
    </row>
    <row r="88">
      <c r="A88" s="1">
        <f>IFERROR(__xludf.DUMMYFUNCTION("""COMPUTED_VALUE"""),87.0)</f>
        <v>87</v>
      </c>
      <c r="B88" s="1">
        <f>IFERROR(__xludf.DUMMYFUNCTION("""COMPUTED_VALUE"""),3282170.0)</f>
        <v>3282170</v>
      </c>
      <c r="C88" s="1" t="str">
        <f>IFERROR(__xludf.DUMMYFUNCTION("""COMPUTED_VALUE"""),"2025-1")</f>
        <v>2025-1</v>
      </c>
      <c r="D88" s="1" t="str">
        <f>IFERROR(__xludf.DUMMYFUNCTION("""COMPUTED_VALUE"""),"Admisión de Alto Rendimiento")</f>
        <v>Admisión de Alto Rendimiento</v>
      </c>
      <c r="E88" s="2">
        <f>IFERROR(__xludf.DUMMYFUNCTION("""COMPUTED_VALUE"""),45533.0)</f>
        <v>45533</v>
      </c>
      <c r="F88" s="1" t="str">
        <f>IFERROR(__xludf.DUMMYFUNCTION("""COMPUTED_VALUE"""),"ABIGAIL JACKELINE")</f>
        <v>ABIGAIL JACKELINE</v>
      </c>
      <c r="G88" s="1" t="str">
        <f>IFERROR(__xludf.DUMMYFUNCTION("""COMPUTED_VALUE"""),"MOSCOSO PEÑAFIEL")</f>
        <v>MOSCOSO PEÑAFIEL</v>
      </c>
      <c r="H88" s="1" t="str">
        <f>IFERROR(__xludf.DUMMYFUNCTION("""COMPUTED_VALUE"""),"Comunicación Audiovisual y Cine")</f>
        <v>Comunicación Audiovisual y Cine</v>
      </c>
      <c r="I88" s="1" t="str">
        <f>IFERROR(__xludf.DUMMYFUNCTION("""COMPUTED_VALUE"""),"CARGO")</f>
        <v>CARGO</v>
      </c>
      <c r="J88" s="1" t="str">
        <f>IFERROR(__xludf.DUMMYFUNCTION("""COMPUTED_VALUE"""),"Diurno")</f>
        <v>Diurno</v>
      </c>
      <c r="K88" s="1" t="str">
        <f>IFERROR(__xludf.DUMMYFUNCTION("""COMPUTED_VALUE"""),"NUEVO")</f>
        <v>NUEVO</v>
      </c>
      <c r="L88" s="1">
        <f>IFERROR(__xludf.DUMMYFUNCTION("""COMPUTED_VALUE"""),0.0)</f>
        <v>0</v>
      </c>
      <c r="M88" s="1">
        <f>IFERROR(__xludf.DUMMYFUNCTION("""COMPUTED_VALUE"""),0.0)</f>
        <v>0</v>
      </c>
      <c r="N88" s="1" t="str">
        <f>IFERROR(__xludf.DUMMYFUNCTION("""COMPUTED_VALUE"""),"BECA")</f>
        <v>BECA</v>
      </c>
      <c r="O88" s="1" t="str">
        <f>IFERROR(__xludf.DUMMYFUNCTION("""COMPUTED_VALUE"""),"BECA CARRERAS CORE")</f>
        <v>BECA CARRERAS CORE</v>
      </c>
      <c r="P88" s="4">
        <f>IFERROR(__xludf.DUMMYFUNCTION("""COMPUTED_VALUE"""),0.0)</f>
        <v>0</v>
      </c>
      <c r="Q88" s="4">
        <f>IFERROR(__xludf.DUMMYFUNCTION("""COMPUTED_VALUE"""),475.0)</f>
        <v>475</v>
      </c>
      <c r="R88" s="4">
        <f>IFERROR(__xludf.DUMMYFUNCTION("""COMPUTED_VALUE"""),1050.0)</f>
        <v>1050</v>
      </c>
      <c r="S88" s="4">
        <f>IFERROR(__xludf.DUMMYFUNCTION("""COMPUTED_VALUE"""),900.0)</f>
        <v>900</v>
      </c>
      <c r="T88" s="1" t="str">
        <f>IFERROR(__xludf.DUMMYFUNCTION("""COMPUTED_VALUE"""),"NINGUNO")</f>
        <v>NINGUNO</v>
      </c>
      <c r="U88" s="1" t="str">
        <f>IFERROR(__xludf.DUMMYFUNCTION("""COMPUTED_VALUE"""),"FABIOLA")</f>
        <v>FABIOLA</v>
      </c>
      <c r="V88" s="1" t="str">
        <f>IFERROR(__xludf.DUMMYFUNCTION("""COMPUTED_VALUE"""),"Ninguno")</f>
        <v>Ninguno</v>
      </c>
      <c r="W88" s="1" t="str">
        <f>IFERROR(__xludf.DUMMYFUNCTION("""COMPUTED_VALUE"""),"Ubicación de sede")</f>
        <v>Ubicación de sede</v>
      </c>
      <c r="X88" s="1" t="str">
        <f>IFERROR(__xludf.DUMMYFUNCTION("""COMPUTED_VALUE"""),"pago 475 como matricula completa  beneficio colegios ")</f>
        <v>pago 475 como matricula completa  beneficio colegios </v>
      </c>
      <c r="Y88" s="1" t="str">
        <f>IFERROR(__xludf.DUMMYFUNCTION("""COMPUTED_VALUE"""),"PAGO COMPLETO")</f>
        <v>PAGO COMPLETO</v>
      </c>
      <c r="Z88" s="1">
        <f>IFERROR(__xludf.DUMMYFUNCTION("""COMPUTED_VALUE"""),0.0)</f>
        <v>0</v>
      </c>
      <c r="AA88" s="1" t="str">
        <f>IFERROR(__xludf.DUMMYFUNCTION("""COMPUTED_VALUE"""),"-")</f>
        <v>-</v>
      </c>
      <c r="AB88" s="1">
        <f>IFERROR(__xludf.DUMMYFUNCTION("""COMPUTED_VALUE"""),0.0)</f>
        <v>0</v>
      </c>
      <c r="AC88" s="1">
        <f>IFERROR(__xludf.DUMMYFUNCTION("""COMPUTED_VALUE"""),0.0)</f>
        <v>0</v>
      </c>
      <c r="AD88" s="1" t="str">
        <f>IFERROR(__xludf.DUMMYFUNCTION("""COMPUTED_VALUE"""),"Fiorella Lanegra")</f>
        <v>Fiorella Lanegra</v>
      </c>
      <c r="AE88" s="1" t="str">
        <f>IFERROR(__xludf.DUMMYFUNCTION("""COMPUTED_VALUE"""),"0")</f>
        <v>0</v>
      </c>
      <c r="AF88" s="1">
        <f>IFERROR(__xludf.DUMMYFUNCTION("""COMPUTED_VALUE"""),2024.0)</f>
        <v>2024</v>
      </c>
      <c r="AG88" s="1">
        <f>IFERROR(__xludf.DUMMYFUNCTION("""COMPUTED_VALUE"""),692434.0)</f>
        <v>692434</v>
      </c>
      <c r="AH88" s="1">
        <f>IFERROR(__xludf.DUMMYFUNCTION("""COMPUTED_VALUE"""),16.0)</f>
        <v>16</v>
      </c>
      <c r="AI88" s="1" t="str">
        <f>IFERROR(__xludf.DUMMYFUNCTION("""COMPUTED_VALUE"""),"0000393156")</f>
        <v>0000393156</v>
      </c>
      <c r="AJ88" s="1">
        <f>IFERROR(__xludf.DUMMYFUNCTION("""COMPUTED_VALUE"""),6.2025152E7)</f>
        <v>62025152</v>
      </c>
      <c r="AK88" s="1">
        <f>IFERROR(__xludf.DUMMYFUNCTION("""COMPUTED_VALUE"""),9.65274979E8)</f>
        <v>965274979</v>
      </c>
      <c r="AL88" s="1" t="str">
        <f>IFERROR(__xludf.DUMMYFUNCTION("""COMPUTED_VALUE"""),"abigailmp.27@gmail.com")</f>
        <v>abigailmp.27@gmail.com</v>
      </c>
      <c r="AM88" s="1" t="str">
        <f>IFERROR(__xludf.DUMMYFUNCTION("""COMPUTED_VALUE"""),"FEMENINO")</f>
        <v>FEMENINO</v>
      </c>
      <c r="AN88" s="1">
        <f>IFERROR(__xludf.DUMMYFUNCTION("""COMPUTED_VALUE"""),1350.0)</f>
        <v>1350</v>
      </c>
      <c r="AO88" s="1">
        <f>IFERROR(__xludf.DUMMYFUNCTION("""COMPUTED_VALUE"""),1220.0)</f>
        <v>1220</v>
      </c>
      <c r="AP88" s="1" t="str">
        <f>IFERROR(__xludf.DUMMYFUNCTION("""COMPUTED_VALUE"""),"COLEGIOS")</f>
        <v>COLEGIOS</v>
      </c>
      <c r="AQ88" s="1" t="str">
        <f>IFERROR(__xludf.DUMMYFUNCTION("""COMPUTED_VALUE"""),"COLEGIOS")</f>
        <v>COLEGIOS</v>
      </c>
      <c r="AR88" s="1" t="str">
        <f>IFERROR(__xludf.DUMMYFUNCTION("""COMPUTED_VALUE"""),"NUEVO")</f>
        <v>NUEVO</v>
      </c>
      <c r="AS88" s="1"/>
      <c r="AT88" s="2">
        <f>IFERROR(__xludf.DUMMYFUNCTION("""COMPUTED_VALUE"""),45449.0)</f>
        <v>45449</v>
      </c>
      <c r="AU88" s="1">
        <f>IFERROR(__xludf.DUMMYFUNCTION("""COMPUTED_VALUE"""),1.0)</f>
        <v>1</v>
      </c>
      <c r="AV88" s="1" t="str">
        <f>IFERROR(__xludf.DUMMYFUNCTION("""COMPUTED_VALUE"""),"NUEVO")</f>
        <v>NUEVO</v>
      </c>
      <c r="AW88" s="1" t="str">
        <f>IFERROR(__xludf.DUMMYFUNCTION("""COMPUTED_VALUE"""),"SI")</f>
        <v>SI</v>
      </c>
      <c r="AX88" s="1"/>
      <c r="AY88" s="1" t="str">
        <f>IFERROR(__xludf.DUMMYFUNCTION("""COMPUTED_VALUE"""),"PAGO COMPLETO")</f>
        <v>PAGO COMPLETO</v>
      </c>
      <c r="AZ88" s="5">
        <f>IFERROR(__xludf.DUMMYFUNCTION("""COMPUTED_VALUE"""),45533.0)</f>
        <v>45533</v>
      </c>
      <c r="BA88" s="1">
        <f>IFERROR(__xludf.DUMMYFUNCTION("""COMPUTED_VALUE"""),0.0)</f>
        <v>0</v>
      </c>
      <c r="BB88" s="1">
        <f>IFERROR(__xludf.DUMMYFUNCTION("""COMPUTED_VALUE"""),0.0)</f>
        <v>0</v>
      </c>
      <c r="BC88" s="4">
        <f>IFERROR(__xludf.DUMMYFUNCTION("""COMPUTED_VALUE"""),0.0)</f>
        <v>0</v>
      </c>
      <c r="BD88" s="4">
        <f>IFERROR(__xludf.DUMMYFUNCTION("""COMPUTED_VALUE"""),0.0)</f>
        <v>0</v>
      </c>
      <c r="BE88" s="1">
        <f>IFERROR(__xludf.DUMMYFUNCTION("""COMPUTED_VALUE"""),8.0)</f>
        <v>8</v>
      </c>
      <c r="BF88" s="6">
        <f>IFERROR(__xludf.DUMMYFUNCTION("""COMPUTED_VALUE"""),1.0)</f>
        <v>1</v>
      </c>
      <c r="BG88" s="1">
        <f>IFERROR(__xludf.DUMMYFUNCTION("""COMPUTED_VALUE"""),1.0)</f>
        <v>1</v>
      </c>
      <c r="BH88" s="1" t="str">
        <f>IFERROR(__xludf.DUMMYFUNCTION("""COMPUTED_VALUE"""),"0")</f>
        <v>0</v>
      </c>
      <c r="BI88" s="4">
        <f>IFERROR(__xludf.DUMMYFUNCTION("""COMPUTED_VALUE"""),0.0)</f>
        <v>0</v>
      </c>
      <c r="BJ88" s="1">
        <f>IFERROR(__xludf.DUMMYFUNCTION("""COMPUTED_VALUE"""),0.0)</f>
        <v>0</v>
      </c>
      <c r="BK88" s="4">
        <f>IFERROR(__xludf.DUMMYFUNCTION("""COMPUTED_VALUE"""),0.0)</f>
        <v>0</v>
      </c>
      <c r="BL88" s="1">
        <f>IFERROR(__xludf.DUMMYFUNCTION("""COMPUTED_VALUE"""),900.0)</f>
        <v>900</v>
      </c>
      <c r="BM88" s="1">
        <f>IFERROR(__xludf.DUMMYFUNCTION("""COMPUTED_VALUE"""),35.0)</f>
        <v>35</v>
      </c>
      <c r="BN88" s="2">
        <f>IFERROR(__xludf.DUMMYFUNCTION("""COMPUTED_VALUE"""),45530.0)</f>
        <v>45530</v>
      </c>
      <c r="BO88" s="1">
        <f>IFERROR(__xludf.DUMMYFUNCTION("""COMPUTED_VALUE"""),8.0)</f>
        <v>8</v>
      </c>
      <c r="BP88" s="1">
        <f>IFERROR(__xludf.DUMMYFUNCTION("""COMPUTED_VALUE"""),2024.0)</f>
        <v>2024</v>
      </c>
    </row>
    <row r="89">
      <c r="A89" s="1">
        <f>IFERROR(__xludf.DUMMYFUNCTION("""COMPUTED_VALUE"""),88.0)</f>
        <v>88</v>
      </c>
      <c r="B89" s="1">
        <f>IFERROR(__xludf.DUMMYFUNCTION("""COMPUTED_VALUE"""),3359804.0)</f>
        <v>3359804</v>
      </c>
      <c r="C89" s="1" t="str">
        <f>IFERROR(__xludf.DUMMYFUNCTION("""COMPUTED_VALUE"""),"2025-1")</f>
        <v>2025-1</v>
      </c>
      <c r="D89" s="1" t="str">
        <f>IFERROR(__xludf.DUMMYFUNCTION("""COMPUTED_VALUE"""),"Admisión Extraordinaria (Traslados)")</f>
        <v>Admisión Extraordinaria (Traslados)</v>
      </c>
      <c r="E89" s="2">
        <f>IFERROR(__xludf.DUMMYFUNCTION("""COMPUTED_VALUE"""),45533.0)</f>
        <v>45533</v>
      </c>
      <c r="F89" s="1" t="str">
        <f>IFERROR(__xludf.DUMMYFUNCTION("""COMPUTED_VALUE"""),"RUTH FELINA")</f>
        <v>RUTH FELINA</v>
      </c>
      <c r="G89" s="1" t="str">
        <f>IFERROR(__xludf.DUMMYFUNCTION("""COMPUTED_VALUE"""),"MURGA COLMENARES")</f>
        <v>MURGA COLMENARES</v>
      </c>
      <c r="H89" s="1" t="str">
        <f>IFERROR(__xludf.DUMMYFUNCTION("""COMPUTED_VALUE"""),"Diseño Gráfico Publicitario")</f>
        <v>Diseño Gráfico Publicitario</v>
      </c>
      <c r="I89" s="1" t="str">
        <f>IFERROR(__xludf.DUMMYFUNCTION("""COMPUTED_VALUE"""),"Pago Link")</f>
        <v>Pago Link</v>
      </c>
      <c r="J89" s="1" t="str">
        <f>IFERROR(__xludf.DUMMYFUNCTION("""COMPUTED_VALUE"""),"Diurno")</f>
        <v>Diurno</v>
      </c>
      <c r="K89" s="1" t="str">
        <f>IFERROR(__xludf.DUMMYFUNCTION("""COMPUTED_VALUE"""),"TRASLADO")</f>
        <v>TRASLADO</v>
      </c>
      <c r="L89" s="1">
        <f>IFERROR(__xludf.DUMMYFUNCTION("""COMPUTED_VALUE"""),1.0)</f>
        <v>1</v>
      </c>
      <c r="M89" s="1">
        <f>IFERROR(__xludf.DUMMYFUNCTION("""COMPUTED_VALUE"""),0.0)</f>
        <v>0</v>
      </c>
      <c r="N89" s="1" t="str">
        <f>IFERROR(__xludf.DUMMYFUNCTION("""COMPUTED_VALUE"""),"RECA")</f>
        <v>RECA</v>
      </c>
      <c r="O89" s="1" t="str">
        <f>IFERROR(__xludf.DUMMYFUNCTION("""COMPUTED_VALUE"""),"RECA TRASLADO CON CONVA")</f>
        <v>RECA TRASLADO CON CONVA</v>
      </c>
      <c r="P89" s="4">
        <f>IFERROR(__xludf.DUMMYFUNCTION("""COMPUTED_VALUE"""),0.0)</f>
        <v>0</v>
      </c>
      <c r="Q89" s="4">
        <f>IFERROR(__xludf.DUMMYFUNCTION("""COMPUTED_VALUE"""),0.0)</f>
        <v>0</v>
      </c>
      <c r="R89" s="4">
        <f>IFERROR(__xludf.DUMMYFUNCTION("""COMPUTED_VALUE"""),1350.0)</f>
        <v>1350</v>
      </c>
      <c r="S89" s="4">
        <f>IFERROR(__xludf.DUMMYFUNCTION("""COMPUTED_VALUE"""),900.0)</f>
        <v>900</v>
      </c>
      <c r="T89" s="1" t="str">
        <f>IFERROR(__xludf.DUMMYFUNCTION("""COMPUTED_VALUE"""),"NINGUNO")</f>
        <v>NINGUNO</v>
      </c>
      <c r="U89" s="1" t="str">
        <f>IFERROR(__xludf.DUMMYFUNCTION("""COMPUTED_VALUE"""),"FABIOLA")</f>
        <v>FABIOLA</v>
      </c>
      <c r="V89" s="1" t="str">
        <f>IFERROR(__xludf.DUMMYFUNCTION("""COMPUTED_VALUE"""),"Ninguno")</f>
        <v>Ninguno</v>
      </c>
      <c r="W89" s="1" t="str">
        <f>IFERROR(__xludf.DUMMYFUNCTION("""COMPUTED_VALUE"""),"Beca")</f>
        <v>Beca</v>
      </c>
      <c r="X89" s="1" t="str">
        <f>IFERROR(__xludf.DUMMYFUNCTION("""COMPUTED_VALUE"""),"-")</f>
        <v>-</v>
      </c>
      <c r="Y89" s="1" t="str">
        <f>IFERROR(__xludf.DUMMYFUNCTION("""COMPUTED_VALUE"""),"PAGO COMPLETO")</f>
        <v>PAGO COMPLETO</v>
      </c>
      <c r="Z89" s="1">
        <f>IFERROR(__xludf.DUMMYFUNCTION("""COMPUTED_VALUE"""),0.0)</f>
        <v>0</v>
      </c>
      <c r="AA89" s="1" t="str">
        <f>IFERROR(__xludf.DUMMYFUNCTION("""COMPUTED_VALUE"""),"-")</f>
        <v>-</v>
      </c>
      <c r="AB89" s="1">
        <f>IFERROR(__xludf.DUMMYFUNCTION("""COMPUTED_VALUE"""),0.0)</f>
        <v>0</v>
      </c>
      <c r="AC89" s="1">
        <f>IFERROR(__xludf.DUMMYFUNCTION("""COMPUTED_VALUE"""),0.0)</f>
        <v>0</v>
      </c>
      <c r="AD89" s="1" t="str">
        <f>IFERROR(__xludf.DUMMYFUNCTION("""COMPUTED_VALUE"""),"Fiorella Lanegra")</f>
        <v>Fiorella Lanegra</v>
      </c>
      <c r="AE89" s="1" t="str">
        <f>IFERROR(__xludf.DUMMYFUNCTION("""COMPUTED_VALUE"""),"Leo Desing")</f>
        <v>Leo Desing</v>
      </c>
      <c r="AF89" s="1">
        <f>IFERROR(__xludf.DUMMYFUNCTION("""COMPUTED_VALUE"""),2016.0)</f>
        <v>2016</v>
      </c>
      <c r="AG89" s="1">
        <f>IFERROR(__xludf.DUMMYFUNCTION("""COMPUTED_VALUE"""),325597.0)</f>
        <v>325597</v>
      </c>
      <c r="AH89" s="1">
        <f>IFERROR(__xludf.DUMMYFUNCTION("""COMPUTED_VALUE"""),24.0)</f>
        <v>24</v>
      </c>
      <c r="AI89" s="1" t="str">
        <f>IFERROR(__xludf.DUMMYFUNCTION("""COMPUTED_VALUE"""),"0000393254")</f>
        <v>0000393254</v>
      </c>
      <c r="AJ89" s="1">
        <f>IFERROR(__xludf.DUMMYFUNCTION("""COMPUTED_VALUE"""),7.5477153E7)</f>
        <v>75477153</v>
      </c>
      <c r="AK89" s="1">
        <f>IFERROR(__xludf.DUMMYFUNCTION("""COMPUTED_VALUE"""),9.19029615E8)</f>
        <v>919029615</v>
      </c>
      <c r="AL89" s="1" t="str">
        <f>IFERROR(__xludf.DUMMYFUNCTION("""COMPUTED_VALUE"""),"murgarut@gmail.com")</f>
        <v>murgarut@gmail.com</v>
      </c>
      <c r="AM89" s="1" t="str">
        <f>IFERROR(__xludf.DUMMYFUNCTION("""COMPUTED_VALUE"""),"FEMENINO")</f>
        <v>FEMENINO</v>
      </c>
      <c r="AN89" s="1">
        <f>IFERROR(__xludf.DUMMYFUNCTION("""COMPUTED_VALUE"""),1350.0)</f>
        <v>1350</v>
      </c>
      <c r="AO89" s="1">
        <f>IFERROR(__xludf.DUMMYFUNCTION("""COMPUTED_VALUE"""),0.0)</f>
        <v>0</v>
      </c>
      <c r="AP89" s="1" t="str">
        <f>IFERROR(__xludf.DUMMYFUNCTION("""COMPUTED_VALUE"""),"OUTBOUND")</f>
        <v>OUTBOUND</v>
      </c>
      <c r="AQ89" s="1" t="str">
        <f>IFERROR(__xludf.DUMMYFUNCTION("""COMPUTED_VALUE"""),"OUTBOUND")</f>
        <v>OUTBOUND</v>
      </c>
      <c r="AR89" s="1" t="str">
        <f>IFERROR(__xludf.DUMMYFUNCTION("""COMPUTED_VALUE"""),"NUEVO")</f>
        <v>NUEVO</v>
      </c>
      <c r="AS89" s="1"/>
      <c r="AT89" s="2">
        <f>IFERROR(__xludf.DUMMYFUNCTION("""COMPUTED_VALUE"""),45530.0)</f>
        <v>45530</v>
      </c>
      <c r="AU89" s="1">
        <f>IFERROR(__xludf.DUMMYFUNCTION("""COMPUTED_VALUE"""),1.0)</f>
        <v>1</v>
      </c>
      <c r="AV89" s="1" t="str">
        <f>IFERROR(__xludf.DUMMYFUNCTION("""COMPUTED_VALUE"""),"TRASLADO")</f>
        <v>TRASLADO</v>
      </c>
      <c r="AW89" s="1" t="str">
        <f>IFERROR(__xludf.DUMMYFUNCTION("""COMPUTED_VALUE"""),"SI")</f>
        <v>SI</v>
      </c>
      <c r="AX89" s="1"/>
      <c r="AY89" s="1" t="str">
        <f>IFERROR(__xludf.DUMMYFUNCTION("""COMPUTED_VALUE"""),"PAGO COMPLETO")</f>
        <v>PAGO COMPLETO</v>
      </c>
      <c r="AZ89" s="5">
        <f>IFERROR(__xludf.DUMMYFUNCTION("""COMPUTED_VALUE"""),45533.0)</f>
        <v>45533</v>
      </c>
      <c r="BA89" s="1">
        <f>IFERROR(__xludf.DUMMYFUNCTION("""COMPUTED_VALUE"""),0.0)</f>
        <v>0</v>
      </c>
      <c r="BB89" s="1">
        <f>IFERROR(__xludf.DUMMYFUNCTION("""COMPUTED_VALUE"""),0.0)</f>
        <v>0</v>
      </c>
      <c r="BC89" s="4">
        <f>IFERROR(__xludf.DUMMYFUNCTION("""COMPUTED_VALUE"""),0.0)</f>
        <v>0</v>
      </c>
      <c r="BD89" s="4">
        <f>IFERROR(__xludf.DUMMYFUNCTION("""COMPUTED_VALUE"""),0.0)</f>
        <v>0</v>
      </c>
      <c r="BE89" s="1">
        <f>IFERROR(__xludf.DUMMYFUNCTION("""COMPUTED_VALUE"""),8.0)</f>
        <v>8</v>
      </c>
      <c r="BF89" s="6">
        <f>IFERROR(__xludf.DUMMYFUNCTION("""COMPUTED_VALUE"""),1.0)</f>
        <v>1</v>
      </c>
      <c r="BG89" s="1">
        <f>IFERROR(__xludf.DUMMYFUNCTION("""COMPUTED_VALUE"""),1.0)</f>
        <v>1</v>
      </c>
      <c r="BH89" s="1" t="str">
        <f>IFERROR(__xludf.DUMMYFUNCTION("""COMPUTED_VALUE"""),"1")</f>
        <v>1</v>
      </c>
      <c r="BI89" s="4">
        <f>IFERROR(__xludf.DUMMYFUNCTION("""COMPUTED_VALUE"""),0.0)</f>
        <v>0</v>
      </c>
      <c r="BJ89" s="1">
        <f>IFERROR(__xludf.DUMMYFUNCTION("""COMPUTED_VALUE"""),0.0)</f>
        <v>0</v>
      </c>
      <c r="BK89" s="4">
        <f>IFERROR(__xludf.DUMMYFUNCTION("""COMPUTED_VALUE"""),0.0)</f>
        <v>0</v>
      </c>
      <c r="BL89" s="1">
        <f>IFERROR(__xludf.DUMMYFUNCTION("""COMPUTED_VALUE"""),900.0)</f>
        <v>900</v>
      </c>
      <c r="BM89" s="1">
        <f>IFERROR(__xludf.DUMMYFUNCTION("""COMPUTED_VALUE"""),35.0)</f>
        <v>35</v>
      </c>
      <c r="BN89" s="2">
        <f>IFERROR(__xludf.DUMMYFUNCTION("""COMPUTED_VALUE"""),45530.0)</f>
        <v>45530</v>
      </c>
      <c r="BO89" s="1">
        <f>IFERROR(__xludf.DUMMYFUNCTION("""COMPUTED_VALUE"""),8.0)</f>
        <v>8</v>
      </c>
      <c r="BP89" s="1">
        <f>IFERROR(__xludf.DUMMYFUNCTION("""COMPUTED_VALUE"""),2024.0)</f>
        <v>2024</v>
      </c>
    </row>
    <row r="90">
      <c r="A90" s="1">
        <f>IFERROR(__xludf.DUMMYFUNCTION("""COMPUTED_VALUE"""),89.0)</f>
        <v>89</v>
      </c>
      <c r="B90" s="1">
        <f>IFERROR(__xludf.DUMMYFUNCTION("""COMPUTED_VALUE"""),4543154.0)</f>
        <v>4543154</v>
      </c>
      <c r="C90" s="1" t="str">
        <f>IFERROR(__xludf.DUMMYFUNCTION("""COMPUTED_VALUE"""),"2025-1")</f>
        <v>2025-1</v>
      </c>
      <c r="D90" s="1" t="str">
        <f>IFERROR(__xludf.DUMMYFUNCTION("""COMPUTED_VALUE"""),"Admisión de Alto Rendimiento")</f>
        <v>Admisión de Alto Rendimiento</v>
      </c>
      <c r="E90" s="2">
        <f>IFERROR(__xludf.DUMMYFUNCTION("""COMPUTED_VALUE"""),45533.0)</f>
        <v>45533</v>
      </c>
      <c r="F90" s="1" t="str">
        <f>IFERROR(__xludf.DUMMYFUNCTION("""COMPUTED_VALUE"""),"ALEX GABRIEL")</f>
        <v>ALEX GABRIEL</v>
      </c>
      <c r="G90" s="1" t="str">
        <f>IFERROR(__xludf.DUMMYFUNCTION("""COMPUTED_VALUE"""),"GONZALES DÍAZ")</f>
        <v>GONZALES DÍAZ</v>
      </c>
      <c r="H90" s="1" t="str">
        <f>IFERROR(__xludf.DUMMYFUNCTION("""COMPUTED_VALUE"""),"Diseño Gráfico Publicitario")</f>
        <v>Diseño Gráfico Publicitario</v>
      </c>
      <c r="I90" s="1" t="str">
        <f>IFERROR(__xludf.DUMMYFUNCTION("""COMPUTED_VALUE"""),"Pago Link")</f>
        <v>Pago Link</v>
      </c>
      <c r="J90" s="1" t="str">
        <f>IFERROR(__xludf.DUMMYFUNCTION("""COMPUTED_VALUE"""),"Diurno")</f>
        <v>Diurno</v>
      </c>
      <c r="K90" s="1" t="str">
        <f>IFERROR(__xludf.DUMMYFUNCTION("""COMPUTED_VALUE"""),"NUEVO")</f>
        <v>NUEVO</v>
      </c>
      <c r="L90" s="1">
        <f>IFERROR(__xludf.DUMMYFUNCTION("""COMPUTED_VALUE"""),0.0)</f>
        <v>0</v>
      </c>
      <c r="M90" s="1">
        <f>IFERROR(__xludf.DUMMYFUNCTION("""COMPUTED_VALUE"""),0.0)</f>
        <v>0</v>
      </c>
      <c r="N90" s="1" t="str">
        <f>IFERROR(__xludf.DUMMYFUNCTION("""COMPUTED_VALUE"""),"RECA-BECA")</f>
        <v>RECA-BECA</v>
      </c>
      <c r="O90" s="1" t="str">
        <f>IFERROR(__xludf.DUMMYFUNCTION("""COMPUTED_VALUE"""),"BECA CARRERAS CORE")</f>
        <v>BECA CARRERAS CORE</v>
      </c>
      <c r="P90" s="4">
        <f>IFERROR(__xludf.DUMMYFUNCTION("""COMPUTED_VALUE"""),0.0)</f>
        <v>0</v>
      </c>
      <c r="Q90" s="4">
        <f>IFERROR(__xludf.DUMMYFUNCTION("""COMPUTED_VALUE"""),0.0)</f>
        <v>0</v>
      </c>
      <c r="R90" s="4">
        <f>IFERROR(__xludf.DUMMYFUNCTION("""COMPUTED_VALUE"""),1600.0)</f>
        <v>1600</v>
      </c>
      <c r="S90" s="4">
        <f>IFERROR(__xludf.DUMMYFUNCTION("""COMPUTED_VALUE"""),1300.0)</f>
        <v>1300</v>
      </c>
      <c r="T90" s="1" t="str">
        <f>IFERROR(__xludf.DUMMYFUNCTION("""COMPUTED_VALUE"""),"NINGUNO")</f>
        <v>NINGUNO</v>
      </c>
      <c r="U90" s="1" t="str">
        <f>IFERROR(__xludf.DUMMYFUNCTION("""COMPUTED_VALUE"""),"FABIOLA")</f>
        <v>FABIOLA</v>
      </c>
      <c r="V90" s="1" t="str">
        <f>IFERROR(__xludf.DUMMYFUNCTION("""COMPUTED_VALUE"""),"Ninguno")</f>
        <v>Ninguno</v>
      </c>
      <c r="W90" s="1" t="str">
        <f>IFERROR(__xludf.DUMMYFUNCTION("""COMPUTED_VALUE"""),"Malla curricular")</f>
        <v>Malla curricular</v>
      </c>
      <c r="X90" s="1" t="str">
        <f>IFERROR(__xludf.DUMMYFUNCTION("""COMPUTED_VALUE"""),"-")</f>
        <v>-</v>
      </c>
      <c r="Y90" s="1" t="str">
        <f>IFERROR(__xludf.DUMMYFUNCTION("""COMPUTED_VALUE"""),"PAGO COMPLETO")</f>
        <v>PAGO COMPLETO</v>
      </c>
      <c r="Z90" s="1">
        <f>IFERROR(__xludf.DUMMYFUNCTION("""COMPUTED_VALUE"""),0.0)</f>
        <v>0</v>
      </c>
      <c r="AA90" s="1" t="str">
        <f>IFERROR(__xludf.DUMMYFUNCTION("""COMPUTED_VALUE"""),"-")</f>
        <v>-</v>
      </c>
      <c r="AB90" s="1">
        <f>IFERROR(__xludf.DUMMYFUNCTION("""COMPUTED_VALUE"""),0.0)</f>
        <v>0</v>
      </c>
      <c r="AC90" s="1">
        <f>IFERROR(__xludf.DUMMYFUNCTION("""COMPUTED_VALUE"""),0.0)</f>
        <v>0</v>
      </c>
      <c r="AD90" s="1" t="str">
        <f>IFERROR(__xludf.DUMMYFUNCTION("""COMPUTED_VALUE"""),"Fiorella Lanegra")</f>
        <v>Fiorella Lanegra</v>
      </c>
      <c r="AE90" s="1" t="str">
        <f>IFERROR(__xludf.DUMMYFUNCTION("""COMPUTED_VALUE"""),"0")</f>
        <v>0</v>
      </c>
      <c r="AF90" s="1">
        <f>IFERROR(__xludf.DUMMYFUNCTION("""COMPUTED_VALUE"""),2024.0)</f>
        <v>2024</v>
      </c>
      <c r="AG90" s="1">
        <f>IFERROR(__xludf.DUMMYFUNCTION("""COMPUTED_VALUE"""),1170364.0)</f>
        <v>1170364</v>
      </c>
      <c r="AH90" s="1">
        <f>IFERROR(__xludf.DUMMYFUNCTION("""COMPUTED_VALUE"""),17.0)</f>
        <v>17</v>
      </c>
      <c r="AI90" s="1" t="str">
        <f>IFERROR(__xludf.DUMMYFUNCTION("""COMPUTED_VALUE"""),"0000061299")</f>
        <v>0000061299</v>
      </c>
      <c r="AJ90" s="1">
        <f>IFERROR(__xludf.DUMMYFUNCTION("""COMPUTED_VALUE"""),6.1251494E7)</f>
        <v>61251494</v>
      </c>
      <c r="AK90" s="1">
        <f>IFERROR(__xludf.DUMMYFUNCTION("""COMPUTED_VALUE"""),9.60465333E8)</f>
        <v>960465333</v>
      </c>
      <c r="AL90" s="1" t="str">
        <f>IFERROR(__xludf.DUMMYFUNCTION("""COMPUTED_VALUE"""),"alexscorpion2099@gmail.com")</f>
        <v>alexscorpion2099@gmail.com</v>
      </c>
      <c r="AM90" s="1" t="str">
        <f>IFERROR(__xludf.DUMMYFUNCTION("""COMPUTED_VALUE"""),"MASCULINO")</f>
        <v>MASCULINO</v>
      </c>
      <c r="AN90" s="1">
        <f>IFERROR(__xludf.DUMMYFUNCTION("""COMPUTED_VALUE"""),1850.0)</f>
        <v>1850</v>
      </c>
      <c r="AO90" s="1">
        <f>IFERROR(__xludf.DUMMYFUNCTION("""COMPUTED_VALUE"""),575.0)</f>
        <v>575</v>
      </c>
      <c r="AP90" s="1" t="str">
        <f>IFERROR(__xludf.DUMMYFUNCTION("""COMPUTED_VALUE"""),"FORMULARIO")</f>
        <v>FORMULARIO</v>
      </c>
      <c r="AQ90" s="1" t="str">
        <f>IFERROR(__xludf.DUMMYFUNCTION("""COMPUTED_VALUE"""),"SEARCH MARCA")</f>
        <v>SEARCH MARCA</v>
      </c>
      <c r="AR90" s="1" t="str">
        <f>IFERROR(__xludf.DUMMYFUNCTION("""COMPUTED_VALUE"""),"NUEVO")</f>
        <v>NUEVO</v>
      </c>
      <c r="AS90" s="1" t="str">
        <f>IFERROR(__xludf.DUMMYFUNCTION("""COMPUTED_VALUE"""),"ucal-pg-performance-sedes-abierta-cpl-search_conversion_marca-20240401")</f>
        <v>ucal-pg-performance-sedes-abierta-cpl-search_conversion_marca-20240401</v>
      </c>
      <c r="AT90" s="2">
        <f>IFERROR(__xludf.DUMMYFUNCTION("""COMPUTED_VALUE"""),45533.0)</f>
        <v>45533</v>
      </c>
      <c r="AU90" s="1">
        <f>IFERROR(__xludf.DUMMYFUNCTION("""COMPUTED_VALUE"""),1.0)</f>
        <v>1</v>
      </c>
      <c r="AV90" s="1" t="str">
        <f>IFERROR(__xludf.DUMMYFUNCTION("""COMPUTED_VALUE"""),"NUEVO")</f>
        <v>NUEVO</v>
      </c>
      <c r="AW90" s="1" t="str">
        <f>IFERROR(__xludf.DUMMYFUNCTION("""COMPUTED_VALUE"""),"SI")</f>
        <v>SI</v>
      </c>
      <c r="AX90" s="1"/>
      <c r="AY90" s="1" t="str">
        <f>IFERROR(__xludf.DUMMYFUNCTION("""COMPUTED_VALUE"""),"PAGO COMPLETO")</f>
        <v>PAGO COMPLETO</v>
      </c>
      <c r="AZ90" s="5">
        <f>IFERROR(__xludf.DUMMYFUNCTION("""COMPUTED_VALUE"""),45533.0)</f>
        <v>45533</v>
      </c>
      <c r="BA90" s="1">
        <f>IFERROR(__xludf.DUMMYFUNCTION("""COMPUTED_VALUE"""),0.0)</f>
        <v>0</v>
      </c>
      <c r="BB90" s="1">
        <f>IFERROR(__xludf.DUMMYFUNCTION("""COMPUTED_VALUE"""),0.0)</f>
        <v>0</v>
      </c>
      <c r="BC90" s="4">
        <f>IFERROR(__xludf.DUMMYFUNCTION("""COMPUTED_VALUE"""),0.0)</f>
        <v>0</v>
      </c>
      <c r="BD90" s="4">
        <f>IFERROR(__xludf.DUMMYFUNCTION("""COMPUTED_VALUE"""),0.0)</f>
        <v>0</v>
      </c>
      <c r="BE90" s="1">
        <f>IFERROR(__xludf.DUMMYFUNCTION("""COMPUTED_VALUE"""),8.0)</f>
        <v>8</v>
      </c>
      <c r="BF90" s="6">
        <f>IFERROR(__xludf.DUMMYFUNCTION("""COMPUTED_VALUE"""),1.0)</f>
        <v>1</v>
      </c>
      <c r="BG90" s="1">
        <f>IFERROR(__xludf.DUMMYFUNCTION("""COMPUTED_VALUE"""),1.0)</f>
        <v>1</v>
      </c>
      <c r="BH90" s="1" t="str">
        <f>IFERROR(__xludf.DUMMYFUNCTION("""COMPUTED_VALUE"""),"0")</f>
        <v>0</v>
      </c>
      <c r="BI90" s="4">
        <f>IFERROR(__xludf.DUMMYFUNCTION("""COMPUTED_VALUE"""),0.0)</f>
        <v>0</v>
      </c>
      <c r="BJ90" s="1">
        <f>IFERROR(__xludf.DUMMYFUNCTION("""COMPUTED_VALUE"""),0.0)</f>
        <v>0</v>
      </c>
      <c r="BK90" s="4">
        <f>IFERROR(__xludf.DUMMYFUNCTION("""COMPUTED_VALUE"""),0.0)</f>
        <v>0</v>
      </c>
      <c r="BL90" s="1">
        <f>IFERROR(__xludf.DUMMYFUNCTION("""COMPUTED_VALUE"""),1300.0)</f>
        <v>1300</v>
      </c>
      <c r="BM90" s="1">
        <f>IFERROR(__xludf.DUMMYFUNCTION("""COMPUTED_VALUE"""),35.0)</f>
        <v>35</v>
      </c>
      <c r="BN90" s="2">
        <f>IFERROR(__xludf.DUMMYFUNCTION("""COMPUTED_VALUE"""),45530.0)</f>
        <v>45530</v>
      </c>
      <c r="BO90" s="1">
        <f>IFERROR(__xludf.DUMMYFUNCTION("""COMPUTED_VALUE"""),8.0)</f>
        <v>8</v>
      </c>
      <c r="BP90" s="1">
        <f>IFERROR(__xludf.DUMMYFUNCTION("""COMPUTED_VALUE"""),2024.0)</f>
        <v>2024</v>
      </c>
    </row>
    <row r="91">
      <c r="A91" s="1">
        <f>IFERROR(__xludf.DUMMYFUNCTION("""COMPUTED_VALUE"""),90.0)</f>
        <v>90</v>
      </c>
      <c r="B91" s="1">
        <f>IFERROR(__xludf.DUMMYFUNCTION("""COMPUTED_VALUE"""),1553040.0)</f>
        <v>1553040</v>
      </c>
      <c r="C91" s="1" t="str">
        <f>IFERROR(__xludf.DUMMYFUNCTION("""COMPUTED_VALUE"""),"2025-1")</f>
        <v>2025-1</v>
      </c>
      <c r="D91" s="1" t="str">
        <f>IFERROR(__xludf.DUMMYFUNCTION("""COMPUTED_VALUE"""),"Admisión de Alto Rendimiento")</f>
        <v>Admisión de Alto Rendimiento</v>
      </c>
      <c r="E91" s="2">
        <f>IFERROR(__xludf.DUMMYFUNCTION("""COMPUTED_VALUE"""),45535.0)</f>
        <v>45535</v>
      </c>
      <c r="F91" s="1" t="str">
        <f>IFERROR(__xludf.DUMMYFUNCTION("""COMPUTED_VALUE""")," MACARENA LUCIANA ")</f>
        <v> MACARENA LUCIANA </v>
      </c>
      <c r="G91" s="1" t="str">
        <f>IFERROR(__xludf.DUMMYFUNCTION("""COMPUTED_VALUE"""),"MUÑOZ BAELLA")</f>
        <v>MUÑOZ BAELLA</v>
      </c>
      <c r="H91" s="1" t="str">
        <f>IFERROR(__xludf.DUMMYFUNCTION("""COMPUTED_VALUE"""),"Comunicación Audiovisual y Cine")</f>
        <v>Comunicación Audiovisual y Cine</v>
      </c>
      <c r="I91" s="1" t="str">
        <f>IFERROR(__xludf.DUMMYFUNCTION("""COMPUTED_VALUE"""),"CARGO")</f>
        <v>CARGO</v>
      </c>
      <c r="J91" s="1" t="str">
        <f>IFERROR(__xludf.DUMMYFUNCTION("""COMPUTED_VALUE"""),"Diurno")</f>
        <v>Diurno</v>
      </c>
      <c r="K91" s="1" t="str">
        <f>IFERROR(__xludf.DUMMYFUNCTION("""COMPUTED_VALUE"""),"NUEVO")</f>
        <v>NUEVO</v>
      </c>
      <c r="L91" s="1">
        <f>IFERROR(__xludf.DUMMYFUNCTION("""COMPUTED_VALUE"""),0.0)</f>
        <v>0</v>
      </c>
      <c r="M91" s="1">
        <f>IFERROR(__xludf.DUMMYFUNCTION("""COMPUTED_VALUE"""),0.0)</f>
        <v>0</v>
      </c>
      <c r="N91" s="1" t="str">
        <f>IFERROR(__xludf.DUMMYFUNCTION("""COMPUTED_VALUE"""),"BECA")</f>
        <v>BECA</v>
      </c>
      <c r="O91" s="1" t="str">
        <f>IFERROR(__xludf.DUMMYFUNCTION("""COMPUTED_VALUE"""),"BECA CARRERAS CORE")</f>
        <v>BECA CARRERAS CORE</v>
      </c>
      <c r="P91" s="4">
        <f>IFERROR(__xludf.DUMMYFUNCTION("""COMPUTED_VALUE"""),0.0)</f>
        <v>0</v>
      </c>
      <c r="Q91" s="4">
        <f>IFERROR(__xludf.DUMMYFUNCTION("""COMPUTED_VALUE"""),0.0)</f>
        <v>0</v>
      </c>
      <c r="R91" s="4">
        <f>IFERROR(__xludf.DUMMYFUNCTION("""COMPUTED_VALUE"""),1350.0)</f>
        <v>1350</v>
      </c>
      <c r="S91" s="4">
        <f>IFERROR(__xludf.DUMMYFUNCTION("""COMPUTED_VALUE"""),1075.0)</f>
        <v>1075</v>
      </c>
      <c r="T91" s="1" t="str">
        <f>IFERROR(__xludf.DUMMYFUNCTION("""COMPUTED_VALUE"""),"NINGUNO")</f>
        <v>NINGUNO</v>
      </c>
      <c r="U91" s="1" t="str">
        <f>IFERROR(__xludf.DUMMYFUNCTION("""COMPUTED_VALUE"""),"FABIOLA")</f>
        <v>FABIOLA</v>
      </c>
      <c r="V91" s="1" t="str">
        <f>IFERROR(__xludf.DUMMYFUNCTION("""COMPUTED_VALUE"""),"-")</f>
        <v>-</v>
      </c>
      <c r="W91" s="1" t="str">
        <f>IFERROR(__xludf.DUMMYFUNCTION("""COMPUTED_VALUE"""),"Malla curricular")</f>
        <v>Malla curricular</v>
      </c>
      <c r="X91" s="1" t="str">
        <f>IFERROR(__xludf.DUMMYFUNCTION("""COMPUTED_VALUE"""),"-")</f>
        <v>-</v>
      </c>
      <c r="Y91" s="1" t="str">
        <f>IFERROR(__xludf.DUMMYFUNCTION("""COMPUTED_VALUE"""),"PAGO COMPLETO")</f>
        <v>PAGO COMPLETO</v>
      </c>
      <c r="Z91" s="1">
        <f>IFERROR(__xludf.DUMMYFUNCTION("""COMPUTED_VALUE"""),0.0)</f>
        <v>0</v>
      </c>
      <c r="AA91" s="1" t="str">
        <f>IFERROR(__xludf.DUMMYFUNCTION("""COMPUTED_VALUE"""),"-")</f>
        <v>-</v>
      </c>
      <c r="AB91" s="1">
        <f>IFERROR(__xludf.DUMMYFUNCTION("""COMPUTED_VALUE"""),1.0)</f>
        <v>1</v>
      </c>
      <c r="AC91" s="1">
        <f>IFERROR(__xludf.DUMMYFUNCTION("""COMPUTED_VALUE"""),0.0)</f>
        <v>0</v>
      </c>
      <c r="AD91" s="1" t="str">
        <f>IFERROR(__xludf.DUMMYFUNCTION("""COMPUTED_VALUE"""),"Stefano Napuri")</f>
        <v>Stefano Napuri</v>
      </c>
      <c r="AE91" s="1" t="str">
        <f>IFERROR(__xludf.DUMMYFUNCTION("""COMPUTED_VALUE"""),"0")</f>
        <v>0</v>
      </c>
      <c r="AF91" s="1">
        <f>IFERROR(__xludf.DUMMYFUNCTION("""COMPUTED_VALUE"""),2024.0)</f>
        <v>2024</v>
      </c>
      <c r="AG91" s="1">
        <f>IFERROR(__xludf.DUMMYFUNCTION("""COMPUTED_VALUE"""),449496.0)</f>
        <v>449496</v>
      </c>
      <c r="AH91" s="1">
        <f>IFERROR(__xludf.DUMMYFUNCTION("""COMPUTED_VALUE"""),17.0)</f>
        <v>17</v>
      </c>
      <c r="AI91" s="1" t="str">
        <f>IFERROR(__xludf.DUMMYFUNCTION("""COMPUTED_VALUE"""),"0000393442")</f>
        <v>0000393442</v>
      </c>
      <c r="AJ91" s="1">
        <f>IFERROR(__xludf.DUMMYFUNCTION("""COMPUTED_VALUE"""),7.1143423E7)</f>
        <v>71143423</v>
      </c>
      <c r="AK91" s="1">
        <f>IFERROR(__xludf.DUMMYFUNCTION("""COMPUTED_VALUE"""),9.34295298E8)</f>
        <v>934295298</v>
      </c>
      <c r="AL91" s="1" t="str">
        <f>IFERROR(__xludf.DUMMYFUNCTION("""COMPUTED_VALUE"""),"Malubae01@gmail.com")</f>
        <v>Malubae01@gmail.com</v>
      </c>
      <c r="AM91" s="1" t="str">
        <f>IFERROR(__xludf.DUMMYFUNCTION("""COMPUTED_VALUE"""),"FEMENINO")</f>
        <v>FEMENINO</v>
      </c>
      <c r="AN91" s="1">
        <f>IFERROR(__xludf.DUMMYFUNCTION("""COMPUTED_VALUE"""),1775.0)</f>
        <v>1775</v>
      </c>
      <c r="AO91" s="1">
        <f>IFERROR(__xludf.DUMMYFUNCTION("""COMPUTED_VALUE"""),410.0)</f>
        <v>410</v>
      </c>
      <c r="AP91" s="1" t="str">
        <f>IFERROR(__xludf.DUMMYFUNCTION("""COMPUTED_VALUE"""),"COLEGIOS")</f>
        <v>COLEGIOS</v>
      </c>
      <c r="AQ91" s="1" t="str">
        <f>IFERROR(__xludf.DUMMYFUNCTION("""COMPUTED_VALUE"""),"COLEGIOS")</f>
        <v>COLEGIOS</v>
      </c>
      <c r="AR91" s="1" t="str">
        <f>IFERROR(__xludf.DUMMYFUNCTION("""COMPUTED_VALUE"""),"NUEVO")</f>
        <v>NUEVO</v>
      </c>
      <c r="AS91" s="1"/>
      <c r="AT91" s="2">
        <f>IFERROR(__xludf.DUMMYFUNCTION("""COMPUTED_VALUE"""),45436.0)</f>
        <v>45436</v>
      </c>
      <c r="AU91" s="1">
        <f>IFERROR(__xludf.DUMMYFUNCTION("""COMPUTED_VALUE"""),1.0)</f>
        <v>1</v>
      </c>
      <c r="AV91" s="1" t="str">
        <f>IFERROR(__xludf.DUMMYFUNCTION("""COMPUTED_VALUE"""),"NUEVO")</f>
        <v>NUEVO</v>
      </c>
      <c r="AW91" s="1" t="str">
        <f>IFERROR(__xludf.DUMMYFUNCTION("""COMPUTED_VALUE"""),"SI")</f>
        <v>SI</v>
      </c>
      <c r="AX91" s="1"/>
      <c r="AY91" s="1" t="str">
        <f>IFERROR(__xludf.DUMMYFUNCTION("""COMPUTED_VALUE"""),"PAGO COMPLETO")</f>
        <v>PAGO COMPLETO</v>
      </c>
      <c r="AZ91" s="5">
        <f>IFERROR(__xludf.DUMMYFUNCTION("""COMPUTED_VALUE"""),45535.0)</f>
        <v>45535</v>
      </c>
      <c r="BA91" s="1">
        <f>IFERROR(__xludf.DUMMYFUNCTION("""COMPUTED_VALUE"""),0.0)</f>
        <v>0</v>
      </c>
      <c r="BB91" s="1">
        <f>IFERROR(__xludf.DUMMYFUNCTION("""COMPUTED_VALUE"""),0.0)</f>
        <v>0</v>
      </c>
      <c r="BC91" s="4">
        <f>IFERROR(__xludf.DUMMYFUNCTION("""COMPUTED_VALUE"""),0.0)</f>
        <v>0</v>
      </c>
      <c r="BD91" s="4">
        <f>IFERROR(__xludf.DUMMYFUNCTION("""COMPUTED_VALUE"""),0.0)</f>
        <v>0</v>
      </c>
      <c r="BE91" s="1">
        <f>IFERROR(__xludf.DUMMYFUNCTION("""COMPUTED_VALUE"""),8.0)</f>
        <v>8</v>
      </c>
      <c r="BF91" s="6">
        <f>IFERROR(__xludf.DUMMYFUNCTION("""COMPUTED_VALUE"""),1.0)</f>
        <v>1</v>
      </c>
      <c r="BG91" s="1">
        <f>IFERROR(__xludf.DUMMYFUNCTION("""COMPUTED_VALUE"""),1.0)</f>
        <v>1</v>
      </c>
      <c r="BH91" s="1" t="str">
        <f>IFERROR(__xludf.DUMMYFUNCTION("""COMPUTED_VALUE"""),"0")</f>
        <v>0</v>
      </c>
      <c r="BI91" s="4">
        <f>IFERROR(__xludf.DUMMYFUNCTION("""COMPUTED_VALUE"""),0.0)</f>
        <v>0</v>
      </c>
      <c r="BJ91" s="1">
        <f>IFERROR(__xludf.DUMMYFUNCTION("""COMPUTED_VALUE"""),0.0)</f>
        <v>0</v>
      </c>
      <c r="BK91" s="4">
        <f>IFERROR(__xludf.DUMMYFUNCTION("""COMPUTED_VALUE"""),0.0)</f>
        <v>0</v>
      </c>
      <c r="BL91" s="1">
        <f>IFERROR(__xludf.DUMMYFUNCTION("""COMPUTED_VALUE"""),1075.0)</f>
        <v>1075</v>
      </c>
      <c r="BM91" s="1">
        <f>IFERROR(__xludf.DUMMYFUNCTION("""COMPUTED_VALUE"""),35.0)</f>
        <v>35</v>
      </c>
      <c r="BN91" s="2">
        <f>IFERROR(__xludf.DUMMYFUNCTION("""COMPUTED_VALUE"""),45530.0)</f>
        <v>45530</v>
      </c>
      <c r="BO91" s="1">
        <f>IFERROR(__xludf.DUMMYFUNCTION("""COMPUTED_VALUE"""),8.0)</f>
        <v>8</v>
      </c>
      <c r="BP91" s="1">
        <f>IFERROR(__xludf.DUMMYFUNCTION("""COMPUTED_VALUE"""),2024.0)</f>
        <v>2024</v>
      </c>
    </row>
    <row r="92">
      <c r="A92" s="1">
        <f>IFERROR(__xludf.DUMMYFUNCTION("""COMPUTED_VALUE"""),91.0)</f>
        <v>91</v>
      </c>
      <c r="B92" s="1">
        <f>IFERROR(__xludf.DUMMYFUNCTION("""COMPUTED_VALUE"""),3282035.0)</f>
        <v>3282035</v>
      </c>
      <c r="C92" s="1" t="str">
        <f>IFERROR(__xludf.DUMMYFUNCTION("""COMPUTED_VALUE"""),"2025-1")</f>
        <v>2025-1</v>
      </c>
      <c r="D92" s="1" t="str">
        <f>IFERROR(__xludf.DUMMYFUNCTION("""COMPUTED_VALUE"""),"Admisión de Alto Rendimiento")</f>
        <v>Admisión de Alto Rendimiento</v>
      </c>
      <c r="E92" s="2">
        <f>IFERROR(__xludf.DUMMYFUNCTION("""COMPUTED_VALUE"""),45535.0)</f>
        <v>45535</v>
      </c>
      <c r="F92" s="1" t="str">
        <f>IFERROR(__xludf.DUMMYFUNCTION("""COMPUTED_VALUE"""),"MIGUEL ALEJANDRO ")</f>
        <v>MIGUEL ALEJANDRO </v>
      </c>
      <c r="G92" s="1" t="str">
        <f>IFERROR(__xludf.DUMMYFUNCTION("""COMPUTED_VALUE"""),"TORIBIO MASIAS")</f>
        <v>TORIBIO MASIAS</v>
      </c>
      <c r="H92" s="1" t="str">
        <f>IFERROR(__xludf.DUMMYFUNCTION("""COMPUTED_VALUE"""),"Comunicación Audiovisual y Cine")</f>
        <v>Comunicación Audiovisual y Cine</v>
      </c>
      <c r="I92" s="1" t="str">
        <f>IFERROR(__xludf.DUMMYFUNCTION("""COMPUTED_VALUE"""),"Pago Link")</f>
        <v>Pago Link</v>
      </c>
      <c r="J92" s="1" t="str">
        <f>IFERROR(__xludf.DUMMYFUNCTION("""COMPUTED_VALUE"""),"Diurno")</f>
        <v>Diurno</v>
      </c>
      <c r="K92" s="1" t="str">
        <f>IFERROR(__xludf.DUMMYFUNCTION("""COMPUTED_VALUE"""),"NUEVO")</f>
        <v>NUEVO</v>
      </c>
      <c r="L92" s="1">
        <f>IFERROR(__xludf.DUMMYFUNCTION("""COMPUTED_VALUE"""),0.0)</f>
        <v>0</v>
      </c>
      <c r="M92" s="1">
        <f>IFERROR(__xludf.DUMMYFUNCTION("""COMPUTED_VALUE"""),0.0)</f>
        <v>0</v>
      </c>
      <c r="N92" s="1" t="str">
        <f>IFERROR(__xludf.DUMMYFUNCTION("""COMPUTED_VALUE"""),"BECA")</f>
        <v>BECA</v>
      </c>
      <c r="O92" s="1" t="str">
        <f>IFERROR(__xludf.DUMMYFUNCTION("""COMPUTED_VALUE"""),"BECA CADENA COLEGIOS")</f>
        <v>BECA CADENA COLEGIOS</v>
      </c>
      <c r="P92" s="4">
        <f>IFERROR(__xludf.DUMMYFUNCTION("""COMPUTED_VALUE"""),0.0)</f>
        <v>0</v>
      </c>
      <c r="Q92" s="4">
        <f>IFERROR(__xludf.DUMMYFUNCTION("""COMPUTED_VALUE"""),0.0)</f>
        <v>0</v>
      </c>
      <c r="R92" s="4">
        <f>IFERROR(__xludf.DUMMYFUNCTION("""COMPUTED_VALUE"""),1775.0)</f>
        <v>1775</v>
      </c>
      <c r="S92" s="4">
        <f>IFERROR(__xludf.DUMMYFUNCTION("""COMPUTED_VALUE"""),1400.0)</f>
        <v>1400</v>
      </c>
      <c r="T92" s="1" t="str">
        <f>IFERROR(__xludf.DUMMYFUNCTION("""COMPUTED_VALUE"""),"NINGUNO")</f>
        <v>NINGUNO</v>
      </c>
      <c r="U92" s="1" t="str">
        <f>IFERROR(__xludf.DUMMYFUNCTION("""COMPUTED_VALUE"""),"FABIOLA")</f>
        <v>FABIOLA</v>
      </c>
      <c r="V92" s="1" t="str">
        <f>IFERROR(__xludf.DUMMYFUNCTION("""COMPUTED_VALUE"""),"Ninguno")</f>
        <v>Ninguno</v>
      </c>
      <c r="W92" s="1" t="str">
        <f>IFERROR(__xludf.DUMMYFUNCTION("""COMPUTED_VALUE"""),"Malla curricular")</f>
        <v>Malla curricular</v>
      </c>
      <c r="X92" s="1" t="str">
        <f>IFERROR(__xludf.DUMMYFUNCTION("""COMPUTED_VALUE"""),"-")</f>
        <v>-</v>
      </c>
      <c r="Y92" s="1" t="str">
        <f>IFERROR(__xludf.DUMMYFUNCTION("""COMPUTED_VALUE"""),"PAGO COMPLETO")</f>
        <v>PAGO COMPLETO</v>
      </c>
      <c r="Z92" s="1">
        <f>IFERROR(__xludf.DUMMYFUNCTION("""COMPUTED_VALUE"""),0.0)</f>
        <v>0</v>
      </c>
      <c r="AA92" s="1" t="str">
        <f>IFERROR(__xludf.DUMMYFUNCTION("""COMPUTED_VALUE"""),"-")</f>
        <v>-</v>
      </c>
      <c r="AB92" s="1">
        <f>IFERROR(__xludf.DUMMYFUNCTION("""COMPUTED_VALUE"""),0.0)</f>
        <v>0</v>
      </c>
      <c r="AC92" s="1">
        <f>IFERROR(__xludf.DUMMYFUNCTION("""COMPUTED_VALUE"""),0.0)</f>
        <v>0</v>
      </c>
      <c r="AD92" s="1" t="str">
        <f>IFERROR(__xludf.DUMMYFUNCTION("""COMPUTED_VALUE"""),"Fiorella Lanegra")</f>
        <v>Fiorella Lanegra</v>
      </c>
      <c r="AE92" s="1" t="str">
        <f>IFERROR(__xludf.DUMMYFUNCTION("""COMPUTED_VALUE"""),"0")</f>
        <v>0</v>
      </c>
      <c r="AF92" s="1">
        <f>IFERROR(__xludf.DUMMYFUNCTION("""COMPUTED_VALUE"""),2024.0)</f>
        <v>2024</v>
      </c>
      <c r="AG92" s="1">
        <f>IFERROR(__xludf.DUMMYFUNCTION("""COMPUTED_VALUE"""),1669688.0)</f>
        <v>1669688</v>
      </c>
      <c r="AH92" s="1">
        <f>IFERROR(__xludf.DUMMYFUNCTION("""COMPUTED_VALUE"""),16.0)</f>
        <v>16</v>
      </c>
      <c r="AI92" s="1" t="str">
        <f>IFERROR(__xludf.DUMMYFUNCTION("""COMPUTED_VALUE"""),"0000393451")</f>
        <v>0000393451</v>
      </c>
      <c r="AJ92" s="1">
        <f>IFERROR(__xludf.DUMMYFUNCTION("""COMPUTED_VALUE"""),6.1295073E7)</f>
        <v>61295073</v>
      </c>
      <c r="AK92" s="1">
        <f>IFERROR(__xludf.DUMMYFUNCTION("""COMPUTED_VALUE"""),9.46112424E8)</f>
        <v>946112424</v>
      </c>
      <c r="AL92" s="1" t="str">
        <f>IFERROR(__xludf.DUMMYFUNCTION("""COMPUTED_VALUE"""),"migueltoribiom01@gmail.com")</f>
        <v>migueltoribiom01@gmail.com</v>
      </c>
      <c r="AM92" s="1" t="str">
        <f>IFERROR(__xludf.DUMMYFUNCTION("""COMPUTED_VALUE"""),"MASCULINO")</f>
        <v>MASCULINO</v>
      </c>
      <c r="AN92" s="1">
        <f>IFERROR(__xludf.DUMMYFUNCTION("""COMPUTED_VALUE"""),1850.0)</f>
        <v>1850</v>
      </c>
      <c r="AO92" s="1">
        <f>IFERROR(__xludf.DUMMYFUNCTION("""COMPUTED_VALUE"""),772.0)</f>
        <v>772</v>
      </c>
      <c r="AP92" s="1" t="str">
        <f>IFERROR(__xludf.DUMMYFUNCTION("""COMPUTED_VALUE"""),"FORMULARIO")</f>
        <v>FORMULARIO</v>
      </c>
      <c r="AQ92" s="1" t="str">
        <f>IFERROR(__xludf.DUMMYFUNCTION("""COMPUTED_VALUE"""),"SEARCH MARCA")</f>
        <v>SEARCH MARCA</v>
      </c>
      <c r="AR92" s="1" t="str">
        <f>IFERROR(__xludf.DUMMYFUNCTION("""COMPUTED_VALUE"""),"NUEVO")</f>
        <v>NUEVO</v>
      </c>
      <c r="AS92" s="1" t="str">
        <f>IFERROR(__xludf.DUMMYFUNCTION("""COMPUTED_VALUE"""),"ucal-pg-performance-sedes-abierta-cpl-search_conversion_marca-20240401")</f>
        <v>ucal-pg-performance-sedes-abierta-cpl-search_conversion_marca-20240401</v>
      </c>
      <c r="AT92" s="2">
        <f>IFERROR(__xludf.DUMMYFUNCTION("""COMPUTED_VALUE"""),45414.0)</f>
        <v>45414</v>
      </c>
      <c r="AU92" s="1">
        <f>IFERROR(__xludf.DUMMYFUNCTION("""COMPUTED_VALUE"""),1.0)</f>
        <v>1</v>
      </c>
      <c r="AV92" s="1" t="str">
        <f>IFERROR(__xludf.DUMMYFUNCTION("""COMPUTED_VALUE"""),"NUEVO")</f>
        <v>NUEVO</v>
      </c>
      <c r="AW92" s="1" t="str">
        <f>IFERROR(__xludf.DUMMYFUNCTION("""COMPUTED_VALUE"""),"SI")</f>
        <v>SI</v>
      </c>
      <c r="AX92" s="1"/>
      <c r="AY92" s="1" t="str">
        <f>IFERROR(__xludf.DUMMYFUNCTION("""COMPUTED_VALUE"""),"PAGO COMPLETO")</f>
        <v>PAGO COMPLETO</v>
      </c>
      <c r="AZ92" s="5">
        <f>IFERROR(__xludf.DUMMYFUNCTION("""COMPUTED_VALUE"""),45535.0)</f>
        <v>45535</v>
      </c>
      <c r="BA92" s="1">
        <f>IFERROR(__xludf.DUMMYFUNCTION("""COMPUTED_VALUE"""),0.0)</f>
        <v>0</v>
      </c>
      <c r="BB92" s="1">
        <f>IFERROR(__xludf.DUMMYFUNCTION("""COMPUTED_VALUE"""),0.0)</f>
        <v>0</v>
      </c>
      <c r="BC92" s="4">
        <f>IFERROR(__xludf.DUMMYFUNCTION("""COMPUTED_VALUE"""),0.0)</f>
        <v>0</v>
      </c>
      <c r="BD92" s="4">
        <f>IFERROR(__xludf.DUMMYFUNCTION("""COMPUTED_VALUE"""),0.0)</f>
        <v>0</v>
      </c>
      <c r="BE92" s="1">
        <f>IFERROR(__xludf.DUMMYFUNCTION("""COMPUTED_VALUE"""),8.0)</f>
        <v>8</v>
      </c>
      <c r="BF92" s="6">
        <f>IFERROR(__xludf.DUMMYFUNCTION("""COMPUTED_VALUE"""),1.0)</f>
        <v>1</v>
      </c>
      <c r="BG92" s="1">
        <f>IFERROR(__xludf.DUMMYFUNCTION("""COMPUTED_VALUE"""),1.0)</f>
        <v>1</v>
      </c>
      <c r="BH92" s="1" t="str">
        <f>IFERROR(__xludf.DUMMYFUNCTION("""COMPUTED_VALUE"""),"0")</f>
        <v>0</v>
      </c>
      <c r="BI92" s="4">
        <f>IFERROR(__xludf.DUMMYFUNCTION("""COMPUTED_VALUE"""),0.0)</f>
        <v>0</v>
      </c>
      <c r="BJ92" s="1">
        <f>IFERROR(__xludf.DUMMYFUNCTION("""COMPUTED_VALUE"""),0.0)</f>
        <v>0</v>
      </c>
      <c r="BK92" s="4">
        <f>IFERROR(__xludf.DUMMYFUNCTION("""COMPUTED_VALUE"""),0.0)</f>
        <v>0</v>
      </c>
      <c r="BL92" s="1">
        <f>IFERROR(__xludf.DUMMYFUNCTION("""COMPUTED_VALUE"""),1400.0)</f>
        <v>1400</v>
      </c>
      <c r="BM92" s="1">
        <f>IFERROR(__xludf.DUMMYFUNCTION("""COMPUTED_VALUE"""),35.0)</f>
        <v>35</v>
      </c>
      <c r="BN92" s="2">
        <f>IFERROR(__xludf.DUMMYFUNCTION("""COMPUTED_VALUE"""),45530.0)</f>
        <v>45530</v>
      </c>
      <c r="BO92" s="1">
        <f>IFERROR(__xludf.DUMMYFUNCTION("""COMPUTED_VALUE"""),8.0)</f>
        <v>8</v>
      </c>
      <c r="BP92" s="1">
        <f>IFERROR(__xludf.DUMMYFUNCTION("""COMPUTED_VALUE"""),2024.0)</f>
        <v>2024</v>
      </c>
    </row>
    <row r="93">
      <c r="A93" s="1">
        <f>IFERROR(__xludf.DUMMYFUNCTION("""COMPUTED_VALUE"""),92.0)</f>
        <v>92</v>
      </c>
      <c r="B93" s="1">
        <f>IFERROR(__xludf.DUMMYFUNCTION("""COMPUTED_VALUE"""),4546504.0)</f>
        <v>4546504</v>
      </c>
      <c r="C93" s="1" t="str">
        <f>IFERROR(__xludf.DUMMYFUNCTION("""COMPUTED_VALUE"""),"2025-1")</f>
        <v>2025-1</v>
      </c>
      <c r="D93" s="1" t="str">
        <f>IFERROR(__xludf.DUMMYFUNCTION("""COMPUTED_VALUE"""),"Admisión Ordinaria")</f>
        <v>Admisión Ordinaria</v>
      </c>
      <c r="E93" s="2">
        <f>IFERROR(__xludf.DUMMYFUNCTION("""COMPUTED_VALUE"""),45539.0)</f>
        <v>45539</v>
      </c>
      <c r="F93" s="1" t="str">
        <f>IFERROR(__xludf.DUMMYFUNCTION("""COMPUTED_VALUE"""),"YAREQ EFRAIM ")</f>
        <v>YAREQ EFRAIM </v>
      </c>
      <c r="G93" s="1" t="str">
        <f>IFERROR(__xludf.DUMMYFUNCTION("""COMPUTED_VALUE"""),"VIVANCO MARICHI")</f>
        <v>VIVANCO MARICHI</v>
      </c>
      <c r="H93" s="1" t="str">
        <f>IFERROR(__xludf.DUMMYFUNCTION("""COMPUTED_VALUE"""),"Comunicación")</f>
        <v>Comunicación</v>
      </c>
      <c r="I93" s="1" t="str">
        <f>IFERROR(__xludf.DUMMYFUNCTION("""COMPUTED_VALUE"""),"CARGO")</f>
        <v>CARGO</v>
      </c>
      <c r="J93" s="1" t="str">
        <f>IFERROR(__xludf.DUMMYFUNCTION("""COMPUTED_VALUE"""),"Diurno")</f>
        <v>Diurno</v>
      </c>
      <c r="K93" s="1" t="str">
        <f>IFERROR(__xludf.DUMMYFUNCTION("""COMPUTED_VALUE"""),"NUEVO")</f>
        <v>NUEVO</v>
      </c>
      <c r="L93" s="1">
        <f>IFERROR(__xludf.DUMMYFUNCTION("""COMPUTED_VALUE"""),0.0)</f>
        <v>0</v>
      </c>
      <c r="M93" s="1">
        <f>IFERROR(__xludf.DUMMYFUNCTION("""COMPUTED_VALUE"""),0.0)</f>
        <v>0</v>
      </c>
      <c r="N93" s="1" t="str">
        <f>IFERROR(__xludf.DUMMYFUNCTION("""COMPUTED_VALUE"""),"BECA")</f>
        <v>BECA</v>
      </c>
      <c r="O93" s="1" t="str">
        <f>IFERROR(__xludf.DUMMYFUNCTION("""COMPUTED_VALUE"""),"BECA CARRERAS CORE")</f>
        <v>BECA CARRERAS CORE</v>
      </c>
      <c r="P93" s="4">
        <f>IFERROR(__xludf.DUMMYFUNCTION("""COMPUTED_VALUE"""),0.0)</f>
        <v>0</v>
      </c>
      <c r="Q93" s="4">
        <f>IFERROR(__xludf.DUMMYFUNCTION("""COMPUTED_VALUE"""),0.0)</f>
        <v>0</v>
      </c>
      <c r="R93" s="4">
        <f>IFERROR(__xludf.DUMMYFUNCTION("""COMPUTED_VALUE"""),1350.0)</f>
        <v>1350</v>
      </c>
      <c r="S93" s="4">
        <f>IFERROR(__xludf.DUMMYFUNCTION("""COMPUTED_VALUE"""),1075.0)</f>
        <v>1075</v>
      </c>
      <c r="T93" s="1" t="str">
        <f>IFERROR(__xludf.DUMMYFUNCTION("""COMPUTED_VALUE"""),"NINGUNO")</f>
        <v>NINGUNO</v>
      </c>
      <c r="U93" s="1" t="str">
        <f>IFERROR(__xludf.DUMMYFUNCTION("""COMPUTED_VALUE"""),"FABIOLA")</f>
        <v>FABIOLA</v>
      </c>
      <c r="V93" s="1" t="str">
        <f>IFERROR(__xludf.DUMMYFUNCTION("""COMPUTED_VALUE"""),"Ninguno")</f>
        <v>Ninguno</v>
      </c>
      <c r="W93" s="1" t="str">
        <f>IFERROR(__xludf.DUMMYFUNCTION("""COMPUTED_VALUE"""),"Prestigio de la institución")</f>
        <v>Prestigio de la institución</v>
      </c>
      <c r="X93" s="1" t="str">
        <f>IFERROR(__xludf.DUMMYFUNCTION("""COMPUTED_VALUE"""),"-")</f>
        <v>-</v>
      </c>
      <c r="Y93" s="1" t="str">
        <f>IFERROR(__xludf.DUMMYFUNCTION("""COMPUTED_VALUE"""),"PAGO COMPLETO")</f>
        <v>PAGO COMPLETO</v>
      </c>
      <c r="Z93" s="1">
        <f>IFERROR(__xludf.DUMMYFUNCTION("""COMPUTED_VALUE"""),0.0)</f>
        <v>0</v>
      </c>
      <c r="AA93" s="1" t="str">
        <f>IFERROR(__xludf.DUMMYFUNCTION("""COMPUTED_VALUE"""),"-")</f>
        <v>-</v>
      </c>
      <c r="AB93" s="1">
        <f>IFERROR(__xludf.DUMMYFUNCTION("""COMPUTED_VALUE"""),1.0)</f>
        <v>1</v>
      </c>
      <c r="AC93" s="1">
        <f>IFERROR(__xludf.DUMMYFUNCTION("""COMPUTED_VALUE"""),0.0)</f>
        <v>0</v>
      </c>
      <c r="AD93" s="1" t="str">
        <f>IFERROR(__xludf.DUMMYFUNCTION("""COMPUTED_VALUE"""),"Andrea Araujo Antara")</f>
        <v>Andrea Araujo Antara</v>
      </c>
      <c r="AE93" s="1" t="str">
        <f>IFERROR(__xludf.DUMMYFUNCTION("""COMPUTED_VALUE"""),"0")</f>
        <v>0</v>
      </c>
      <c r="AF93" s="1">
        <f>IFERROR(__xludf.DUMMYFUNCTION("""COMPUTED_VALUE"""),2022.0)</f>
        <v>2022</v>
      </c>
      <c r="AG93" s="1">
        <f>IFERROR(__xludf.DUMMYFUNCTION("""COMPUTED_VALUE"""),1048990.0)</f>
        <v>1048990</v>
      </c>
      <c r="AH93" s="1">
        <f>IFERROR(__xludf.DUMMYFUNCTION("""COMPUTED_VALUE"""),19.0)</f>
        <v>19</v>
      </c>
      <c r="AI93" s="1" t="str">
        <f>IFERROR(__xludf.DUMMYFUNCTION("""COMPUTED_VALUE"""),"0000393845")</f>
        <v>0000393845</v>
      </c>
      <c r="AJ93" s="1">
        <f>IFERROR(__xludf.DUMMYFUNCTION("""COMPUTED_VALUE"""),6.0917363E7)</f>
        <v>60917363</v>
      </c>
      <c r="AK93" s="1">
        <f>IFERROR(__xludf.DUMMYFUNCTION("""COMPUTED_VALUE"""),9.58566547E8)</f>
        <v>958566547</v>
      </c>
      <c r="AL93" s="1" t="str">
        <f>IFERROR(__xludf.DUMMYFUNCTION("""COMPUTED_VALUE"""),"MARICHI@gmail.com")</f>
        <v>MARICHI@gmail.com</v>
      </c>
      <c r="AM93" s="1" t="str">
        <f>IFERROR(__xludf.DUMMYFUNCTION("""COMPUTED_VALUE"""),"MASCULINO")</f>
        <v>MASCULINO</v>
      </c>
      <c r="AN93" s="1">
        <f>IFERROR(__xludf.DUMMYFUNCTION("""COMPUTED_VALUE"""),1350.0)</f>
        <v>1350</v>
      </c>
      <c r="AO93" s="1">
        <f>IFERROR(__xludf.DUMMYFUNCTION("""COMPUTED_VALUE"""),0.0)</f>
        <v>0</v>
      </c>
      <c r="AP93" s="1" t="str">
        <f>IFERROR(__xludf.DUMMYFUNCTION("""COMPUTED_VALUE"""),"BIDIRECCIONAL")</f>
        <v>BIDIRECCIONAL</v>
      </c>
      <c r="AQ93" s="1" t="str">
        <f>IFERROR(__xludf.DUMMYFUNCTION("""COMPUTED_VALUE"""),"SEARCH CARRERA")</f>
        <v>SEARCH CARRERA</v>
      </c>
      <c r="AR93" s="1" t="str">
        <f>IFERROR(__xludf.DUMMYFUNCTION("""COMPUTED_VALUE"""),"NUEVO")</f>
        <v>NUEVO</v>
      </c>
      <c r="AS93" s="1"/>
      <c r="AT93" s="2">
        <f>IFERROR(__xludf.DUMMYFUNCTION("""COMPUTED_VALUE"""),45537.0)</f>
        <v>45537</v>
      </c>
      <c r="AU93" s="1">
        <f>IFERROR(__xludf.DUMMYFUNCTION("""COMPUTED_VALUE"""),1.0)</f>
        <v>1</v>
      </c>
      <c r="AV93" s="1" t="str">
        <f>IFERROR(__xludf.DUMMYFUNCTION("""COMPUTED_VALUE"""),"NUEVO")</f>
        <v>NUEVO</v>
      </c>
      <c r="AW93" s="1" t="str">
        <f>IFERROR(__xludf.DUMMYFUNCTION("""COMPUTED_VALUE"""),"SI")</f>
        <v>SI</v>
      </c>
      <c r="AX93" s="1"/>
      <c r="AY93" s="1" t="str">
        <f>IFERROR(__xludf.DUMMYFUNCTION("""COMPUTED_VALUE"""),"PAGO COMPLETO")</f>
        <v>PAGO COMPLETO</v>
      </c>
      <c r="AZ93" s="5">
        <f>IFERROR(__xludf.DUMMYFUNCTION("""COMPUTED_VALUE"""),45539.0)</f>
        <v>45539</v>
      </c>
      <c r="BA93" s="1">
        <f>IFERROR(__xludf.DUMMYFUNCTION("""COMPUTED_VALUE"""),0.0)</f>
        <v>0</v>
      </c>
      <c r="BB93" s="1">
        <f>IFERROR(__xludf.DUMMYFUNCTION("""COMPUTED_VALUE"""),0.0)</f>
        <v>0</v>
      </c>
      <c r="BC93" s="4">
        <f>IFERROR(__xludf.DUMMYFUNCTION("""COMPUTED_VALUE"""),0.0)</f>
        <v>0</v>
      </c>
      <c r="BD93" s="4">
        <f>IFERROR(__xludf.DUMMYFUNCTION("""COMPUTED_VALUE"""),0.0)</f>
        <v>0</v>
      </c>
      <c r="BE93" s="1">
        <f>IFERROR(__xludf.DUMMYFUNCTION("""COMPUTED_VALUE"""),9.0)</f>
        <v>9</v>
      </c>
      <c r="BF93" s="6">
        <f>IFERROR(__xludf.DUMMYFUNCTION("""COMPUTED_VALUE"""),1.0)</f>
        <v>1</v>
      </c>
      <c r="BG93" s="1">
        <f>IFERROR(__xludf.DUMMYFUNCTION("""COMPUTED_VALUE"""),1.0)</f>
        <v>1</v>
      </c>
      <c r="BH93" s="1" t="str">
        <f>IFERROR(__xludf.DUMMYFUNCTION("""COMPUTED_VALUE"""),"0")</f>
        <v>0</v>
      </c>
      <c r="BI93" s="4">
        <f>IFERROR(__xludf.DUMMYFUNCTION("""COMPUTED_VALUE"""),0.0)</f>
        <v>0</v>
      </c>
      <c r="BJ93" s="1">
        <f>IFERROR(__xludf.DUMMYFUNCTION("""COMPUTED_VALUE"""),0.0)</f>
        <v>0</v>
      </c>
      <c r="BK93" s="4">
        <f>IFERROR(__xludf.DUMMYFUNCTION("""COMPUTED_VALUE"""),0.0)</f>
        <v>0</v>
      </c>
      <c r="BL93" s="1">
        <f>IFERROR(__xludf.DUMMYFUNCTION("""COMPUTED_VALUE"""),1075.0)</f>
        <v>1075</v>
      </c>
      <c r="BM93" s="1">
        <f>IFERROR(__xludf.DUMMYFUNCTION("""COMPUTED_VALUE"""),36.0)</f>
        <v>36</v>
      </c>
      <c r="BN93" s="2">
        <f>IFERROR(__xludf.DUMMYFUNCTION("""COMPUTED_VALUE"""),45537.0)</f>
        <v>45537</v>
      </c>
      <c r="BO93" s="1">
        <f>IFERROR(__xludf.DUMMYFUNCTION("""COMPUTED_VALUE"""),9.0)</f>
        <v>9</v>
      </c>
      <c r="BP93" s="1">
        <f>IFERROR(__xludf.DUMMYFUNCTION("""COMPUTED_VALUE"""),2024.0)</f>
        <v>2024</v>
      </c>
    </row>
    <row r="94">
      <c r="A94" s="1">
        <f>IFERROR(__xludf.DUMMYFUNCTION("""COMPUTED_VALUE"""),93.0)</f>
        <v>93</v>
      </c>
      <c r="B94" s="1">
        <f>IFERROR(__xludf.DUMMYFUNCTION("""COMPUTED_VALUE"""),4553771.0)</f>
        <v>4553771</v>
      </c>
      <c r="C94" s="1" t="str">
        <f>IFERROR(__xludf.DUMMYFUNCTION("""COMPUTED_VALUE"""),"2025-1")</f>
        <v>2025-1</v>
      </c>
      <c r="D94" s="1" t="str">
        <f>IFERROR(__xludf.DUMMYFUNCTION("""COMPUTED_VALUE"""),"Admisión Extraordinaria (Traslados)")</f>
        <v>Admisión Extraordinaria (Traslados)</v>
      </c>
      <c r="E94" s="2">
        <f>IFERROR(__xludf.DUMMYFUNCTION("""COMPUTED_VALUE"""),45540.0)</f>
        <v>45540</v>
      </c>
      <c r="F94" s="1" t="str">
        <f>IFERROR(__xludf.DUMMYFUNCTION("""COMPUTED_VALUE"""),"SEBASTIAN ALEXANDER ")</f>
        <v>SEBASTIAN ALEXANDER </v>
      </c>
      <c r="G94" s="1" t="str">
        <f>IFERROR(__xludf.DUMMYFUNCTION("""COMPUTED_VALUE"""),"PALAO ASCUÑA")</f>
        <v>PALAO ASCUÑA</v>
      </c>
      <c r="H94" s="1" t="str">
        <f>IFERROR(__xludf.DUMMYFUNCTION("""COMPUTED_VALUE"""),"Comunicación Audiovisual y Cine")</f>
        <v>Comunicación Audiovisual y Cine</v>
      </c>
      <c r="I94" s="1" t="str">
        <f>IFERROR(__xludf.DUMMYFUNCTION("""COMPUTED_VALUE"""),"CARGO")</f>
        <v>CARGO</v>
      </c>
      <c r="J94" s="1" t="str">
        <f>IFERROR(__xludf.DUMMYFUNCTION("""COMPUTED_VALUE"""),"Diurno")</f>
        <v>Diurno</v>
      </c>
      <c r="K94" s="1" t="str">
        <f>IFERROR(__xludf.DUMMYFUNCTION("""COMPUTED_VALUE"""),"TRASLADO")</f>
        <v>TRASLADO</v>
      </c>
      <c r="L94" s="1">
        <f>IFERROR(__xludf.DUMMYFUNCTION("""COMPUTED_VALUE"""),1.0)</f>
        <v>1</v>
      </c>
      <c r="M94" s="1">
        <f>IFERROR(__xludf.DUMMYFUNCTION("""COMPUTED_VALUE"""),0.0)</f>
        <v>0</v>
      </c>
      <c r="N94" s="1" t="str">
        <f>IFERROR(__xludf.DUMMYFUNCTION("""COMPUTED_VALUE"""),"RECA")</f>
        <v>RECA</v>
      </c>
      <c r="O94" s="1" t="str">
        <f>IFERROR(__xludf.DUMMYFUNCTION("""COMPUTED_VALUE"""),"RECA TRASLADO CON CONVA")</f>
        <v>RECA TRASLADO CON CONVA</v>
      </c>
      <c r="P94" s="4">
        <f>IFERROR(__xludf.DUMMYFUNCTION("""COMPUTED_VALUE"""),0.0)</f>
        <v>0</v>
      </c>
      <c r="Q94" s="4">
        <f>IFERROR(__xludf.DUMMYFUNCTION("""COMPUTED_VALUE"""),0.0)</f>
        <v>0</v>
      </c>
      <c r="R94" s="4">
        <f>IFERROR(__xludf.DUMMYFUNCTION("""COMPUTED_VALUE"""),1775.0)</f>
        <v>1775</v>
      </c>
      <c r="S94" s="4">
        <f>IFERROR(__xludf.DUMMYFUNCTION("""COMPUTED_VALUE"""),900.0)</f>
        <v>900</v>
      </c>
      <c r="T94" s="1" t="str">
        <f>IFERROR(__xludf.DUMMYFUNCTION("""COMPUTED_VALUE"""),"NINGUNO")</f>
        <v>NINGUNO</v>
      </c>
      <c r="U94" s="1" t="str">
        <f>IFERROR(__xludf.DUMMYFUNCTION("""COMPUTED_VALUE"""),"FABIOLA")</f>
        <v>FABIOLA</v>
      </c>
      <c r="V94" s="1" t="str">
        <f>IFERROR(__xludf.DUMMYFUNCTION("""COMPUTED_VALUE"""),"Ninguno")</f>
        <v>Ninguno</v>
      </c>
      <c r="W94" s="1" t="str">
        <f>IFERROR(__xludf.DUMMYFUNCTION("""COMPUTED_VALUE"""),"Prestigio de la institución")</f>
        <v>Prestigio de la institución</v>
      </c>
      <c r="X94" s="1" t="str">
        <f>IFERROR(__xludf.DUMMYFUNCTION("""COMPUTED_VALUE"""),"-")</f>
        <v>-</v>
      </c>
      <c r="Y94" s="1" t="str">
        <f>IFERROR(__xludf.DUMMYFUNCTION("""COMPUTED_VALUE"""),"PAGO COMPLETO")</f>
        <v>PAGO COMPLETO</v>
      </c>
      <c r="Z94" s="1">
        <f>IFERROR(__xludf.DUMMYFUNCTION("""COMPUTED_VALUE"""),0.0)</f>
        <v>0</v>
      </c>
      <c r="AA94" s="1" t="str">
        <f>IFERROR(__xludf.DUMMYFUNCTION("""COMPUTED_VALUE"""),"-")</f>
        <v>-</v>
      </c>
      <c r="AB94" s="1">
        <f>IFERROR(__xludf.DUMMYFUNCTION("""COMPUTED_VALUE"""),0.0)</f>
        <v>0</v>
      </c>
      <c r="AC94" s="1">
        <f>IFERROR(__xludf.DUMMYFUNCTION("""COMPUTED_VALUE"""),0.0)</f>
        <v>0</v>
      </c>
      <c r="AD94" s="1" t="str">
        <f>IFERROR(__xludf.DUMMYFUNCTION("""COMPUTED_VALUE"""),"Andrea Araujo Antara")</f>
        <v>Andrea Araujo Antara</v>
      </c>
      <c r="AE94" s="1" t="str">
        <f>IFERROR(__xludf.DUMMYFUNCTION("""COMPUTED_VALUE"""),"Universidad Privada De Tacna")</f>
        <v>Universidad Privada De Tacna</v>
      </c>
      <c r="AF94" s="1">
        <f>IFERROR(__xludf.DUMMYFUNCTION("""COMPUTED_VALUE"""),2019.0)</f>
        <v>2019</v>
      </c>
      <c r="AG94" s="1">
        <f>IFERROR(__xludf.DUMMYFUNCTION("""COMPUTED_VALUE"""),1698240.0)</f>
        <v>1698240</v>
      </c>
      <c r="AH94" s="1">
        <f>IFERROR(__xludf.DUMMYFUNCTION("""COMPUTED_VALUE"""),21.0)</f>
        <v>21</v>
      </c>
      <c r="AI94" s="1" t="str">
        <f>IFERROR(__xludf.DUMMYFUNCTION("""COMPUTED_VALUE"""),"0000394028")</f>
        <v>0000394028</v>
      </c>
      <c r="AJ94" s="1">
        <f>IFERROR(__xludf.DUMMYFUNCTION("""COMPUTED_VALUE"""),7.1247195E7)</f>
        <v>71247195</v>
      </c>
      <c r="AK94" s="1">
        <f>IFERROR(__xludf.DUMMYFUNCTION("""COMPUTED_VALUE"""),9.97410823E8)</f>
        <v>997410823</v>
      </c>
      <c r="AL94" s="1" t="str">
        <f>IFERROR(__xludf.DUMMYFUNCTION("""COMPUTED_VALUE"""),"sebonix22@gmail.com")</f>
        <v>sebonix22@gmail.com</v>
      </c>
      <c r="AM94" s="1" t="str">
        <f>IFERROR(__xludf.DUMMYFUNCTION("""COMPUTED_VALUE"""),"MASCULINO")</f>
        <v>MASCULINO</v>
      </c>
      <c r="AN94" s="1">
        <f>IFERROR(__xludf.DUMMYFUNCTION("""COMPUTED_VALUE"""),1775.0)</f>
        <v>1775</v>
      </c>
      <c r="AO94" s="1">
        <f>IFERROR(__xludf.DUMMYFUNCTION("""COMPUTED_VALUE"""),430.0)</f>
        <v>430</v>
      </c>
      <c r="AP94" s="1" t="str">
        <f>IFERROR(__xludf.DUMMYFUNCTION("""COMPUTED_VALUE"""),"OUTBOUND")</f>
        <v>OUTBOUND</v>
      </c>
      <c r="AQ94" s="1" t="str">
        <f>IFERROR(__xludf.DUMMYFUNCTION("""COMPUTED_VALUE"""),"OUTBOUND")</f>
        <v>OUTBOUND</v>
      </c>
      <c r="AR94" s="1" t="str">
        <f>IFERROR(__xludf.DUMMYFUNCTION("""COMPUTED_VALUE"""),"NUEVO")</f>
        <v>NUEVO</v>
      </c>
      <c r="AS94" s="1"/>
      <c r="AT94" s="2">
        <f>IFERROR(__xludf.DUMMYFUNCTION("""COMPUTED_VALUE"""),45539.0)</f>
        <v>45539</v>
      </c>
      <c r="AU94" s="1">
        <f>IFERROR(__xludf.DUMMYFUNCTION("""COMPUTED_VALUE"""),1.0)</f>
        <v>1</v>
      </c>
      <c r="AV94" s="1" t="str">
        <f>IFERROR(__xludf.DUMMYFUNCTION("""COMPUTED_VALUE"""),"TRASLADO")</f>
        <v>TRASLADO</v>
      </c>
      <c r="AW94" s="1" t="str">
        <f>IFERROR(__xludf.DUMMYFUNCTION("""COMPUTED_VALUE"""),"SI")</f>
        <v>SI</v>
      </c>
      <c r="AX94" s="1"/>
      <c r="AY94" s="1" t="str">
        <f>IFERROR(__xludf.DUMMYFUNCTION("""COMPUTED_VALUE"""),"PAGO COMPLETO")</f>
        <v>PAGO COMPLETO</v>
      </c>
      <c r="AZ94" s="5">
        <f>IFERROR(__xludf.DUMMYFUNCTION("""COMPUTED_VALUE"""),45540.0)</f>
        <v>45540</v>
      </c>
      <c r="BA94" s="1">
        <f>IFERROR(__xludf.DUMMYFUNCTION("""COMPUTED_VALUE"""),0.0)</f>
        <v>0</v>
      </c>
      <c r="BB94" s="1">
        <f>IFERROR(__xludf.DUMMYFUNCTION("""COMPUTED_VALUE"""),0.0)</f>
        <v>0</v>
      </c>
      <c r="BC94" s="4">
        <f>IFERROR(__xludf.DUMMYFUNCTION("""COMPUTED_VALUE"""),0.0)</f>
        <v>0</v>
      </c>
      <c r="BD94" s="4">
        <f>IFERROR(__xludf.DUMMYFUNCTION("""COMPUTED_VALUE"""),0.0)</f>
        <v>0</v>
      </c>
      <c r="BE94" s="1">
        <f>IFERROR(__xludf.DUMMYFUNCTION("""COMPUTED_VALUE"""),9.0)</f>
        <v>9</v>
      </c>
      <c r="BF94" s="6">
        <f>IFERROR(__xludf.DUMMYFUNCTION("""COMPUTED_VALUE"""),1.0)</f>
        <v>1</v>
      </c>
      <c r="BG94" s="1">
        <f>IFERROR(__xludf.DUMMYFUNCTION("""COMPUTED_VALUE"""),1.0)</f>
        <v>1</v>
      </c>
      <c r="BH94" s="1" t="str">
        <f>IFERROR(__xludf.DUMMYFUNCTION("""COMPUTED_VALUE"""),"1")</f>
        <v>1</v>
      </c>
      <c r="BI94" s="4">
        <f>IFERROR(__xludf.DUMMYFUNCTION("""COMPUTED_VALUE"""),0.0)</f>
        <v>0</v>
      </c>
      <c r="BJ94" s="1">
        <f>IFERROR(__xludf.DUMMYFUNCTION("""COMPUTED_VALUE"""),0.0)</f>
        <v>0</v>
      </c>
      <c r="BK94" s="4">
        <f>IFERROR(__xludf.DUMMYFUNCTION("""COMPUTED_VALUE"""),0.0)</f>
        <v>0</v>
      </c>
      <c r="BL94" s="1">
        <f>IFERROR(__xludf.DUMMYFUNCTION("""COMPUTED_VALUE"""),900.0)</f>
        <v>900</v>
      </c>
      <c r="BM94" s="1">
        <f>IFERROR(__xludf.DUMMYFUNCTION("""COMPUTED_VALUE"""),36.0)</f>
        <v>36</v>
      </c>
      <c r="BN94" s="2">
        <f>IFERROR(__xludf.DUMMYFUNCTION("""COMPUTED_VALUE"""),45537.0)</f>
        <v>45537</v>
      </c>
      <c r="BO94" s="1">
        <f>IFERROR(__xludf.DUMMYFUNCTION("""COMPUTED_VALUE"""),9.0)</f>
        <v>9</v>
      </c>
      <c r="BP94" s="1">
        <f>IFERROR(__xludf.DUMMYFUNCTION("""COMPUTED_VALUE"""),2024.0)</f>
        <v>2024</v>
      </c>
    </row>
    <row r="95">
      <c r="A95" s="1">
        <f>IFERROR(__xludf.DUMMYFUNCTION("""COMPUTED_VALUE"""),94.0)</f>
        <v>94</v>
      </c>
      <c r="B95" s="1">
        <f>IFERROR(__xludf.DUMMYFUNCTION("""COMPUTED_VALUE"""),4551828.0)</f>
        <v>4551828</v>
      </c>
      <c r="C95" s="1" t="str">
        <f>IFERROR(__xludf.DUMMYFUNCTION("""COMPUTED_VALUE"""),"2025-1")</f>
        <v>2025-1</v>
      </c>
      <c r="D95" s="1" t="str">
        <f>IFERROR(__xludf.DUMMYFUNCTION("""COMPUTED_VALUE"""),"Admisión Ordinaria")</f>
        <v>Admisión Ordinaria</v>
      </c>
      <c r="E95" s="2">
        <f>IFERROR(__xludf.DUMMYFUNCTION("""COMPUTED_VALUE"""),45542.0)</f>
        <v>45542</v>
      </c>
      <c r="F95" s="1" t="str">
        <f>IFERROR(__xludf.DUMMYFUNCTION("""COMPUTED_VALUE"""),"ROSA EDITH")</f>
        <v>ROSA EDITH</v>
      </c>
      <c r="G95" s="1" t="str">
        <f>IFERROR(__xludf.DUMMYFUNCTION("""COMPUTED_VALUE"""),"MEJÍA NUÑEZ")</f>
        <v>MEJÍA NUÑEZ</v>
      </c>
      <c r="H95" s="1" t="str">
        <f>IFERROR(__xludf.DUMMYFUNCTION("""COMPUTED_VALUE"""),"Administración y Marketing")</f>
        <v>Administración y Marketing</v>
      </c>
      <c r="I95" s="1" t="str">
        <f>IFERROR(__xludf.DUMMYFUNCTION("""COMPUTED_VALUE"""),"CARGO")</f>
        <v>CARGO</v>
      </c>
      <c r="J95" s="1" t="str">
        <f>IFERROR(__xludf.DUMMYFUNCTION("""COMPUTED_VALUE"""),"Nocturno - A distancia")</f>
        <v>Nocturno - A distancia</v>
      </c>
      <c r="K95" s="1" t="str">
        <f>IFERROR(__xludf.DUMMYFUNCTION("""COMPUTED_VALUE"""),"NUEVO")</f>
        <v>NUEVO</v>
      </c>
      <c r="L95" s="1">
        <f>IFERROR(__xludf.DUMMYFUNCTION("""COMPUTED_VALUE"""),0.0)</f>
        <v>0</v>
      </c>
      <c r="M95" s="1">
        <f>IFERROR(__xludf.DUMMYFUNCTION("""COMPUTED_VALUE"""),0.0)</f>
        <v>0</v>
      </c>
      <c r="N95" s="1" t="str">
        <f>IFERROR(__xludf.DUMMYFUNCTION("""COMPUTED_VALUE"""),"BECA")</f>
        <v>BECA</v>
      </c>
      <c r="O95" s="1" t="str">
        <f>IFERROR(__xludf.DUMMYFUNCTION("""COMPUTED_VALUE"""),"BECA CARRERAS NUEVAS")</f>
        <v>BECA CARRERAS NUEVAS</v>
      </c>
      <c r="P95" s="4">
        <f>IFERROR(__xludf.DUMMYFUNCTION("""COMPUTED_VALUE"""),0.0)</f>
        <v>0</v>
      </c>
      <c r="Q95" s="4">
        <f>IFERROR(__xludf.DUMMYFUNCTION("""COMPUTED_VALUE"""),0.0)</f>
        <v>0</v>
      </c>
      <c r="R95" s="4">
        <f>IFERROR(__xludf.DUMMYFUNCTION("""COMPUTED_VALUE"""),1150.0)</f>
        <v>1150</v>
      </c>
      <c r="S95" s="4">
        <f>IFERROR(__xludf.DUMMYFUNCTION("""COMPUTED_VALUE"""),900.0)</f>
        <v>900</v>
      </c>
      <c r="T95" s="1" t="str">
        <f>IFERROR(__xludf.DUMMYFUNCTION("""COMPUTED_VALUE"""),"NINGUNO")</f>
        <v>NINGUNO</v>
      </c>
      <c r="U95" s="1" t="str">
        <f>IFERROR(__xludf.DUMMYFUNCTION("""COMPUTED_VALUE"""),"FABIOLA")</f>
        <v>FABIOLA</v>
      </c>
      <c r="V95" s="1" t="str">
        <f>IFERROR(__xludf.DUMMYFUNCTION("""COMPUTED_VALUE"""),"Ninguno")</f>
        <v>Ninguno</v>
      </c>
      <c r="W95" s="1" t="str">
        <f>IFERROR(__xludf.DUMMYFUNCTION("""COMPUTED_VALUE"""),"Prestigio de la institución")</f>
        <v>Prestigio de la institución</v>
      </c>
      <c r="X95" s="1" t="str">
        <f>IFERROR(__xludf.DUMMYFUNCTION("""COMPUTED_VALUE"""),"-")</f>
        <v>-</v>
      </c>
      <c r="Y95" s="1" t="str">
        <f>IFERROR(__xludf.DUMMYFUNCTION("""COMPUTED_VALUE"""),"PAGO COMPLETO")</f>
        <v>PAGO COMPLETO</v>
      </c>
      <c r="Z95" s="1">
        <f>IFERROR(__xludf.DUMMYFUNCTION("""COMPUTED_VALUE"""),0.0)</f>
        <v>0</v>
      </c>
      <c r="AA95" s="1" t="str">
        <f>IFERROR(__xludf.DUMMYFUNCTION("""COMPUTED_VALUE"""),"-")</f>
        <v>-</v>
      </c>
      <c r="AB95" s="1">
        <f>IFERROR(__xludf.DUMMYFUNCTION("""COMPUTED_VALUE"""),0.0)</f>
        <v>0</v>
      </c>
      <c r="AC95" s="1">
        <f>IFERROR(__xludf.DUMMYFUNCTION("""COMPUTED_VALUE"""),0.0)</f>
        <v>0</v>
      </c>
      <c r="AD95" s="1" t="str">
        <f>IFERROR(__xludf.DUMMYFUNCTION("""COMPUTED_VALUE"""),"Angelica Iparraguirre")</f>
        <v>Angelica Iparraguirre</v>
      </c>
      <c r="AE95" s="1" t="str">
        <f>IFERROR(__xludf.DUMMYFUNCTION("""COMPUTED_VALUE"""),"0")</f>
        <v>0</v>
      </c>
      <c r="AF95" s="1">
        <f>IFERROR(__xludf.DUMMYFUNCTION("""COMPUTED_VALUE"""),2011.0)</f>
        <v>2011</v>
      </c>
      <c r="AG95" s="1">
        <f>IFERROR(__xludf.DUMMYFUNCTION("""COMPUTED_VALUE"""),643874.0)</f>
        <v>643874</v>
      </c>
      <c r="AH95" s="1">
        <f>IFERROR(__xludf.DUMMYFUNCTION("""COMPUTED_VALUE"""),31.0)</f>
        <v>31</v>
      </c>
      <c r="AI95" s="1" t="str">
        <f>IFERROR(__xludf.DUMMYFUNCTION("""COMPUTED_VALUE"""),"0000394187")</f>
        <v>0000394187</v>
      </c>
      <c r="AJ95" s="1">
        <f>IFERROR(__xludf.DUMMYFUNCTION("""COMPUTED_VALUE"""),4.8319216E7)</f>
        <v>48319216</v>
      </c>
      <c r="AK95" s="1">
        <f>IFERROR(__xludf.DUMMYFUNCTION("""COMPUTED_VALUE"""),9.34124138E8)</f>
        <v>934124138</v>
      </c>
      <c r="AL95" s="1" t="str">
        <f>IFERROR(__xludf.DUMMYFUNCTION("""COMPUTED_VALUE"""),"rosed8mejia@gmail.com")</f>
        <v>rosed8mejia@gmail.com</v>
      </c>
      <c r="AM95" s="1" t="str">
        <f>IFERROR(__xludf.DUMMYFUNCTION("""COMPUTED_VALUE"""),"FEMENINO")</f>
        <v>FEMENINO</v>
      </c>
      <c r="AN95" s="1">
        <f>IFERROR(__xludf.DUMMYFUNCTION("""COMPUTED_VALUE"""),1350.0)</f>
        <v>1350</v>
      </c>
      <c r="AO95" s="1">
        <f>IFERROR(__xludf.DUMMYFUNCTION("""COMPUTED_VALUE"""),0.0)</f>
        <v>0</v>
      </c>
      <c r="AP95" s="1" t="str">
        <f>IFERROR(__xludf.DUMMYFUNCTION("""COMPUTED_VALUE"""),"BIDIRECCIONAL")</f>
        <v>BIDIRECCIONAL</v>
      </c>
      <c r="AQ95" s="1" t="str">
        <f>IFERROR(__xludf.DUMMYFUNCTION("""COMPUTED_VALUE"""),"SEARCH CARRERA")</f>
        <v>SEARCH CARRERA</v>
      </c>
      <c r="AR95" s="1" t="str">
        <f>IFERROR(__xludf.DUMMYFUNCTION("""COMPUTED_VALUE"""),"NUEVO")</f>
        <v>NUEVO</v>
      </c>
      <c r="AS95" s="1"/>
      <c r="AT95" s="2">
        <f>IFERROR(__xludf.DUMMYFUNCTION("""COMPUTED_VALUE"""),45538.0)</f>
        <v>45538</v>
      </c>
      <c r="AU95" s="1">
        <f>IFERROR(__xludf.DUMMYFUNCTION("""COMPUTED_VALUE"""),1.0)</f>
        <v>1</v>
      </c>
      <c r="AV95" s="1" t="str">
        <f>IFERROR(__xludf.DUMMYFUNCTION("""COMPUTED_VALUE"""),"NUEVO")</f>
        <v>NUEVO</v>
      </c>
      <c r="AW95" s="1" t="str">
        <f>IFERROR(__xludf.DUMMYFUNCTION("""COMPUTED_VALUE"""),"SI")</f>
        <v>SI</v>
      </c>
      <c r="AX95" s="1"/>
      <c r="AY95" s="1" t="str">
        <f>IFERROR(__xludf.DUMMYFUNCTION("""COMPUTED_VALUE"""),"PAGO COMPLETO")</f>
        <v>PAGO COMPLETO</v>
      </c>
      <c r="AZ95" s="5">
        <f>IFERROR(__xludf.DUMMYFUNCTION("""COMPUTED_VALUE"""),45542.0)</f>
        <v>45542</v>
      </c>
      <c r="BA95" s="1">
        <f>IFERROR(__xludf.DUMMYFUNCTION("""COMPUTED_VALUE"""),0.0)</f>
        <v>0</v>
      </c>
      <c r="BB95" s="1">
        <f>IFERROR(__xludf.DUMMYFUNCTION("""COMPUTED_VALUE"""),0.0)</f>
        <v>0</v>
      </c>
      <c r="BC95" s="4">
        <f>IFERROR(__xludf.DUMMYFUNCTION("""COMPUTED_VALUE"""),0.0)</f>
        <v>0</v>
      </c>
      <c r="BD95" s="4">
        <f>IFERROR(__xludf.DUMMYFUNCTION("""COMPUTED_VALUE"""),0.0)</f>
        <v>0</v>
      </c>
      <c r="BE95" s="1">
        <f>IFERROR(__xludf.DUMMYFUNCTION("""COMPUTED_VALUE"""),9.0)</f>
        <v>9</v>
      </c>
      <c r="BF95" s="6">
        <f>IFERROR(__xludf.DUMMYFUNCTION("""COMPUTED_VALUE"""),1.0)</f>
        <v>1</v>
      </c>
      <c r="BG95" s="1">
        <f>IFERROR(__xludf.DUMMYFUNCTION("""COMPUTED_VALUE"""),1.0)</f>
        <v>1</v>
      </c>
      <c r="BH95" s="1" t="str">
        <f>IFERROR(__xludf.DUMMYFUNCTION("""COMPUTED_VALUE"""),"0")</f>
        <v>0</v>
      </c>
      <c r="BI95" s="4">
        <f>IFERROR(__xludf.DUMMYFUNCTION("""COMPUTED_VALUE"""),0.0)</f>
        <v>0</v>
      </c>
      <c r="BJ95" s="1">
        <f>IFERROR(__xludf.DUMMYFUNCTION("""COMPUTED_VALUE"""),0.0)</f>
        <v>0</v>
      </c>
      <c r="BK95" s="4">
        <f>IFERROR(__xludf.DUMMYFUNCTION("""COMPUTED_VALUE"""),0.0)</f>
        <v>0</v>
      </c>
      <c r="BL95" s="1">
        <f>IFERROR(__xludf.DUMMYFUNCTION("""COMPUTED_VALUE"""),900.0)</f>
        <v>900</v>
      </c>
      <c r="BM95" s="1">
        <f>IFERROR(__xludf.DUMMYFUNCTION("""COMPUTED_VALUE"""),36.0)</f>
        <v>36</v>
      </c>
      <c r="BN95" s="2">
        <f>IFERROR(__xludf.DUMMYFUNCTION("""COMPUTED_VALUE"""),45537.0)</f>
        <v>45537</v>
      </c>
      <c r="BO95" s="1">
        <f>IFERROR(__xludf.DUMMYFUNCTION("""COMPUTED_VALUE"""),9.0)</f>
        <v>9</v>
      </c>
      <c r="BP95" s="1">
        <f>IFERROR(__xludf.DUMMYFUNCTION("""COMPUTED_VALUE"""),2024.0)</f>
        <v>2024</v>
      </c>
    </row>
    <row r="96">
      <c r="A96" s="1">
        <f>IFERROR(__xludf.DUMMYFUNCTION("""COMPUTED_VALUE"""),95.0)</f>
        <v>95</v>
      </c>
      <c r="B96" s="1">
        <f>IFERROR(__xludf.DUMMYFUNCTION("""COMPUTED_VALUE"""),4528824.0)</f>
        <v>4528824</v>
      </c>
      <c r="C96" s="1" t="str">
        <f>IFERROR(__xludf.DUMMYFUNCTION("""COMPUTED_VALUE"""),"2025-1")</f>
        <v>2025-1</v>
      </c>
      <c r="D96" s="1" t="str">
        <f>IFERROR(__xludf.DUMMYFUNCTION("""COMPUTED_VALUE"""),"Admisión Ordinaria")</f>
        <v>Admisión Ordinaria</v>
      </c>
      <c r="E96" s="2">
        <f>IFERROR(__xludf.DUMMYFUNCTION("""COMPUTED_VALUE"""),45544.0)</f>
        <v>45544</v>
      </c>
      <c r="F96" s="1" t="str">
        <f>IFERROR(__xludf.DUMMYFUNCTION("""COMPUTED_VALUE"""),"SHANTALL CIELO ")</f>
        <v>SHANTALL CIELO </v>
      </c>
      <c r="G96" s="1" t="str">
        <f>IFERROR(__xludf.DUMMYFUNCTION("""COMPUTED_VALUE"""),"SILVA QUISPE")</f>
        <v>SILVA QUISPE</v>
      </c>
      <c r="H96" s="1" t="str">
        <f>IFERROR(__xludf.DUMMYFUNCTION("""COMPUTED_VALUE"""),"Arquitectura de Interiores")</f>
        <v>Arquitectura de Interiores</v>
      </c>
      <c r="I96" s="1" t="str">
        <f>IFERROR(__xludf.DUMMYFUNCTION("""COMPUTED_VALUE"""),"Pago Link")</f>
        <v>Pago Link</v>
      </c>
      <c r="J96" s="1" t="str">
        <f>IFERROR(__xludf.DUMMYFUNCTION("""COMPUTED_VALUE"""),"Diurno")</f>
        <v>Diurno</v>
      </c>
      <c r="K96" s="1" t="str">
        <f>IFERROR(__xludf.DUMMYFUNCTION("""COMPUTED_VALUE"""),"NUEVO")</f>
        <v>NUEVO</v>
      </c>
      <c r="L96" s="1">
        <f>IFERROR(__xludf.DUMMYFUNCTION("""COMPUTED_VALUE"""),0.0)</f>
        <v>0</v>
      </c>
      <c r="M96" s="1">
        <f>IFERROR(__xludf.DUMMYFUNCTION("""COMPUTED_VALUE"""),0.0)</f>
        <v>0</v>
      </c>
      <c r="N96" s="1" t="str">
        <f>IFERROR(__xludf.DUMMYFUNCTION("""COMPUTED_VALUE"""),"BECA")</f>
        <v>BECA</v>
      </c>
      <c r="O96" s="1" t="str">
        <f>IFERROR(__xludf.DUMMYFUNCTION("""COMPUTED_VALUE"""),"BECA CARRERAS CORE")</f>
        <v>BECA CARRERAS CORE</v>
      </c>
      <c r="P96" s="4">
        <f>IFERROR(__xludf.DUMMYFUNCTION("""COMPUTED_VALUE"""),0.0)</f>
        <v>0</v>
      </c>
      <c r="Q96" s="4">
        <f>IFERROR(__xludf.DUMMYFUNCTION("""COMPUTED_VALUE"""),0.0)</f>
        <v>0</v>
      </c>
      <c r="R96" s="4">
        <f>IFERROR(__xludf.DUMMYFUNCTION("""COMPUTED_VALUE"""),1600.0)</f>
        <v>1600</v>
      </c>
      <c r="S96" s="4">
        <f>IFERROR(__xludf.DUMMYFUNCTION("""COMPUTED_VALUE"""),1250.0)</f>
        <v>1250</v>
      </c>
      <c r="T96" s="1" t="str">
        <f>IFERROR(__xludf.DUMMYFUNCTION("""COMPUTED_VALUE"""),"NINGUNO")</f>
        <v>NINGUNO</v>
      </c>
      <c r="U96" s="1" t="str">
        <f>IFERROR(__xludf.DUMMYFUNCTION("""COMPUTED_VALUE"""),"FABIOLA")</f>
        <v>FABIOLA</v>
      </c>
      <c r="V96" s="1" t="str">
        <f>IFERROR(__xludf.DUMMYFUNCTION("""COMPUTED_VALUE"""),"Ninguno")</f>
        <v>Ninguno</v>
      </c>
      <c r="W96" s="1" t="str">
        <f>IFERROR(__xludf.DUMMYFUNCTION("""COMPUTED_VALUE"""),"Prestigio de la institución")</f>
        <v>Prestigio de la institución</v>
      </c>
      <c r="X96" s="1" t="str">
        <f>IFERROR(__xludf.DUMMYFUNCTION("""COMPUTED_VALUE"""),"-")</f>
        <v>-</v>
      </c>
      <c r="Y96" s="1" t="str">
        <f>IFERROR(__xludf.DUMMYFUNCTION("""COMPUTED_VALUE"""),"PAGO FRACCIONADO")</f>
        <v>PAGO FRACCIONADO</v>
      </c>
      <c r="Z96" s="1">
        <f>IFERROR(__xludf.DUMMYFUNCTION("""COMPUTED_VALUE"""),650.0)</f>
        <v>650</v>
      </c>
      <c r="AA96" s="1" t="str">
        <f>IFERROR(__xludf.DUMMYFUNCTION("""COMPUTED_VALUE"""),"9/09/2024")</f>
        <v>9/09/2024</v>
      </c>
      <c r="AB96" s="1">
        <f>IFERROR(__xludf.DUMMYFUNCTION("""COMPUTED_VALUE"""),0.0)</f>
        <v>0</v>
      </c>
      <c r="AC96" s="1">
        <f>IFERROR(__xludf.DUMMYFUNCTION("""COMPUTED_VALUE"""),0.0)</f>
        <v>0</v>
      </c>
      <c r="AD96" s="1" t="str">
        <f>IFERROR(__xludf.DUMMYFUNCTION("""COMPUTED_VALUE"""),"Andrea Araujo Antara")</f>
        <v>Andrea Araujo Antara</v>
      </c>
      <c r="AE96" s="1" t="str">
        <f>IFERROR(__xludf.DUMMYFUNCTION("""COMPUTED_VALUE"""),"0")</f>
        <v>0</v>
      </c>
      <c r="AF96" s="1">
        <f>IFERROR(__xludf.DUMMYFUNCTION("""COMPUTED_VALUE"""),2024.0)</f>
        <v>2024</v>
      </c>
      <c r="AG96" s="1">
        <f>IFERROR(__xludf.DUMMYFUNCTION("""COMPUTED_VALUE"""),1778935.0)</f>
        <v>1778935</v>
      </c>
      <c r="AH96" s="1">
        <f>IFERROR(__xludf.DUMMYFUNCTION("""COMPUTED_VALUE"""),16.0)</f>
        <v>16</v>
      </c>
      <c r="AI96" s="1" t="str">
        <f>IFERROR(__xludf.DUMMYFUNCTION("""COMPUTED_VALUE"""),"0000393879")</f>
        <v>0000393879</v>
      </c>
      <c r="AJ96" s="1">
        <f>IFERROR(__xludf.DUMMYFUNCTION("""COMPUTED_VALUE"""),6.1296456E7)</f>
        <v>61296456</v>
      </c>
      <c r="AK96" s="1">
        <f>IFERROR(__xludf.DUMMYFUNCTION("""COMPUTED_VALUE"""),9.23011294E8)</f>
        <v>923011294</v>
      </c>
      <c r="AL96" s="1" t="str">
        <f>IFERROR(__xludf.DUMMYFUNCTION("""COMPUTED_VALUE"""),"shantallsilva08@gmail.com")</f>
        <v>shantallsilva08@gmail.com</v>
      </c>
      <c r="AM96" s="1" t="str">
        <f>IFERROR(__xludf.DUMMYFUNCTION("""COMPUTED_VALUE"""),"FEMENINO")</f>
        <v>FEMENINO</v>
      </c>
      <c r="AN96" s="1">
        <f>IFERROR(__xludf.DUMMYFUNCTION("""COMPUTED_VALUE"""),1775.0)</f>
        <v>1775</v>
      </c>
      <c r="AO96" s="1">
        <f>IFERROR(__xludf.DUMMYFUNCTION("""COMPUTED_VALUE"""),330.0)</f>
        <v>330</v>
      </c>
      <c r="AP96" s="1" t="str">
        <f>IFERROR(__xludf.DUMMYFUNCTION("""COMPUTED_VALUE"""),"BIDIRECCIONAL")</f>
        <v>BIDIRECCIONAL</v>
      </c>
      <c r="AQ96" s="1" t="str">
        <f>IFERROR(__xludf.DUMMYFUNCTION("""COMPUTED_VALUE"""),"ORGANICO")</f>
        <v>ORGANICO</v>
      </c>
      <c r="AR96" s="1" t="str">
        <f>IFERROR(__xludf.DUMMYFUNCTION("""COMPUTED_VALUE"""),"NUEVO")</f>
        <v>NUEVO</v>
      </c>
      <c r="AS96" s="1"/>
      <c r="AT96" s="2">
        <f>IFERROR(__xludf.DUMMYFUNCTION("""COMPUTED_VALUE"""),45528.0)</f>
        <v>45528</v>
      </c>
      <c r="AU96" s="1">
        <f>IFERROR(__xludf.DUMMYFUNCTION("""COMPUTED_VALUE"""),1.0)</f>
        <v>1</v>
      </c>
      <c r="AV96" s="1" t="str">
        <f>IFERROR(__xludf.DUMMYFUNCTION("""COMPUTED_VALUE"""),"NUEVO")</f>
        <v>NUEVO</v>
      </c>
      <c r="AW96" s="1" t="str">
        <f>IFERROR(__xludf.DUMMYFUNCTION("""COMPUTED_VALUE"""),"SI")</f>
        <v>SI</v>
      </c>
      <c r="AX96" s="1"/>
      <c r="AY96" s="1" t="str">
        <f>IFERROR(__xludf.DUMMYFUNCTION("""COMPUTED_VALUE"""),"PAGO COMPLETO")</f>
        <v>PAGO COMPLETO</v>
      </c>
      <c r="AZ96" s="5">
        <f>IFERROR(__xludf.DUMMYFUNCTION("""COMPUTED_VALUE"""),45544.0)</f>
        <v>45544</v>
      </c>
      <c r="BA96" s="1">
        <f>IFERROR(__xludf.DUMMYFUNCTION("""COMPUTED_VALUE"""),600.0)</f>
        <v>600</v>
      </c>
      <c r="BB96" s="1">
        <f>IFERROR(__xludf.DUMMYFUNCTION("""COMPUTED_VALUE"""),0.0)</f>
        <v>0</v>
      </c>
      <c r="BC96" s="4">
        <f>IFERROR(__xludf.DUMMYFUNCTION("""COMPUTED_VALUE"""),0.0)</f>
        <v>0</v>
      </c>
      <c r="BD96" s="4">
        <f>IFERROR(__xludf.DUMMYFUNCTION("""COMPUTED_VALUE"""),0.0)</f>
        <v>0</v>
      </c>
      <c r="BE96" s="1">
        <f>IFERROR(__xludf.DUMMYFUNCTION("""COMPUTED_VALUE"""),9.0)</f>
        <v>9</v>
      </c>
      <c r="BF96" s="6">
        <f>IFERROR(__xludf.DUMMYFUNCTION("""COMPUTED_VALUE"""),1.0)</f>
        <v>1</v>
      </c>
      <c r="BG96" s="1">
        <f>IFERROR(__xludf.DUMMYFUNCTION("""COMPUTED_VALUE"""),1.0)</f>
        <v>1</v>
      </c>
      <c r="BH96" s="1" t="str">
        <f>IFERROR(__xludf.DUMMYFUNCTION("""COMPUTED_VALUE"""),"0")</f>
        <v>0</v>
      </c>
      <c r="BI96" s="4">
        <f>IFERROR(__xludf.DUMMYFUNCTION("""COMPUTED_VALUE"""),1250.0)</f>
        <v>1250</v>
      </c>
      <c r="BJ96" s="1">
        <f>IFERROR(__xludf.DUMMYFUNCTION("""COMPUTED_VALUE"""),0.0)</f>
        <v>0</v>
      </c>
      <c r="BK96" s="4">
        <f>IFERROR(__xludf.DUMMYFUNCTION("""COMPUTED_VALUE"""),0.0)</f>
        <v>0</v>
      </c>
      <c r="BL96" s="1">
        <f>IFERROR(__xludf.DUMMYFUNCTION("""COMPUTED_VALUE"""),1250.0)</f>
        <v>1250</v>
      </c>
      <c r="BM96" s="1">
        <f>IFERROR(__xludf.DUMMYFUNCTION("""COMPUTED_VALUE"""),37.0)</f>
        <v>37</v>
      </c>
      <c r="BN96" s="2">
        <f>IFERROR(__xludf.DUMMYFUNCTION("""COMPUTED_VALUE"""),45544.0)</f>
        <v>45544</v>
      </c>
      <c r="BO96" s="1">
        <f>IFERROR(__xludf.DUMMYFUNCTION("""COMPUTED_VALUE"""),9.0)</f>
        <v>9</v>
      </c>
      <c r="BP96" s="1">
        <f>IFERROR(__xludf.DUMMYFUNCTION("""COMPUTED_VALUE"""),2024.0)</f>
        <v>2024</v>
      </c>
    </row>
    <row r="97">
      <c r="A97" s="1">
        <f>IFERROR(__xludf.DUMMYFUNCTION("""COMPUTED_VALUE"""),96.0)</f>
        <v>96</v>
      </c>
      <c r="B97" s="1">
        <f>IFERROR(__xludf.DUMMYFUNCTION("""COMPUTED_VALUE"""),4544603.0)</f>
        <v>4544603</v>
      </c>
      <c r="C97" s="1" t="str">
        <f>IFERROR(__xludf.DUMMYFUNCTION("""COMPUTED_VALUE"""),"2025-1")</f>
        <v>2025-1</v>
      </c>
      <c r="D97" s="1" t="str">
        <f>IFERROR(__xludf.DUMMYFUNCTION("""COMPUTED_VALUE"""),"Admisión de Alto Rendimiento")</f>
        <v>Admisión de Alto Rendimiento</v>
      </c>
      <c r="E97" s="2">
        <f>IFERROR(__xludf.DUMMYFUNCTION("""COMPUTED_VALUE"""),45544.0)</f>
        <v>45544</v>
      </c>
      <c r="F97" s="1" t="str">
        <f>IFERROR(__xludf.DUMMYFUNCTION("""COMPUTED_VALUE"""),"CLAUDIA ")</f>
        <v>CLAUDIA </v>
      </c>
      <c r="G97" s="1" t="str">
        <f>IFERROR(__xludf.DUMMYFUNCTION("""COMPUTED_VALUE"""),"SABINO HUARCAYA")</f>
        <v>SABINO HUARCAYA</v>
      </c>
      <c r="H97" s="1" t="str">
        <f>IFERROR(__xludf.DUMMYFUNCTION("""COMPUTED_VALUE"""),"Psicología")</f>
        <v>Psicología</v>
      </c>
      <c r="I97" s="1" t="str">
        <f>IFERROR(__xludf.DUMMYFUNCTION("""COMPUTED_VALUE"""),"POS")</f>
        <v>POS</v>
      </c>
      <c r="J97" s="1" t="str">
        <f>IFERROR(__xludf.DUMMYFUNCTION("""COMPUTED_VALUE"""),"Diurno")</f>
        <v>Diurno</v>
      </c>
      <c r="K97" s="1" t="str">
        <f>IFERROR(__xludf.DUMMYFUNCTION("""COMPUTED_VALUE"""),"NUEVO")</f>
        <v>NUEVO</v>
      </c>
      <c r="L97" s="1">
        <f>IFERROR(__xludf.DUMMYFUNCTION("""COMPUTED_VALUE"""),0.0)</f>
        <v>0</v>
      </c>
      <c r="M97" s="1">
        <f>IFERROR(__xludf.DUMMYFUNCTION("""COMPUTED_VALUE"""),0.0)</f>
        <v>0</v>
      </c>
      <c r="N97" s="1" t="str">
        <f>IFERROR(__xludf.DUMMYFUNCTION("""COMPUTED_VALUE"""),"BECA")</f>
        <v>BECA</v>
      </c>
      <c r="O97" s="1" t="str">
        <f>IFERROR(__xludf.DUMMYFUNCTION("""COMPUTED_VALUE"""),"BECA CARRERAS NUEVAS")</f>
        <v>BECA CARRERAS NUEVAS</v>
      </c>
      <c r="P97" s="4">
        <f>IFERROR(__xludf.DUMMYFUNCTION("""COMPUTED_VALUE"""),0.0)</f>
        <v>0</v>
      </c>
      <c r="Q97" s="4">
        <f>IFERROR(__xludf.DUMMYFUNCTION("""COMPUTED_VALUE"""),0.0)</f>
        <v>0</v>
      </c>
      <c r="R97" s="4">
        <f>IFERROR(__xludf.DUMMYFUNCTION("""COMPUTED_VALUE"""),1350.0)</f>
        <v>1350</v>
      </c>
      <c r="S97" s="4">
        <f>IFERROR(__xludf.DUMMYFUNCTION("""COMPUTED_VALUE"""),1050.0)</f>
        <v>1050</v>
      </c>
      <c r="T97" s="1" t="str">
        <f>IFERROR(__xludf.DUMMYFUNCTION("""COMPUTED_VALUE"""),"NINGUNO")</f>
        <v>NINGUNO</v>
      </c>
      <c r="U97" s="1" t="str">
        <f>IFERROR(__xludf.DUMMYFUNCTION("""COMPUTED_VALUE"""),"FABIOLA")</f>
        <v>FABIOLA</v>
      </c>
      <c r="V97" s="1" t="str">
        <f>IFERROR(__xludf.DUMMYFUNCTION("""COMPUTED_VALUE"""),"Ninguno")</f>
        <v>Ninguno</v>
      </c>
      <c r="W97" s="1" t="str">
        <f>IFERROR(__xludf.DUMMYFUNCTION("""COMPUTED_VALUE"""),"Malla curricular")</f>
        <v>Malla curricular</v>
      </c>
      <c r="X97" s="1" t="str">
        <f>IFERROR(__xludf.DUMMYFUNCTION("""COMPUTED_VALUE"""),"-")</f>
        <v>-</v>
      </c>
      <c r="Y97" s="1" t="str">
        <f>IFERROR(__xludf.DUMMYFUNCTION("""COMPUTED_VALUE"""),"PAGO COMPLETO")</f>
        <v>PAGO COMPLETO</v>
      </c>
      <c r="Z97" s="1">
        <f>IFERROR(__xludf.DUMMYFUNCTION("""COMPUTED_VALUE"""),0.0)</f>
        <v>0</v>
      </c>
      <c r="AA97" s="1" t="str">
        <f>IFERROR(__xludf.DUMMYFUNCTION("""COMPUTED_VALUE"""),"-")</f>
        <v>-</v>
      </c>
      <c r="AB97" s="1">
        <f>IFERROR(__xludf.DUMMYFUNCTION("""COMPUTED_VALUE"""),0.0)</f>
        <v>0</v>
      </c>
      <c r="AC97" s="1">
        <f>IFERROR(__xludf.DUMMYFUNCTION("""COMPUTED_VALUE"""),0.0)</f>
        <v>0</v>
      </c>
      <c r="AD97" s="1" t="str">
        <f>IFERROR(__xludf.DUMMYFUNCTION("""COMPUTED_VALUE"""),"Fiorella Lanegra")</f>
        <v>Fiorella Lanegra</v>
      </c>
      <c r="AE97" s="1" t="str">
        <f>IFERROR(__xludf.DUMMYFUNCTION("""COMPUTED_VALUE"""),"0")</f>
        <v>0</v>
      </c>
      <c r="AF97" s="1">
        <f>IFERROR(__xludf.DUMMYFUNCTION("""COMPUTED_VALUE"""),2024.0)</f>
        <v>2024</v>
      </c>
      <c r="AG97" s="1">
        <f>IFERROR(__xludf.DUMMYFUNCTION("""COMPUTED_VALUE"""),546002.0)</f>
        <v>546002</v>
      </c>
      <c r="AH97" s="1">
        <f>IFERROR(__xludf.DUMMYFUNCTION("""COMPUTED_VALUE"""),17.0)</f>
        <v>17</v>
      </c>
      <c r="AI97" s="1" t="str">
        <f>IFERROR(__xludf.DUMMYFUNCTION("""COMPUTED_VALUE"""),"0000394371")</f>
        <v>0000394371</v>
      </c>
      <c r="AJ97" s="1">
        <f>IFERROR(__xludf.DUMMYFUNCTION("""COMPUTED_VALUE"""),6.1045985E7)</f>
        <v>61045985</v>
      </c>
      <c r="AK97" s="1">
        <f>IFERROR(__xludf.DUMMYFUNCTION("""COMPUTED_VALUE"""),9.657845E8)</f>
        <v>965784500</v>
      </c>
      <c r="AL97" s="1" t="str">
        <f>IFERROR(__xludf.DUMMYFUNCTION("""COMPUTED_VALUE"""),"sabinoclaudia239@gmail.com")</f>
        <v>sabinoclaudia239@gmail.com</v>
      </c>
      <c r="AM97" s="1" t="str">
        <f>IFERROR(__xludf.DUMMYFUNCTION("""COMPUTED_VALUE"""),"FEMENINO")</f>
        <v>FEMENINO</v>
      </c>
      <c r="AN97" s="1">
        <f>IFERROR(__xludf.DUMMYFUNCTION("""COMPUTED_VALUE"""),1350.0)</f>
        <v>1350</v>
      </c>
      <c r="AO97" s="1">
        <f>IFERROR(__xludf.DUMMYFUNCTION("""COMPUTED_VALUE"""),0.0)</f>
        <v>0</v>
      </c>
      <c r="AP97" s="1" t="str">
        <f>IFERROR(__xludf.DUMMYFUNCTION("""COMPUTED_VALUE"""),"FORMULARIO")</f>
        <v>FORMULARIO</v>
      </c>
      <c r="AQ97" s="1" t="str">
        <f>IFERROR(__xludf.DUMMYFUNCTION("""COMPUTED_VALUE"""),"SEARCH MARCA")</f>
        <v>SEARCH MARCA</v>
      </c>
      <c r="AR97" s="1" t="str">
        <f>IFERROR(__xludf.DUMMYFUNCTION("""COMPUTED_VALUE"""),"NUEVO")</f>
        <v>NUEVO</v>
      </c>
      <c r="AS97" s="1" t="str">
        <f>IFERROR(__xludf.DUMMYFUNCTION("""COMPUTED_VALUE"""),"ucal-pg-performance-sedes-abierta-cpl-search_conversion_marca-20240401")</f>
        <v>ucal-pg-performance-sedes-abierta-cpl-search_conversion_marca-20240401</v>
      </c>
      <c r="AT97" s="2">
        <f>IFERROR(__xludf.DUMMYFUNCTION("""COMPUTED_VALUE"""),45534.0)</f>
        <v>45534</v>
      </c>
      <c r="AU97" s="1">
        <f>IFERROR(__xludf.DUMMYFUNCTION("""COMPUTED_VALUE"""),1.0)</f>
        <v>1</v>
      </c>
      <c r="AV97" s="1" t="str">
        <f>IFERROR(__xludf.DUMMYFUNCTION("""COMPUTED_VALUE"""),"NUEVO")</f>
        <v>NUEVO</v>
      </c>
      <c r="AW97" s="1" t="str">
        <f>IFERROR(__xludf.DUMMYFUNCTION("""COMPUTED_VALUE"""),"SI")</f>
        <v>SI</v>
      </c>
      <c r="AX97" s="1"/>
      <c r="AY97" s="1" t="str">
        <f>IFERROR(__xludf.DUMMYFUNCTION("""COMPUTED_VALUE"""),"PAGO COMPLETO")</f>
        <v>PAGO COMPLETO</v>
      </c>
      <c r="AZ97" s="5">
        <f>IFERROR(__xludf.DUMMYFUNCTION("""COMPUTED_VALUE"""),45544.0)</f>
        <v>45544</v>
      </c>
      <c r="BA97" s="1">
        <f>IFERROR(__xludf.DUMMYFUNCTION("""COMPUTED_VALUE"""),0.0)</f>
        <v>0</v>
      </c>
      <c r="BB97" s="1">
        <f>IFERROR(__xludf.DUMMYFUNCTION("""COMPUTED_VALUE"""),0.0)</f>
        <v>0</v>
      </c>
      <c r="BC97" s="4">
        <f>IFERROR(__xludf.DUMMYFUNCTION("""COMPUTED_VALUE"""),0.0)</f>
        <v>0</v>
      </c>
      <c r="BD97" s="4">
        <f>IFERROR(__xludf.DUMMYFUNCTION("""COMPUTED_VALUE"""),0.0)</f>
        <v>0</v>
      </c>
      <c r="BE97" s="1">
        <f>IFERROR(__xludf.DUMMYFUNCTION("""COMPUTED_VALUE"""),9.0)</f>
        <v>9</v>
      </c>
      <c r="BF97" s="6">
        <f>IFERROR(__xludf.DUMMYFUNCTION("""COMPUTED_VALUE"""),1.0)</f>
        <v>1</v>
      </c>
      <c r="BG97" s="1">
        <f>IFERROR(__xludf.DUMMYFUNCTION("""COMPUTED_VALUE"""),1.0)</f>
        <v>1</v>
      </c>
      <c r="BH97" s="1" t="str">
        <f>IFERROR(__xludf.DUMMYFUNCTION("""COMPUTED_VALUE"""),"0")</f>
        <v>0</v>
      </c>
      <c r="BI97" s="4">
        <f>IFERROR(__xludf.DUMMYFUNCTION("""COMPUTED_VALUE"""),0.0)</f>
        <v>0</v>
      </c>
      <c r="BJ97" s="1">
        <f>IFERROR(__xludf.DUMMYFUNCTION("""COMPUTED_VALUE"""),0.0)</f>
        <v>0</v>
      </c>
      <c r="BK97" s="4">
        <f>IFERROR(__xludf.DUMMYFUNCTION("""COMPUTED_VALUE"""),0.0)</f>
        <v>0</v>
      </c>
      <c r="BL97" s="1">
        <f>IFERROR(__xludf.DUMMYFUNCTION("""COMPUTED_VALUE"""),1050.0)</f>
        <v>1050</v>
      </c>
      <c r="BM97" s="1">
        <f>IFERROR(__xludf.DUMMYFUNCTION("""COMPUTED_VALUE"""),37.0)</f>
        <v>37</v>
      </c>
      <c r="BN97" s="2">
        <f>IFERROR(__xludf.DUMMYFUNCTION("""COMPUTED_VALUE"""),45544.0)</f>
        <v>45544</v>
      </c>
      <c r="BO97" s="1">
        <f>IFERROR(__xludf.DUMMYFUNCTION("""COMPUTED_VALUE"""),9.0)</f>
        <v>9</v>
      </c>
      <c r="BP97" s="1">
        <f>IFERROR(__xludf.DUMMYFUNCTION("""COMPUTED_VALUE"""),2024.0)</f>
        <v>2024</v>
      </c>
    </row>
    <row r="98">
      <c r="A98" s="1">
        <f>IFERROR(__xludf.DUMMYFUNCTION("""COMPUTED_VALUE"""),97.0)</f>
        <v>97</v>
      </c>
      <c r="B98" s="1">
        <f>IFERROR(__xludf.DUMMYFUNCTION("""COMPUTED_VALUE"""),1116440.0)</f>
        <v>1116440</v>
      </c>
      <c r="C98" s="1" t="str">
        <f>IFERROR(__xludf.DUMMYFUNCTION("""COMPUTED_VALUE"""),"2025-1")</f>
        <v>2025-1</v>
      </c>
      <c r="D98" s="1" t="str">
        <f>IFERROR(__xludf.DUMMYFUNCTION("""COMPUTED_VALUE"""),"Admisión Extraordinaria (Traslados)")</f>
        <v>Admisión Extraordinaria (Traslados)</v>
      </c>
      <c r="E98" s="2">
        <f>IFERROR(__xludf.DUMMYFUNCTION("""COMPUTED_VALUE"""),45545.0)</f>
        <v>45545</v>
      </c>
      <c r="F98" s="1" t="str">
        <f>IFERROR(__xludf.DUMMYFUNCTION("""COMPUTED_VALUE"""),"GIULIANO GIUSEPPE ")</f>
        <v>GIULIANO GIUSEPPE </v>
      </c>
      <c r="G98" s="1" t="str">
        <f>IFERROR(__xludf.DUMMYFUNCTION("""COMPUTED_VALUE"""),"COGORNO PAREDES")</f>
        <v>COGORNO PAREDES</v>
      </c>
      <c r="H98" s="1" t="str">
        <f>IFERROR(__xludf.DUMMYFUNCTION("""COMPUTED_VALUE"""),"Arquitectura")</f>
        <v>Arquitectura</v>
      </c>
      <c r="I98" s="1" t="str">
        <f>IFERROR(__xludf.DUMMYFUNCTION("""COMPUTED_VALUE"""),"CARGO")</f>
        <v>CARGO</v>
      </c>
      <c r="J98" s="1" t="str">
        <f>IFERROR(__xludf.DUMMYFUNCTION("""COMPUTED_VALUE"""),"Diurno")</f>
        <v>Diurno</v>
      </c>
      <c r="K98" s="1" t="str">
        <f>IFERROR(__xludf.DUMMYFUNCTION("""COMPUTED_VALUE"""),"TRASLADO")</f>
        <v>TRASLADO</v>
      </c>
      <c r="L98" s="1">
        <f>IFERROR(__xludf.DUMMYFUNCTION("""COMPUTED_VALUE"""),1.0)</f>
        <v>1</v>
      </c>
      <c r="M98" s="1">
        <f>IFERROR(__xludf.DUMMYFUNCTION("""COMPUTED_VALUE"""),0.0)</f>
        <v>0</v>
      </c>
      <c r="N98" s="1" t="str">
        <f>IFERROR(__xludf.DUMMYFUNCTION("""COMPUTED_VALUE"""),"RECA")</f>
        <v>RECA</v>
      </c>
      <c r="O98" s="1" t="str">
        <f>IFERROR(__xludf.DUMMYFUNCTION("""COMPUTED_VALUE"""),"RECA TRASLADO CON CONVA")</f>
        <v>RECA TRASLADO CON CONVA</v>
      </c>
      <c r="P98" s="4">
        <f>IFERROR(__xludf.DUMMYFUNCTION("""COMPUTED_VALUE"""),0.0)</f>
        <v>0</v>
      </c>
      <c r="Q98" s="4">
        <f>IFERROR(__xludf.DUMMYFUNCTION("""COMPUTED_VALUE"""),0.0)</f>
        <v>0</v>
      </c>
      <c r="R98" s="4">
        <f>IFERROR(__xludf.DUMMYFUNCTION("""COMPUTED_VALUE"""),1775.0)</f>
        <v>1775</v>
      </c>
      <c r="S98" s="4">
        <f>IFERROR(__xludf.DUMMYFUNCTION("""COMPUTED_VALUE"""),900.0)</f>
        <v>900</v>
      </c>
      <c r="T98" s="1" t="str">
        <f>IFERROR(__xludf.DUMMYFUNCTION("""COMPUTED_VALUE"""),"NINGUNO")</f>
        <v>NINGUNO</v>
      </c>
      <c r="U98" s="1" t="str">
        <f>IFERROR(__xludf.DUMMYFUNCTION("""COMPUTED_VALUE"""),"FABIOLA")</f>
        <v>FABIOLA</v>
      </c>
      <c r="V98" s="1" t="str">
        <f>IFERROR(__xludf.DUMMYFUNCTION("""COMPUTED_VALUE"""),"Ninguno")</f>
        <v>Ninguno</v>
      </c>
      <c r="W98" s="1" t="str">
        <f>IFERROR(__xludf.DUMMYFUNCTION("""COMPUTED_VALUE"""),"Egresados")</f>
        <v>Egresados</v>
      </c>
      <c r="X98" s="1" t="str">
        <f>IFERROR(__xludf.DUMMYFUNCTION("""COMPUTED_VALUE"""),"-")</f>
        <v>-</v>
      </c>
      <c r="Y98" s="1" t="str">
        <f>IFERROR(__xludf.DUMMYFUNCTION("""COMPUTED_VALUE"""),"PAGO COMPLETO")</f>
        <v>PAGO COMPLETO</v>
      </c>
      <c r="Z98" s="1">
        <f>IFERROR(__xludf.DUMMYFUNCTION("""COMPUTED_VALUE"""),0.0)</f>
        <v>0</v>
      </c>
      <c r="AA98" s="1" t="str">
        <f>IFERROR(__xludf.DUMMYFUNCTION("""COMPUTED_VALUE"""),"-")</f>
        <v>-</v>
      </c>
      <c r="AB98" s="1">
        <f>IFERROR(__xludf.DUMMYFUNCTION("""COMPUTED_VALUE"""),1.0)</f>
        <v>1</v>
      </c>
      <c r="AC98" s="1">
        <f>IFERROR(__xludf.DUMMYFUNCTION("""COMPUTED_VALUE"""),0.0)</f>
        <v>0</v>
      </c>
      <c r="AD98" s="1" t="str">
        <f>IFERROR(__xludf.DUMMYFUNCTION("""COMPUTED_VALUE"""),"Andrea Araujo Antara")</f>
        <v>Andrea Araujo Antara</v>
      </c>
      <c r="AE98" s="1" t="str">
        <f>IFERROR(__xludf.DUMMYFUNCTION("""COMPUTED_VALUE"""),"Instituto de Educación Superior Tecnológico Privado Toulouse Lautrec")</f>
        <v>Instituto de Educación Superior Tecnológico Privado Toulouse Lautrec</v>
      </c>
      <c r="AF98" s="1">
        <f>IFERROR(__xludf.DUMMYFUNCTION("""COMPUTED_VALUE"""),2019.0)</f>
        <v>2019</v>
      </c>
      <c r="AG98" s="1">
        <f>IFERROR(__xludf.DUMMYFUNCTION("""COMPUTED_VALUE"""),1362227.0)</f>
        <v>1362227</v>
      </c>
      <c r="AH98" s="1">
        <f>IFERROR(__xludf.DUMMYFUNCTION("""COMPUTED_VALUE"""),25.0)</f>
        <v>25</v>
      </c>
      <c r="AI98" s="1" t="str">
        <f>IFERROR(__xludf.DUMMYFUNCTION("""COMPUTED_VALUE"""),"0000031986")</f>
        <v>0000031986</v>
      </c>
      <c r="AJ98" s="1">
        <f>IFERROR(__xludf.DUMMYFUNCTION("""COMPUTED_VALUE"""),7.6874251E7)</f>
        <v>76874251</v>
      </c>
      <c r="AK98" s="1">
        <f>IFERROR(__xludf.DUMMYFUNCTION("""COMPUTED_VALUE"""),9.70808638E8)</f>
        <v>970808638</v>
      </c>
      <c r="AL98" s="1" t="str">
        <f>IFERROR(__xludf.DUMMYFUNCTION("""COMPUTED_VALUE"""),"PAREDES@gmail.com")</f>
        <v>PAREDES@gmail.com</v>
      </c>
      <c r="AM98" s="1" t="str">
        <f>IFERROR(__xludf.DUMMYFUNCTION("""COMPUTED_VALUE"""),"MASCULINO")</f>
        <v>MASCULINO</v>
      </c>
      <c r="AN98" s="1">
        <f>IFERROR(__xludf.DUMMYFUNCTION("""COMPUTED_VALUE"""),1775.0)</f>
        <v>1775</v>
      </c>
      <c r="AO98" s="1">
        <f>IFERROR(__xludf.DUMMYFUNCTION("""COMPUTED_VALUE"""),390.0)</f>
        <v>390</v>
      </c>
      <c r="AP98" s="1" t="str">
        <f>IFERROR(__xludf.DUMMYFUNCTION("""COMPUTED_VALUE"""),"OUTBOUND")</f>
        <v>OUTBOUND</v>
      </c>
      <c r="AQ98" s="1" t="str">
        <f>IFERROR(__xludf.DUMMYFUNCTION("""COMPUTED_VALUE"""),"OUTBOUND")</f>
        <v>OUTBOUND</v>
      </c>
      <c r="AR98" s="1" t="str">
        <f>IFERROR(__xludf.DUMMYFUNCTION("""COMPUTED_VALUE"""),"HEREDADO")</f>
        <v>HEREDADO</v>
      </c>
      <c r="AS98" s="1"/>
      <c r="AT98" s="2">
        <f>IFERROR(__xludf.DUMMYFUNCTION("""COMPUTED_VALUE"""),45544.0)</f>
        <v>45544</v>
      </c>
      <c r="AU98" s="1">
        <f>IFERROR(__xludf.DUMMYFUNCTION("""COMPUTED_VALUE"""),1.0)</f>
        <v>1</v>
      </c>
      <c r="AV98" s="1" t="str">
        <f>IFERROR(__xludf.DUMMYFUNCTION("""COMPUTED_VALUE"""),"TRASLADO")</f>
        <v>TRASLADO</v>
      </c>
      <c r="AW98" s="1" t="str">
        <f>IFERROR(__xludf.DUMMYFUNCTION("""COMPUTED_VALUE"""),"SI")</f>
        <v>SI</v>
      </c>
      <c r="AX98" s="1"/>
      <c r="AY98" s="1" t="str">
        <f>IFERROR(__xludf.DUMMYFUNCTION("""COMPUTED_VALUE"""),"PAGO COMPLETO")</f>
        <v>PAGO COMPLETO</v>
      </c>
      <c r="AZ98" s="5">
        <f>IFERROR(__xludf.DUMMYFUNCTION("""COMPUTED_VALUE"""),45545.0)</f>
        <v>45545</v>
      </c>
      <c r="BA98" s="1">
        <f>IFERROR(__xludf.DUMMYFUNCTION("""COMPUTED_VALUE"""),0.0)</f>
        <v>0</v>
      </c>
      <c r="BB98" s="1">
        <f>IFERROR(__xludf.DUMMYFUNCTION("""COMPUTED_VALUE"""),0.0)</f>
        <v>0</v>
      </c>
      <c r="BC98" s="4">
        <f>IFERROR(__xludf.DUMMYFUNCTION("""COMPUTED_VALUE"""),0.0)</f>
        <v>0</v>
      </c>
      <c r="BD98" s="4">
        <f>IFERROR(__xludf.DUMMYFUNCTION("""COMPUTED_VALUE"""),0.0)</f>
        <v>0</v>
      </c>
      <c r="BE98" s="1">
        <f>IFERROR(__xludf.DUMMYFUNCTION("""COMPUTED_VALUE"""),9.0)</f>
        <v>9</v>
      </c>
      <c r="BF98" s="6">
        <f>IFERROR(__xludf.DUMMYFUNCTION("""COMPUTED_VALUE"""),1.0)</f>
        <v>1</v>
      </c>
      <c r="BG98" s="1">
        <f>IFERROR(__xludf.DUMMYFUNCTION("""COMPUTED_VALUE"""),1.0)</f>
        <v>1</v>
      </c>
      <c r="BH98" s="1" t="str">
        <f>IFERROR(__xludf.DUMMYFUNCTION("""COMPUTED_VALUE"""),"0")</f>
        <v>0</v>
      </c>
      <c r="BI98" s="4">
        <f>IFERROR(__xludf.DUMMYFUNCTION("""COMPUTED_VALUE"""),0.0)</f>
        <v>0</v>
      </c>
      <c r="BJ98" s="1">
        <f>IFERROR(__xludf.DUMMYFUNCTION("""COMPUTED_VALUE"""),0.0)</f>
        <v>0</v>
      </c>
      <c r="BK98" s="4">
        <f>IFERROR(__xludf.DUMMYFUNCTION("""COMPUTED_VALUE"""),0.0)</f>
        <v>0</v>
      </c>
      <c r="BL98" s="1">
        <f>IFERROR(__xludf.DUMMYFUNCTION("""COMPUTED_VALUE"""),900.0)</f>
        <v>900</v>
      </c>
      <c r="BM98" s="1">
        <f>IFERROR(__xludf.DUMMYFUNCTION("""COMPUTED_VALUE"""),37.0)</f>
        <v>37</v>
      </c>
      <c r="BN98" s="2">
        <f>IFERROR(__xludf.DUMMYFUNCTION("""COMPUTED_VALUE"""),45544.0)</f>
        <v>45544</v>
      </c>
      <c r="BO98" s="1">
        <f>IFERROR(__xludf.DUMMYFUNCTION("""COMPUTED_VALUE"""),9.0)</f>
        <v>9</v>
      </c>
      <c r="BP98" s="1">
        <f>IFERROR(__xludf.DUMMYFUNCTION("""COMPUTED_VALUE"""),2024.0)</f>
        <v>2024</v>
      </c>
    </row>
    <row r="99">
      <c r="A99" s="1">
        <f>IFERROR(__xludf.DUMMYFUNCTION("""COMPUTED_VALUE"""),98.0)</f>
        <v>98</v>
      </c>
      <c r="B99" s="1">
        <f>IFERROR(__xludf.DUMMYFUNCTION("""COMPUTED_VALUE"""),4549248.0)</f>
        <v>4549248</v>
      </c>
      <c r="C99" s="1" t="str">
        <f>IFERROR(__xludf.DUMMYFUNCTION("""COMPUTED_VALUE"""),"2025-1")</f>
        <v>2025-1</v>
      </c>
      <c r="D99" s="1" t="str">
        <f>IFERROR(__xludf.DUMMYFUNCTION("""COMPUTED_VALUE"""),"Admisión de Alto Rendimiento")</f>
        <v>Admisión de Alto Rendimiento</v>
      </c>
      <c r="E99" s="2">
        <f>IFERROR(__xludf.DUMMYFUNCTION("""COMPUTED_VALUE"""),45545.0)</f>
        <v>45545</v>
      </c>
      <c r="F99" s="1" t="str">
        <f>IFERROR(__xludf.DUMMYFUNCTION("""COMPUTED_VALUE"""),"ARIADNA JEZABEL ")</f>
        <v>ARIADNA JEZABEL </v>
      </c>
      <c r="G99" s="1" t="str">
        <f>IFERROR(__xludf.DUMMYFUNCTION("""COMPUTED_VALUE"""),"LOPEZ CAHUANA")</f>
        <v>LOPEZ CAHUANA</v>
      </c>
      <c r="H99" s="1" t="str">
        <f>IFERROR(__xludf.DUMMYFUNCTION("""COMPUTED_VALUE"""),"Diseño Gráfico Publicitario")</f>
        <v>Diseño Gráfico Publicitario</v>
      </c>
      <c r="I99" s="1" t="str">
        <f>IFERROR(__xludf.DUMMYFUNCTION("""COMPUTED_VALUE"""),"CARGO")</f>
        <v>CARGO</v>
      </c>
      <c r="J99" s="1" t="str">
        <f>IFERROR(__xludf.DUMMYFUNCTION("""COMPUTED_VALUE"""),"Diurno")</f>
        <v>Diurno</v>
      </c>
      <c r="K99" s="1" t="str">
        <f>IFERROR(__xludf.DUMMYFUNCTION("""COMPUTED_VALUE"""),"NUEVO")</f>
        <v>NUEVO</v>
      </c>
      <c r="L99" s="1">
        <f>IFERROR(__xludf.DUMMYFUNCTION("""COMPUTED_VALUE"""),0.0)</f>
        <v>0</v>
      </c>
      <c r="M99" s="1">
        <f>IFERROR(__xludf.DUMMYFUNCTION("""COMPUTED_VALUE"""),0.0)</f>
        <v>0</v>
      </c>
      <c r="N99" s="1" t="str">
        <f>IFERROR(__xludf.DUMMYFUNCTION("""COMPUTED_VALUE"""),"BECA")</f>
        <v>BECA</v>
      </c>
      <c r="O99" s="1" t="str">
        <f>IFERROR(__xludf.DUMMYFUNCTION("""COMPUTED_VALUE"""),"BECA CARRERAS CORE")</f>
        <v>BECA CARRERAS CORE</v>
      </c>
      <c r="P99" s="4">
        <f>IFERROR(__xludf.DUMMYFUNCTION("""COMPUTED_VALUE"""),0.0)</f>
        <v>0</v>
      </c>
      <c r="Q99" s="4">
        <f>IFERROR(__xludf.DUMMYFUNCTION("""COMPUTED_VALUE"""),0.0)</f>
        <v>0</v>
      </c>
      <c r="R99" s="4">
        <f>IFERROR(__xludf.DUMMYFUNCTION("""COMPUTED_VALUE"""),1600.0)</f>
        <v>1600</v>
      </c>
      <c r="S99" s="4">
        <f>IFERROR(__xludf.DUMMYFUNCTION("""COMPUTED_VALUE"""),1280.0)</f>
        <v>1280</v>
      </c>
      <c r="T99" s="1" t="str">
        <f>IFERROR(__xludf.DUMMYFUNCTION("""COMPUTED_VALUE"""),"NINGUNO")</f>
        <v>NINGUNO</v>
      </c>
      <c r="U99" s="1" t="str">
        <f>IFERROR(__xludf.DUMMYFUNCTION("""COMPUTED_VALUE"""),"FABIOLA")</f>
        <v>FABIOLA</v>
      </c>
      <c r="V99" s="1" t="str">
        <f>IFERROR(__xludf.DUMMYFUNCTION("""COMPUTED_VALUE"""),"Ninguno")</f>
        <v>Ninguno</v>
      </c>
      <c r="W99" s="1" t="str">
        <f>IFERROR(__xludf.DUMMYFUNCTION("""COMPUTED_VALUE"""),"Malla curricular")</f>
        <v>Malla curricular</v>
      </c>
      <c r="X99" s="1" t="str">
        <f>IFERROR(__xludf.DUMMYFUNCTION("""COMPUTED_VALUE"""),"-")</f>
        <v>-</v>
      </c>
      <c r="Y99" s="1" t="str">
        <f>IFERROR(__xludf.DUMMYFUNCTION("""COMPUTED_VALUE"""),"PAGO COMPLETO")</f>
        <v>PAGO COMPLETO</v>
      </c>
      <c r="Z99" s="1">
        <f>IFERROR(__xludf.DUMMYFUNCTION("""COMPUTED_VALUE"""),0.0)</f>
        <v>0</v>
      </c>
      <c r="AA99" s="1" t="str">
        <f>IFERROR(__xludf.DUMMYFUNCTION("""COMPUTED_VALUE"""),"-")</f>
        <v>-</v>
      </c>
      <c r="AB99" s="1">
        <f>IFERROR(__xludf.DUMMYFUNCTION("""COMPUTED_VALUE"""),0.0)</f>
        <v>0</v>
      </c>
      <c r="AC99" s="1">
        <f>IFERROR(__xludf.DUMMYFUNCTION("""COMPUTED_VALUE"""),0.0)</f>
        <v>0</v>
      </c>
      <c r="AD99" s="1" t="str">
        <f>IFERROR(__xludf.DUMMYFUNCTION("""COMPUTED_VALUE"""),"Angelica Iparraguirre")</f>
        <v>Angelica Iparraguirre</v>
      </c>
      <c r="AE99" s="1" t="str">
        <f>IFERROR(__xludf.DUMMYFUNCTION("""COMPUTED_VALUE"""),"0")</f>
        <v>0</v>
      </c>
      <c r="AF99" s="1">
        <f>IFERROR(__xludf.DUMMYFUNCTION("""COMPUTED_VALUE"""),2024.0)</f>
        <v>2024</v>
      </c>
      <c r="AG99" s="1">
        <f>IFERROR(__xludf.DUMMYFUNCTION("""COMPUTED_VALUE"""),1509751.0)</f>
        <v>1509751</v>
      </c>
      <c r="AH99" s="1">
        <f>IFERROR(__xludf.DUMMYFUNCTION("""COMPUTED_VALUE"""),17.0)</f>
        <v>17</v>
      </c>
      <c r="AI99" s="1" t="str">
        <f>IFERROR(__xludf.DUMMYFUNCTION("""COMPUTED_VALUE"""),"0000394498")</f>
        <v>0000394498</v>
      </c>
      <c r="AJ99" s="1">
        <f>IFERROR(__xludf.DUMMYFUNCTION("""COMPUTED_VALUE"""),7.0707244E7)</f>
        <v>70707244</v>
      </c>
      <c r="AK99" s="1">
        <f>IFERROR(__xludf.DUMMYFUNCTION("""COMPUTED_VALUE"""),9.64203903E8)</f>
        <v>964203903</v>
      </c>
      <c r="AL99" s="1" t="str">
        <f>IFERROR(__xludf.DUMMYFUNCTION("""COMPUTED_VALUE"""),"ariadnalopezcahuana@gmail.com")</f>
        <v>ariadnalopezcahuana@gmail.com</v>
      </c>
      <c r="AM99" s="1" t="str">
        <f>IFERROR(__xludf.DUMMYFUNCTION("""COMPUTED_VALUE"""),"FEMENINO")</f>
        <v>FEMENINO</v>
      </c>
      <c r="AN99" s="1">
        <f>IFERROR(__xludf.DUMMYFUNCTION("""COMPUTED_VALUE"""),1850.0)</f>
        <v>1850</v>
      </c>
      <c r="AO99" s="1">
        <f>IFERROR(__xludf.DUMMYFUNCTION("""COMPUTED_VALUE"""),665.0)</f>
        <v>665</v>
      </c>
      <c r="AP99" s="1" t="str">
        <f>IFERROR(__xludf.DUMMYFUNCTION("""COMPUTED_VALUE"""),"BIDIRECCIONAL")</f>
        <v>BIDIRECCIONAL</v>
      </c>
      <c r="AQ99" s="1" t="str">
        <f>IFERROR(__xludf.DUMMYFUNCTION("""COMPUTED_VALUE"""),"SEARCH MARCA")</f>
        <v>SEARCH MARCA</v>
      </c>
      <c r="AR99" s="1" t="str">
        <f>IFERROR(__xludf.DUMMYFUNCTION("""COMPUTED_VALUE"""),"NUEVO")</f>
        <v>NUEVO</v>
      </c>
      <c r="AS99" s="1" t="str">
        <f>IFERROR(__xludf.DUMMYFUNCTION("""COMPUTED_VALUE"""),"ucal-pg-performance-sedes-abierta-cpl-search_conversion_marca-20240401")</f>
        <v>ucal-pg-performance-sedes-abierta-cpl-search_conversion_marca-20240401</v>
      </c>
      <c r="AT99" s="2">
        <f>IFERROR(__xludf.DUMMYFUNCTION("""COMPUTED_VALUE"""),45537.0)</f>
        <v>45537</v>
      </c>
      <c r="AU99" s="1">
        <f>IFERROR(__xludf.DUMMYFUNCTION("""COMPUTED_VALUE"""),1.0)</f>
        <v>1</v>
      </c>
      <c r="AV99" s="1" t="str">
        <f>IFERROR(__xludf.DUMMYFUNCTION("""COMPUTED_VALUE"""),"NUEVO")</f>
        <v>NUEVO</v>
      </c>
      <c r="AW99" s="1" t="str">
        <f>IFERROR(__xludf.DUMMYFUNCTION("""COMPUTED_VALUE"""),"SI")</f>
        <v>SI</v>
      </c>
      <c r="AX99" s="1"/>
      <c r="AY99" s="1" t="str">
        <f>IFERROR(__xludf.DUMMYFUNCTION("""COMPUTED_VALUE"""),"PAGO COMPLETO")</f>
        <v>PAGO COMPLETO</v>
      </c>
      <c r="AZ99" s="5">
        <f>IFERROR(__xludf.DUMMYFUNCTION("""COMPUTED_VALUE"""),45545.0)</f>
        <v>45545</v>
      </c>
      <c r="BA99" s="1">
        <f>IFERROR(__xludf.DUMMYFUNCTION("""COMPUTED_VALUE"""),0.0)</f>
        <v>0</v>
      </c>
      <c r="BB99" s="1">
        <f>IFERROR(__xludf.DUMMYFUNCTION("""COMPUTED_VALUE"""),0.0)</f>
        <v>0</v>
      </c>
      <c r="BC99" s="4">
        <f>IFERROR(__xludf.DUMMYFUNCTION("""COMPUTED_VALUE"""),0.0)</f>
        <v>0</v>
      </c>
      <c r="BD99" s="4">
        <f>IFERROR(__xludf.DUMMYFUNCTION("""COMPUTED_VALUE"""),0.0)</f>
        <v>0</v>
      </c>
      <c r="BE99" s="1">
        <f>IFERROR(__xludf.DUMMYFUNCTION("""COMPUTED_VALUE"""),9.0)</f>
        <v>9</v>
      </c>
      <c r="BF99" s="6">
        <f>IFERROR(__xludf.DUMMYFUNCTION("""COMPUTED_VALUE"""),1.0)</f>
        <v>1</v>
      </c>
      <c r="BG99" s="1">
        <f>IFERROR(__xludf.DUMMYFUNCTION("""COMPUTED_VALUE"""),1.0)</f>
        <v>1</v>
      </c>
      <c r="BH99" s="1" t="str">
        <f>IFERROR(__xludf.DUMMYFUNCTION("""COMPUTED_VALUE"""),"0")</f>
        <v>0</v>
      </c>
      <c r="BI99" s="4">
        <f>IFERROR(__xludf.DUMMYFUNCTION("""COMPUTED_VALUE"""),0.0)</f>
        <v>0</v>
      </c>
      <c r="BJ99" s="1">
        <f>IFERROR(__xludf.DUMMYFUNCTION("""COMPUTED_VALUE"""),0.0)</f>
        <v>0</v>
      </c>
      <c r="BK99" s="4">
        <f>IFERROR(__xludf.DUMMYFUNCTION("""COMPUTED_VALUE"""),0.0)</f>
        <v>0</v>
      </c>
      <c r="BL99" s="1">
        <f>IFERROR(__xludf.DUMMYFUNCTION("""COMPUTED_VALUE"""),1280.0)</f>
        <v>1280</v>
      </c>
      <c r="BM99" s="1">
        <f>IFERROR(__xludf.DUMMYFUNCTION("""COMPUTED_VALUE"""),37.0)</f>
        <v>37</v>
      </c>
      <c r="BN99" s="2">
        <f>IFERROR(__xludf.DUMMYFUNCTION("""COMPUTED_VALUE"""),45544.0)</f>
        <v>45544</v>
      </c>
      <c r="BO99" s="1">
        <f>IFERROR(__xludf.DUMMYFUNCTION("""COMPUTED_VALUE"""),9.0)</f>
        <v>9</v>
      </c>
      <c r="BP99" s="1">
        <f>IFERROR(__xludf.DUMMYFUNCTION("""COMPUTED_VALUE"""),2024.0)</f>
        <v>2024</v>
      </c>
    </row>
    <row r="100">
      <c r="A100" s="1">
        <f>IFERROR(__xludf.DUMMYFUNCTION("""COMPUTED_VALUE"""),99.0)</f>
        <v>99</v>
      </c>
      <c r="B100" s="1">
        <f>IFERROR(__xludf.DUMMYFUNCTION("""COMPUTED_VALUE"""),1698973.0)</f>
        <v>1698973</v>
      </c>
      <c r="C100" s="1" t="str">
        <f>IFERROR(__xludf.DUMMYFUNCTION("""COMPUTED_VALUE"""),"2025-1")</f>
        <v>2025-1</v>
      </c>
      <c r="D100" s="1" t="str">
        <f>IFERROR(__xludf.DUMMYFUNCTION("""COMPUTED_VALUE"""),"Admisión Extraordinaria (Traslados)")</f>
        <v>Admisión Extraordinaria (Traslados)</v>
      </c>
      <c r="E100" s="2">
        <f>IFERROR(__xludf.DUMMYFUNCTION("""COMPUTED_VALUE"""),45547.0)</f>
        <v>45547</v>
      </c>
      <c r="F100" s="1" t="str">
        <f>IFERROR(__xludf.DUMMYFUNCTION("""COMPUTED_VALUE"""),"ANDREA LUCIA ")</f>
        <v>ANDREA LUCIA </v>
      </c>
      <c r="G100" s="1" t="str">
        <f>IFERROR(__xludf.DUMMYFUNCTION("""COMPUTED_VALUE"""),"HERAUD FERNANDEZ")</f>
        <v>HERAUD FERNANDEZ</v>
      </c>
      <c r="H100" s="1" t="str">
        <f>IFERROR(__xludf.DUMMYFUNCTION("""COMPUTED_VALUE"""),"Arquitectura de Interiores")</f>
        <v>Arquitectura de Interiores</v>
      </c>
      <c r="I100" s="1" t="str">
        <f>IFERROR(__xludf.DUMMYFUNCTION("""COMPUTED_VALUE"""),"Pago Link")</f>
        <v>Pago Link</v>
      </c>
      <c r="J100" s="1" t="str">
        <f>IFERROR(__xludf.DUMMYFUNCTION("""COMPUTED_VALUE"""),"Diurno")</f>
        <v>Diurno</v>
      </c>
      <c r="K100" s="1" t="str">
        <f>IFERROR(__xludf.DUMMYFUNCTION("""COMPUTED_VALUE"""),"TRASLADO")</f>
        <v>TRASLADO</v>
      </c>
      <c r="L100" s="1">
        <f>IFERROR(__xludf.DUMMYFUNCTION("""COMPUTED_VALUE"""),0.0)</f>
        <v>0</v>
      </c>
      <c r="M100" s="1">
        <f>IFERROR(__xludf.DUMMYFUNCTION("""COMPUTED_VALUE"""),1.0)</f>
        <v>1</v>
      </c>
      <c r="N100" s="1" t="str">
        <f>IFERROR(__xludf.DUMMYFUNCTION("""COMPUTED_VALUE"""),"RECA")</f>
        <v>RECA</v>
      </c>
      <c r="O100" s="1" t="str">
        <f>IFERROR(__xludf.DUMMYFUNCTION("""COMPUTED_VALUE"""),"RECA TRASLADO SIN CONVA")</f>
        <v>RECA TRASLADO SIN CONVA</v>
      </c>
      <c r="P100" s="4">
        <f>IFERROR(__xludf.DUMMYFUNCTION("""COMPUTED_VALUE"""),0.0)</f>
        <v>0</v>
      </c>
      <c r="Q100" s="4">
        <f>IFERROR(__xludf.DUMMYFUNCTION("""COMPUTED_VALUE"""),0.0)</f>
        <v>0</v>
      </c>
      <c r="R100" s="4">
        <f>IFERROR(__xludf.DUMMYFUNCTION("""COMPUTED_VALUE"""),1600.0)</f>
        <v>1600</v>
      </c>
      <c r="S100" s="4">
        <f>IFERROR(__xludf.DUMMYFUNCTION("""COMPUTED_VALUE"""),1250.0)</f>
        <v>1250</v>
      </c>
      <c r="T100" s="1" t="str">
        <f>IFERROR(__xludf.DUMMYFUNCTION("""COMPUTED_VALUE"""),"NINGUNO")</f>
        <v>NINGUNO</v>
      </c>
      <c r="U100" s="1" t="str">
        <f>IFERROR(__xludf.DUMMYFUNCTION("""COMPUTED_VALUE"""),"FABIOLA")</f>
        <v>FABIOLA</v>
      </c>
      <c r="V100" s="1" t="str">
        <f>IFERROR(__xludf.DUMMYFUNCTION("""COMPUTED_VALUE"""),"Ninguno")</f>
        <v>Ninguno</v>
      </c>
      <c r="W100" s="1" t="str">
        <f>IFERROR(__xludf.DUMMYFUNCTION("""COMPUTED_VALUE"""),"Bolsa Laboral")</f>
        <v>Bolsa Laboral</v>
      </c>
      <c r="X100" s="1" t="str">
        <f>IFERROR(__xludf.DUMMYFUNCTION("""COMPUTED_VALUE"""),"-")</f>
        <v>-</v>
      </c>
      <c r="Y100" s="1" t="str">
        <f>IFERROR(__xludf.DUMMYFUNCTION("""COMPUTED_VALUE"""),"PAGO FRACCIONADO")</f>
        <v>PAGO FRACCIONADO</v>
      </c>
      <c r="Z100" s="1">
        <f>IFERROR(__xludf.DUMMYFUNCTION("""COMPUTED_VALUE"""),800.0)</f>
        <v>800</v>
      </c>
      <c r="AA100" s="1" t="str">
        <f>IFERROR(__xludf.DUMMYFUNCTION("""COMPUTED_VALUE"""),"28/09/2024")</f>
        <v>28/09/2024</v>
      </c>
      <c r="AB100" s="1">
        <f>IFERROR(__xludf.DUMMYFUNCTION("""COMPUTED_VALUE"""),0.0)</f>
        <v>0</v>
      </c>
      <c r="AC100" s="1">
        <f>IFERROR(__xludf.DUMMYFUNCTION("""COMPUTED_VALUE"""),0.0)</f>
        <v>0</v>
      </c>
      <c r="AD100" s="1" t="str">
        <f>IFERROR(__xludf.DUMMYFUNCTION("""COMPUTED_VALUE"""),"Andrea Araujo Antara")</f>
        <v>Andrea Araujo Antara</v>
      </c>
      <c r="AE100" s="1" t="str">
        <f>IFERROR(__xludf.DUMMYFUNCTION("""COMPUTED_VALUE"""),"Instituto de Educación Superior Tecnológico Privado Toulouse Lautrec")</f>
        <v>Instituto de Educación Superior Tecnológico Privado Toulouse Lautrec</v>
      </c>
      <c r="AF100" s="1">
        <f>IFERROR(__xludf.DUMMYFUNCTION("""COMPUTED_VALUE"""),2018.0)</f>
        <v>2018</v>
      </c>
      <c r="AG100" s="1">
        <f>IFERROR(__xludf.DUMMYFUNCTION("""COMPUTED_VALUE"""),1041730.0)</f>
        <v>1041730</v>
      </c>
      <c r="AH100" s="1">
        <f>IFERROR(__xludf.DUMMYFUNCTION("""COMPUTED_VALUE"""),23.0)</f>
        <v>23</v>
      </c>
      <c r="AI100" s="1" t="str">
        <f>IFERROR(__xludf.DUMMYFUNCTION("""COMPUTED_VALUE"""),"0000032242")</f>
        <v>0000032242</v>
      </c>
      <c r="AJ100" s="1">
        <f>IFERROR(__xludf.DUMMYFUNCTION("""COMPUTED_VALUE"""),7.6990243E7)</f>
        <v>76990243</v>
      </c>
      <c r="AK100" s="1">
        <f>IFERROR(__xludf.DUMMYFUNCTION("""COMPUTED_VALUE"""),9.77581858E8)</f>
        <v>977581858</v>
      </c>
      <c r="AL100" s="1" t="str">
        <f>IFERROR(__xludf.DUMMYFUNCTION("""COMPUTED_VALUE"""),"andreaheraud2@gmail.com")</f>
        <v>andreaheraud2@gmail.com</v>
      </c>
      <c r="AM100" s="1" t="str">
        <f>IFERROR(__xludf.DUMMYFUNCTION("""COMPUTED_VALUE"""),"FEMENINO")</f>
        <v>FEMENINO</v>
      </c>
      <c r="AN100" s="1">
        <f>IFERROR(__xludf.DUMMYFUNCTION("""COMPUTED_VALUE"""),2900.0)</f>
        <v>2900</v>
      </c>
      <c r="AO100" s="1">
        <f>IFERROR(__xludf.DUMMYFUNCTION("""COMPUTED_VALUE"""),1960.0)</f>
        <v>1960</v>
      </c>
      <c r="AP100" s="1" t="str">
        <f>IFERROR(__xludf.DUMMYFUNCTION("""COMPUTED_VALUE"""),"FORMULARIO")</f>
        <v>FORMULARIO</v>
      </c>
      <c r="AQ100" s="1" t="str">
        <f>IFERROR(__xludf.DUMMYFUNCTION("""COMPUTED_VALUE"""),"SEARCH MARCA")</f>
        <v>SEARCH MARCA</v>
      </c>
      <c r="AR100" s="1" t="str">
        <f>IFERROR(__xludf.DUMMYFUNCTION("""COMPUTED_VALUE"""),"HEREDADO")</f>
        <v>HEREDADO</v>
      </c>
      <c r="AS100" s="1" t="str">
        <f>IFERROR(__xludf.DUMMYFUNCTION("""COMPUTED_VALUE"""),"ucal-pg-performance-sedes-abierta-cpl-search_conversion_marca-20240401")</f>
        <v>ucal-pg-performance-sedes-abierta-cpl-search_conversion_marca-20240401</v>
      </c>
      <c r="AT100" s="2">
        <f>IFERROR(__xludf.DUMMYFUNCTION("""COMPUTED_VALUE"""),45542.0)</f>
        <v>45542</v>
      </c>
      <c r="AU100" s="1">
        <f>IFERROR(__xludf.DUMMYFUNCTION("""COMPUTED_VALUE"""),1.0)</f>
        <v>1</v>
      </c>
      <c r="AV100" s="1" t="str">
        <f>IFERROR(__xludf.DUMMYFUNCTION("""COMPUTED_VALUE"""),"NUEVO")</f>
        <v>NUEVO</v>
      </c>
      <c r="AW100" s="1" t="str">
        <f>IFERROR(__xludf.DUMMYFUNCTION("""COMPUTED_VALUE"""),"SI")</f>
        <v>SI</v>
      </c>
      <c r="AX100" s="1"/>
      <c r="AY100" s="1" t="str">
        <f>IFERROR(__xludf.DUMMYFUNCTION("""COMPUTED_VALUE"""),"PAGO COMPLETO")</f>
        <v>PAGO COMPLETO</v>
      </c>
      <c r="AZ100" s="5">
        <f>IFERROR(__xludf.DUMMYFUNCTION("""COMPUTED_VALUE"""),45561.0)</f>
        <v>45561</v>
      </c>
      <c r="BA100" s="1">
        <f>IFERROR(__xludf.DUMMYFUNCTION("""COMPUTED_VALUE"""),450.0)</f>
        <v>450</v>
      </c>
      <c r="BB100" s="1">
        <f>IFERROR(__xludf.DUMMYFUNCTION("""COMPUTED_VALUE"""),0.0)</f>
        <v>0</v>
      </c>
      <c r="BC100" s="4">
        <f>IFERROR(__xludf.DUMMYFUNCTION("""COMPUTED_VALUE"""),0.0)</f>
        <v>0</v>
      </c>
      <c r="BD100" s="4">
        <f>IFERROR(__xludf.DUMMYFUNCTION("""COMPUTED_VALUE"""),0.0)</f>
        <v>0</v>
      </c>
      <c r="BE100" s="1">
        <f>IFERROR(__xludf.DUMMYFUNCTION("""COMPUTED_VALUE"""),9.0)</f>
        <v>9</v>
      </c>
      <c r="BF100" s="6">
        <f>IFERROR(__xludf.DUMMYFUNCTION("""COMPUTED_VALUE"""),1.0)</f>
        <v>1</v>
      </c>
      <c r="BG100" s="1">
        <f>IFERROR(__xludf.DUMMYFUNCTION("""COMPUTED_VALUE"""),1.0)</f>
        <v>1</v>
      </c>
      <c r="BH100" s="1" t="str">
        <f>IFERROR(__xludf.DUMMYFUNCTION("""COMPUTED_VALUE"""),"0")</f>
        <v>0</v>
      </c>
      <c r="BI100" s="4">
        <f>IFERROR(__xludf.DUMMYFUNCTION("""COMPUTED_VALUE"""),1250.0)</f>
        <v>1250</v>
      </c>
      <c r="BJ100" s="1">
        <f>IFERROR(__xludf.DUMMYFUNCTION("""COMPUTED_VALUE"""),0.0)</f>
        <v>0</v>
      </c>
      <c r="BK100" s="4">
        <f>IFERROR(__xludf.DUMMYFUNCTION("""COMPUTED_VALUE"""),0.0)</f>
        <v>0</v>
      </c>
      <c r="BL100" s="1">
        <f>IFERROR(__xludf.DUMMYFUNCTION("""COMPUTED_VALUE"""),1250.0)</f>
        <v>1250</v>
      </c>
      <c r="BM100" s="1">
        <f>IFERROR(__xludf.DUMMYFUNCTION("""COMPUTED_VALUE"""),37.0)</f>
        <v>37</v>
      </c>
      <c r="BN100" s="2">
        <f>IFERROR(__xludf.DUMMYFUNCTION("""COMPUTED_VALUE"""),45544.0)</f>
        <v>45544</v>
      </c>
      <c r="BO100" s="1">
        <f>IFERROR(__xludf.DUMMYFUNCTION("""COMPUTED_VALUE"""),9.0)</f>
        <v>9</v>
      </c>
      <c r="BP100" s="1">
        <f>IFERROR(__xludf.DUMMYFUNCTION("""COMPUTED_VALUE"""),2024.0)</f>
        <v>2024</v>
      </c>
    </row>
    <row r="101">
      <c r="A101" s="1">
        <f>IFERROR(__xludf.DUMMYFUNCTION("""COMPUTED_VALUE"""),100.0)</f>
        <v>100</v>
      </c>
      <c r="B101" s="1">
        <f>IFERROR(__xludf.DUMMYFUNCTION("""COMPUTED_VALUE"""),2032530.0)</f>
        <v>2032530</v>
      </c>
      <c r="C101" s="1" t="str">
        <f>IFERROR(__xludf.DUMMYFUNCTION("""COMPUTED_VALUE"""),"2025-1")</f>
        <v>2025-1</v>
      </c>
      <c r="D101" s="1" t="str">
        <f>IFERROR(__xludf.DUMMYFUNCTION("""COMPUTED_VALUE"""),"Admisión Extraordinaria (Traslados)")</f>
        <v>Admisión Extraordinaria (Traslados)</v>
      </c>
      <c r="E101" s="2">
        <f>IFERROR(__xludf.DUMMYFUNCTION("""COMPUTED_VALUE"""),45549.0)</f>
        <v>45549</v>
      </c>
      <c r="F101" s="1" t="str">
        <f>IFERROR(__xludf.DUMMYFUNCTION("""COMPUTED_VALUE"""),"CAMILA AZUCENA")</f>
        <v>CAMILA AZUCENA</v>
      </c>
      <c r="G101" s="1" t="str">
        <f>IFERROR(__xludf.DUMMYFUNCTION("""COMPUTED_VALUE"""),"INGA CASTILLO")</f>
        <v>INGA CASTILLO</v>
      </c>
      <c r="H101" s="1" t="str">
        <f>IFERROR(__xludf.DUMMYFUNCTION("""COMPUTED_VALUE"""),"Comunicación Audiovisual y Cine")</f>
        <v>Comunicación Audiovisual y Cine</v>
      </c>
      <c r="I101" s="1" t="str">
        <f>IFERROR(__xludf.DUMMYFUNCTION("""COMPUTED_VALUE"""),"POS")</f>
        <v>POS</v>
      </c>
      <c r="J101" s="1" t="str">
        <f>IFERROR(__xludf.DUMMYFUNCTION("""COMPUTED_VALUE"""),"Diurno")</f>
        <v>Diurno</v>
      </c>
      <c r="K101" s="1" t="str">
        <f>IFERROR(__xludf.DUMMYFUNCTION("""COMPUTED_VALUE"""),"TRASLADO")</f>
        <v>TRASLADO</v>
      </c>
      <c r="L101" s="1">
        <f>IFERROR(__xludf.DUMMYFUNCTION("""COMPUTED_VALUE"""),0.0)</f>
        <v>0</v>
      </c>
      <c r="M101" s="1">
        <f>IFERROR(__xludf.DUMMYFUNCTION("""COMPUTED_VALUE"""),0.0)</f>
        <v>0</v>
      </c>
      <c r="N101" s="1" t="str">
        <f>IFERROR(__xludf.DUMMYFUNCTION("""COMPUTED_VALUE"""),"BECA")</f>
        <v>BECA</v>
      </c>
      <c r="O101" s="1" t="str">
        <f>IFERROR(__xludf.DUMMYFUNCTION("""COMPUTED_VALUE"""),"BECA CARRERAS CORE-TRASLADOS SIN CONVA")</f>
        <v>BECA CARRERAS CORE-TRASLADOS SIN CONVA</v>
      </c>
      <c r="P101" s="4">
        <f>IFERROR(__xludf.DUMMYFUNCTION("""COMPUTED_VALUE"""),0.0)</f>
        <v>0</v>
      </c>
      <c r="Q101" s="4">
        <f>IFERROR(__xludf.DUMMYFUNCTION("""COMPUTED_VALUE"""),0.0)</f>
        <v>0</v>
      </c>
      <c r="R101" s="4">
        <f>IFERROR(__xludf.DUMMYFUNCTION("""COMPUTED_VALUE"""),1350.0)</f>
        <v>1350</v>
      </c>
      <c r="S101" s="4">
        <f>IFERROR(__xludf.DUMMYFUNCTION("""COMPUTED_VALUE"""),1000.0)</f>
        <v>1000</v>
      </c>
      <c r="T101" s="1" t="str">
        <f>IFERROR(__xludf.DUMMYFUNCTION("""COMPUTED_VALUE"""),"Visita Guiada")</f>
        <v>Visita Guiada</v>
      </c>
      <c r="U101" s="1" t="str">
        <f>IFERROR(__xludf.DUMMYFUNCTION("""COMPUTED_VALUE"""),"FABIOLA")</f>
        <v>FABIOLA</v>
      </c>
      <c r="V101" s="1" t="str">
        <f>IFERROR(__xludf.DUMMYFUNCTION("""COMPUTED_VALUE"""),"Ninguno")</f>
        <v>Ninguno</v>
      </c>
      <c r="W101" s="1" t="str">
        <f>IFERROR(__xludf.DUMMYFUNCTION("""COMPUTED_VALUE"""),"Prestigio de la institución")</f>
        <v>Prestigio de la institución</v>
      </c>
      <c r="X101" s="1" t="str">
        <f>IFERROR(__xludf.DUMMYFUNCTION("""COMPUTED_VALUE"""),"-")</f>
        <v>-</v>
      </c>
      <c r="Y101" s="1" t="str">
        <f>IFERROR(__xludf.DUMMYFUNCTION("""COMPUTED_VALUE"""),"PAGO FRACCIONADO")</f>
        <v>PAGO FRACCIONADO</v>
      </c>
      <c r="Z101" s="1">
        <f>IFERROR(__xludf.DUMMYFUNCTION("""COMPUTED_VALUE"""),450.0)</f>
        <v>450</v>
      </c>
      <c r="AA101" s="1" t="str">
        <f>IFERROR(__xludf.DUMMYFUNCTION("""COMPUTED_VALUE"""),"28/09/2024")</f>
        <v>28/09/2024</v>
      </c>
      <c r="AB101" s="1">
        <f>IFERROR(__xludf.DUMMYFUNCTION("""COMPUTED_VALUE"""),1.0)</f>
        <v>1</v>
      </c>
      <c r="AC101" s="1">
        <f>IFERROR(__xludf.DUMMYFUNCTION("""COMPUTED_VALUE"""),0.0)</f>
        <v>0</v>
      </c>
      <c r="AD101" s="1" t="str">
        <f>IFERROR(__xludf.DUMMYFUNCTION("""COMPUTED_VALUE"""),"Angelica Iparraguirre")</f>
        <v>Angelica Iparraguirre</v>
      </c>
      <c r="AE101" s="1" t="str">
        <f>IFERROR(__xludf.DUMMYFUNCTION("""COMPUTED_VALUE"""),"Senati")</f>
        <v>Senati</v>
      </c>
      <c r="AF101" s="1">
        <f>IFERROR(__xludf.DUMMYFUNCTION("""COMPUTED_VALUE"""),2021.0)</f>
        <v>2021</v>
      </c>
      <c r="AG101" s="1">
        <f>IFERROR(__xludf.DUMMYFUNCTION("""COMPUTED_VALUE"""),356295.0)</f>
        <v>356295</v>
      </c>
      <c r="AH101" s="1">
        <f>IFERROR(__xludf.DUMMYFUNCTION("""COMPUTED_VALUE"""),19.0)</f>
        <v>19</v>
      </c>
      <c r="AI101" s="1" t="str">
        <f>IFERROR(__xludf.DUMMYFUNCTION("""COMPUTED_VALUE"""),"0000394848")</f>
        <v>0000394848</v>
      </c>
      <c r="AJ101" s="1">
        <f>IFERROR(__xludf.DUMMYFUNCTION("""COMPUTED_VALUE"""),7.3681301E7)</f>
        <v>73681301</v>
      </c>
      <c r="AK101" s="1">
        <f>IFERROR(__xludf.DUMMYFUNCTION("""COMPUTED_VALUE"""),9.97438998E8)</f>
        <v>997438998</v>
      </c>
      <c r="AL101" s="1" t="str">
        <f>IFERROR(__xludf.DUMMYFUNCTION("""COMPUTED_VALUE"""),"camilazucena2005@gmail.com")</f>
        <v>camilazucena2005@gmail.com</v>
      </c>
      <c r="AM101" s="1" t="str">
        <f>IFERROR(__xludf.DUMMYFUNCTION("""COMPUTED_VALUE"""),"FEMENINO")</f>
        <v>FEMENINO</v>
      </c>
      <c r="AN101" s="1">
        <f>IFERROR(__xludf.DUMMYFUNCTION("""COMPUTED_VALUE"""),1350.0)</f>
        <v>1350</v>
      </c>
      <c r="AO101" s="1">
        <f>IFERROR(__xludf.DUMMYFUNCTION("""COMPUTED_VALUE"""),0.0)</f>
        <v>0</v>
      </c>
      <c r="AP101" s="1" t="str">
        <f>IFERROR(__xludf.DUMMYFUNCTION("""COMPUTED_VALUE"""),"INBOUND")</f>
        <v>INBOUND</v>
      </c>
      <c r="AQ101" s="1" t="str">
        <f>IFERROR(__xludf.DUMMYFUNCTION("""COMPUTED_VALUE"""),"INBOUND")</f>
        <v>INBOUND</v>
      </c>
      <c r="AR101" s="1" t="str">
        <f>IFERROR(__xludf.DUMMYFUNCTION("""COMPUTED_VALUE"""),"HEREDADO")</f>
        <v>HEREDADO</v>
      </c>
      <c r="AS101" s="1"/>
      <c r="AT101" s="2">
        <f>IFERROR(__xludf.DUMMYFUNCTION("""COMPUTED_VALUE"""),45548.0)</f>
        <v>45548</v>
      </c>
      <c r="AU101" s="1">
        <f>IFERROR(__xludf.DUMMYFUNCTION("""COMPUTED_VALUE"""),1.0)</f>
        <v>1</v>
      </c>
      <c r="AV101" s="1" t="str">
        <f>IFERROR(__xludf.DUMMYFUNCTION("""COMPUTED_VALUE"""),"NUEVO")</f>
        <v>NUEVO</v>
      </c>
      <c r="AW101" s="1" t="str">
        <f>IFERROR(__xludf.DUMMYFUNCTION("""COMPUTED_VALUE"""),"SI")</f>
        <v>SI</v>
      </c>
      <c r="AX101" s="1"/>
      <c r="AY101" s="1" t="str">
        <f>IFERROR(__xludf.DUMMYFUNCTION("""COMPUTED_VALUE"""),"PAGO COMPLETO")</f>
        <v>PAGO COMPLETO</v>
      </c>
      <c r="AZ101" s="5">
        <f>IFERROR(__xludf.DUMMYFUNCTION("""COMPUTED_VALUE"""),45552.0)</f>
        <v>45552</v>
      </c>
      <c r="BA101" s="1">
        <f>IFERROR(__xludf.DUMMYFUNCTION("""COMPUTED_VALUE"""),450.0)</f>
        <v>450</v>
      </c>
      <c r="BB101" s="1">
        <f>IFERROR(__xludf.DUMMYFUNCTION("""COMPUTED_VALUE"""),0.0)</f>
        <v>0</v>
      </c>
      <c r="BC101" s="4">
        <f>IFERROR(__xludf.DUMMYFUNCTION("""COMPUTED_VALUE"""),0.0)</f>
        <v>0</v>
      </c>
      <c r="BD101" s="4">
        <f>IFERROR(__xludf.DUMMYFUNCTION("""COMPUTED_VALUE"""),100.0)</f>
        <v>100</v>
      </c>
      <c r="BE101" s="1">
        <f>IFERROR(__xludf.DUMMYFUNCTION("""COMPUTED_VALUE"""),9.0)</f>
        <v>9</v>
      </c>
      <c r="BF101" s="6">
        <f>IFERROR(__xludf.DUMMYFUNCTION("""COMPUTED_VALUE"""),1.0)</f>
        <v>1</v>
      </c>
      <c r="BG101" s="1">
        <f>IFERROR(__xludf.DUMMYFUNCTION("""COMPUTED_VALUE"""),1.0)</f>
        <v>1</v>
      </c>
      <c r="BH101" s="1" t="str">
        <f>IFERROR(__xludf.DUMMYFUNCTION("""COMPUTED_VALUE"""),"0")</f>
        <v>0</v>
      </c>
      <c r="BI101" s="4">
        <f>IFERROR(__xludf.DUMMYFUNCTION("""COMPUTED_VALUE"""),1000.0)</f>
        <v>1000</v>
      </c>
      <c r="BJ101" s="1">
        <f>IFERROR(__xludf.DUMMYFUNCTION("""COMPUTED_VALUE"""),0.0)</f>
        <v>0</v>
      </c>
      <c r="BK101" s="4">
        <f>IFERROR(__xludf.DUMMYFUNCTION("""COMPUTED_VALUE"""),100.0)</f>
        <v>100</v>
      </c>
      <c r="BL101" s="1">
        <f>IFERROR(__xludf.DUMMYFUNCTION("""COMPUTED_VALUE"""),980.0)</f>
        <v>980</v>
      </c>
      <c r="BM101" s="1">
        <f>IFERROR(__xludf.DUMMYFUNCTION("""COMPUTED_VALUE"""),37.0)</f>
        <v>37</v>
      </c>
      <c r="BN101" s="2">
        <f>IFERROR(__xludf.DUMMYFUNCTION("""COMPUTED_VALUE"""),45544.0)</f>
        <v>45544</v>
      </c>
      <c r="BO101" s="1">
        <f>IFERROR(__xludf.DUMMYFUNCTION("""COMPUTED_VALUE"""),9.0)</f>
        <v>9</v>
      </c>
      <c r="BP101" s="1">
        <f>IFERROR(__xludf.DUMMYFUNCTION("""COMPUTED_VALUE"""),2024.0)</f>
        <v>2024</v>
      </c>
    </row>
    <row r="102">
      <c r="A102" s="1">
        <f>IFERROR(__xludf.DUMMYFUNCTION("""COMPUTED_VALUE"""),101.0)</f>
        <v>101</v>
      </c>
      <c r="B102" s="1">
        <f>IFERROR(__xludf.DUMMYFUNCTION("""COMPUTED_VALUE"""),2057082.0)</f>
        <v>2057082</v>
      </c>
      <c r="C102" s="1" t="str">
        <f>IFERROR(__xludf.DUMMYFUNCTION("""COMPUTED_VALUE"""),"2025-1")</f>
        <v>2025-1</v>
      </c>
      <c r="D102" s="1" t="str">
        <f>IFERROR(__xludf.DUMMYFUNCTION("""COMPUTED_VALUE"""),"Admisión Ordinaria")</f>
        <v>Admisión Ordinaria</v>
      </c>
      <c r="E102" s="2">
        <f>IFERROR(__xludf.DUMMYFUNCTION("""COMPUTED_VALUE"""),45549.0)</f>
        <v>45549</v>
      </c>
      <c r="F102" s="1" t="str">
        <f>IFERROR(__xludf.DUMMYFUNCTION("""COMPUTED_VALUE"""),"DANIEL EDUARDO")</f>
        <v>DANIEL EDUARDO</v>
      </c>
      <c r="G102" s="1" t="str">
        <f>IFERROR(__xludf.DUMMYFUNCTION("""COMPUTED_VALUE"""),"PALOMINO DE LA CRUZ")</f>
        <v>PALOMINO DE LA CRUZ</v>
      </c>
      <c r="H102" s="1" t="str">
        <f>IFERROR(__xludf.DUMMYFUNCTION("""COMPUTED_VALUE"""),"Diseño Gráfico Publicitario")</f>
        <v>Diseño Gráfico Publicitario</v>
      </c>
      <c r="I102" s="1" t="str">
        <f>IFERROR(__xludf.DUMMYFUNCTION("""COMPUTED_VALUE"""),"Pago Link")</f>
        <v>Pago Link</v>
      </c>
      <c r="J102" s="1" t="str">
        <f>IFERROR(__xludf.DUMMYFUNCTION("""COMPUTED_VALUE"""),"Diurno")</f>
        <v>Diurno</v>
      </c>
      <c r="K102" s="1" t="str">
        <f>IFERROR(__xludf.DUMMYFUNCTION("""COMPUTED_VALUE"""),"TRASLADO")</f>
        <v>TRASLADO</v>
      </c>
      <c r="L102" s="1">
        <f>IFERROR(__xludf.DUMMYFUNCTION("""COMPUTED_VALUE"""),0.0)</f>
        <v>0</v>
      </c>
      <c r="M102" s="1">
        <f>IFERROR(__xludf.DUMMYFUNCTION("""COMPUTED_VALUE"""),0.0)</f>
        <v>0</v>
      </c>
      <c r="N102" s="1" t="str">
        <f>IFERROR(__xludf.DUMMYFUNCTION("""COMPUTED_VALUE"""),"BECA")</f>
        <v>BECA</v>
      </c>
      <c r="O102" s="1" t="str">
        <f>IFERROR(__xludf.DUMMYFUNCTION("""COMPUTED_VALUE"""),"BECA CARRERAS CORE-TRASLADOS SIN CONVA")</f>
        <v>BECA CARRERAS CORE-TRASLADOS SIN CONVA</v>
      </c>
      <c r="P102" s="4">
        <f>IFERROR(__xludf.DUMMYFUNCTION("""COMPUTED_VALUE"""),0.0)</f>
        <v>0</v>
      </c>
      <c r="Q102" s="4">
        <f>IFERROR(__xludf.DUMMYFUNCTION("""COMPUTED_VALUE"""),0.0)</f>
        <v>0</v>
      </c>
      <c r="R102" s="4">
        <f>IFERROR(__xludf.DUMMYFUNCTION("""COMPUTED_VALUE"""),1350.0)</f>
        <v>1350</v>
      </c>
      <c r="S102" s="4">
        <f>IFERROR(__xludf.DUMMYFUNCTION("""COMPUTED_VALUE"""),1000.0)</f>
        <v>1000</v>
      </c>
      <c r="T102" s="1" t="str">
        <f>IFERROR(__xludf.DUMMYFUNCTION("""COMPUTED_VALUE"""),"Visita Guiada")</f>
        <v>Visita Guiada</v>
      </c>
      <c r="U102" s="1" t="str">
        <f>IFERROR(__xludf.DUMMYFUNCTION("""COMPUTED_VALUE"""),"FABIOLA")</f>
        <v>FABIOLA</v>
      </c>
      <c r="V102" s="1" t="str">
        <f>IFERROR(__xludf.DUMMYFUNCTION("""COMPUTED_VALUE"""),"Ninguno")</f>
        <v>Ninguno</v>
      </c>
      <c r="W102" s="1" t="str">
        <f>IFERROR(__xludf.DUMMYFUNCTION("""COMPUTED_VALUE"""),"Malla curricular")</f>
        <v>Malla curricular</v>
      </c>
      <c r="X102" s="1" t="str">
        <f>IFERROR(__xludf.DUMMYFUNCTION("""COMPUTED_VALUE"""),"-")</f>
        <v>-</v>
      </c>
      <c r="Y102" s="1" t="str">
        <f>IFERROR(__xludf.DUMMYFUNCTION("""COMPUTED_VALUE"""),"PAGO FRACCIONADO")</f>
        <v>PAGO FRACCIONADO</v>
      </c>
      <c r="Z102" s="1">
        <f>IFERROR(__xludf.DUMMYFUNCTION("""COMPUTED_VALUE"""),450.0)</f>
        <v>450</v>
      </c>
      <c r="AA102" s="1" t="str">
        <f>IFERROR(__xludf.DUMMYFUNCTION("""COMPUTED_VALUE"""),"30/11/2024")</f>
        <v>30/11/2024</v>
      </c>
      <c r="AB102" s="1">
        <f>IFERROR(__xludf.DUMMYFUNCTION("""COMPUTED_VALUE"""),1.0)</f>
        <v>1</v>
      </c>
      <c r="AC102" s="1">
        <f>IFERROR(__xludf.DUMMYFUNCTION("""COMPUTED_VALUE"""),0.0)</f>
        <v>0</v>
      </c>
      <c r="AD102" s="1" t="str">
        <f>IFERROR(__xludf.DUMMYFUNCTION("""COMPUTED_VALUE"""),"Angelica Iparraguirre")</f>
        <v>Angelica Iparraguirre</v>
      </c>
      <c r="AE102" s="1" t="str">
        <f>IFERROR(__xludf.DUMMYFUNCTION("""COMPUTED_VALUE"""),"UTP")</f>
        <v>UTP</v>
      </c>
      <c r="AF102" s="1">
        <f>IFERROR(__xludf.DUMMYFUNCTION("""COMPUTED_VALUE"""),2018.0)</f>
        <v>2018</v>
      </c>
      <c r="AG102" s="1">
        <f>IFERROR(__xludf.DUMMYFUNCTION("""COMPUTED_VALUE"""),1140573.0)</f>
        <v>1140573</v>
      </c>
      <c r="AH102" s="1">
        <f>IFERROR(__xludf.DUMMYFUNCTION("""COMPUTED_VALUE"""),22.0)</f>
        <v>22</v>
      </c>
      <c r="AI102" s="1" t="str">
        <f>IFERROR(__xludf.DUMMYFUNCTION("""COMPUTED_VALUE"""),"0000394846")</f>
        <v>0000394846</v>
      </c>
      <c r="AJ102" s="1">
        <f>IFERROR(__xludf.DUMMYFUNCTION("""COMPUTED_VALUE"""),7.5246158E7)</f>
        <v>75246158</v>
      </c>
      <c r="AK102" s="1">
        <f>IFERROR(__xludf.DUMMYFUNCTION("""COMPUTED_VALUE"""),9.854996E8)</f>
        <v>985499600</v>
      </c>
      <c r="AL102" s="1" t="str">
        <f>IFERROR(__xludf.DUMMYFUNCTION("""COMPUTED_VALUE"""),"dragonroj@outlook.es")</f>
        <v>dragonroj@outlook.es</v>
      </c>
      <c r="AM102" s="1" t="str">
        <f>IFERROR(__xludf.DUMMYFUNCTION("""COMPUTED_VALUE"""),"MASCULINO")</f>
        <v>MASCULINO</v>
      </c>
      <c r="AN102" s="1">
        <f>IFERROR(__xludf.DUMMYFUNCTION("""COMPUTED_VALUE"""),1350.0)</f>
        <v>1350</v>
      </c>
      <c r="AO102" s="1">
        <f>IFERROR(__xludf.DUMMYFUNCTION("""COMPUTED_VALUE"""),560.0)</f>
        <v>560</v>
      </c>
      <c r="AP102" s="1" t="str">
        <f>IFERROR(__xludf.DUMMYFUNCTION("""COMPUTED_VALUE"""),"BIDIRECCIONAL")</f>
        <v>BIDIRECCIONAL</v>
      </c>
      <c r="AQ102" s="1" t="str">
        <f>IFERROR(__xludf.DUMMYFUNCTION("""COMPUTED_VALUE"""),"ORGANICO")</f>
        <v>ORGANICO</v>
      </c>
      <c r="AR102" s="1" t="str">
        <f>IFERROR(__xludf.DUMMYFUNCTION("""COMPUTED_VALUE"""),"NUEVO")</f>
        <v>NUEVO</v>
      </c>
      <c r="AS102" s="1"/>
      <c r="AT102" s="2">
        <f>IFERROR(__xludf.DUMMYFUNCTION("""COMPUTED_VALUE"""),45547.0)</f>
        <v>45547</v>
      </c>
      <c r="AU102" s="1">
        <f>IFERROR(__xludf.DUMMYFUNCTION("""COMPUTED_VALUE"""),1.0)</f>
        <v>1</v>
      </c>
      <c r="AV102" s="1" t="str">
        <f>IFERROR(__xludf.DUMMYFUNCTION("""COMPUTED_VALUE"""),"NUEVO")</f>
        <v>NUEVO</v>
      </c>
      <c r="AW102" s="1" t="str">
        <f>IFERROR(__xludf.DUMMYFUNCTION("""COMPUTED_VALUE"""),"SI")</f>
        <v>SI</v>
      </c>
      <c r="AX102" s="1"/>
      <c r="AY102" s="1" t="str">
        <f>IFERROR(__xludf.DUMMYFUNCTION("""COMPUTED_VALUE"""),"PAGO FRACCIONADO")</f>
        <v>PAGO FRACCIONADO</v>
      </c>
      <c r="AZ102" s="1"/>
      <c r="BA102" s="1">
        <f>IFERROR(__xludf.DUMMYFUNCTION("""COMPUTED_VALUE"""),0.0)</f>
        <v>0</v>
      </c>
      <c r="BB102" s="1">
        <f>IFERROR(__xludf.DUMMYFUNCTION("""COMPUTED_VALUE"""),0.0)</f>
        <v>0</v>
      </c>
      <c r="BC102" s="4">
        <f>IFERROR(__xludf.DUMMYFUNCTION("""COMPUTED_VALUE"""),450.0)</f>
        <v>450</v>
      </c>
      <c r="BD102" s="4">
        <f>IFERROR(__xludf.DUMMYFUNCTION("""COMPUTED_VALUE"""),100.0)</f>
        <v>100</v>
      </c>
      <c r="BE102" s="1">
        <f>IFERROR(__xludf.DUMMYFUNCTION("""COMPUTED_VALUE"""),9.0)</f>
        <v>9</v>
      </c>
      <c r="BF102" s="6">
        <f>IFERROR(__xludf.DUMMYFUNCTION("""COMPUTED_VALUE"""),0.5)</f>
        <v>0.5</v>
      </c>
      <c r="BG102" s="1">
        <f>IFERROR(__xludf.DUMMYFUNCTION("""COMPUTED_VALUE"""),1.0)</f>
        <v>1</v>
      </c>
      <c r="BH102" s="1" t="str">
        <f>IFERROR(__xludf.DUMMYFUNCTION("""COMPUTED_VALUE"""),"0")</f>
        <v>0</v>
      </c>
      <c r="BI102" s="4">
        <f>IFERROR(__xludf.DUMMYFUNCTION("""COMPUTED_VALUE"""),550.0)</f>
        <v>550</v>
      </c>
      <c r="BJ102" s="1">
        <f>IFERROR(__xludf.DUMMYFUNCTION("""COMPUTED_VALUE"""),0.0)</f>
        <v>0</v>
      </c>
      <c r="BK102" s="4">
        <f>IFERROR(__xludf.DUMMYFUNCTION("""COMPUTED_VALUE"""),100.0)</f>
        <v>100</v>
      </c>
      <c r="BL102" s="1">
        <f>IFERROR(__xludf.DUMMYFUNCTION("""COMPUTED_VALUE"""),980.0)</f>
        <v>980</v>
      </c>
      <c r="BM102" s="1">
        <f>IFERROR(__xludf.DUMMYFUNCTION("""COMPUTED_VALUE"""),37.0)</f>
        <v>37</v>
      </c>
      <c r="BN102" s="2">
        <f>IFERROR(__xludf.DUMMYFUNCTION("""COMPUTED_VALUE"""),45544.0)</f>
        <v>45544</v>
      </c>
      <c r="BO102" s="1">
        <f>IFERROR(__xludf.DUMMYFUNCTION("""COMPUTED_VALUE"""),9.0)</f>
        <v>9</v>
      </c>
      <c r="BP102" s="1">
        <f>IFERROR(__xludf.DUMMYFUNCTION("""COMPUTED_VALUE"""),2024.0)</f>
        <v>2024</v>
      </c>
    </row>
    <row r="103">
      <c r="A103" s="1">
        <f>IFERROR(__xludf.DUMMYFUNCTION("""COMPUTED_VALUE"""),102.0)</f>
        <v>102</v>
      </c>
      <c r="B103" s="1">
        <f>IFERROR(__xludf.DUMMYFUNCTION("""COMPUTED_VALUE"""),4589587.0)</f>
        <v>4589587</v>
      </c>
      <c r="C103" s="1" t="str">
        <f>IFERROR(__xludf.DUMMYFUNCTION("""COMPUTED_VALUE"""),"2025-1")</f>
        <v>2025-1</v>
      </c>
      <c r="D103" s="1" t="str">
        <f>IFERROR(__xludf.DUMMYFUNCTION("""COMPUTED_VALUE"""),"Admisión Ordinaria")</f>
        <v>Admisión Ordinaria</v>
      </c>
      <c r="E103" s="2">
        <f>IFERROR(__xludf.DUMMYFUNCTION("""COMPUTED_VALUE"""),45551.0)</f>
        <v>45551</v>
      </c>
      <c r="F103" s="1" t="str">
        <f>IFERROR(__xludf.DUMMYFUNCTION("""COMPUTED_VALUE"""),"NADIA LETICIA")</f>
        <v>NADIA LETICIA</v>
      </c>
      <c r="G103" s="1" t="str">
        <f>IFERROR(__xludf.DUMMYFUNCTION("""COMPUTED_VALUE"""),"ESCALANTE RIVAS")</f>
        <v>ESCALANTE RIVAS</v>
      </c>
      <c r="H103" s="1" t="str">
        <f>IFERROR(__xludf.DUMMYFUNCTION("""COMPUTED_VALUE"""),"Comunicación Audiovisual y Cine")</f>
        <v>Comunicación Audiovisual y Cine</v>
      </c>
      <c r="I103" s="1" t="str">
        <f>IFERROR(__xludf.DUMMYFUNCTION("""COMPUTED_VALUE"""),"CARGO")</f>
        <v>CARGO</v>
      </c>
      <c r="J103" s="1" t="str">
        <f>IFERROR(__xludf.DUMMYFUNCTION("""COMPUTED_VALUE"""),"Diurno")</f>
        <v>Diurno</v>
      </c>
      <c r="K103" s="1" t="str">
        <f>IFERROR(__xludf.DUMMYFUNCTION("""COMPUTED_VALUE"""),"NUEVO")</f>
        <v>NUEVO</v>
      </c>
      <c r="L103" s="1">
        <f>IFERROR(__xludf.DUMMYFUNCTION("""COMPUTED_VALUE"""),0.0)</f>
        <v>0</v>
      </c>
      <c r="M103" s="1">
        <f>IFERROR(__xludf.DUMMYFUNCTION("""COMPUTED_VALUE"""),0.0)</f>
        <v>0</v>
      </c>
      <c r="N103" s="1" t="str">
        <f>IFERROR(__xludf.DUMMYFUNCTION("""COMPUTED_VALUE"""),"BECA")</f>
        <v>BECA</v>
      </c>
      <c r="O103" s="1" t="str">
        <f>IFERROR(__xludf.DUMMYFUNCTION("""COMPUTED_VALUE"""),"BECA CARRERAS CORE")</f>
        <v>BECA CARRERAS CORE</v>
      </c>
      <c r="P103" s="4">
        <f>IFERROR(__xludf.DUMMYFUNCTION("""COMPUTED_VALUE"""),0.0)</f>
        <v>0</v>
      </c>
      <c r="Q103" s="4">
        <f>IFERROR(__xludf.DUMMYFUNCTION("""COMPUTED_VALUE"""),0.0)</f>
        <v>0</v>
      </c>
      <c r="R103" s="4">
        <f>IFERROR(__xludf.DUMMYFUNCTION("""COMPUTED_VALUE"""),1350.0)</f>
        <v>1350</v>
      </c>
      <c r="S103" s="4">
        <f>IFERROR(__xludf.DUMMYFUNCTION("""COMPUTED_VALUE"""),1075.0)</f>
        <v>1075</v>
      </c>
      <c r="T103" s="1" t="str">
        <f>IFERROR(__xludf.DUMMYFUNCTION("""COMPUTED_VALUE"""),"NINGUNO")</f>
        <v>NINGUNO</v>
      </c>
      <c r="U103" s="1" t="str">
        <f>IFERROR(__xludf.DUMMYFUNCTION("""COMPUTED_VALUE"""),"SEBASTIAN")</f>
        <v>SEBASTIAN</v>
      </c>
      <c r="V103" s="1" t="str">
        <f>IFERROR(__xludf.DUMMYFUNCTION("""COMPUTED_VALUE"""),"Ninguno")</f>
        <v>Ninguno</v>
      </c>
      <c r="W103" s="1" t="str">
        <f>IFERROR(__xludf.DUMMYFUNCTION("""COMPUTED_VALUE"""),"Bolsa Laboral")</f>
        <v>Bolsa Laboral</v>
      </c>
      <c r="X103" s="1" t="str">
        <f>IFERROR(__xludf.DUMMYFUNCTION("""COMPUTED_VALUE"""),"LE GUSTO LA MALLA Y LA BOLSA DE EMPLEABILIDAD")</f>
        <v>LE GUSTO LA MALLA Y LA BOLSA DE EMPLEABILIDAD</v>
      </c>
      <c r="Y103" s="1" t="str">
        <f>IFERROR(__xludf.DUMMYFUNCTION("""COMPUTED_VALUE"""),"PAGO COMPLETO")</f>
        <v>PAGO COMPLETO</v>
      </c>
      <c r="Z103" s="1">
        <f>IFERROR(__xludf.DUMMYFUNCTION("""COMPUTED_VALUE"""),0.0)</f>
        <v>0</v>
      </c>
      <c r="AA103" s="1" t="str">
        <f>IFERROR(__xludf.DUMMYFUNCTION("""COMPUTED_VALUE"""),"-")</f>
        <v>-</v>
      </c>
      <c r="AB103" s="1">
        <f>IFERROR(__xludf.DUMMYFUNCTION("""COMPUTED_VALUE"""),0.0)</f>
        <v>0</v>
      </c>
      <c r="AC103" s="1">
        <f>IFERROR(__xludf.DUMMYFUNCTION("""COMPUTED_VALUE"""),0.0)</f>
        <v>0</v>
      </c>
      <c r="AD103" s="1" t="str">
        <f>IFERROR(__xludf.DUMMYFUNCTION("""COMPUTED_VALUE"""),"Maria Luque")</f>
        <v>Maria Luque</v>
      </c>
      <c r="AE103" s="1" t="str">
        <f>IFERROR(__xludf.DUMMYFUNCTION("""COMPUTED_VALUE"""),"0")</f>
        <v>0</v>
      </c>
      <c r="AF103" s="1">
        <f>IFERROR(__xludf.DUMMYFUNCTION("""COMPUTED_VALUE"""),2023.0)</f>
        <v>2023</v>
      </c>
      <c r="AG103" s="1">
        <f>IFERROR(__xludf.DUMMYFUNCTION("""COMPUTED_VALUE"""),336586.0)</f>
        <v>336586</v>
      </c>
      <c r="AH103" s="1">
        <f>IFERROR(__xludf.DUMMYFUNCTION("""COMPUTED_VALUE"""),18.0)</f>
        <v>18</v>
      </c>
      <c r="AI103" s="1" t="str">
        <f>IFERROR(__xludf.DUMMYFUNCTION("""COMPUTED_VALUE"""),"0000394915")</f>
        <v>0000394915</v>
      </c>
      <c r="AJ103" s="1">
        <f>IFERROR(__xludf.DUMMYFUNCTION("""COMPUTED_VALUE"""),7.0595434E7)</f>
        <v>70595434</v>
      </c>
      <c r="AK103" s="1">
        <f>IFERROR(__xludf.DUMMYFUNCTION("""COMPUTED_VALUE"""),9.81131317E8)</f>
        <v>981131317</v>
      </c>
      <c r="AL103" s="1" t="str">
        <f>IFERROR(__xludf.DUMMYFUNCTION("""COMPUTED_VALUE"""),"escalantenadia385@gmail.com")</f>
        <v>escalantenadia385@gmail.com</v>
      </c>
      <c r="AM103" s="1" t="str">
        <f>IFERROR(__xludf.DUMMYFUNCTION("""COMPUTED_VALUE"""),"FEMENINO")</f>
        <v>FEMENINO</v>
      </c>
      <c r="AN103" s="1">
        <f>IFERROR(__xludf.DUMMYFUNCTION("""COMPUTED_VALUE"""),1350.0)</f>
        <v>1350</v>
      </c>
      <c r="AO103" s="1">
        <f>IFERROR(__xludf.DUMMYFUNCTION("""COMPUTED_VALUE"""),0.0)</f>
        <v>0</v>
      </c>
      <c r="AP103" s="1" t="str">
        <f>IFERROR(__xludf.DUMMYFUNCTION("""COMPUTED_VALUE"""),"FORMULARIO")</f>
        <v>FORMULARIO</v>
      </c>
      <c r="AQ103" s="1" t="str">
        <f>IFERROR(__xludf.DUMMYFUNCTION("""COMPUTED_VALUE"""),"SEARCH MARCA")</f>
        <v>SEARCH MARCA</v>
      </c>
      <c r="AR103" s="1" t="str">
        <f>IFERROR(__xludf.DUMMYFUNCTION("""COMPUTED_VALUE"""),"NUEVO")</f>
        <v>NUEVO</v>
      </c>
      <c r="AS103" s="1" t="str">
        <f>IFERROR(__xludf.DUMMYFUNCTION("""COMPUTED_VALUE"""),"ucal-pg-performance-sedes-abierta-cpl-extensiones_traslados_marca-20240401")</f>
        <v>ucal-pg-performance-sedes-abierta-cpl-extensiones_traslados_marca-20240401</v>
      </c>
      <c r="AT103" s="2">
        <f>IFERROR(__xludf.DUMMYFUNCTION("""COMPUTED_VALUE"""),45548.0)</f>
        <v>45548</v>
      </c>
      <c r="AU103" s="1">
        <f>IFERROR(__xludf.DUMMYFUNCTION("""COMPUTED_VALUE"""),1.0)</f>
        <v>1</v>
      </c>
      <c r="AV103" s="1" t="str">
        <f>IFERROR(__xludf.DUMMYFUNCTION("""COMPUTED_VALUE"""),"NUEVO")</f>
        <v>NUEVO</v>
      </c>
      <c r="AW103" s="1" t="str">
        <f>IFERROR(__xludf.DUMMYFUNCTION("""COMPUTED_VALUE"""),"SI")</f>
        <v>SI</v>
      </c>
      <c r="AX103" s="1"/>
      <c r="AY103" s="1" t="str">
        <f>IFERROR(__xludf.DUMMYFUNCTION("""COMPUTED_VALUE"""),"PAGO COMPLETO")</f>
        <v>PAGO COMPLETO</v>
      </c>
      <c r="AZ103" s="5">
        <f>IFERROR(__xludf.DUMMYFUNCTION("""COMPUTED_VALUE"""),45551.0)</f>
        <v>45551</v>
      </c>
      <c r="BA103" s="1">
        <f>IFERROR(__xludf.DUMMYFUNCTION("""COMPUTED_VALUE"""),0.0)</f>
        <v>0</v>
      </c>
      <c r="BB103" s="1">
        <f>IFERROR(__xludf.DUMMYFUNCTION("""COMPUTED_VALUE"""),0.0)</f>
        <v>0</v>
      </c>
      <c r="BC103" s="4">
        <f>IFERROR(__xludf.DUMMYFUNCTION("""COMPUTED_VALUE"""),0.0)</f>
        <v>0</v>
      </c>
      <c r="BD103" s="4">
        <f>IFERROR(__xludf.DUMMYFUNCTION("""COMPUTED_VALUE"""),0.0)</f>
        <v>0</v>
      </c>
      <c r="BE103" s="1">
        <f>IFERROR(__xludf.DUMMYFUNCTION("""COMPUTED_VALUE"""),9.0)</f>
        <v>9</v>
      </c>
      <c r="BF103" s="6">
        <f>IFERROR(__xludf.DUMMYFUNCTION("""COMPUTED_VALUE"""),1.0)</f>
        <v>1</v>
      </c>
      <c r="BG103" s="1">
        <f>IFERROR(__xludf.DUMMYFUNCTION("""COMPUTED_VALUE"""),1.0)</f>
        <v>1</v>
      </c>
      <c r="BH103" s="1" t="str">
        <f>IFERROR(__xludf.DUMMYFUNCTION("""COMPUTED_VALUE"""),"0")</f>
        <v>0</v>
      </c>
      <c r="BI103" s="4">
        <f>IFERROR(__xludf.DUMMYFUNCTION("""COMPUTED_VALUE"""),0.0)</f>
        <v>0</v>
      </c>
      <c r="BJ103" s="1">
        <f>IFERROR(__xludf.DUMMYFUNCTION("""COMPUTED_VALUE"""),0.0)</f>
        <v>0</v>
      </c>
      <c r="BK103" s="4">
        <f>IFERROR(__xludf.DUMMYFUNCTION("""COMPUTED_VALUE"""),0.0)</f>
        <v>0</v>
      </c>
      <c r="BL103" s="1">
        <f>IFERROR(__xludf.DUMMYFUNCTION("""COMPUTED_VALUE"""),1075.0)</f>
        <v>1075</v>
      </c>
      <c r="BM103" s="1">
        <f>IFERROR(__xludf.DUMMYFUNCTION("""COMPUTED_VALUE"""),38.0)</f>
        <v>38</v>
      </c>
      <c r="BN103" s="2">
        <f>IFERROR(__xludf.DUMMYFUNCTION("""COMPUTED_VALUE"""),45551.0)</f>
        <v>45551</v>
      </c>
      <c r="BO103" s="1">
        <f>IFERROR(__xludf.DUMMYFUNCTION("""COMPUTED_VALUE"""),9.0)</f>
        <v>9</v>
      </c>
      <c r="BP103" s="1">
        <f>IFERROR(__xludf.DUMMYFUNCTION("""COMPUTED_VALUE"""),2024.0)</f>
        <v>2024</v>
      </c>
    </row>
    <row r="104">
      <c r="A104" s="1">
        <f>IFERROR(__xludf.DUMMYFUNCTION("""COMPUTED_VALUE"""),103.0)</f>
        <v>103</v>
      </c>
      <c r="B104" s="1">
        <f>IFERROR(__xludf.DUMMYFUNCTION("""COMPUTED_VALUE"""),4592921.0)</f>
        <v>4592921</v>
      </c>
      <c r="C104" s="1" t="str">
        <f>IFERROR(__xludf.DUMMYFUNCTION("""COMPUTED_VALUE"""),"2025-1")</f>
        <v>2025-1</v>
      </c>
      <c r="D104" s="1" t="str">
        <f>IFERROR(__xludf.DUMMYFUNCTION("""COMPUTED_VALUE"""),"Admisión de Alto Rendimiento")</f>
        <v>Admisión de Alto Rendimiento</v>
      </c>
      <c r="E104" s="2">
        <f>IFERROR(__xludf.DUMMYFUNCTION("""COMPUTED_VALUE"""),45551.0)</f>
        <v>45551</v>
      </c>
      <c r="F104" s="1" t="str">
        <f>IFERROR(__xludf.DUMMYFUNCTION("""COMPUTED_VALUE"""),"ALEJANDRO MASSIMO")</f>
        <v>ALEJANDRO MASSIMO</v>
      </c>
      <c r="G104" s="1" t="str">
        <f>IFERROR(__xludf.DUMMYFUNCTION("""COMPUTED_VALUE"""),"WAM CRUZ")</f>
        <v>WAM CRUZ</v>
      </c>
      <c r="H104" s="1" t="str">
        <f>IFERROR(__xludf.DUMMYFUNCTION("""COMPUTED_VALUE"""),"Comunicación Audiovisual y Cine")</f>
        <v>Comunicación Audiovisual y Cine</v>
      </c>
      <c r="I104" s="1" t="str">
        <f>IFERROR(__xludf.DUMMYFUNCTION("""COMPUTED_VALUE"""),"Pago Link")</f>
        <v>Pago Link</v>
      </c>
      <c r="J104" s="1" t="str">
        <f>IFERROR(__xludf.DUMMYFUNCTION("""COMPUTED_VALUE"""),"Diurno")</f>
        <v>Diurno</v>
      </c>
      <c r="K104" s="1" t="str">
        <f>IFERROR(__xludf.DUMMYFUNCTION("""COMPUTED_VALUE"""),"NUEVO")</f>
        <v>NUEVO</v>
      </c>
      <c r="L104" s="1">
        <f>IFERROR(__xludf.DUMMYFUNCTION("""COMPUTED_VALUE"""),0.0)</f>
        <v>0</v>
      </c>
      <c r="M104" s="1">
        <f>IFERROR(__xludf.DUMMYFUNCTION("""COMPUTED_VALUE"""),0.0)</f>
        <v>0</v>
      </c>
      <c r="N104" s="1" t="str">
        <f>IFERROR(__xludf.DUMMYFUNCTION("""COMPUTED_VALUE"""),"BECA")</f>
        <v>BECA</v>
      </c>
      <c r="O104" s="1" t="str">
        <f>IFERROR(__xludf.DUMMYFUNCTION("""COMPUTED_VALUE"""),"BECA CADENA COLEGIOS")</f>
        <v>BECA CADENA COLEGIOS</v>
      </c>
      <c r="P104" s="4">
        <f>IFERROR(__xludf.DUMMYFUNCTION("""COMPUTED_VALUE"""),0.0)</f>
        <v>0</v>
      </c>
      <c r="Q104" s="4">
        <f>IFERROR(__xludf.DUMMYFUNCTION("""COMPUTED_VALUE"""),0.0)</f>
        <v>0</v>
      </c>
      <c r="R104" s="4">
        <f>IFERROR(__xludf.DUMMYFUNCTION("""COMPUTED_VALUE"""),1600.0)</f>
        <v>1600</v>
      </c>
      <c r="S104" s="4">
        <f>IFERROR(__xludf.DUMMYFUNCTION("""COMPUTED_VALUE"""),1200.0)</f>
        <v>1200</v>
      </c>
      <c r="T104" s="1" t="str">
        <f>IFERROR(__xludf.DUMMYFUNCTION("""COMPUTED_VALUE"""),"NINGUNO")</f>
        <v>NINGUNO</v>
      </c>
      <c r="U104" s="1" t="str">
        <f>IFERROR(__xludf.DUMMYFUNCTION("""COMPUTED_VALUE"""),"FABIOLA")</f>
        <v>FABIOLA</v>
      </c>
      <c r="V104" s="1" t="str">
        <f>IFERROR(__xludf.DUMMYFUNCTION("""COMPUTED_VALUE"""),"Ninguno")</f>
        <v>Ninguno</v>
      </c>
      <c r="W104" s="1" t="str">
        <f>IFERROR(__xludf.DUMMYFUNCTION("""COMPUTED_VALUE"""),"Metodología de enseñanza")</f>
        <v>Metodología de enseñanza</v>
      </c>
      <c r="X104" s="1" t="str">
        <f>IFERROR(__xludf.DUMMYFUNCTION("""COMPUTED_VALUE"""),"le encanto la metodología")</f>
        <v>le encanto la metodología</v>
      </c>
      <c r="Y104" s="1" t="str">
        <f>IFERROR(__xludf.DUMMYFUNCTION("""COMPUTED_VALUE"""),"PAGO FRACCIONADO")</f>
        <v>PAGO FRACCIONADO</v>
      </c>
      <c r="Z104" s="1">
        <f>IFERROR(__xludf.DUMMYFUNCTION("""COMPUTED_VALUE"""),600.0)</f>
        <v>600</v>
      </c>
      <c r="AA104" s="1" t="str">
        <f>IFERROR(__xludf.DUMMYFUNCTION("""COMPUTED_VALUE"""),"30/09/2024")</f>
        <v>30/09/2024</v>
      </c>
      <c r="AB104" s="1">
        <f>IFERROR(__xludf.DUMMYFUNCTION("""COMPUTED_VALUE"""),0.0)</f>
        <v>0</v>
      </c>
      <c r="AC104" s="1">
        <f>IFERROR(__xludf.DUMMYFUNCTION("""COMPUTED_VALUE"""),0.0)</f>
        <v>0</v>
      </c>
      <c r="AD104" s="1" t="str">
        <f>IFERROR(__xludf.DUMMYFUNCTION("""COMPUTED_VALUE"""),"Cinthia Mariella Orosco")</f>
        <v>Cinthia Mariella Orosco</v>
      </c>
      <c r="AE104" s="1" t="str">
        <f>IFERROR(__xludf.DUMMYFUNCTION("""COMPUTED_VALUE"""),"0")</f>
        <v>0</v>
      </c>
      <c r="AF104" s="1">
        <f>IFERROR(__xludf.DUMMYFUNCTION("""COMPUTED_VALUE"""),2023.0)</f>
        <v>2023</v>
      </c>
      <c r="AG104" s="1">
        <f>IFERROR(__xludf.DUMMYFUNCTION("""COMPUTED_VALUE"""),1483395.0)</f>
        <v>1483395</v>
      </c>
      <c r="AH104" s="1">
        <f>IFERROR(__xludf.DUMMYFUNCTION("""COMPUTED_VALUE"""),17.0)</f>
        <v>17</v>
      </c>
      <c r="AI104" s="1" t="str">
        <f>IFERROR(__xludf.DUMMYFUNCTION("""COMPUTED_VALUE"""),"0000395047")</f>
        <v>0000395047</v>
      </c>
      <c r="AJ104" s="1">
        <f>IFERROR(__xludf.DUMMYFUNCTION("""COMPUTED_VALUE"""),6.1043372E7)</f>
        <v>61043372</v>
      </c>
      <c r="AK104" s="1">
        <f>IFERROR(__xludf.DUMMYFUNCTION("""COMPUTED_VALUE"""),9.04689844E8)</f>
        <v>904689844</v>
      </c>
      <c r="AL104" s="1" t="str">
        <f>IFERROR(__xludf.DUMMYFUNCTION("""COMPUTED_VALUE"""),"manuelwamm@gmail.com")</f>
        <v>manuelwamm@gmail.com</v>
      </c>
      <c r="AM104" s="1" t="str">
        <f>IFERROR(__xludf.DUMMYFUNCTION("""COMPUTED_VALUE"""),"FEMENINO")</f>
        <v>FEMENINO</v>
      </c>
      <c r="AN104" s="1">
        <f>IFERROR(__xludf.DUMMYFUNCTION("""COMPUTED_VALUE"""),1600.0)</f>
        <v>1600</v>
      </c>
      <c r="AO104" s="1">
        <f>IFERROR(__xludf.DUMMYFUNCTION("""COMPUTED_VALUE"""),665.0)</f>
        <v>665</v>
      </c>
      <c r="AP104" s="1" t="str">
        <f>IFERROR(__xludf.DUMMYFUNCTION("""COMPUTED_VALUE"""),"BIDIRECCIONAL")</f>
        <v>BIDIRECCIONAL</v>
      </c>
      <c r="AQ104" s="1" t="str">
        <f>IFERROR(__xludf.DUMMYFUNCTION("""COMPUTED_VALUE"""),"ORGANICO")</f>
        <v>ORGANICO</v>
      </c>
      <c r="AR104" s="1" t="str">
        <f>IFERROR(__xludf.DUMMYFUNCTION("""COMPUTED_VALUE"""),"NUEVO")</f>
        <v>NUEVO</v>
      </c>
      <c r="AS104" s="1"/>
      <c r="AT104" s="2">
        <f>IFERROR(__xludf.DUMMYFUNCTION("""COMPUTED_VALUE"""),45549.0)</f>
        <v>45549</v>
      </c>
      <c r="AU104" s="1">
        <f>IFERROR(__xludf.DUMMYFUNCTION("""COMPUTED_VALUE"""),1.0)</f>
        <v>1</v>
      </c>
      <c r="AV104" s="1" t="str">
        <f>IFERROR(__xludf.DUMMYFUNCTION("""COMPUTED_VALUE"""),"NUEVO")</f>
        <v>NUEVO</v>
      </c>
      <c r="AW104" s="1" t="str">
        <f>IFERROR(__xludf.DUMMYFUNCTION("""COMPUTED_VALUE"""),"SI")</f>
        <v>SI</v>
      </c>
      <c r="AX104" s="1"/>
      <c r="AY104" s="1" t="str">
        <f>IFERROR(__xludf.DUMMYFUNCTION("""COMPUTED_VALUE"""),"PAGO COMPLETO")</f>
        <v>PAGO COMPLETO</v>
      </c>
      <c r="AZ104" s="5">
        <f>IFERROR(__xludf.DUMMYFUNCTION("""COMPUTED_VALUE"""),45565.0)</f>
        <v>45565</v>
      </c>
      <c r="BA104" s="1">
        <f>IFERROR(__xludf.DUMMYFUNCTION("""COMPUTED_VALUE"""),600.0)</f>
        <v>600</v>
      </c>
      <c r="BB104" s="1">
        <f>IFERROR(__xludf.DUMMYFUNCTION("""COMPUTED_VALUE"""),0.0)</f>
        <v>0</v>
      </c>
      <c r="BC104" s="4">
        <f>IFERROR(__xludf.DUMMYFUNCTION("""COMPUTED_VALUE"""),0.0)</f>
        <v>0</v>
      </c>
      <c r="BD104" s="4">
        <f>IFERROR(__xludf.DUMMYFUNCTION("""COMPUTED_VALUE"""),0.0)</f>
        <v>0</v>
      </c>
      <c r="BE104" s="1">
        <f>IFERROR(__xludf.DUMMYFUNCTION("""COMPUTED_VALUE"""),9.0)</f>
        <v>9</v>
      </c>
      <c r="BF104" s="6">
        <f>IFERROR(__xludf.DUMMYFUNCTION("""COMPUTED_VALUE"""),1.0)</f>
        <v>1</v>
      </c>
      <c r="BG104" s="1">
        <f>IFERROR(__xludf.DUMMYFUNCTION("""COMPUTED_VALUE"""),1.0)</f>
        <v>1</v>
      </c>
      <c r="BH104" s="1" t="str">
        <f>IFERROR(__xludf.DUMMYFUNCTION("""COMPUTED_VALUE"""),"0")</f>
        <v>0</v>
      </c>
      <c r="BI104" s="4">
        <f>IFERROR(__xludf.DUMMYFUNCTION("""COMPUTED_VALUE"""),1200.0)</f>
        <v>1200</v>
      </c>
      <c r="BJ104" s="1">
        <f>IFERROR(__xludf.DUMMYFUNCTION("""COMPUTED_VALUE"""),0.0)</f>
        <v>0</v>
      </c>
      <c r="BK104" s="4">
        <f>IFERROR(__xludf.DUMMYFUNCTION("""COMPUTED_VALUE"""),0.0)</f>
        <v>0</v>
      </c>
      <c r="BL104" s="1">
        <f>IFERROR(__xludf.DUMMYFUNCTION("""COMPUTED_VALUE"""),1200.0)</f>
        <v>1200</v>
      </c>
      <c r="BM104" s="1">
        <f>IFERROR(__xludf.DUMMYFUNCTION("""COMPUTED_VALUE"""),38.0)</f>
        <v>38</v>
      </c>
      <c r="BN104" s="2">
        <f>IFERROR(__xludf.DUMMYFUNCTION("""COMPUTED_VALUE"""),45551.0)</f>
        <v>45551</v>
      </c>
      <c r="BO104" s="1">
        <f>IFERROR(__xludf.DUMMYFUNCTION("""COMPUTED_VALUE"""),9.0)</f>
        <v>9</v>
      </c>
      <c r="BP104" s="1">
        <f>IFERROR(__xludf.DUMMYFUNCTION("""COMPUTED_VALUE"""),2024.0)</f>
        <v>2024</v>
      </c>
    </row>
    <row r="105">
      <c r="A105" s="1">
        <f>IFERROR(__xludf.DUMMYFUNCTION("""COMPUTED_VALUE"""),104.0)</f>
        <v>104</v>
      </c>
      <c r="B105" s="1">
        <f>IFERROR(__xludf.DUMMYFUNCTION("""COMPUTED_VALUE"""),1704579.0)</f>
        <v>1704579</v>
      </c>
      <c r="C105" s="1" t="str">
        <f>IFERROR(__xludf.DUMMYFUNCTION("""COMPUTED_VALUE"""),"2025-1")</f>
        <v>2025-1</v>
      </c>
      <c r="D105" s="1" t="str">
        <f>IFERROR(__xludf.DUMMYFUNCTION("""COMPUTED_VALUE"""),"Admisión Ordinaria")</f>
        <v>Admisión Ordinaria</v>
      </c>
      <c r="E105" s="2">
        <f>IFERROR(__xludf.DUMMYFUNCTION("""COMPUTED_VALUE"""),45551.0)</f>
        <v>45551</v>
      </c>
      <c r="F105" s="1" t="str">
        <f>IFERROR(__xludf.DUMMYFUNCTION("""COMPUTED_VALUE"""),"CARLOS JOAQUIN")</f>
        <v>CARLOS JOAQUIN</v>
      </c>
      <c r="G105" s="1" t="str">
        <f>IFERROR(__xludf.DUMMYFUNCTION("""COMPUTED_VALUE"""),"ZAPATA CARREÑO")</f>
        <v>ZAPATA CARREÑO</v>
      </c>
      <c r="H105" s="1" t="str">
        <f>IFERROR(__xludf.DUMMYFUNCTION("""COMPUTED_VALUE"""),"Comunicación Audiovisual y Cine")</f>
        <v>Comunicación Audiovisual y Cine</v>
      </c>
      <c r="I105" s="1" t="str">
        <f>IFERROR(__xludf.DUMMYFUNCTION("""COMPUTED_VALUE"""),"CARGO")</f>
        <v>CARGO</v>
      </c>
      <c r="J105" s="1" t="str">
        <f>IFERROR(__xludf.DUMMYFUNCTION("""COMPUTED_VALUE"""),"Diurno")</f>
        <v>Diurno</v>
      </c>
      <c r="K105" s="1" t="str">
        <f>IFERROR(__xludf.DUMMYFUNCTION("""COMPUTED_VALUE"""),"NUEVO")</f>
        <v>NUEVO</v>
      </c>
      <c r="L105" s="1">
        <f>IFERROR(__xludf.DUMMYFUNCTION("""COMPUTED_VALUE"""),0.0)</f>
        <v>0</v>
      </c>
      <c r="M105" s="1">
        <f>IFERROR(__xludf.DUMMYFUNCTION("""COMPUTED_VALUE"""),0.0)</f>
        <v>0</v>
      </c>
      <c r="N105" s="1" t="str">
        <f>IFERROR(__xludf.DUMMYFUNCTION("""COMPUTED_VALUE"""),"BECA")</f>
        <v>BECA</v>
      </c>
      <c r="O105" s="1" t="str">
        <f>IFERROR(__xludf.DUMMYFUNCTION("""COMPUTED_VALUE"""),"BECA CARRERAS CORE")</f>
        <v>BECA CARRERAS CORE</v>
      </c>
      <c r="P105" s="4">
        <f>IFERROR(__xludf.DUMMYFUNCTION("""COMPUTED_VALUE"""),0.0)</f>
        <v>0</v>
      </c>
      <c r="Q105" s="4">
        <f>IFERROR(__xludf.DUMMYFUNCTION("""COMPUTED_VALUE"""),0.0)</f>
        <v>0</v>
      </c>
      <c r="R105" s="4">
        <f>IFERROR(__xludf.DUMMYFUNCTION("""COMPUTED_VALUE"""),1600.0)</f>
        <v>1600</v>
      </c>
      <c r="S105" s="4">
        <f>IFERROR(__xludf.DUMMYFUNCTION("""COMPUTED_VALUE"""),1280.0)</f>
        <v>1280</v>
      </c>
      <c r="T105" s="1" t="str">
        <f>IFERROR(__xludf.DUMMYFUNCTION("""COMPUTED_VALUE"""),"NINGUNO")</f>
        <v>NINGUNO</v>
      </c>
      <c r="U105" s="1" t="str">
        <f>IFERROR(__xludf.DUMMYFUNCTION("""COMPUTED_VALUE"""),"FABIOLA")</f>
        <v>FABIOLA</v>
      </c>
      <c r="V105" s="1" t="str">
        <f>IFERROR(__xludf.DUMMYFUNCTION("""COMPUTED_VALUE"""),"Ninguno")</f>
        <v>Ninguno</v>
      </c>
      <c r="W105" s="1" t="str">
        <f>IFERROR(__xludf.DUMMYFUNCTION("""COMPUTED_VALUE"""),"Malla curricular")</f>
        <v>Malla curricular</v>
      </c>
      <c r="X105" s="1" t="str">
        <f>IFERROR(__xludf.DUMMYFUNCTION("""COMPUTED_VALUE"""),"-")</f>
        <v>-</v>
      </c>
      <c r="Y105" s="1" t="str">
        <f>IFERROR(__xludf.DUMMYFUNCTION("""COMPUTED_VALUE"""),"PAGO COMPLETO")</f>
        <v>PAGO COMPLETO</v>
      </c>
      <c r="Z105" s="1">
        <f>IFERROR(__xludf.DUMMYFUNCTION("""COMPUTED_VALUE"""),0.0)</f>
        <v>0</v>
      </c>
      <c r="AA105" s="1" t="str">
        <f>IFERROR(__xludf.DUMMYFUNCTION("""COMPUTED_VALUE"""),"-")</f>
        <v>-</v>
      </c>
      <c r="AB105" s="1">
        <f>IFERROR(__xludf.DUMMYFUNCTION("""COMPUTED_VALUE"""),0.0)</f>
        <v>0</v>
      </c>
      <c r="AC105" s="1">
        <f>IFERROR(__xludf.DUMMYFUNCTION("""COMPUTED_VALUE"""),0.0)</f>
        <v>0</v>
      </c>
      <c r="AD105" s="1" t="str">
        <f>IFERROR(__xludf.DUMMYFUNCTION("""COMPUTED_VALUE"""),"Maria Luque")</f>
        <v>Maria Luque</v>
      </c>
      <c r="AE105" s="1" t="str">
        <f>IFERROR(__xludf.DUMMYFUNCTION("""COMPUTED_VALUE"""),"0")</f>
        <v>0</v>
      </c>
      <c r="AF105" s="1">
        <f>IFERROR(__xludf.DUMMYFUNCTION("""COMPUTED_VALUE"""),2023.0)</f>
        <v>2023</v>
      </c>
      <c r="AG105" s="1">
        <f>IFERROR(__xludf.DUMMYFUNCTION("""COMPUTED_VALUE"""),1262799.0)</f>
        <v>1262799</v>
      </c>
      <c r="AH105" s="1">
        <f>IFERROR(__xludf.DUMMYFUNCTION("""COMPUTED_VALUE"""),17.0)</f>
        <v>17</v>
      </c>
      <c r="AI105" s="1" t="str">
        <f>IFERROR(__xludf.DUMMYFUNCTION("""COMPUTED_VALUE"""),"0000395026")</f>
        <v>0000395026</v>
      </c>
      <c r="AJ105" s="1">
        <f>IFERROR(__xludf.DUMMYFUNCTION("""COMPUTED_VALUE"""),6.1027396E7)</f>
        <v>61027396</v>
      </c>
      <c r="AK105" s="1">
        <f>IFERROR(__xludf.DUMMYFUNCTION("""COMPUTED_VALUE"""),9.80216429E8)</f>
        <v>980216429</v>
      </c>
      <c r="AL105" s="1" t="str">
        <f>IFERROR(__xludf.DUMMYFUNCTION("""COMPUTED_VALUE"""),"lirocame@hotmail.com")</f>
        <v>lirocame@hotmail.com</v>
      </c>
      <c r="AM105" s="1" t="str">
        <f>IFERROR(__xludf.DUMMYFUNCTION("""COMPUTED_VALUE"""),"MASCULINO")</f>
        <v>MASCULINO</v>
      </c>
      <c r="AN105" s="1">
        <f>IFERROR(__xludf.DUMMYFUNCTION("""COMPUTED_VALUE"""),1600.0)</f>
        <v>1600</v>
      </c>
      <c r="AO105" s="1">
        <f>IFERROR(__xludf.DUMMYFUNCTION("""COMPUTED_VALUE"""),380.0)</f>
        <v>380</v>
      </c>
      <c r="AP105" s="1" t="str">
        <f>IFERROR(__xludf.DUMMYFUNCTION("""COMPUTED_VALUE"""),"OUTBOUND")</f>
        <v>OUTBOUND</v>
      </c>
      <c r="AQ105" s="1" t="str">
        <f>IFERROR(__xludf.DUMMYFUNCTION("""COMPUTED_VALUE"""),"OUTBOUND")</f>
        <v>OUTBOUND</v>
      </c>
      <c r="AR105" s="1" t="str">
        <f>IFERROR(__xludf.DUMMYFUNCTION("""COMPUTED_VALUE"""),"HEREDADO")</f>
        <v>HEREDADO</v>
      </c>
      <c r="AS105" s="1"/>
      <c r="AT105" s="2">
        <f>IFERROR(__xludf.DUMMYFUNCTION("""COMPUTED_VALUE"""),45551.0)</f>
        <v>45551</v>
      </c>
      <c r="AU105" s="1">
        <f>IFERROR(__xludf.DUMMYFUNCTION("""COMPUTED_VALUE"""),1.0)</f>
        <v>1</v>
      </c>
      <c r="AV105" s="1" t="str">
        <f>IFERROR(__xludf.DUMMYFUNCTION("""COMPUTED_VALUE"""),"NUEVO")</f>
        <v>NUEVO</v>
      </c>
      <c r="AW105" s="1" t="str">
        <f>IFERROR(__xludf.DUMMYFUNCTION("""COMPUTED_VALUE"""),"SI")</f>
        <v>SI</v>
      </c>
      <c r="AX105" s="1"/>
      <c r="AY105" s="1" t="str">
        <f>IFERROR(__xludf.DUMMYFUNCTION("""COMPUTED_VALUE"""),"PAGO COMPLETO")</f>
        <v>PAGO COMPLETO</v>
      </c>
      <c r="AZ105" s="5">
        <f>IFERROR(__xludf.DUMMYFUNCTION("""COMPUTED_VALUE"""),45551.0)</f>
        <v>45551</v>
      </c>
      <c r="BA105" s="1">
        <f>IFERROR(__xludf.DUMMYFUNCTION("""COMPUTED_VALUE"""),0.0)</f>
        <v>0</v>
      </c>
      <c r="BB105" s="1">
        <f>IFERROR(__xludf.DUMMYFUNCTION("""COMPUTED_VALUE"""),0.0)</f>
        <v>0</v>
      </c>
      <c r="BC105" s="4">
        <f>IFERROR(__xludf.DUMMYFUNCTION("""COMPUTED_VALUE"""),0.0)</f>
        <v>0</v>
      </c>
      <c r="BD105" s="4">
        <f>IFERROR(__xludf.DUMMYFUNCTION("""COMPUTED_VALUE"""),0.0)</f>
        <v>0</v>
      </c>
      <c r="BE105" s="1">
        <f>IFERROR(__xludf.DUMMYFUNCTION("""COMPUTED_VALUE"""),9.0)</f>
        <v>9</v>
      </c>
      <c r="BF105" s="6">
        <f>IFERROR(__xludf.DUMMYFUNCTION("""COMPUTED_VALUE"""),1.0)</f>
        <v>1</v>
      </c>
      <c r="BG105" s="1">
        <f>IFERROR(__xludf.DUMMYFUNCTION("""COMPUTED_VALUE"""),1.0)</f>
        <v>1</v>
      </c>
      <c r="BH105" s="1" t="str">
        <f>IFERROR(__xludf.DUMMYFUNCTION("""COMPUTED_VALUE"""),"0")</f>
        <v>0</v>
      </c>
      <c r="BI105" s="4">
        <f>IFERROR(__xludf.DUMMYFUNCTION("""COMPUTED_VALUE"""),0.0)</f>
        <v>0</v>
      </c>
      <c r="BJ105" s="1">
        <f>IFERROR(__xludf.DUMMYFUNCTION("""COMPUTED_VALUE"""),0.0)</f>
        <v>0</v>
      </c>
      <c r="BK105" s="4">
        <f>IFERROR(__xludf.DUMMYFUNCTION("""COMPUTED_VALUE"""),0.0)</f>
        <v>0</v>
      </c>
      <c r="BL105" s="1">
        <f>IFERROR(__xludf.DUMMYFUNCTION("""COMPUTED_VALUE"""),1280.0)</f>
        <v>1280</v>
      </c>
      <c r="BM105" s="1">
        <f>IFERROR(__xludf.DUMMYFUNCTION("""COMPUTED_VALUE"""),38.0)</f>
        <v>38</v>
      </c>
      <c r="BN105" s="2">
        <f>IFERROR(__xludf.DUMMYFUNCTION("""COMPUTED_VALUE"""),45551.0)</f>
        <v>45551</v>
      </c>
      <c r="BO105" s="1">
        <f>IFERROR(__xludf.DUMMYFUNCTION("""COMPUTED_VALUE"""),9.0)</f>
        <v>9</v>
      </c>
      <c r="BP105" s="1">
        <f>IFERROR(__xludf.DUMMYFUNCTION("""COMPUTED_VALUE"""),2024.0)</f>
        <v>2024</v>
      </c>
    </row>
    <row r="106">
      <c r="A106" s="1">
        <f>IFERROR(__xludf.DUMMYFUNCTION("""COMPUTED_VALUE"""),105.0)</f>
        <v>105</v>
      </c>
      <c r="B106" s="1">
        <f>IFERROR(__xludf.DUMMYFUNCTION("""COMPUTED_VALUE"""),2685283.0)</f>
        <v>2685283</v>
      </c>
      <c r="C106" s="1" t="str">
        <f>IFERROR(__xludf.DUMMYFUNCTION("""COMPUTED_VALUE"""),"2025-1")</f>
        <v>2025-1</v>
      </c>
      <c r="D106" s="1" t="str">
        <f>IFERROR(__xludf.DUMMYFUNCTION("""COMPUTED_VALUE"""),"Admisión de Alto Rendimiento")</f>
        <v>Admisión de Alto Rendimiento</v>
      </c>
      <c r="E106" s="2">
        <f>IFERROR(__xludf.DUMMYFUNCTION("""COMPUTED_VALUE"""),45553.0)</f>
        <v>45553</v>
      </c>
      <c r="F106" s="1" t="str">
        <f>IFERROR(__xludf.DUMMYFUNCTION("""COMPUTED_VALUE"""),"ALEXA")</f>
        <v>ALEXA</v>
      </c>
      <c r="G106" s="1" t="str">
        <f>IFERROR(__xludf.DUMMYFUNCTION("""COMPUTED_VALUE"""),"HAGE DE VILLENA")</f>
        <v>HAGE DE VILLENA</v>
      </c>
      <c r="H106" s="1" t="str">
        <f>IFERROR(__xludf.DUMMYFUNCTION("""COMPUTED_VALUE"""),"Comunicación Audiovisual y Cine")</f>
        <v>Comunicación Audiovisual y Cine</v>
      </c>
      <c r="I106" s="1" t="str">
        <f>IFERROR(__xludf.DUMMYFUNCTION("""COMPUTED_VALUE"""),"POS")</f>
        <v>POS</v>
      </c>
      <c r="J106" s="1" t="str">
        <f>IFERROR(__xludf.DUMMYFUNCTION("""COMPUTED_VALUE"""),"Diurno")</f>
        <v>Diurno</v>
      </c>
      <c r="K106" s="1" t="str">
        <f>IFERROR(__xludf.DUMMYFUNCTION("""COMPUTED_VALUE"""),"NUEVO")</f>
        <v>NUEVO</v>
      </c>
      <c r="L106" s="1">
        <f>IFERROR(__xludf.DUMMYFUNCTION("""COMPUTED_VALUE"""),0.0)</f>
        <v>0</v>
      </c>
      <c r="M106" s="1">
        <f>IFERROR(__xludf.DUMMYFUNCTION("""COMPUTED_VALUE"""),0.0)</f>
        <v>0</v>
      </c>
      <c r="N106" s="1" t="str">
        <f>IFERROR(__xludf.DUMMYFUNCTION("""COMPUTED_VALUE"""),"BECA")</f>
        <v>BECA</v>
      </c>
      <c r="O106" s="1" t="str">
        <f>IFERROR(__xludf.DUMMYFUNCTION("""COMPUTED_VALUE"""),"BECA CARRERAS CORE")</f>
        <v>BECA CARRERAS CORE</v>
      </c>
      <c r="P106" s="4">
        <f>IFERROR(__xludf.DUMMYFUNCTION("""COMPUTED_VALUE"""),0.0)</f>
        <v>0</v>
      </c>
      <c r="Q106" s="4">
        <f>IFERROR(__xludf.DUMMYFUNCTION("""COMPUTED_VALUE"""),0.0)</f>
        <v>0</v>
      </c>
      <c r="R106" s="4">
        <f>IFERROR(__xludf.DUMMYFUNCTION("""COMPUTED_VALUE"""),2300.0)</f>
        <v>2300</v>
      </c>
      <c r="S106" s="4">
        <f>IFERROR(__xludf.DUMMYFUNCTION("""COMPUTED_VALUE"""),1840.0)</f>
        <v>1840</v>
      </c>
      <c r="T106" s="1" t="str">
        <f>IFERROR(__xludf.DUMMYFUNCTION("""COMPUTED_VALUE"""),"NINGUNO")</f>
        <v>NINGUNO</v>
      </c>
      <c r="U106" s="1" t="str">
        <f>IFERROR(__xludf.DUMMYFUNCTION("""COMPUTED_VALUE"""),"FABIOLA")</f>
        <v>FABIOLA</v>
      </c>
      <c r="V106" s="1" t="str">
        <f>IFERROR(__xludf.DUMMYFUNCTION("""COMPUTED_VALUE"""),"Ninguno")</f>
        <v>Ninguno</v>
      </c>
      <c r="W106" s="1" t="str">
        <f>IFERROR(__xludf.DUMMYFUNCTION("""COMPUTED_VALUE"""),"Malla curricular")</f>
        <v>Malla curricular</v>
      </c>
      <c r="X106" s="1" t="str">
        <f>IFERROR(__xludf.DUMMYFUNCTION("""COMPUTED_VALUE"""),"UNICO EN CINE aun no se realiza cargo hasta que se cree epr de 2300 en campus evolution ")</f>
        <v>UNICO EN CINE aun no se realiza cargo hasta que se cree epr de 2300 en campus evolution </v>
      </c>
      <c r="Y106" s="1" t="str">
        <f>IFERROR(__xludf.DUMMYFUNCTION("""COMPUTED_VALUE"""),"PAGO COMPLETO")</f>
        <v>PAGO COMPLETO</v>
      </c>
      <c r="Z106" s="1">
        <f>IFERROR(__xludf.DUMMYFUNCTION("""COMPUTED_VALUE"""),0.0)</f>
        <v>0</v>
      </c>
      <c r="AA106" s="1" t="str">
        <f>IFERROR(__xludf.DUMMYFUNCTION("""COMPUTED_VALUE"""),"-")</f>
        <v>-</v>
      </c>
      <c r="AB106" s="1">
        <f>IFERROR(__xludf.DUMMYFUNCTION("""COMPUTED_VALUE"""),0.0)</f>
        <v>0</v>
      </c>
      <c r="AC106" s="1">
        <f>IFERROR(__xludf.DUMMYFUNCTION("""COMPUTED_VALUE"""),0.0)</f>
        <v>0</v>
      </c>
      <c r="AD106" s="1" t="str">
        <f>IFERROR(__xludf.DUMMYFUNCTION("""COMPUTED_VALUE"""),"Angelica Iparraguirre")</f>
        <v>Angelica Iparraguirre</v>
      </c>
      <c r="AE106" s="1" t="str">
        <f>IFERROR(__xludf.DUMMYFUNCTION("""COMPUTED_VALUE"""),"0")</f>
        <v>0</v>
      </c>
      <c r="AF106" s="1">
        <f>IFERROR(__xludf.DUMMYFUNCTION("""COMPUTED_VALUE"""),2024.0)</f>
        <v>2024</v>
      </c>
      <c r="AG106" s="1">
        <f>IFERROR(__xludf.DUMMYFUNCTION("""COMPUTED_VALUE"""),1068659.0)</f>
        <v>1068659</v>
      </c>
      <c r="AH106" s="1">
        <f>IFERROR(__xludf.DUMMYFUNCTION("""COMPUTED_VALUE"""),16.0)</f>
        <v>16</v>
      </c>
      <c r="AI106" s="1" t="str">
        <f>IFERROR(__xludf.DUMMYFUNCTION("""COMPUTED_VALUE"""),"0000395186")</f>
        <v>0000395186</v>
      </c>
      <c r="AJ106" s="1">
        <f>IFERROR(__xludf.DUMMYFUNCTION("""COMPUTED_VALUE"""),6.1845365E7)</f>
        <v>61845365</v>
      </c>
      <c r="AK106" s="1">
        <f>IFERROR(__xludf.DUMMYFUNCTION("""COMPUTED_VALUE"""),9.04816433E8)</f>
        <v>904816433</v>
      </c>
      <c r="AL106" s="1" t="str">
        <f>IFERROR(__xludf.DUMMYFUNCTION("""COMPUTED_VALUE"""),"alexa.hagedv@outlook.es")</f>
        <v>alexa.hagedv@outlook.es</v>
      </c>
      <c r="AM106" s="1" t="str">
        <f>IFERROR(__xludf.DUMMYFUNCTION("""COMPUTED_VALUE"""),"FEMENINO")</f>
        <v>FEMENINO</v>
      </c>
      <c r="AN106" s="1">
        <f>IFERROR(__xludf.DUMMYFUNCTION("""COMPUTED_VALUE"""),2300.0)</f>
        <v>2300</v>
      </c>
      <c r="AO106" s="1">
        <f>IFERROR(__xludf.DUMMYFUNCTION("""COMPUTED_VALUE"""),2390.0)</f>
        <v>2390</v>
      </c>
      <c r="AP106" s="1" t="str">
        <f>IFERROR(__xludf.DUMMYFUNCTION("""COMPUTED_VALUE"""),"COLEGIOS")</f>
        <v>COLEGIOS</v>
      </c>
      <c r="AQ106" s="1" t="str">
        <f>IFERROR(__xludf.DUMMYFUNCTION("""COMPUTED_VALUE"""),"COLEGIOS")</f>
        <v>COLEGIOS</v>
      </c>
      <c r="AR106" s="1" t="str">
        <f>IFERROR(__xludf.DUMMYFUNCTION("""COMPUTED_VALUE"""),"NUEVO")</f>
        <v>NUEVO</v>
      </c>
      <c r="AS106" s="1"/>
      <c r="AT106" s="2">
        <f>IFERROR(__xludf.DUMMYFUNCTION("""COMPUTED_VALUE"""),45397.0)</f>
        <v>45397</v>
      </c>
      <c r="AU106" s="1">
        <f>IFERROR(__xludf.DUMMYFUNCTION("""COMPUTED_VALUE"""),1.0)</f>
        <v>1</v>
      </c>
      <c r="AV106" s="1" t="str">
        <f>IFERROR(__xludf.DUMMYFUNCTION("""COMPUTED_VALUE"""),"NUEVO")</f>
        <v>NUEVO</v>
      </c>
      <c r="AW106" s="1" t="str">
        <f>IFERROR(__xludf.DUMMYFUNCTION("""COMPUTED_VALUE"""),"SI")</f>
        <v>SI</v>
      </c>
      <c r="AX106" s="1"/>
      <c r="AY106" s="1" t="str">
        <f>IFERROR(__xludf.DUMMYFUNCTION("""COMPUTED_VALUE"""),"PAGO COMPLETO")</f>
        <v>PAGO COMPLETO</v>
      </c>
      <c r="AZ106" s="5">
        <f>IFERROR(__xludf.DUMMYFUNCTION("""COMPUTED_VALUE"""),45553.0)</f>
        <v>45553</v>
      </c>
      <c r="BA106" s="1">
        <f>IFERROR(__xludf.DUMMYFUNCTION("""COMPUTED_VALUE"""),0.0)</f>
        <v>0</v>
      </c>
      <c r="BB106" s="1">
        <f>IFERROR(__xludf.DUMMYFUNCTION("""COMPUTED_VALUE"""),0.0)</f>
        <v>0</v>
      </c>
      <c r="BC106" s="4">
        <f>IFERROR(__xludf.DUMMYFUNCTION("""COMPUTED_VALUE"""),0.0)</f>
        <v>0</v>
      </c>
      <c r="BD106" s="4">
        <f>IFERROR(__xludf.DUMMYFUNCTION("""COMPUTED_VALUE"""),0.0)</f>
        <v>0</v>
      </c>
      <c r="BE106" s="1">
        <f>IFERROR(__xludf.DUMMYFUNCTION("""COMPUTED_VALUE"""),9.0)</f>
        <v>9</v>
      </c>
      <c r="BF106" s="6">
        <f>IFERROR(__xludf.DUMMYFUNCTION("""COMPUTED_VALUE"""),1.0)</f>
        <v>1</v>
      </c>
      <c r="BG106" s="1">
        <f>IFERROR(__xludf.DUMMYFUNCTION("""COMPUTED_VALUE"""),1.0)</f>
        <v>1</v>
      </c>
      <c r="BH106" s="1" t="str">
        <f>IFERROR(__xludf.DUMMYFUNCTION("""COMPUTED_VALUE"""),"0")</f>
        <v>0</v>
      </c>
      <c r="BI106" s="4">
        <f>IFERROR(__xludf.DUMMYFUNCTION("""COMPUTED_VALUE"""),0.0)</f>
        <v>0</v>
      </c>
      <c r="BJ106" s="1">
        <f>IFERROR(__xludf.DUMMYFUNCTION("""COMPUTED_VALUE"""),0.0)</f>
        <v>0</v>
      </c>
      <c r="BK106" s="4">
        <f>IFERROR(__xludf.DUMMYFUNCTION("""COMPUTED_VALUE"""),0.0)</f>
        <v>0</v>
      </c>
      <c r="BL106" s="1">
        <f>IFERROR(__xludf.DUMMYFUNCTION("""COMPUTED_VALUE"""),1840.0)</f>
        <v>1840</v>
      </c>
      <c r="BM106" s="1">
        <f>IFERROR(__xludf.DUMMYFUNCTION("""COMPUTED_VALUE"""),38.0)</f>
        <v>38</v>
      </c>
      <c r="BN106" s="2">
        <f>IFERROR(__xludf.DUMMYFUNCTION("""COMPUTED_VALUE"""),45551.0)</f>
        <v>45551</v>
      </c>
      <c r="BO106" s="1">
        <f>IFERROR(__xludf.DUMMYFUNCTION("""COMPUTED_VALUE"""),9.0)</f>
        <v>9</v>
      </c>
      <c r="BP106" s="1">
        <f>IFERROR(__xludf.DUMMYFUNCTION("""COMPUTED_VALUE"""),2024.0)</f>
        <v>2024</v>
      </c>
    </row>
    <row r="107">
      <c r="A107" s="1">
        <f>IFERROR(__xludf.DUMMYFUNCTION("""COMPUTED_VALUE"""),106.0)</f>
        <v>106</v>
      </c>
      <c r="B107" s="1">
        <f>IFERROR(__xludf.DUMMYFUNCTION("""COMPUTED_VALUE"""),3306244.0)</f>
        <v>3306244</v>
      </c>
      <c r="C107" s="1" t="str">
        <f>IFERROR(__xludf.DUMMYFUNCTION("""COMPUTED_VALUE"""),"2025-1")</f>
        <v>2025-1</v>
      </c>
      <c r="D107" s="1" t="str">
        <f>IFERROR(__xludf.DUMMYFUNCTION("""COMPUTED_VALUE"""),"Admisión de Alto Rendimiento")</f>
        <v>Admisión de Alto Rendimiento</v>
      </c>
      <c r="E107" s="2">
        <f>IFERROR(__xludf.DUMMYFUNCTION("""COMPUTED_VALUE"""),45553.0)</f>
        <v>45553</v>
      </c>
      <c r="F107" s="1" t="str">
        <f>IFERROR(__xludf.DUMMYFUNCTION("""COMPUTED_VALUE"""),"AITHANA ")</f>
        <v>AITHANA </v>
      </c>
      <c r="G107" s="1" t="str">
        <f>IFERROR(__xludf.DUMMYFUNCTION("""COMPUTED_VALUE""")," VERA GUZMAN")</f>
        <v> VERA GUZMAN</v>
      </c>
      <c r="H107" s="1" t="str">
        <f>IFERROR(__xludf.DUMMYFUNCTION("""COMPUTED_VALUE"""),"Comunicación y Publicidad Transmedia")</f>
        <v>Comunicación y Publicidad Transmedia</v>
      </c>
      <c r="I107" s="1" t="str">
        <f>IFERROR(__xludf.DUMMYFUNCTION("""COMPUTED_VALUE"""),"POS")</f>
        <v>POS</v>
      </c>
      <c r="J107" s="1" t="str">
        <f>IFERROR(__xludf.DUMMYFUNCTION("""COMPUTED_VALUE"""),"Diurno")</f>
        <v>Diurno</v>
      </c>
      <c r="K107" s="1" t="str">
        <f>IFERROR(__xludf.DUMMYFUNCTION("""COMPUTED_VALUE"""),"NUEVO")</f>
        <v>NUEVO</v>
      </c>
      <c r="L107" s="1">
        <f>IFERROR(__xludf.DUMMYFUNCTION("""COMPUTED_VALUE"""),0.0)</f>
        <v>0</v>
      </c>
      <c r="M107" s="1">
        <f>IFERROR(__xludf.DUMMYFUNCTION("""COMPUTED_VALUE"""),0.0)</f>
        <v>0</v>
      </c>
      <c r="N107" s="1" t="str">
        <f>IFERROR(__xludf.DUMMYFUNCTION("""COMPUTED_VALUE"""),"BECA")</f>
        <v>BECA</v>
      </c>
      <c r="O107" s="1" t="str">
        <f>IFERROR(__xludf.DUMMYFUNCTION("""COMPUTED_VALUE"""),"BECA CARRERAS CORE")</f>
        <v>BECA CARRERAS CORE</v>
      </c>
      <c r="P107" s="4">
        <f>IFERROR(__xludf.DUMMYFUNCTION("""COMPUTED_VALUE"""),0.0)</f>
        <v>0</v>
      </c>
      <c r="Q107" s="4">
        <f>IFERROR(__xludf.DUMMYFUNCTION("""COMPUTED_VALUE"""),0.0)</f>
        <v>0</v>
      </c>
      <c r="R107" s="4">
        <f>IFERROR(__xludf.DUMMYFUNCTION("""COMPUTED_VALUE"""),1600.0)</f>
        <v>1600</v>
      </c>
      <c r="S107" s="4">
        <f>IFERROR(__xludf.DUMMYFUNCTION("""COMPUTED_VALUE"""),1200.0)</f>
        <v>1200</v>
      </c>
      <c r="T107" s="1" t="str">
        <f>IFERROR(__xludf.DUMMYFUNCTION("""COMPUTED_VALUE"""),"NINGUNO")</f>
        <v>NINGUNO</v>
      </c>
      <c r="U107" s="1" t="str">
        <f>IFERROR(__xludf.DUMMYFUNCTION("""COMPUTED_VALUE"""),"FABIOLA")</f>
        <v>FABIOLA</v>
      </c>
      <c r="V107" s="1" t="str">
        <f>IFERROR(__xludf.DUMMYFUNCTION("""COMPUTED_VALUE"""),"Juan Pablo Gómez")</f>
        <v>Juan Pablo Gómez</v>
      </c>
      <c r="W107" s="1" t="str">
        <f>IFERROR(__xludf.DUMMYFUNCTION("""COMPUTED_VALUE"""),"Metodología de enseñanza")</f>
        <v>Metodología de enseñanza</v>
      </c>
      <c r="X107" s="1" t="str">
        <f>IFERROR(__xludf.DUMMYFUNCTION("""COMPUTED_VALUE"""),"ALUMNA LE FACINÓ LA UNIVERSIDAD Y LA METODOLOGIA / se le da beca alianza, su olegio, su colegio es uno de los finalistas del reto ")</f>
        <v>ALUMNA LE FACINÓ LA UNIVERSIDAD Y LA METODOLOGIA / se le da beca alianza, su olegio, su colegio es uno de los finalistas del reto </v>
      </c>
      <c r="Y107" s="1" t="str">
        <f>IFERROR(__xludf.DUMMYFUNCTION("""COMPUTED_VALUE"""),"PAGO COMPLETO")</f>
        <v>PAGO COMPLETO</v>
      </c>
      <c r="Z107" s="1">
        <f>IFERROR(__xludf.DUMMYFUNCTION("""COMPUTED_VALUE"""),0.0)</f>
        <v>0</v>
      </c>
      <c r="AA107" s="1" t="str">
        <f>IFERROR(__xludf.DUMMYFUNCTION("""COMPUTED_VALUE"""),"-")</f>
        <v>-</v>
      </c>
      <c r="AB107" s="1">
        <f>IFERROR(__xludf.DUMMYFUNCTION("""COMPUTED_VALUE"""),0.0)</f>
        <v>0</v>
      </c>
      <c r="AC107" s="1">
        <f>IFERROR(__xludf.DUMMYFUNCTION("""COMPUTED_VALUE"""),0.0)</f>
        <v>0</v>
      </c>
      <c r="AD107" s="1" t="str">
        <f>IFERROR(__xludf.DUMMYFUNCTION("""COMPUTED_VALUE"""),"Maria Luque")</f>
        <v>Maria Luque</v>
      </c>
      <c r="AE107" s="1" t="str">
        <f>IFERROR(__xludf.DUMMYFUNCTION("""COMPUTED_VALUE"""),"0")</f>
        <v>0</v>
      </c>
      <c r="AF107" s="1">
        <f>IFERROR(__xludf.DUMMYFUNCTION("""COMPUTED_VALUE"""),2024.0)</f>
        <v>2024</v>
      </c>
      <c r="AG107" s="1">
        <f>IFERROR(__xludf.DUMMYFUNCTION("""COMPUTED_VALUE"""),604082.0)</f>
        <v>604082</v>
      </c>
      <c r="AH107" s="1">
        <f>IFERROR(__xludf.DUMMYFUNCTION("""COMPUTED_VALUE"""),17.0)</f>
        <v>17</v>
      </c>
      <c r="AI107" s="1" t="str">
        <f>IFERROR(__xludf.DUMMYFUNCTION("""COMPUTED_VALUE"""),"0000395260")</f>
        <v>0000395260</v>
      </c>
      <c r="AJ107" s="1">
        <f>IFERROR(__xludf.DUMMYFUNCTION("""COMPUTED_VALUE"""),6.1152102E7)</f>
        <v>61152102</v>
      </c>
      <c r="AK107" s="1">
        <f>IFERROR(__xludf.DUMMYFUNCTION("""COMPUTED_VALUE"""),9.79894177E8)</f>
        <v>979894177</v>
      </c>
      <c r="AL107" s="1" t="str">
        <f>IFERROR(__xludf.DUMMYFUNCTION("""COMPUTED_VALUE"""),"veraaithana104@gmail.com")</f>
        <v>veraaithana104@gmail.com</v>
      </c>
      <c r="AM107" s="1" t="str">
        <f>IFERROR(__xludf.DUMMYFUNCTION("""COMPUTED_VALUE"""),"FEMENINO")</f>
        <v>FEMENINO</v>
      </c>
      <c r="AN107" s="1">
        <f>IFERROR(__xludf.DUMMYFUNCTION("""COMPUTED_VALUE"""),1600.0)</f>
        <v>1600</v>
      </c>
      <c r="AO107" s="1">
        <f>IFERROR(__xludf.DUMMYFUNCTION("""COMPUTED_VALUE"""),880.0)</f>
        <v>880</v>
      </c>
      <c r="AP107" s="1" t="str">
        <f>IFERROR(__xludf.DUMMYFUNCTION("""COMPUTED_VALUE"""),"COLEGIOS")</f>
        <v>COLEGIOS</v>
      </c>
      <c r="AQ107" s="1" t="str">
        <f>IFERROR(__xludf.DUMMYFUNCTION("""COMPUTED_VALUE"""),"COLEGIOS")</f>
        <v>COLEGIOS</v>
      </c>
      <c r="AR107" s="1" t="str">
        <f>IFERROR(__xludf.DUMMYFUNCTION("""COMPUTED_VALUE"""),"NUEVO")</f>
        <v>NUEVO</v>
      </c>
      <c r="AS107" s="1"/>
      <c r="AT107" s="2">
        <f>IFERROR(__xludf.DUMMYFUNCTION("""COMPUTED_VALUE"""),45453.0)</f>
        <v>45453</v>
      </c>
      <c r="AU107" s="1">
        <f>IFERROR(__xludf.DUMMYFUNCTION("""COMPUTED_VALUE"""),1.0)</f>
        <v>1</v>
      </c>
      <c r="AV107" s="1" t="str">
        <f>IFERROR(__xludf.DUMMYFUNCTION("""COMPUTED_VALUE"""),"NUEVO")</f>
        <v>NUEVO</v>
      </c>
      <c r="AW107" s="1" t="str">
        <f>IFERROR(__xludf.DUMMYFUNCTION("""COMPUTED_VALUE"""),"SI")</f>
        <v>SI</v>
      </c>
      <c r="AX107" s="1"/>
      <c r="AY107" s="1" t="str">
        <f>IFERROR(__xludf.DUMMYFUNCTION("""COMPUTED_VALUE"""),"PAGO COMPLETO")</f>
        <v>PAGO COMPLETO</v>
      </c>
      <c r="AZ107" s="5">
        <f>IFERROR(__xludf.DUMMYFUNCTION("""COMPUTED_VALUE"""),45553.0)</f>
        <v>45553</v>
      </c>
      <c r="BA107" s="1">
        <f>IFERROR(__xludf.DUMMYFUNCTION("""COMPUTED_VALUE"""),0.0)</f>
        <v>0</v>
      </c>
      <c r="BB107" s="1">
        <f>IFERROR(__xludf.DUMMYFUNCTION("""COMPUTED_VALUE"""),0.0)</f>
        <v>0</v>
      </c>
      <c r="BC107" s="4">
        <f>IFERROR(__xludf.DUMMYFUNCTION("""COMPUTED_VALUE"""),0.0)</f>
        <v>0</v>
      </c>
      <c r="BD107" s="4">
        <f>IFERROR(__xludf.DUMMYFUNCTION("""COMPUTED_VALUE"""),0.0)</f>
        <v>0</v>
      </c>
      <c r="BE107" s="1">
        <f>IFERROR(__xludf.DUMMYFUNCTION("""COMPUTED_VALUE"""),9.0)</f>
        <v>9</v>
      </c>
      <c r="BF107" s="6">
        <f>IFERROR(__xludf.DUMMYFUNCTION("""COMPUTED_VALUE"""),1.0)</f>
        <v>1</v>
      </c>
      <c r="BG107" s="1">
        <f>IFERROR(__xludf.DUMMYFUNCTION("""COMPUTED_VALUE"""),1.0)</f>
        <v>1</v>
      </c>
      <c r="BH107" s="1" t="str">
        <f>IFERROR(__xludf.DUMMYFUNCTION("""COMPUTED_VALUE"""),"0")</f>
        <v>0</v>
      </c>
      <c r="BI107" s="4">
        <f>IFERROR(__xludf.DUMMYFUNCTION("""COMPUTED_VALUE"""),0.0)</f>
        <v>0</v>
      </c>
      <c r="BJ107" s="1">
        <f>IFERROR(__xludf.DUMMYFUNCTION("""COMPUTED_VALUE"""),0.0)</f>
        <v>0</v>
      </c>
      <c r="BK107" s="4">
        <f>IFERROR(__xludf.DUMMYFUNCTION("""COMPUTED_VALUE"""),0.0)</f>
        <v>0</v>
      </c>
      <c r="BL107" s="1">
        <f>IFERROR(__xludf.DUMMYFUNCTION("""COMPUTED_VALUE"""),1200.0)</f>
        <v>1200</v>
      </c>
      <c r="BM107" s="1">
        <f>IFERROR(__xludf.DUMMYFUNCTION("""COMPUTED_VALUE"""),38.0)</f>
        <v>38</v>
      </c>
      <c r="BN107" s="2">
        <f>IFERROR(__xludf.DUMMYFUNCTION("""COMPUTED_VALUE"""),45551.0)</f>
        <v>45551</v>
      </c>
      <c r="BO107" s="1">
        <f>IFERROR(__xludf.DUMMYFUNCTION("""COMPUTED_VALUE"""),9.0)</f>
        <v>9</v>
      </c>
      <c r="BP107" s="1">
        <f>IFERROR(__xludf.DUMMYFUNCTION("""COMPUTED_VALUE"""),2024.0)</f>
        <v>2024</v>
      </c>
    </row>
    <row r="108">
      <c r="A108" s="1">
        <f>IFERROR(__xludf.DUMMYFUNCTION("""COMPUTED_VALUE"""),107.0)</f>
        <v>107</v>
      </c>
      <c r="B108" s="1">
        <f>IFERROR(__xludf.DUMMYFUNCTION("""COMPUTED_VALUE"""),1725431.0)</f>
        <v>1725431</v>
      </c>
      <c r="C108" s="1" t="str">
        <f>IFERROR(__xludf.DUMMYFUNCTION("""COMPUTED_VALUE"""),"2025-1")</f>
        <v>2025-1</v>
      </c>
      <c r="D108" s="1" t="str">
        <f>IFERROR(__xludf.DUMMYFUNCTION("""COMPUTED_VALUE"""),"Admisión de Alto Rendimiento")</f>
        <v>Admisión de Alto Rendimiento</v>
      </c>
      <c r="E108" s="2">
        <f>IFERROR(__xludf.DUMMYFUNCTION("""COMPUTED_VALUE"""),45553.0)</f>
        <v>45553</v>
      </c>
      <c r="F108" s="1" t="str">
        <f>IFERROR(__xludf.DUMMYFUNCTION("""COMPUTED_VALUE"""),"YASURI YAMILEY ")</f>
        <v>YASURI YAMILEY </v>
      </c>
      <c r="G108" s="1" t="str">
        <f>IFERROR(__xludf.DUMMYFUNCTION("""COMPUTED_VALUE"""),"NESTAREZ ANDRADE")</f>
        <v>NESTAREZ ANDRADE</v>
      </c>
      <c r="H108" s="1" t="str">
        <f>IFERROR(__xludf.DUMMYFUNCTION("""COMPUTED_VALUE"""),"Diseño Gráfico Publicitario")</f>
        <v>Diseño Gráfico Publicitario</v>
      </c>
      <c r="I108" s="1" t="str">
        <f>IFERROR(__xludf.DUMMYFUNCTION("""COMPUTED_VALUE"""),"CARGO")</f>
        <v>CARGO</v>
      </c>
      <c r="J108" s="1" t="str">
        <f>IFERROR(__xludf.DUMMYFUNCTION("""COMPUTED_VALUE"""),"Diurno")</f>
        <v>Diurno</v>
      </c>
      <c r="K108" s="1" t="str">
        <f>IFERROR(__xludf.DUMMYFUNCTION("""COMPUTED_VALUE"""),"NUEVO")</f>
        <v>NUEVO</v>
      </c>
      <c r="L108" s="1">
        <f>IFERROR(__xludf.DUMMYFUNCTION("""COMPUTED_VALUE"""),0.0)</f>
        <v>0</v>
      </c>
      <c r="M108" s="1">
        <f>IFERROR(__xludf.DUMMYFUNCTION("""COMPUTED_VALUE"""),0.0)</f>
        <v>0</v>
      </c>
      <c r="N108" s="1" t="str">
        <f>IFERROR(__xludf.DUMMYFUNCTION("""COMPUTED_VALUE"""),"BECA")</f>
        <v>BECA</v>
      </c>
      <c r="O108" s="1" t="str">
        <f>IFERROR(__xludf.DUMMYFUNCTION("""COMPUTED_VALUE"""),"BECA CADENA COLEGIOS")</f>
        <v>BECA CADENA COLEGIOS</v>
      </c>
      <c r="P108" s="4">
        <f>IFERROR(__xludf.DUMMYFUNCTION("""COMPUTED_VALUE"""),0.0)</f>
        <v>0</v>
      </c>
      <c r="Q108" s="4">
        <f>IFERROR(__xludf.DUMMYFUNCTION("""COMPUTED_VALUE"""),0.0)</f>
        <v>0</v>
      </c>
      <c r="R108" s="4">
        <f>IFERROR(__xludf.DUMMYFUNCTION("""COMPUTED_VALUE"""),1600.0)</f>
        <v>1600</v>
      </c>
      <c r="S108" s="4">
        <f>IFERROR(__xludf.DUMMYFUNCTION("""COMPUTED_VALUE"""),1200.0)</f>
        <v>1200</v>
      </c>
      <c r="T108" s="1" t="str">
        <f>IFERROR(__xludf.DUMMYFUNCTION("""COMPUTED_VALUE"""),"NINGUNO")</f>
        <v>NINGUNO</v>
      </c>
      <c r="U108" s="1" t="str">
        <f>IFERROR(__xludf.DUMMYFUNCTION("""COMPUTED_VALUE"""),"FABIOLA")</f>
        <v>FABIOLA</v>
      </c>
      <c r="V108" s="1" t="str">
        <f>IFERROR(__xludf.DUMMYFUNCTION("""COMPUTED_VALUE"""),"Ninguno")</f>
        <v>Ninguno</v>
      </c>
      <c r="W108" s="1" t="str">
        <f>IFERROR(__xludf.DUMMYFUNCTION("""COMPUTED_VALUE"""),"Malla curricular")</f>
        <v>Malla curricular</v>
      </c>
      <c r="X108" s="1" t="str">
        <f>IFERROR(__xludf.DUMMYFUNCTION("""COMPUTED_VALUE"""),"-")</f>
        <v>-</v>
      </c>
      <c r="Y108" s="1" t="str">
        <f>IFERROR(__xludf.DUMMYFUNCTION("""COMPUTED_VALUE"""),"PAGO COMPLETO")</f>
        <v>PAGO COMPLETO</v>
      </c>
      <c r="Z108" s="1">
        <f>IFERROR(__xludf.DUMMYFUNCTION("""COMPUTED_VALUE"""),0.0)</f>
        <v>0</v>
      </c>
      <c r="AA108" s="1" t="str">
        <f>IFERROR(__xludf.DUMMYFUNCTION("""COMPUTED_VALUE"""),"-")</f>
        <v>-</v>
      </c>
      <c r="AB108" s="1">
        <f>IFERROR(__xludf.DUMMYFUNCTION("""COMPUTED_VALUE"""),1.0)</f>
        <v>1</v>
      </c>
      <c r="AC108" s="1">
        <f>IFERROR(__xludf.DUMMYFUNCTION("""COMPUTED_VALUE"""),0.0)</f>
        <v>0</v>
      </c>
      <c r="AD108" s="1" t="str">
        <f>IFERROR(__xludf.DUMMYFUNCTION("""COMPUTED_VALUE"""),"Maria Luque")</f>
        <v>Maria Luque</v>
      </c>
      <c r="AE108" s="1" t="str">
        <f>IFERROR(__xludf.DUMMYFUNCTION("""COMPUTED_VALUE"""),"0")</f>
        <v>0</v>
      </c>
      <c r="AF108" s="1">
        <f>IFERROR(__xludf.DUMMYFUNCTION("""COMPUTED_VALUE"""),2024.0)</f>
        <v>2024</v>
      </c>
      <c r="AG108" s="1">
        <f>IFERROR(__xludf.DUMMYFUNCTION("""COMPUTED_VALUE"""),1168848.0)</f>
        <v>1168848</v>
      </c>
      <c r="AH108" s="1">
        <f>IFERROR(__xludf.DUMMYFUNCTION("""COMPUTED_VALUE"""),16.0)</f>
        <v>16</v>
      </c>
      <c r="AI108" s="1" t="str">
        <f>IFERROR(__xludf.DUMMYFUNCTION("""COMPUTED_VALUE"""),"0000395100")</f>
        <v>0000395100</v>
      </c>
      <c r="AJ108" s="1">
        <f>IFERROR(__xludf.DUMMYFUNCTION("""COMPUTED_VALUE"""),6.063922E7)</f>
        <v>60639220</v>
      </c>
      <c r="AK108" s="1">
        <f>IFERROR(__xludf.DUMMYFUNCTION("""COMPUTED_VALUE"""),9.17026047E8)</f>
        <v>917026047</v>
      </c>
      <c r="AL108" s="1" t="str">
        <f>IFERROR(__xludf.DUMMYFUNCTION("""COMPUTED_VALUE"""),"rieyaprendeconmelva@gmail.com")</f>
        <v>rieyaprendeconmelva@gmail.com</v>
      </c>
      <c r="AM108" s="1" t="str">
        <f>IFERROR(__xludf.DUMMYFUNCTION("""COMPUTED_VALUE"""),"FEMENINO")</f>
        <v>FEMENINO</v>
      </c>
      <c r="AN108" s="1">
        <f>IFERROR(__xludf.DUMMYFUNCTION("""COMPUTED_VALUE"""),1600.0)</f>
        <v>1600</v>
      </c>
      <c r="AO108" s="1">
        <f>IFERROR(__xludf.DUMMYFUNCTION("""COMPUTED_VALUE"""),690.0)</f>
        <v>690</v>
      </c>
      <c r="AP108" s="1" t="str">
        <f>IFERROR(__xludf.DUMMYFUNCTION("""COMPUTED_VALUE"""),"OUTBOUND")</f>
        <v>OUTBOUND</v>
      </c>
      <c r="AQ108" s="1" t="str">
        <f>IFERROR(__xludf.DUMMYFUNCTION("""COMPUTED_VALUE"""),"OUTBOUND")</f>
        <v>OUTBOUND</v>
      </c>
      <c r="AR108" s="1" t="str">
        <f>IFERROR(__xludf.DUMMYFUNCTION("""COMPUTED_VALUE"""),"HEREDADO")</f>
        <v>HEREDADO</v>
      </c>
      <c r="AS108" s="1"/>
      <c r="AT108" s="2">
        <f>IFERROR(__xludf.DUMMYFUNCTION("""COMPUTED_VALUE"""),45552.0)</f>
        <v>45552</v>
      </c>
      <c r="AU108" s="1">
        <f>IFERROR(__xludf.DUMMYFUNCTION("""COMPUTED_VALUE"""),1.0)</f>
        <v>1</v>
      </c>
      <c r="AV108" s="1" t="str">
        <f>IFERROR(__xludf.DUMMYFUNCTION("""COMPUTED_VALUE"""),"NUEVO")</f>
        <v>NUEVO</v>
      </c>
      <c r="AW108" s="1" t="str">
        <f>IFERROR(__xludf.DUMMYFUNCTION("""COMPUTED_VALUE"""),"SI")</f>
        <v>SI</v>
      </c>
      <c r="AX108" s="1"/>
      <c r="AY108" s="1" t="str">
        <f>IFERROR(__xludf.DUMMYFUNCTION("""COMPUTED_VALUE"""),"PAGO COMPLETO")</f>
        <v>PAGO COMPLETO</v>
      </c>
      <c r="AZ108" s="5">
        <f>IFERROR(__xludf.DUMMYFUNCTION("""COMPUTED_VALUE"""),45553.0)</f>
        <v>45553</v>
      </c>
      <c r="BA108" s="1">
        <f>IFERROR(__xludf.DUMMYFUNCTION("""COMPUTED_VALUE"""),0.0)</f>
        <v>0</v>
      </c>
      <c r="BB108" s="1">
        <f>IFERROR(__xludf.DUMMYFUNCTION("""COMPUTED_VALUE"""),0.0)</f>
        <v>0</v>
      </c>
      <c r="BC108" s="4">
        <f>IFERROR(__xludf.DUMMYFUNCTION("""COMPUTED_VALUE"""),0.0)</f>
        <v>0</v>
      </c>
      <c r="BD108" s="4">
        <f>IFERROR(__xludf.DUMMYFUNCTION("""COMPUTED_VALUE"""),0.0)</f>
        <v>0</v>
      </c>
      <c r="BE108" s="1">
        <f>IFERROR(__xludf.DUMMYFUNCTION("""COMPUTED_VALUE"""),9.0)</f>
        <v>9</v>
      </c>
      <c r="BF108" s="6">
        <f>IFERROR(__xludf.DUMMYFUNCTION("""COMPUTED_VALUE"""),1.0)</f>
        <v>1</v>
      </c>
      <c r="BG108" s="1">
        <f>IFERROR(__xludf.DUMMYFUNCTION("""COMPUTED_VALUE"""),1.0)</f>
        <v>1</v>
      </c>
      <c r="BH108" s="1" t="str">
        <f>IFERROR(__xludf.DUMMYFUNCTION("""COMPUTED_VALUE"""),"0")</f>
        <v>0</v>
      </c>
      <c r="BI108" s="4">
        <f>IFERROR(__xludf.DUMMYFUNCTION("""COMPUTED_VALUE"""),0.0)</f>
        <v>0</v>
      </c>
      <c r="BJ108" s="1">
        <f>IFERROR(__xludf.DUMMYFUNCTION("""COMPUTED_VALUE"""),0.0)</f>
        <v>0</v>
      </c>
      <c r="BK108" s="4">
        <f>IFERROR(__xludf.DUMMYFUNCTION("""COMPUTED_VALUE"""),0.0)</f>
        <v>0</v>
      </c>
      <c r="BL108" s="1">
        <f>IFERROR(__xludf.DUMMYFUNCTION("""COMPUTED_VALUE"""),1200.0)</f>
        <v>1200</v>
      </c>
      <c r="BM108" s="1">
        <f>IFERROR(__xludf.DUMMYFUNCTION("""COMPUTED_VALUE"""),38.0)</f>
        <v>38</v>
      </c>
      <c r="BN108" s="2">
        <f>IFERROR(__xludf.DUMMYFUNCTION("""COMPUTED_VALUE"""),45551.0)</f>
        <v>45551</v>
      </c>
      <c r="BO108" s="1">
        <f>IFERROR(__xludf.DUMMYFUNCTION("""COMPUTED_VALUE"""),9.0)</f>
        <v>9</v>
      </c>
      <c r="BP108" s="1">
        <f>IFERROR(__xludf.DUMMYFUNCTION("""COMPUTED_VALUE"""),2024.0)</f>
        <v>2024</v>
      </c>
    </row>
    <row r="109">
      <c r="A109" s="1">
        <f>IFERROR(__xludf.DUMMYFUNCTION("""COMPUTED_VALUE"""),108.0)</f>
        <v>108</v>
      </c>
      <c r="B109" s="1">
        <f>IFERROR(__xludf.DUMMYFUNCTION("""COMPUTED_VALUE"""),4389681.0)</f>
        <v>4389681</v>
      </c>
      <c r="C109" s="1" t="str">
        <f>IFERROR(__xludf.DUMMYFUNCTION("""COMPUTED_VALUE"""),"2025-1")</f>
        <v>2025-1</v>
      </c>
      <c r="D109" s="1" t="str">
        <f>IFERROR(__xludf.DUMMYFUNCTION("""COMPUTED_VALUE"""),"Admisión de Alto Rendimiento")</f>
        <v>Admisión de Alto Rendimiento</v>
      </c>
      <c r="E109" s="2">
        <f>IFERROR(__xludf.DUMMYFUNCTION("""COMPUTED_VALUE"""),45554.0)</f>
        <v>45554</v>
      </c>
      <c r="F109" s="1" t="str">
        <f>IFERROR(__xludf.DUMMYFUNCTION("""COMPUTED_VALUE"""),"KIARA MASSIEL ")</f>
        <v>KIARA MASSIEL </v>
      </c>
      <c r="G109" s="1" t="str">
        <f>IFERROR(__xludf.DUMMYFUNCTION("""COMPUTED_VALUE"""),"POMA PALOMINO")</f>
        <v>POMA PALOMINO</v>
      </c>
      <c r="H109" s="1" t="str">
        <f>IFERROR(__xludf.DUMMYFUNCTION("""COMPUTED_VALUE"""),"Comunicación Audiovisual y Cine")</f>
        <v>Comunicación Audiovisual y Cine</v>
      </c>
      <c r="I109" s="1" t="str">
        <f>IFERROR(__xludf.DUMMYFUNCTION("""COMPUTED_VALUE"""),"POS")</f>
        <v>POS</v>
      </c>
      <c r="J109" s="1" t="str">
        <f>IFERROR(__xludf.DUMMYFUNCTION("""COMPUTED_VALUE"""),"Diurno")</f>
        <v>Diurno</v>
      </c>
      <c r="K109" s="1" t="str">
        <f>IFERROR(__xludf.DUMMYFUNCTION("""COMPUTED_VALUE"""),"NUEVO")</f>
        <v>NUEVO</v>
      </c>
      <c r="L109" s="1">
        <f>IFERROR(__xludf.DUMMYFUNCTION("""COMPUTED_VALUE"""),0.0)</f>
        <v>0</v>
      </c>
      <c r="M109" s="1">
        <f>IFERROR(__xludf.DUMMYFUNCTION("""COMPUTED_VALUE"""),0.0)</f>
        <v>0</v>
      </c>
      <c r="N109" s="1" t="str">
        <f>IFERROR(__xludf.DUMMYFUNCTION("""COMPUTED_VALUE"""),"BECA")</f>
        <v>BECA</v>
      </c>
      <c r="O109" s="1" t="str">
        <f>IFERROR(__xludf.DUMMYFUNCTION("""COMPUTED_VALUE"""),"BECAS GANADOR DEL CONCURSO")</f>
        <v>BECAS GANADOR DEL CONCURSO</v>
      </c>
      <c r="P109" s="4">
        <f>IFERROR(__xludf.DUMMYFUNCTION("""COMPUTED_VALUE"""),200.0)</f>
        <v>200</v>
      </c>
      <c r="Q109" s="4">
        <f>IFERROR(__xludf.DUMMYFUNCTION("""COMPUTED_VALUE"""),475.0)</f>
        <v>475</v>
      </c>
      <c r="R109" s="4">
        <f>IFERROR(__xludf.DUMMYFUNCTION("""COMPUTED_VALUE"""),1600.0)</f>
        <v>1600</v>
      </c>
      <c r="S109" s="4">
        <f>IFERROR(__xludf.DUMMYFUNCTION("""COMPUTED_VALUE"""),0.0)</f>
        <v>0</v>
      </c>
      <c r="T109" s="1" t="str">
        <f>IFERROR(__xludf.DUMMYFUNCTION("""COMPUTED_VALUE"""),"NINGUNO")</f>
        <v>NINGUNO</v>
      </c>
      <c r="U109" s="1" t="str">
        <f>IFERROR(__xludf.DUMMYFUNCTION("""COMPUTED_VALUE"""),"SEBASTIAN")</f>
        <v>SEBASTIAN</v>
      </c>
      <c r="V109" s="1" t="str">
        <f>IFERROR(__xludf.DUMMYFUNCTION("""COMPUTED_VALUE"""),"Ninguno")</f>
        <v>Ninguno</v>
      </c>
      <c r="W109" s="1" t="str">
        <f>IFERROR(__xludf.DUMMYFUNCTION("""COMPUTED_VALUE"""),"Beca")</f>
        <v>Beca</v>
      </c>
      <c r="X109" s="1" t="str">
        <f>IFERROR(__xludf.DUMMYFUNCTION("""COMPUTED_VALUE"""),"Beca ganador del concurso")</f>
        <v>Beca ganador del concurso</v>
      </c>
      <c r="Y109" s="1" t="str">
        <f>IFERROR(__xludf.DUMMYFUNCTION("""COMPUTED_VALUE"""),"PAGO COMPLETO")</f>
        <v>PAGO COMPLETO</v>
      </c>
      <c r="Z109" s="1">
        <f>IFERROR(__xludf.DUMMYFUNCTION("""COMPUTED_VALUE"""),0.0)</f>
        <v>0</v>
      </c>
      <c r="AA109" s="1" t="str">
        <f>IFERROR(__xludf.DUMMYFUNCTION("""COMPUTED_VALUE"""),"-")</f>
        <v>-</v>
      </c>
      <c r="AB109" s="1">
        <f>IFERROR(__xludf.DUMMYFUNCTION("""COMPUTED_VALUE"""),0.0)</f>
        <v>0</v>
      </c>
      <c r="AC109" s="1">
        <f>IFERROR(__xludf.DUMMYFUNCTION("""COMPUTED_VALUE"""),0.0)</f>
        <v>0</v>
      </c>
      <c r="AD109" s="1" t="str">
        <f>IFERROR(__xludf.DUMMYFUNCTION("""COMPUTED_VALUE"""),"José Munar")</f>
        <v>José Munar</v>
      </c>
      <c r="AE109" s="1" t="str">
        <f>IFERROR(__xludf.DUMMYFUNCTION("""COMPUTED_VALUE"""),"0")</f>
        <v>0</v>
      </c>
      <c r="AF109" s="1">
        <f>IFERROR(__xludf.DUMMYFUNCTION("""COMPUTED_VALUE"""),2024.0)</f>
        <v>2024</v>
      </c>
      <c r="AG109" s="1">
        <f>IFERROR(__xludf.DUMMYFUNCTION("""COMPUTED_VALUE"""),762765.0)</f>
        <v>762765</v>
      </c>
      <c r="AH109" s="1">
        <f>IFERROR(__xludf.DUMMYFUNCTION("""COMPUTED_VALUE"""),17.0)</f>
        <v>17</v>
      </c>
      <c r="AI109" s="1" t="str">
        <f>IFERROR(__xludf.DUMMYFUNCTION("""COMPUTED_VALUE"""),"0000395440")</f>
        <v>0000395440</v>
      </c>
      <c r="AJ109" s="1">
        <f>IFERROR(__xludf.DUMMYFUNCTION("""COMPUTED_VALUE"""),7.0712433E7)</f>
        <v>70712433</v>
      </c>
      <c r="AK109" s="1">
        <f>IFERROR(__xludf.DUMMYFUNCTION("""COMPUTED_VALUE"""),9.53069531E8)</f>
        <v>953069531</v>
      </c>
      <c r="AL109" s="1" t="str">
        <f>IFERROR(__xludf.DUMMYFUNCTION("""COMPUTED_VALUE"""),"kiarapoma77@gmail.com")</f>
        <v>kiarapoma77@gmail.com</v>
      </c>
      <c r="AM109" s="1" t="str">
        <f>IFERROR(__xludf.DUMMYFUNCTION("""COMPUTED_VALUE"""),"FEMENINO")</f>
        <v>FEMENINO</v>
      </c>
      <c r="AN109" s="1">
        <f>IFERROR(__xludf.DUMMYFUNCTION("""COMPUTED_VALUE"""),1600.0)</f>
        <v>1600</v>
      </c>
      <c r="AO109" s="1">
        <f>IFERROR(__xludf.DUMMYFUNCTION("""COMPUTED_VALUE"""),420.0)</f>
        <v>420</v>
      </c>
      <c r="AP109" s="1" t="str">
        <f>IFERROR(__xludf.DUMMYFUNCTION("""COMPUTED_VALUE"""),"COLEGIOS")</f>
        <v>COLEGIOS</v>
      </c>
      <c r="AQ109" s="1" t="str">
        <f>IFERROR(__xludf.DUMMYFUNCTION("""COMPUTED_VALUE"""),"COLEGIOS")</f>
        <v>COLEGIOS</v>
      </c>
      <c r="AR109" s="1" t="str">
        <f>IFERROR(__xludf.DUMMYFUNCTION("""COMPUTED_VALUE"""),"NUEVO")</f>
        <v>NUEVO</v>
      </c>
      <c r="AS109" s="1"/>
      <c r="AT109" s="2">
        <f>IFERROR(__xludf.DUMMYFUNCTION("""COMPUTED_VALUE"""),45495.0)</f>
        <v>45495</v>
      </c>
      <c r="AU109" s="1">
        <f>IFERROR(__xludf.DUMMYFUNCTION("""COMPUTED_VALUE"""),1.0)</f>
        <v>1</v>
      </c>
      <c r="AV109" s="1" t="str">
        <f>IFERROR(__xludf.DUMMYFUNCTION("""COMPUTED_VALUE"""),"NUEVO")</f>
        <v>NUEVO</v>
      </c>
      <c r="AW109" s="1" t="str">
        <f>IFERROR(__xludf.DUMMYFUNCTION("""COMPUTED_VALUE"""),"SI")</f>
        <v>SI</v>
      </c>
      <c r="AX109" s="1"/>
      <c r="AY109" s="1" t="str">
        <f>IFERROR(__xludf.DUMMYFUNCTION("""COMPUTED_VALUE"""),"PAGO COMPLETO")</f>
        <v>PAGO COMPLETO</v>
      </c>
      <c r="AZ109" s="5">
        <f>IFERROR(__xludf.DUMMYFUNCTION("""COMPUTED_VALUE"""),45554.0)</f>
        <v>45554</v>
      </c>
      <c r="BA109" s="1">
        <f>IFERROR(__xludf.DUMMYFUNCTION("""COMPUTED_VALUE"""),0.0)</f>
        <v>0</v>
      </c>
      <c r="BB109" s="1">
        <f>IFERROR(__xludf.DUMMYFUNCTION("""COMPUTED_VALUE"""),0.0)</f>
        <v>0</v>
      </c>
      <c r="BC109" s="4">
        <f>IFERROR(__xludf.DUMMYFUNCTION("""COMPUTED_VALUE"""),0.0)</f>
        <v>0</v>
      </c>
      <c r="BD109" s="4">
        <f>IFERROR(__xludf.DUMMYFUNCTION("""COMPUTED_VALUE"""),0.0)</f>
        <v>0</v>
      </c>
      <c r="BE109" s="1">
        <f>IFERROR(__xludf.DUMMYFUNCTION("""COMPUTED_VALUE"""),9.0)</f>
        <v>9</v>
      </c>
      <c r="BF109" s="6">
        <f>IFERROR(__xludf.DUMMYFUNCTION("""COMPUTED_VALUE"""),1.0)</f>
        <v>1</v>
      </c>
      <c r="BG109" s="1"/>
      <c r="BH109" s="1" t="str">
        <f>IFERROR(__xludf.DUMMYFUNCTION("""COMPUTED_VALUE"""),"0")</f>
        <v>0</v>
      </c>
      <c r="BI109" s="4">
        <f>IFERROR(__xludf.DUMMYFUNCTION("""COMPUTED_VALUE"""),0.0)</f>
        <v>0</v>
      </c>
      <c r="BJ109" s="1">
        <f>IFERROR(__xludf.DUMMYFUNCTION("""COMPUTED_VALUE"""),0.0)</f>
        <v>0</v>
      </c>
      <c r="BK109" s="4">
        <f>IFERROR(__xludf.DUMMYFUNCTION("""COMPUTED_VALUE"""),0.0)</f>
        <v>0</v>
      </c>
      <c r="BL109" s="1">
        <f>IFERROR(__xludf.DUMMYFUNCTION("""COMPUTED_VALUE"""),0.0)</f>
        <v>0</v>
      </c>
      <c r="BM109" s="1">
        <f>IFERROR(__xludf.DUMMYFUNCTION("""COMPUTED_VALUE"""),38.0)</f>
        <v>38</v>
      </c>
      <c r="BN109" s="2">
        <f>IFERROR(__xludf.DUMMYFUNCTION("""COMPUTED_VALUE"""),45551.0)</f>
        <v>45551</v>
      </c>
      <c r="BO109" s="1">
        <f>IFERROR(__xludf.DUMMYFUNCTION("""COMPUTED_VALUE"""),9.0)</f>
        <v>9</v>
      </c>
      <c r="BP109" s="1">
        <f>IFERROR(__xludf.DUMMYFUNCTION("""COMPUTED_VALUE"""),2024.0)</f>
        <v>2024</v>
      </c>
    </row>
    <row r="110">
      <c r="A110" s="1">
        <f>IFERROR(__xludf.DUMMYFUNCTION("""COMPUTED_VALUE"""),109.0)</f>
        <v>109</v>
      </c>
      <c r="B110" s="1">
        <f>IFERROR(__xludf.DUMMYFUNCTION("""COMPUTED_VALUE"""),4374107.0)</f>
        <v>4374107</v>
      </c>
      <c r="C110" s="1" t="str">
        <f>IFERROR(__xludf.DUMMYFUNCTION("""COMPUTED_VALUE"""),"2025-1")</f>
        <v>2025-1</v>
      </c>
      <c r="D110" s="1" t="str">
        <f>IFERROR(__xludf.DUMMYFUNCTION("""COMPUTED_VALUE"""),"Admisión de Alto Rendimiento")</f>
        <v>Admisión de Alto Rendimiento</v>
      </c>
      <c r="E110" s="2">
        <f>IFERROR(__xludf.DUMMYFUNCTION("""COMPUTED_VALUE"""),45554.0)</f>
        <v>45554</v>
      </c>
      <c r="F110" s="1" t="str">
        <f>IFERROR(__xludf.DUMMYFUNCTION("""COMPUTED_VALUE"""),"MARIELLA SOFIA")</f>
        <v>MARIELLA SOFIA</v>
      </c>
      <c r="G110" s="1" t="str">
        <f>IFERROR(__xludf.DUMMYFUNCTION("""COMPUTED_VALUE"""),"CRISOSTOMO HUAMAN")</f>
        <v>CRISOSTOMO HUAMAN</v>
      </c>
      <c r="H110" s="1" t="str">
        <f>IFERROR(__xludf.DUMMYFUNCTION("""COMPUTED_VALUE"""),"Comunicación")</f>
        <v>Comunicación</v>
      </c>
      <c r="I110" s="1" t="str">
        <f>IFERROR(__xludf.DUMMYFUNCTION("""COMPUTED_VALUE"""),"POS")</f>
        <v>POS</v>
      </c>
      <c r="J110" s="1" t="str">
        <f>IFERROR(__xludf.DUMMYFUNCTION("""COMPUTED_VALUE"""),"Diurno")</f>
        <v>Diurno</v>
      </c>
      <c r="K110" s="1" t="str">
        <f>IFERROR(__xludf.DUMMYFUNCTION("""COMPUTED_VALUE"""),"NUEVO")</f>
        <v>NUEVO</v>
      </c>
      <c r="L110" s="1">
        <f>IFERROR(__xludf.DUMMYFUNCTION("""COMPUTED_VALUE"""),0.0)</f>
        <v>0</v>
      </c>
      <c r="M110" s="1">
        <f>IFERROR(__xludf.DUMMYFUNCTION("""COMPUTED_VALUE"""),0.0)</f>
        <v>0</v>
      </c>
      <c r="N110" s="1" t="str">
        <f>IFERROR(__xludf.DUMMYFUNCTION("""COMPUTED_VALUE"""),"BECA")</f>
        <v>BECA</v>
      </c>
      <c r="O110" s="1" t="str">
        <f>IFERROR(__xludf.DUMMYFUNCTION("""COMPUTED_VALUE"""),"BECAS GANADOR DEL CONCURSO")</f>
        <v>BECAS GANADOR DEL CONCURSO</v>
      </c>
      <c r="P110" s="4">
        <f>IFERROR(__xludf.DUMMYFUNCTION("""COMPUTED_VALUE"""),200.0)</f>
        <v>200</v>
      </c>
      <c r="Q110" s="4">
        <f>IFERROR(__xludf.DUMMYFUNCTION("""COMPUTED_VALUE"""),475.0)</f>
        <v>475</v>
      </c>
      <c r="R110" s="4">
        <f>IFERROR(__xludf.DUMMYFUNCTION("""COMPUTED_VALUE"""),1600.0)</f>
        <v>1600</v>
      </c>
      <c r="S110" s="4">
        <f>IFERROR(__xludf.DUMMYFUNCTION("""COMPUTED_VALUE"""),0.0)</f>
        <v>0</v>
      </c>
      <c r="T110" s="1" t="str">
        <f>IFERROR(__xludf.DUMMYFUNCTION("""COMPUTED_VALUE"""),"NINGUNO")</f>
        <v>NINGUNO</v>
      </c>
      <c r="U110" s="1" t="str">
        <f>IFERROR(__xludf.DUMMYFUNCTION("""COMPUTED_VALUE"""),"SEBASTIAN")</f>
        <v>SEBASTIAN</v>
      </c>
      <c r="V110" s="1" t="str">
        <f>IFERROR(__xludf.DUMMYFUNCTION("""COMPUTED_VALUE"""),"Ninguno")</f>
        <v>Ninguno</v>
      </c>
      <c r="W110" s="1" t="str">
        <f>IFERROR(__xludf.DUMMYFUNCTION("""COMPUTED_VALUE"""),"Beca")</f>
        <v>Beca</v>
      </c>
      <c r="X110" s="1" t="str">
        <f>IFERROR(__xludf.DUMMYFUNCTION("""COMPUTED_VALUE"""),"Beca ganador del concurso")</f>
        <v>Beca ganador del concurso</v>
      </c>
      <c r="Y110" s="1" t="str">
        <f>IFERROR(__xludf.DUMMYFUNCTION("""COMPUTED_VALUE"""),"PAGO COMPLETO")</f>
        <v>PAGO COMPLETO</v>
      </c>
      <c r="Z110" s="1">
        <f>IFERROR(__xludf.DUMMYFUNCTION("""COMPUTED_VALUE"""),0.0)</f>
        <v>0</v>
      </c>
      <c r="AA110" s="1" t="str">
        <f>IFERROR(__xludf.DUMMYFUNCTION("""COMPUTED_VALUE"""),"-")</f>
        <v>-</v>
      </c>
      <c r="AB110" s="1">
        <f>IFERROR(__xludf.DUMMYFUNCTION("""COMPUTED_VALUE"""),0.0)</f>
        <v>0</v>
      </c>
      <c r="AC110" s="1">
        <f>IFERROR(__xludf.DUMMYFUNCTION("""COMPUTED_VALUE"""),0.0)</f>
        <v>0</v>
      </c>
      <c r="AD110" s="1" t="str">
        <f>IFERROR(__xludf.DUMMYFUNCTION("""COMPUTED_VALUE"""),"José Munar")</f>
        <v>José Munar</v>
      </c>
      <c r="AE110" s="1" t="str">
        <f>IFERROR(__xludf.DUMMYFUNCTION("""COMPUTED_VALUE"""),"0")</f>
        <v>0</v>
      </c>
      <c r="AF110" s="1">
        <f>IFERROR(__xludf.DUMMYFUNCTION("""COMPUTED_VALUE"""),2024.0)</f>
        <v>2024</v>
      </c>
      <c r="AG110" s="1">
        <f>IFERROR(__xludf.DUMMYFUNCTION("""COMPUTED_VALUE"""),762765.0)</f>
        <v>762765</v>
      </c>
      <c r="AH110" s="1">
        <f>IFERROR(__xludf.DUMMYFUNCTION("""COMPUTED_VALUE"""),17.0)</f>
        <v>17</v>
      </c>
      <c r="AI110" s="1" t="str">
        <f>IFERROR(__xludf.DUMMYFUNCTION("""COMPUTED_VALUE"""),"0000395451")</f>
        <v>0000395451</v>
      </c>
      <c r="AJ110" s="1">
        <f>IFERROR(__xludf.DUMMYFUNCTION("""COMPUTED_VALUE"""),6.2049327E7)</f>
        <v>62049327</v>
      </c>
      <c r="AK110" s="1">
        <f>IFERROR(__xludf.DUMMYFUNCTION("""COMPUTED_VALUE"""),9.48234432E8)</f>
        <v>948234432</v>
      </c>
      <c r="AL110" s="1" t="str">
        <f>IFERROR(__xludf.DUMMYFUNCTION("""COMPUTED_VALUE"""),"mariellitadescubreelmundo@gmail.com")</f>
        <v>mariellitadescubreelmundo@gmail.com</v>
      </c>
      <c r="AM110" s="1" t="str">
        <f>IFERROR(__xludf.DUMMYFUNCTION("""COMPUTED_VALUE"""),"FEMENINO")</f>
        <v>FEMENINO</v>
      </c>
      <c r="AN110" s="1">
        <f>IFERROR(__xludf.DUMMYFUNCTION("""COMPUTED_VALUE"""),1600.0)</f>
        <v>1600</v>
      </c>
      <c r="AO110" s="1">
        <f>IFERROR(__xludf.DUMMYFUNCTION("""COMPUTED_VALUE"""),420.0)</f>
        <v>420</v>
      </c>
      <c r="AP110" s="1" t="str">
        <f>IFERROR(__xludf.DUMMYFUNCTION("""COMPUTED_VALUE"""),"COLEGIOS")</f>
        <v>COLEGIOS</v>
      </c>
      <c r="AQ110" s="1" t="str">
        <f>IFERROR(__xludf.DUMMYFUNCTION("""COMPUTED_VALUE"""),"COLEGIOS")</f>
        <v>COLEGIOS</v>
      </c>
      <c r="AR110" s="1" t="str">
        <f>IFERROR(__xludf.DUMMYFUNCTION("""COMPUTED_VALUE"""),"NUEVO")</f>
        <v>NUEVO</v>
      </c>
      <c r="AS110" s="1"/>
      <c r="AT110" s="2">
        <f>IFERROR(__xludf.DUMMYFUNCTION("""COMPUTED_VALUE"""),45487.0)</f>
        <v>45487</v>
      </c>
      <c r="AU110" s="1">
        <f>IFERROR(__xludf.DUMMYFUNCTION("""COMPUTED_VALUE"""),1.0)</f>
        <v>1</v>
      </c>
      <c r="AV110" s="1" t="str">
        <f>IFERROR(__xludf.DUMMYFUNCTION("""COMPUTED_VALUE"""),"NUEVO")</f>
        <v>NUEVO</v>
      </c>
      <c r="AW110" s="1" t="str">
        <f>IFERROR(__xludf.DUMMYFUNCTION("""COMPUTED_VALUE"""),"SI")</f>
        <v>SI</v>
      </c>
      <c r="AX110" s="1"/>
      <c r="AY110" s="1" t="str">
        <f>IFERROR(__xludf.DUMMYFUNCTION("""COMPUTED_VALUE"""),"PAGO COMPLETO")</f>
        <v>PAGO COMPLETO</v>
      </c>
      <c r="AZ110" s="5">
        <f>IFERROR(__xludf.DUMMYFUNCTION("""COMPUTED_VALUE"""),45554.0)</f>
        <v>45554</v>
      </c>
      <c r="BA110" s="1">
        <f>IFERROR(__xludf.DUMMYFUNCTION("""COMPUTED_VALUE"""),0.0)</f>
        <v>0</v>
      </c>
      <c r="BB110" s="1">
        <f>IFERROR(__xludf.DUMMYFUNCTION("""COMPUTED_VALUE"""),0.0)</f>
        <v>0</v>
      </c>
      <c r="BC110" s="4">
        <f>IFERROR(__xludf.DUMMYFUNCTION("""COMPUTED_VALUE"""),0.0)</f>
        <v>0</v>
      </c>
      <c r="BD110" s="4">
        <f>IFERROR(__xludf.DUMMYFUNCTION("""COMPUTED_VALUE"""),0.0)</f>
        <v>0</v>
      </c>
      <c r="BE110" s="1">
        <f>IFERROR(__xludf.DUMMYFUNCTION("""COMPUTED_VALUE"""),9.0)</f>
        <v>9</v>
      </c>
      <c r="BF110" s="6">
        <f>IFERROR(__xludf.DUMMYFUNCTION("""COMPUTED_VALUE"""),1.0)</f>
        <v>1</v>
      </c>
      <c r="BG110" s="1"/>
      <c r="BH110" s="1" t="str">
        <f>IFERROR(__xludf.DUMMYFUNCTION("""COMPUTED_VALUE"""),"0")</f>
        <v>0</v>
      </c>
      <c r="BI110" s="4">
        <f>IFERROR(__xludf.DUMMYFUNCTION("""COMPUTED_VALUE"""),0.0)</f>
        <v>0</v>
      </c>
      <c r="BJ110" s="1">
        <f>IFERROR(__xludf.DUMMYFUNCTION("""COMPUTED_VALUE"""),0.0)</f>
        <v>0</v>
      </c>
      <c r="BK110" s="4">
        <f>IFERROR(__xludf.DUMMYFUNCTION("""COMPUTED_VALUE"""),0.0)</f>
        <v>0</v>
      </c>
      <c r="BL110" s="1">
        <f>IFERROR(__xludf.DUMMYFUNCTION("""COMPUTED_VALUE"""),0.0)</f>
        <v>0</v>
      </c>
      <c r="BM110" s="1">
        <f>IFERROR(__xludf.DUMMYFUNCTION("""COMPUTED_VALUE"""),38.0)</f>
        <v>38</v>
      </c>
      <c r="BN110" s="2">
        <f>IFERROR(__xludf.DUMMYFUNCTION("""COMPUTED_VALUE"""),45551.0)</f>
        <v>45551</v>
      </c>
      <c r="BO110" s="1">
        <f>IFERROR(__xludf.DUMMYFUNCTION("""COMPUTED_VALUE"""),9.0)</f>
        <v>9</v>
      </c>
      <c r="BP110" s="1">
        <f>IFERROR(__xludf.DUMMYFUNCTION("""COMPUTED_VALUE"""),2024.0)</f>
        <v>2024</v>
      </c>
    </row>
    <row r="111">
      <c r="A111" s="1">
        <f>IFERROR(__xludf.DUMMYFUNCTION("""COMPUTED_VALUE"""),110.0)</f>
        <v>110</v>
      </c>
      <c r="B111" s="1">
        <f>IFERROR(__xludf.DUMMYFUNCTION("""COMPUTED_VALUE"""),2043196.0)</f>
        <v>2043196</v>
      </c>
      <c r="C111" s="1" t="str">
        <f>IFERROR(__xludf.DUMMYFUNCTION("""COMPUTED_VALUE"""),"2025-1")</f>
        <v>2025-1</v>
      </c>
      <c r="D111" s="1" t="str">
        <f>IFERROR(__xludf.DUMMYFUNCTION("""COMPUTED_VALUE"""),"Admisión de Alto Rendimiento")</f>
        <v>Admisión de Alto Rendimiento</v>
      </c>
      <c r="E111" s="2">
        <f>IFERROR(__xludf.DUMMYFUNCTION("""COMPUTED_VALUE"""),45554.0)</f>
        <v>45554</v>
      </c>
      <c r="F111" s="1" t="str">
        <f>IFERROR(__xludf.DUMMYFUNCTION("""COMPUTED_VALUE"""),"LUCERO MERCEDES")</f>
        <v>LUCERO MERCEDES</v>
      </c>
      <c r="G111" s="1" t="str">
        <f>IFERROR(__xludf.DUMMYFUNCTION("""COMPUTED_VALUE"""),"CASTELLANOS VELASQUEZ")</f>
        <v>CASTELLANOS VELASQUEZ</v>
      </c>
      <c r="H111" s="1" t="str">
        <f>IFERROR(__xludf.DUMMYFUNCTION("""COMPUTED_VALUE"""),"Comunicación Audiovisual y Cine")</f>
        <v>Comunicación Audiovisual y Cine</v>
      </c>
      <c r="I111" s="1" t="str">
        <f>IFERROR(__xludf.DUMMYFUNCTION("""COMPUTED_VALUE"""),"POS")</f>
        <v>POS</v>
      </c>
      <c r="J111" s="1" t="str">
        <f>IFERROR(__xludf.DUMMYFUNCTION("""COMPUTED_VALUE"""),"Diurno")</f>
        <v>Diurno</v>
      </c>
      <c r="K111" s="1" t="str">
        <f>IFERROR(__xludf.DUMMYFUNCTION("""COMPUTED_VALUE"""),"NUEVO")</f>
        <v>NUEVO</v>
      </c>
      <c r="L111" s="1">
        <f>IFERROR(__xludf.DUMMYFUNCTION("""COMPUTED_VALUE"""),0.0)</f>
        <v>0</v>
      </c>
      <c r="M111" s="1">
        <f>IFERROR(__xludf.DUMMYFUNCTION("""COMPUTED_VALUE"""),0.0)</f>
        <v>0</v>
      </c>
      <c r="N111" s="1" t="str">
        <f>IFERROR(__xludf.DUMMYFUNCTION("""COMPUTED_VALUE"""),"BECA")</f>
        <v>BECA</v>
      </c>
      <c r="O111" s="1" t="str">
        <f>IFERROR(__xludf.DUMMYFUNCTION("""COMPUTED_VALUE"""),"BECAS GANADOR DEL CONCURSO")</f>
        <v>BECAS GANADOR DEL CONCURSO</v>
      </c>
      <c r="P111" s="4">
        <f>IFERROR(__xludf.DUMMYFUNCTION("""COMPUTED_VALUE"""),200.0)</f>
        <v>200</v>
      </c>
      <c r="Q111" s="4">
        <f>IFERROR(__xludf.DUMMYFUNCTION("""COMPUTED_VALUE"""),475.0)</f>
        <v>475</v>
      </c>
      <c r="R111" s="4">
        <f>IFERROR(__xludf.DUMMYFUNCTION("""COMPUTED_VALUE"""),1600.0)</f>
        <v>1600</v>
      </c>
      <c r="S111" s="4">
        <f>IFERROR(__xludf.DUMMYFUNCTION("""COMPUTED_VALUE"""),0.0)</f>
        <v>0</v>
      </c>
      <c r="T111" s="1" t="str">
        <f>IFERROR(__xludf.DUMMYFUNCTION("""COMPUTED_VALUE"""),"NINGUNO")</f>
        <v>NINGUNO</v>
      </c>
      <c r="U111" s="1" t="str">
        <f>IFERROR(__xludf.DUMMYFUNCTION("""COMPUTED_VALUE"""),"SEBASTIAN")</f>
        <v>SEBASTIAN</v>
      </c>
      <c r="V111" s="1" t="str">
        <f>IFERROR(__xludf.DUMMYFUNCTION("""COMPUTED_VALUE"""),"Ninguno")</f>
        <v>Ninguno</v>
      </c>
      <c r="W111" s="1" t="str">
        <f>IFERROR(__xludf.DUMMYFUNCTION("""COMPUTED_VALUE"""),"Beca")</f>
        <v>Beca</v>
      </c>
      <c r="X111" s="1" t="str">
        <f>IFERROR(__xludf.DUMMYFUNCTION("""COMPUTED_VALUE"""),"Beca ganador del concurso")</f>
        <v>Beca ganador del concurso</v>
      </c>
      <c r="Y111" s="1" t="str">
        <f>IFERROR(__xludf.DUMMYFUNCTION("""COMPUTED_VALUE"""),"PAGO COMPLETO")</f>
        <v>PAGO COMPLETO</v>
      </c>
      <c r="Z111" s="1">
        <f>IFERROR(__xludf.DUMMYFUNCTION("""COMPUTED_VALUE"""),0.0)</f>
        <v>0</v>
      </c>
      <c r="AA111" s="1" t="str">
        <f>IFERROR(__xludf.DUMMYFUNCTION("""COMPUTED_VALUE"""),"-")</f>
        <v>-</v>
      </c>
      <c r="AB111" s="1">
        <f>IFERROR(__xludf.DUMMYFUNCTION("""COMPUTED_VALUE"""),0.0)</f>
        <v>0</v>
      </c>
      <c r="AC111" s="1">
        <f>IFERROR(__xludf.DUMMYFUNCTION("""COMPUTED_VALUE"""),0.0)</f>
        <v>0</v>
      </c>
      <c r="AD111" s="1" t="str">
        <f>IFERROR(__xludf.DUMMYFUNCTION("""COMPUTED_VALUE"""),"José Munar")</f>
        <v>José Munar</v>
      </c>
      <c r="AE111" s="1" t="str">
        <f>IFERROR(__xludf.DUMMYFUNCTION("""COMPUTED_VALUE"""),"0")</f>
        <v>0</v>
      </c>
      <c r="AF111" s="1">
        <f>IFERROR(__xludf.DUMMYFUNCTION("""COMPUTED_VALUE"""),2024.0)</f>
        <v>2024</v>
      </c>
      <c r="AG111" s="1">
        <f>IFERROR(__xludf.DUMMYFUNCTION("""COMPUTED_VALUE"""),762765.0)</f>
        <v>762765</v>
      </c>
      <c r="AH111" s="1">
        <f>IFERROR(__xludf.DUMMYFUNCTION("""COMPUTED_VALUE"""),17.0)</f>
        <v>17</v>
      </c>
      <c r="AI111" s="1" t="str">
        <f>IFERROR(__xludf.DUMMYFUNCTION("""COMPUTED_VALUE"""),"0000395489")</f>
        <v>0000395489</v>
      </c>
      <c r="AJ111" s="1">
        <f>IFERROR(__xludf.DUMMYFUNCTION("""COMPUTED_VALUE"""),6.1178518E7)</f>
        <v>61178518</v>
      </c>
      <c r="AK111" s="1">
        <f>IFERROR(__xludf.DUMMYFUNCTION("""COMPUTED_VALUE"""),9.44142645E8)</f>
        <v>944142645</v>
      </c>
      <c r="AL111" s="1" t="str">
        <f>IFERROR(__xludf.DUMMYFUNCTION("""COMPUTED_VALUE"""),"lucerocastellanosv@gmail.com")</f>
        <v>lucerocastellanosv@gmail.com</v>
      </c>
      <c r="AM111" s="1" t="str">
        <f>IFERROR(__xludf.DUMMYFUNCTION("""COMPUTED_VALUE"""),"FEMENINO")</f>
        <v>FEMENINO</v>
      </c>
      <c r="AN111" s="1">
        <f>IFERROR(__xludf.DUMMYFUNCTION("""COMPUTED_VALUE"""),1600.0)</f>
        <v>1600</v>
      </c>
      <c r="AO111" s="1">
        <f>IFERROR(__xludf.DUMMYFUNCTION("""COMPUTED_VALUE"""),420.0)</f>
        <v>420</v>
      </c>
      <c r="AP111" s="1" t="str">
        <f>IFERROR(__xludf.DUMMYFUNCTION("""COMPUTED_VALUE"""),"COLEGIOS")</f>
        <v>COLEGIOS</v>
      </c>
      <c r="AQ111" s="1" t="str">
        <f>IFERROR(__xludf.DUMMYFUNCTION("""COMPUTED_VALUE"""),"COLEGIOS")</f>
        <v>COLEGIOS</v>
      </c>
      <c r="AR111" s="1" t="str">
        <f>IFERROR(__xludf.DUMMYFUNCTION("""COMPUTED_VALUE"""),"NUEVO")</f>
        <v>NUEVO</v>
      </c>
      <c r="AS111" s="1"/>
      <c r="AT111" s="2">
        <f>IFERROR(__xludf.DUMMYFUNCTION("""COMPUTED_VALUE"""),45495.0)</f>
        <v>45495</v>
      </c>
      <c r="AU111" s="1">
        <f>IFERROR(__xludf.DUMMYFUNCTION("""COMPUTED_VALUE"""),1.0)</f>
        <v>1</v>
      </c>
      <c r="AV111" s="1" t="str">
        <f>IFERROR(__xludf.DUMMYFUNCTION("""COMPUTED_VALUE"""),"NUEVO")</f>
        <v>NUEVO</v>
      </c>
      <c r="AW111" s="1" t="str">
        <f>IFERROR(__xludf.DUMMYFUNCTION("""COMPUTED_VALUE"""),"SI")</f>
        <v>SI</v>
      </c>
      <c r="AX111" s="1"/>
      <c r="AY111" s="1" t="str">
        <f>IFERROR(__xludf.DUMMYFUNCTION("""COMPUTED_VALUE"""),"PAGO COMPLETO")</f>
        <v>PAGO COMPLETO</v>
      </c>
      <c r="AZ111" s="5">
        <f>IFERROR(__xludf.DUMMYFUNCTION("""COMPUTED_VALUE"""),45554.0)</f>
        <v>45554</v>
      </c>
      <c r="BA111" s="1">
        <f>IFERROR(__xludf.DUMMYFUNCTION("""COMPUTED_VALUE"""),0.0)</f>
        <v>0</v>
      </c>
      <c r="BB111" s="1">
        <f>IFERROR(__xludf.DUMMYFUNCTION("""COMPUTED_VALUE"""),0.0)</f>
        <v>0</v>
      </c>
      <c r="BC111" s="4">
        <f>IFERROR(__xludf.DUMMYFUNCTION("""COMPUTED_VALUE"""),0.0)</f>
        <v>0</v>
      </c>
      <c r="BD111" s="4">
        <f>IFERROR(__xludf.DUMMYFUNCTION("""COMPUTED_VALUE"""),0.0)</f>
        <v>0</v>
      </c>
      <c r="BE111" s="1">
        <f>IFERROR(__xludf.DUMMYFUNCTION("""COMPUTED_VALUE"""),9.0)</f>
        <v>9</v>
      </c>
      <c r="BF111" s="6">
        <f>IFERROR(__xludf.DUMMYFUNCTION("""COMPUTED_VALUE"""),1.0)</f>
        <v>1</v>
      </c>
      <c r="BG111" s="1"/>
      <c r="BH111" s="1" t="str">
        <f>IFERROR(__xludf.DUMMYFUNCTION("""COMPUTED_VALUE"""),"0")</f>
        <v>0</v>
      </c>
      <c r="BI111" s="4">
        <f>IFERROR(__xludf.DUMMYFUNCTION("""COMPUTED_VALUE"""),0.0)</f>
        <v>0</v>
      </c>
      <c r="BJ111" s="1">
        <f>IFERROR(__xludf.DUMMYFUNCTION("""COMPUTED_VALUE"""),0.0)</f>
        <v>0</v>
      </c>
      <c r="BK111" s="4">
        <f>IFERROR(__xludf.DUMMYFUNCTION("""COMPUTED_VALUE"""),0.0)</f>
        <v>0</v>
      </c>
      <c r="BL111" s="1">
        <f>IFERROR(__xludf.DUMMYFUNCTION("""COMPUTED_VALUE"""),0.0)</f>
        <v>0</v>
      </c>
      <c r="BM111" s="1">
        <f>IFERROR(__xludf.DUMMYFUNCTION("""COMPUTED_VALUE"""),38.0)</f>
        <v>38</v>
      </c>
      <c r="BN111" s="2">
        <f>IFERROR(__xludf.DUMMYFUNCTION("""COMPUTED_VALUE"""),45551.0)</f>
        <v>45551</v>
      </c>
      <c r="BO111" s="1">
        <f>IFERROR(__xludf.DUMMYFUNCTION("""COMPUTED_VALUE"""),9.0)</f>
        <v>9</v>
      </c>
      <c r="BP111" s="1">
        <f>IFERROR(__xludf.DUMMYFUNCTION("""COMPUTED_VALUE"""),2024.0)</f>
        <v>2024</v>
      </c>
    </row>
    <row r="112">
      <c r="A112" s="1">
        <f>IFERROR(__xludf.DUMMYFUNCTION("""COMPUTED_VALUE"""),111.0)</f>
        <v>111</v>
      </c>
      <c r="B112" s="1">
        <f>IFERROR(__xludf.DUMMYFUNCTION("""COMPUTED_VALUE"""),2494752.0)</f>
        <v>2494752</v>
      </c>
      <c r="C112" s="1" t="str">
        <f>IFERROR(__xludf.DUMMYFUNCTION("""COMPUTED_VALUE"""),"2025-1")</f>
        <v>2025-1</v>
      </c>
      <c r="D112" s="1" t="str">
        <f>IFERROR(__xludf.DUMMYFUNCTION("""COMPUTED_VALUE"""),"Admisión de Alto Rendimiento")</f>
        <v>Admisión de Alto Rendimiento</v>
      </c>
      <c r="E112" s="2">
        <f>IFERROR(__xludf.DUMMYFUNCTION("""COMPUTED_VALUE"""),45558.0)</f>
        <v>45558</v>
      </c>
      <c r="F112" s="1" t="str">
        <f>IFERROR(__xludf.DUMMYFUNCTION("""COMPUTED_VALUE"""),"KEVIN ADRIAN")</f>
        <v>KEVIN ADRIAN</v>
      </c>
      <c r="G112" s="1" t="str">
        <f>IFERROR(__xludf.DUMMYFUNCTION("""COMPUTED_VALUE"""),"DIAZ PEREZ")</f>
        <v>DIAZ PEREZ</v>
      </c>
      <c r="H112" s="1" t="str">
        <f>IFERROR(__xludf.DUMMYFUNCTION("""COMPUTED_VALUE"""),"Comunicación Audiovisual y Cine")</f>
        <v>Comunicación Audiovisual y Cine</v>
      </c>
      <c r="I112" s="1" t="str">
        <f>IFERROR(__xludf.DUMMYFUNCTION("""COMPUTED_VALUE"""),"Pago Link")</f>
        <v>Pago Link</v>
      </c>
      <c r="J112" s="1" t="str">
        <f>IFERROR(__xludf.DUMMYFUNCTION("""COMPUTED_VALUE"""),"Diurno")</f>
        <v>Diurno</v>
      </c>
      <c r="K112" s="1" t="str">
        <f>IFERROR(__xludf.DUMMYFUNCTION("""COMPUTED_VALUE"""),"NUEVO")</f>
        <v>NUEVO</v>
      </c>
      <c r="L112" s="1">
        <f>IFERROR(__xludf.DUMMYFUNCTION("""COMPUTED_VALUE"""),0.0)</f>
        <v>0</v>
      </c>
      <c r="M112" s="1">
        <f>IFERROR(__xludf.DUMMYFUNCTION("""COMPUTED_VALUE"""),0.0)</f>
        <v>0</v>
      </c>
      <c r="N112" s="1" t="str">
        <f>IFERROR(__xludf.DUMMYFUNCTION("""COMPUTED_VALUE"""),"BECA")</f>
        <v>BECA</v>
      </c>
      <c r="O112" s="1" t="str">
        <f>IFERROR(__xludf.DUMMYFUNCTION("""COMPUTED_VALUE"""),"BECA CADENA COLEGIOS")</f>
        <v>BECA CADENA COLEGIOS</v>
      </c>
      <c r="P112" s="4">
        <f>IFERROR(__xludf.DUMMYFUNCTION("""COMPUTED_VALUE"""),0.0)</f>
        <v>0</v>
      </c>
      <c r="Q112" s="4">
        <f>IFERROR(__xludf.DUMMYFUNCTION("""COMPUTED_VALUE"""),0.0)</f>
        <v>0</v>
      </c>
      <c r="R112" s="4">
        <f>IFERROR(__xludf.DUMMYFUNCTION("""COMPUTED_VALUE"""),1600.0)</f>
        <v>1600</v>
      </c>
      <c r="S112" s="4">
        <f>IFERROR(__xludf.DUMMYFUNCTION("""COMPUTED_VALUE"""),1200.0)</f>
        <v>1200</v>
      </c>
      <c r="T112" s="1" t="str">
        <f>IFERROR(__xludf.DUMMYFUNCTION("""COMPUTED_VALUE"""),"Visita Guiada")</f>
        <v>Visita Guiada</v>
      </c>
      <c r="U112" s="1" t="str">
        <f>IFERROR(__xludf.DUMMYFUNCTION("""COMPUTED_VALUE"""),"FABIOLA")</f>
        <v>FABIOLA</v>
      </c>
      <c r="V112" s="1" t="str">
        <f>IFERROR(__xludf.DUMMYFUNCTION("""COMPUTED_VALUE"""),"Ninguno")</f>
        <v>Ninguno</v>
      </c>
      <c r="W112" s="1" t="str">
        <f>IFERROR(__xludf.DUMMYFUNCTION("""COMPUTED_VALUE"""),"Metodología de enseñanza")</f>
        <v>Metodología de enseñanza</v>
      </c>
      <c r="X112" s="1" t="str">
        <f>IFERROR(__xludf.DUMMYFUNCTION("""COMPUTED_VALUE"""),"le encanto el modelo educativo y el tipo de enseñanza ")</f>
        <v>le encanto el modelo educativo y el tipo de enseñanza </v>
      </c>
      <c r="Y112" s="1" t="str">
        <f>IFERROR(__xludf.DUMMYFUNCTION("""COMPUTED_VALUE"""),"PAGO FRACCIONADO")</f>
        <v>PAGO FRACCIONADO</v>
      </c>
      <c r="Z112" s="1">
        <f>IFERROR(__xludf.DUMMYFUNCTION("""COMPUTED_VALUE"""),550.0)</f>
        <v>550</v>
      </c>
      <c r="AA112" s="1" t="str">
        <f>IFERROR(__xludf.DUMMYFUNCTION("""COMPUTED_VALUE"""),"15/10/2024")</f>
        <v>15/10/2024</v>
      </c>
      <c r="AB112" s="1">
        <f>IFERROR(__xludf.DUMMYFUNCTION("""COMPUTED_VALUE"""),0.0)</f>
        <v>0</v>
      </c>
      <c r="AC112" s="1">
        <f>IFERROR(__xludf.DUMMYFUNCTION("""COMPUTED_VALUE"""),0.0)</f>
        <v>0</v>
      </c>
      <c r="AD112" s="1" t="str">
        <f>IFERROR(__xludf.DUMMYFUNCTION("""COMPUTED_VALUE"""),"Cinthia Mariella Orosco")</f>
        <v>Cinthia Mariella Orosco</v>
      </c>
      <c r="AE112" s="1" t="str">
        <f>IFERROR(__xludf.DUMMYFUNCTION("""COMPUTED_VALUE"""),"0")</f>
        <v>0</v>
      </c>
      <c r="AF112" s="1">
        <f>IFERROR(__xludf.DUMMYFUNCTION("""COMPUTED_VALUE"""),2024.0)</f>
        <v>2024</v>
      </c>
      <c r="AG112" s="1">
        <f>IFERROR(__xludf.DUMMYFUNCTION("""COMPUTED_VALUE"""),1787654.0)</f>
        <v>1787654</v>
      </c>
      <c r="AH112" s="1">
        <f>IFERROR(__xludf.DUMMYFUNCTION("""COMPUTED_VALUE"""),16.0)</f>
        <v>16</v>
      </c>
      <c r="AI112" s="1" t="str">
        <f>IFERROR(__xludf.DUMMYFUNCTION("""COMPUTED_VALUE"""),"0000394741")</f>
        <v>0000394741</v>
      </c>
      <c r="AJ112" s="1">
        <f>IFERROR(__xludf.DUMMYFUNCTION("""COMPUTED_VALUE"""),6.1292541E7)</f>
        <v>61292541</v>
      </c>
      <c r="AK112" s="1">
        <f>IFERROR(__xludf.DUMMYFUNCTION("""COMPUTED_VALUE"""),9.61944514E8)</f>
        <v>961944514</v>
      </c>
      <c r="AL112" s="1" t="str">
        <f>IFERROR(__xludf.DUMMYFUNCTION("""COMPUTED_VALUE"""),"keaddipe1702@gmail.com")</f>
        <v>keaddipe1702@gmail.com</v>
      </c>
      <c r="AM112" s="1" t="str">
        <f>IFERROR(__xludf.DUMMYFUNCTION("""COMPUTED_VALUE"""),"MASCULINO")</f>
        <v>MASCULINO</v>
      </c>
      <c r="AN112" s="1">
        <f>IFERROR(__xludf.DUMMYFUNCTION("""COMPUTED_VALUE"""),1600.0)</f>
        <v>1600</v>
      </c>
      <c r="AO112" s="1">
        <f>IFERROR(__xludf.DUMMYFUNCTION("""COMPUTED_VALUE"""),780.0)</f>
        <v>780</v>
      </c>
      <c r="AP112" s="1" t="str">
        <f>IFERROR(__xludf.DUMMYFUNCTION("""COMPUTED_VALUE"""),"BIDIRECCIONAL")</f>
        <v>BIDIRECCIONAL</v>
      </c>
      <c r="AQ112" s="1" t="str">
        <f>IFERROR(__xludf.DUMMYFUNCTION("""COMPUTED_VALUE"""),"SEARCH CARRERA")</f>
        <v>SEARCH CARRERA</v>
      </c>
      <c r="AR112" s="1" t="str">
        <f>IFERROR(__xludf.DUMMYFUNCTION("""COMPUTED_VALUE"""),"NUEVO")</f>
        <v>NUEVO</v>
      </c>
      <c r="AS112" s="1" t="str">
        <f>IFERROR(__xludf.DUMMYFUNCTION("""COMPUTED_VALUE"""),"ucal-pg-performance-sedes-abierta-cpl-search_conversion_mundo_comunicaciones_bidi_search_carreras-20240702")</f>
        <v>ucal-pg-performance-sedes-abierta-cpl-search_conversion_mundo_comunicaciones_bidi_search_carreras-20240702</v>
      </c>
      <c r="AT112" s="2">
        <f>IFERROR(__xludf.DUMMYFUNCTION("""COMPUTED_VALUE"""),45510.0)</f>
        <v>45510</v>
      </c>
      <c r="AU112" s="1">
        <f>IFERROR(__xludf.DUMMYFUNCTION("""COMPUTED_VALUE"""),1.0)</f>
        <v>1</v>
      </c>
      <c r="AV112" s="1" t="str">
        <f>IFERROR(__xludf.DUMMYFUNCTION("""COMPUTED_VALUE"""),"NUEVO")</f>
        <v>NUEVO</v>
      </c>
      <c r="AW112" s="1" t="str">
        <f>IFERROR(__xludf.DUMMYFUNCTION("""COMPUTED_VALUE"""),"SI")</f>
        <v>SI</v>
      </c>
      <c r="AX112" s="1"/>
      <c r="AY112" s="1" t="str">
        <f>IFERROR(__xludf.DUMMYFUNCTION("""COMPUTED_VALUE"""),"PAGO COMPLETO")</f>
        <v>PAGO COMPLETO</v>
      </c>
      <c r="AZ112" s="5">
        <f>IFERROR(__xludf.DUMMYFUNCTION("""COMPUTED_VALUE"""),45580.0)</f>
        <v>45580</v>
      </c>
      <c r="BA112" s="1">
        <f>IFERROR(__xludf.DUMMYFUNCTION("""COMPUTED_VALUE"""),550.0)</f>
        <v>550</v>
      </c>
      <c r="BB112" s="1">
        <f>IFERROR(__xludf.DUMMYFUNCTION("""COMPUTED_VALUE"""),0.0)</f>
        <v>0</v>
      </c>
      <c r="BC112" s="4">
        <f>IFERROR(__xludf.DUMMYFUNCTION("""COMPUTED_VALUE"""),0.0)</f>
        <v>0</v>
      </c>
      <c r="BD112" s="4">
        <f>IFERROR(__xludf.DUMMYFUNCTION("""COMPUTED_VALUE"""),100.0)</f>
        <v>100</v>
      </c>
      <c r="BE112" s="1">
        <f>IFERROR(__xludf.DUMMYFUNCTION("""COMPUTED_VALUE"""),9.0)</f>
        <v>9</v>
      </c>
      <c r="BF112" s="6">
        <f>IFERROR(__xludf.DUMMYFUNCTION("""COMPUTED_VALUE"""),1.0)</f>
        <v>1</v>
      </c>
      <c r="BG112" s="1">
        <f>IFERROR(__xludf.DUMMYFUNCTION("""COMPUTED_VALUE"""),1.0)</f>
        <v>1</v>
      </c>
      <c r="BH112" s="1" t="str">
        <f>IFERROR(__xludf.DUMMYFUNCTION("""COMPUTED_VALUE"""),"0")</f>
        <v>0</v>
      </c>
      <c r="BI112" s="4">
        <f>IFERROR(__xludf.DUMMYFUNCTION("""COMPUTED_VALUE"""),1200.0)</f>
        <v>1200</v>
      </c>
      <c r="BJ112" s="1">
        <f>IFERROR(__xludf.DUMMYFUNCTION("""COMPUTED_VALUE"""),0.0)</f>
        <v>0</v>
      </c>
      <c r="BK112" s="4">
        <f>IFERROR(__xludf.DUMMYFUNCTION("""COMPUTED_VALUE"""),100.0)</f>
        <v>100</v>
      </c>
      <c r="BL112" s="1">
        <f>IFERROR(__xludf.DUMMYFUNCTION("""COMPUTED_VALUE"""),1180.0)</f>
        <v>1180</v>
      </c>
      <c r="BM112" s="1">
        <f>IFERROR(__xludf.DUMMYFUNCTION("""COMPUTED_VALUE"""),39.0)</f>
        <v>39</v>
      </c>
      <c r="BN112" s="2">
        <f>IFERROR(__xludf.DUMMYFUNCTION("""COMPUTED_VALUE"""),45558.0)</f>
        <v>45558</v>
      </c>
      <c r="BO112" s="1">
        <f>IFERROR(__xludf.DUMMYFUNCTION("""COMPUTED_VALUE"""),9.0)</f>
        <v>9</v>
      </c>
      <c r="BP112" s="1">
        <f>IFERROR(__xludf.DUMMYFUNCTION("""COMPUTED_VALUE"""),2024.0)</f>
        <v>2024</v>
      </c>
    </row>
    <row r="113">
      <c r="A113" s="1">
        <f>IFERROR(__xludf.DUMMYFUNCTION("""COMPUTED_VALUE"""),112.0)</f>
        <v>112</v>
      </c>
      <c r="B113" s="1">
        <f>IFERROR(__xludf.DUMMYFUNCTION("""COMPUTED_VALUE"""),4601588.0)</f>
        <v>4601588</v>
      </c>
      <c r="C113" s="1" t="str">
        <f>IFERROR(__xludf.DUMMYFUNCTION("""COMPUTED_VALUE"""),"2025-1")</f>
        <v>2025-1</v>
      </c>
      <c r="D113" s="1" t="str">
        <f>IFERROR(__xludf.DUMMYFUNCTION("""COMPUTED_VALUE"""),"Admisión Extraordinaria (Traslados)")</f>
        <v>Admisión Extraordinaria (Traslados)</v>
      </c>
      <c r="E113" s="2">
        <f>IFERROR(__xludf.DUMMYFUNCTION("""COMPUTED_VALUE"""),45560.0)</f>
        <v>45560</v>
      </c>
      <c r="F113" s="1" t="str">
        <f>IFERROR(__xludf.DUMMYFUNCTION("""COMPUTED_VALUE"""),"DANIELA ALESSANDRA ")</f>
        <v>DANIELA ALESSANDRA </v>
      </c>
      <c r="G113" s="1" t="str">
        <f>IFERROR(__xludf.DUMMYFUNCTION("""COMPUTED_VALUE"""),"SALCEDO MARENGO")</f>
        <v>SALCEDO MARENGO</v>
      </c>
      <c r="H113" s="1" t="str">
        <f>IFERROR(__xludf.DUMMYFUNCTION("""COMPUTED_VALUE"""),"Diseño Gráfico Publicitario")</f>
        <v>Diseño Gráfico Publicitario</v>
      </c>
      <c r="I113" s="1" t="str">
        <f>IFERROR(__xludf.DUMMYFUNCTION("""COMPUTED_VALUE"""),"POS")</f>
        <v>POS</v>
      </c>
      <c r="J113" s="1" t="str">
        <f>IFERROR(__xludf.DUMMYFUNCTION("""COMPUTED_VALUE"""),"Diurno")</f>
        <v>Diurno</v>
      </c>
      <c r="K113" s="1" t="str">
        <f>IFERROR(__xludf.DUMMYFUNCTION("""COMPUTED_VALUE"""),"TRASLADO")</f>
        <v>TRASLADO</v>
      </c>
      <c r="L113" s="1">
        <f>IFERROR(__xludf.DUMMYFUNCTION("""COMPUTED_VALUE"""),1.0)</f>
        <v>1</v>
      </c>
      <c r="M113" s="1">
        <f>IFERROR(__xludf.DUMMYFUNCTION("""COMPUTED_VALUE"""),0.0)</f>
        <v>0</v>
      </c>
      <c r="N113" s="1" t="str">
        <f>IFERROR(__xludf.DUMMYFUNCTION("""COMPUTED_VALUE"""),"RECA")</f>
        <v>RECA</v>
      </c>
      <c r="O113" s="1" t="str">
        <f>IFERROR(__xludf.DUMMYFUNCTION("""COMPUTED_VALUE"""),"RECA TRASLADO CON CONVA")</f>
        <v>RECA TRASLADO CON CONVA</v>
      </c>
      <c r="P113" s="4">
        <f>IFERROR(__xludf.DUMMYFUNCTION("""COMPUTED_VALUE"""),0.0)</f>
        <v>0</v>
      </c>
      <c r="Q113" s="4">
        <f>IFERROR(__xludf.DUMMYFUNCTION("""COMPUTED_VALUE"""),0.0)</f>
        <v>0</v>
      </c>
      <c r="R113" s="4">
        <f>IFERROR(__xludf.DUMMYFUNCTION("""COMPUTED_VALUE"""),1350.0)</f>
        <v>1350</v>
      </c>
      <c r="S113" s="4">
        <f>IFERROR(__xludf.DUMMYFUNCTION("""COMPUTED_VALUE"""),900.0)</f>
        <v>900</v>
      </c>
      <c r="T113" s="1" t="str">
        <f>IFERROR(__xludf.DUMMYFUNCTION("""COMPUTED_VALUE"""),"NINGUNO")</f>
        <v>NINGUNO</v>
      </c>
      <c r="U113" s="1" t="str">
        <f>IFERROR(__xludf.DUMMYFUNCTION("""COMPUTED_VALUE"""),"FABIOLA")</f>
        <v>FABIOLA</v>
      </c>
      <c r="V113" s="1" t="str">
        <f>IFERROR(__xludf.DUMMYFUNCTION("""COMPUTED_VALUE"""),"Ninguno")</f>
        <v>Ninguno</v>
      </c>
      <c r="W113" s="1" t="str">
        <f>IFERROR(__xludf.DUMMYFUNCTION("""COMPUTED_VALUE"""),"Malla curricular")</f>
        <v>Malla curricular</v>
      </c>
      <c r="X113" s="1" t="str">
        <f>IFERROR(__xludf.DUMMYFUNCTION("""COMPUTED_VALUE"""),"-")</f>
        <v>-</v>
      </c>
      <c r="Y113" s="1" t="str">
        <f>IFERROR(__xludf.DUMMYFUNCTION("""COMPUTED_VALUE"""),"PAGO COMPLETO")</f>
        <v>PAGO COMPLETO</v>
      </c>
      <c r="Z113" s="1">
        <f>IFERROR(__xludf.DUMMYFUNCTION("""COMPUTED_VALUE"""),0.0)</f>
        <v>0</v>
      </c>
      <c r="AA113" s="1" t="str">
        <f>IFERROR(__xludf.DUMMYFUNCTION("""COMPUTED_VALUE"""),"-")</f>
        <v>-</v>
      </c>
      <c r="AB113" s="1">
        <f>IFERROR(__xludf.DUMMYFUNCTION("""COMPUTED_VALUE"""),0.0)</f>
        <v>0</v>
      </c>
      <c r="AC113" s="1">
        <f>IFERROR(__xludf.DUMMYFUNCTION("""COMPUTED_VALUE"""),0.0)</f>
        <v>0</v>
      </c>
      <c r="AD113" s="1" t="str">
        <f>IFERROR(__xludf.DUMMYFUNCTION("""COMPUTED_VALUE"""),"Angelica Iparraguirre")</f>
        <v>Angelica Iparraguirre</v>
      </c>
      <c r="AE113" s="1" t="str">
        <f>IFERROR(__xludf.DUMMYFUNCTION("""COMPUTED_VALUE"""),"Cibertec")</f>
        <v>Cibertec</v>
      </c>
      <c r="AF113" s="1">
        <f>IFERROR(__xludf.DUMMYFUNCTION("""COMPUTED_VALUE"""),2020.0)</f>
        <v>2020</v>
      </c>
      <c r="AG113" s="1">
        <f>IFERROR(__xludf.DUMMYFUNCTION("""COMPUTED_VALUE"""),536524.0)</f>
        <v>536524</v>
      </c>
      <c r="AH113" s="1">
        <f>IFERROR(__xludf.DUMMYFUNCTION("""COMPUTED_VALUE"""),21.0)</f>
        <v>21</v>
      </c>
      <c r="AI113" s="1" t="str">
        <f>IFERROR(__xludf.DUMMYFUNCTION("""COMPUTED_VALUE"""),"0000396122")</f>
        <v>0000396122</v>
      </c>
      <c r="AJ113" s="1">
        <f>IFERROR(__xludf.DUMMYFUNCTION("""COMPUTED_VALUE"""),7.2728355E7)</f>
        <v>72728355</v>
      </c>
      <c r="AK113" s="1">
        <f>IFERROR(__xludf.DUMMYFUNCTION("""COMPUTED_VALUE"""),9.06660481E8)</f>
        <v>906660481</v>
      </c>
      <c r="AL113" s="1" t="str">
        <f>IFERROR(__xludf.DUMMYFUNCTION("""COMPUTED_VALUE"""),"daniasm.0511@gmail.com")</f>
        <v>daniasm.0511@gmail.com</v>
      </c>
      <c r="AM113" s="1" t="str">
        <f>IFERROR(__xludf.DUMMYFUNCTION("""COMPUTED_VALUE"""),"FEMENINO")</f>
        <v>FEMENINO</v>
      </c>
      <c r="AN113" s="1">
        <f>IFERROR(__xludf.DUMMYFUNCTION("""COMPUTED_VALUE"""),1350.0)</f>
        <v>1350</v>
      </c>
      <c r="AO113" s="1">
        <f>IFERROR(__xludf.DUMMYFUNCTION("""COMPUTED_VALUE"""),0.0)</f>
        <v>0</v>
      </c>
      <c r="AP113" s="1" t="str">
        <f>IFERROR(__xludf.DUMMYFUNCTION("""COMPUTED_VALUE"""),"FORMULARIO")</f>
        <v>FORMULARIO</v>
      </c>
      <c r="AQ113" s="1" t="str">
        <f>IFERROR(__xludf.DUMMYFUNCTION("""COMPUTED_VALUE"""),"SEARCH CARRERA")</f>
        <v>SEARCH CARRERA</v>
      </c>
      <c r="AR113" s="1" t="str">
        <f>IFERROR(__xludf.DUMMYFUNCTION("""COMPUTED_VALUE"""),"NUEVO")</f>
        <v>NUEVO</v>
      </c>
      <c r="AS113" s="1" t="str">
        <f>IFERROR(__xludf.DUMMYFUNCTION("""COMPUTED_VALUE"""),"ucal-pg-performance-sedes-abierta-cpl-search_conversion_mundo_arquitectura-20240401")</f>
        <v>ucal-pg-performance-sedes-abierta-cpl-search_conversion_mundo_arquitectura-20240401</v>
      </c>
      <c r="AT113" s="2">
        <f>IFERROR(__xludf.DUMMYFUNCTION("""COMPUTED_VALUE"""),45553.0)</f>
        <v>45553</v>
      </c>
      <c r="AU113" s="1">
        <f>IFERROR(__xludf.DUMMYFUNCTION("""COMPUTED_VALUE"""),1.0)</f>
        <v>1</v>
      </c>
      <c r="AV113" s="1" t="str">
        <f>IFERROR(__xludf.DUMMYFUNCTION("""COMPUTED_VALUE"""),"TRASLADO")</f>
        <v>TRASLADO</v>
      </c>
      <c r="AW113" s="1" t="str">
        <f>IFERROR(__xludf.DUMMYFUNCTION("""COMPUTED_VALUE"""),"SI")</f>
        <v>SI</v>
      </c>
      <c r="AX113" s="1"/>
      <c r="AY113" s="1" t="str">
        <f>IFERROR(__xludf.DUMMYFUNCTION("""COMPUTED_VALUE"""),"PAGO COMPLETO")</f>
        <v>PAGO COMPLETO</v>
      </c>
      <c r="AZ113" s="5">
        <f>IFERROR(__xludf.DUMMYFUNCTION("""COMPUTED_VALUE"""),45560.0)</f>
        <v>45560</v>
      </c>
      <c r="BA113" s="1">
        <f>IFERROR(__xludf.DUMMYFUNCTION("""COMPUTED_VALUE"""),0.0)</f>
        <v>0</v>
      </c>
      <c r="BB113" s="1">
        <f>IFERROR(__xludf.DUMMYFUNCTION("""COMPUTED_VALUE"""),0.0)</f>
        <v>0</v>
      </c>
      <c r="BC113" s="4">
        <f>IFERROR(__xludf.DUMMYFUNCTION("""COMPUTED_VALUE"""),0.0)</f>
        <v>0</v>
      </c>
      <c r="BD113" s="4">
        <f>IFERROR(__xludf.DUMMYFUNCTION("""COMPUTED_VALUE"""),0.0)</f>
        <v>0</v>
      </c>
      <c r="BE113" s="1">
        <f>IFERROR(__xludf.DUMMYFUNCTION("""COMPUTED_VALUE"""),9.0)</f>
        <v>9</v>
      </c>
      <c r="BF113" s="6">
        <f>IFERROR(__xludf.DUMMYFUNCTION("""COMPUTED_VALUE"""),1.0)</f>
        <v>1</v>
      </c>
      <c r="BG113" s="1">
        <f>IFERROR(__xludf.DUMMYFUNCTION("""COMPUTED_VALUE"""),1.0)</f>
        <v>1</v>
      </c>
      <c r="BH113" s="1" t="str">
        <f>IFERROR(__xludf.DUMMYFUNCTION("""COMPUTED_VALUE"""),"1")</f>
        <v>1</v>
      </c>
      <c r="BI113" s="4">
        <f>IFERROR(__xludf.DUMMYFUNCTION("""COMPUTED_VALUE"""),0.0)</f>
        <v>0</v>
      </c>
      <c r="BJ113" s="1">
        <f>IFERROR(__xludf.DUMMYFUNCTION("""COMPUTED_VALUE"""),0.0)</f>
        <v>0</v>
      </c>
      <c r="BK113" s="4">
        <f>IFERROR(__xludf.DUMMYFUNCTION("""COMPUTED_VALUE"""),0.0)</f>
        <v>0</v>
      </c>
      <c r="BL113" s="1">
        <f>IFERROR(__xludf.DUMMYFUNCTION("""COMPUTED_VALUE"""),900.0)</f>
        <v>900</v>
      </c>
      <c r="BM113" s="1">
        <f>IFERROR(__xludf.DUMMYFUNCTION("""COMPUTED_VALUE"""),39.0)</f>
        <v>39</v>
      </c>
      <c r="BN113" s="2">
        <f>IFERROR(__xludf.DUMMYFUNCTION("""COMPUTED_VALUE"""),45558.0)</f>
        <v>45558</v>
      </c>
      <c r="BO113" s="1">
        <f>IFERROR(__xludf.DUMMYFUNCTION("""COMPUTED_VALUE"""),9.0)</f>
        <v>9</v>
      </c>
      <c r="BP113" s="1">
        <f>IFERROR(__xludf.DUMMYFUNCTION("""COMPUTED_VALUE"""),2024.0)</f>
        <v>2024</v>
      </c>
    </row>
    <row r="114">
      <c r="A114" s="1">
        <f>IFERROR(__xludf.DUMMYFUNCTION("""COMPUTED_VALUE"""),113.0)</f>
        <v>113</v>
      </c>
      <c r="B114" s="1">
        <f>IFERROR(__xludf.DUMMYFUNCTION("""COMPUTED_VALUE"""),4602979.0)</f>
        <v>4602979</v>
      </c>
      <c r="C114" s="1" t="str">
        <f>IFERROR(__xludf.DUMMYFUNCTION("""COMPUTED_VALUE"""),"2025-1")</f>
        <v>2025-1</v>
      </c>
      <c r="D114" s="1" t="str">
        <f>IFERROR(__xludf.DUMMYFUNCTION("""COMPUTED_VALUE"""),"Admisión de Alto Rendimiento")</f>
        <v>Admisión de Alto Rendimiento</v>
      </c>
      <c r="E114" s="2">
        <f>IFERROR(__xludf.DUMMYFUNCTION("""COMPUTED_VALUE"""),45560.0)</f>
        <v>45560</v>
      </c>
      <c r="F114" s="1" t="str">
        <f>IFERROR(__xludf.DUMMYFUNCTION("""COMPUTED_VALUE"""),"JOSE MARIA")</f>
        <v>JOSE MARIA</v>
      </c>
      <c r="G114" s="1" t="str">
        <f>IFERROR(__xludf.DUMMYFUNCTION("""COMPUTED_VALUE"""),"MIYOSHI ROMERO")</f>
        <v>MIYOSHI ROMERO</v>
      </c>
      <c r="H114" s="1" t="str">
        <f>IFERROR(__xludf.DUMMYFUNCTION("""COMPUTED_VALUE"""),"Comunicación Audiovisual y Cine")</f>
        <v>Comunicación Audiovisual y Cine</v>
      </c>
      <c r="I114" s="1" t="str">
        <f>IFERROR(__xludf.DUMMYFUNCTION("""COMPUTED_VALUE"""),"POS")</f>
        <v>POS</v>
      </c>
      <c r="J114" s="1" t="str">
        <f>IFERROR(__xludf.DUMMYFUNCTION("""COMPUTED_VALUE"""),"Diurno")</f>
        <v>Diurno</v>
      </c>
      <c r="K114" s="1" t="str">
        <f>IFERROR(__xludf.DUMMYFUNCTION("""COMPUTED_VALUE"""),"NUEVO")</f>
        <v>NUEVO</v>
      </c>
      <c r="L114" s="1">
        <f>IFERROR(__xludf.DUMMYFUNCTION("""COMPUTED_VALUE"""),0.0)</f>
        <v>0</v>
      </c>
      <c r="M114" s="1">
        <f>IFERROR(__xludf.DUMMYFUNCTION("""COMPUTED_VALUE"""),0.0)</f>
        <v>0</v>
      </c>
      <c r="N114" s="1" t="str">
        <f>IFERROR(__xludf.DUMMYFUNCTION("""COMPUTED_VALUE"""),"BECA")</f>
        <v>BECA</v>
      </c>
      <c r="O114" s="1" t="str">
        <f>IFERROR(__xludf.DUMMYFUNCTION("""COMPUTED_VALUE"""),"BECA CARRERAS CORE")</f>
        <v>BECA CARRERAS CORE</v>
      </c>
      <c r="P114" s="4">
        <f>IFERROR(__xludf.DUMMYFUNCTION("""COMPUTED_VALUE"""),0.0)</f>
        <v>0</v>
      </c>
      <c r="Q114" s="4">
        <f>IFERROR(__xludf.DUMMYFUNCTION("""COMPUTED_VALUE"""),0.0)</f>
        <v>0</v>
      </c>
      <c r="R114" s="4">
        <f>IFERROR(__xludf.DUMMYFUNCTION("""COMPUTED_VALUE"""),1350.0)</f>
        <v>1350</v>
      </c>
      <c r="S114" s="4">
        <f>IFERROR(__xludf.DUMMYFUNCTION("""COMPUTED_VALUE"""),1075.0)</f>
        <v>1075</v>
      </c>
      <c r="T114" s="1" t="str">
        <f>IFERROR(__xludf.DUMMYFUNCTION("""COMPUTED_VALUE"""),"Visita Guiada")</f>
        <v>Visita Guiada</v>
      </c>
      <c r="U114" s="1" t="str">
        <f>IFERROR(__xludf.DUMMYFUNCTION("""COMPUTED_VALUE"""),"FABIOLA")</f>
        <v>FABIOLA</v>
      </c>
      <c r="V114" s="1" t="str">
        <f>IFERROR(__xludf.DUMMYFUNCTION("""COMPUTED_VALUE"""),"Ninguno")</f>
        <v>Ninguno</v>
      </c>
      <c r="W114" s="1" t="str">
        <f>IFERROR(__xludf.DUMMYFUNCTION("""COMPUTED_VALUE"""),"Metodología de enseñanza")</f>
        <v>Metodología de enseñanza</v>
      </c>
      <c r="X114" s="1" t="str">
        <f>IFERROR(__xludf.DUMMYFUNCTION("""COMPUTED_VALUE"""),"le gusto la metodologia")</f>
        <v>le gusto la metodologia</v>
      </c>
      <c r="Y114" s="1" t="str">
        <f>IFERROR(__xludf.DUMMYFUNCTION("""COMPUTED_VALUE"""),"PAGO COMPLETO")</f>
        <v>PAGO COMPLETO</v>
      </c>
      <c r="Z114" s="1">
        <f>IFERROR(__xludf.DUMMYFUNCTION("""COMPUTED_VALUE"""),0.0)</f>
        <v>0</v>
      </c>
      <c r="AA114" s="1" t="str">
        <f>IFERROR(__xludf.DUMMYFUNCTION("""COMPUTED_VALUE"""),"-")</f>
        <v>-</v>
      </c>
      <c r="AB114" s="1">
        <f>IFERROR(__xludf.DUMMYFUNCTION("""COMPUTED_VALUE"""),0.0)</f>
        <v>0</v>
      </c>
      <c r="AC114" s="1">
        <f>IFERROR(__xludf.DUMMYFUNCTION("""COMPUTED_VALUE"""),0.0)</f>
        <v>0</v>
      </c>
      <c r="AD114" s="1" t="str">
        <f>IFERROR(__xludf.DUMMYFUNCTION("""COMPUTED_VALUE"""),"Cinthia Mariella Orosco")</f>
        <v>Cinthia Mariella Orosco</v>
      </c>
      <c r="AE114" s="1" t="str">
        <f>IFERROR(__xludf.DUMMYFUNCTION("""COMPUTED_VALUE"""),"0")</f>
        <v>0</v>
      </c>
      <c r="AF114" s="1">
        <f>IFERROR(__xludf.DUMMYFUNCTION("""COMPUTED_VALUE"""),2024.0)</f>
        <v>2024</v>
      </c>
      <c r="AG114" s="1">
        <f>IFERROR(__xludf.DUMMYFUNCTION("""COMPUTED_VALUE"""),546002.0)</f>
        <v>546002</v>
      </c>
      <c r="AH114" s="1">
        <f>IFERROR(__xludf.DUMMYFUNCTION("""COMPUTED_VALUE"""),17.0)</f>
        <v>17</v>
      </c>
      <c r="AI114" s="1" t="str">
        <f>IFERROR(__xludf.DUMMYFUNCTION("""COMPUTED_VALUE"""),"0000396138")</f>
        <v>0000396138</v>
      </c>
      <c r="AJ114" s="1">
        <f>IFERROR(__xludf.DUMMYFUNCTION("""COMPUTED_VALUE"""),7.0734894E7)</f>
        <v>70734894</v>
      </c>
      <c r="AK114" s="1">
        <f>IFERROR(__xludf.DUMMYFUNCTION("""COMPUTED_VALUE"""),9.92113928E8)</f>
        <v>992113928</v>
      </c>
      <c r="AL114" s="1" t="str">
        <f>IFERROR(__xludf.DUMMYFUNCTION("""COMPUTED_VALUE"""),"neomano060823@gmail.com")</f>
        <v>neomano060823@gmail.com</v>
      </c>
      <c r="AM114" s="1" t="str">
        <f>IFERROR(__xludf.DUMMYFUNCTION("""COMPUTED_VALUE"""),"MASCULINO")</f>
        <v>MASCULINO</v>
      </c>
      <c r="AN114" s="1">
        <f>IFERROR(__xludf.DUMMYFUNCTION("""COMPUTED_VALUE"""),1350.0)</f>
        <v>1350</v>
      </c>
      <c r="AO114" s="1">
        <f>IFERROR(__xludf.DUMMYFUNCTION("""COMPUTED_VALUE"""),0.0)</f>
        <v>0</v>
      </c>
      <c r="AP114" s="1" t="str">
        <f>IFERROR(__xludf.DUMMYFUNCTION("""COMPUTED_VALUE"""),"COLEGIOS")</f>
        <v>COLEGIOS</v>
      </c>
      <c r="AQ114" s="1" t="str">
        <f>IFERROR(__xludf.DUMMYFUNCTION("""COMPUTED_VALUE"""),"COLEGIOS")</f>
        <v>COLEGIOS</v>
      </c>
      <c r="AR114" s="1" t="str">
        <f>IFERROR(__xludf.DUMMYFUNCTION("""COMPUTED_VALUE"""),"NUEVO")</f>
        <v>NUEVO</v>
      </c>
      <c r="AS114" s="1"/>
      <c r="AT114" s="2">
        <f>IFERROR(__xludf.DUMMYFUNCTION("""COMPUTED_VALUE"""),45553.0)</f>
        <v>45553</v>
      </c>
      <c r="AU114" s="1">
        <f>IFERROR(__xludf.DUMMYFUNCTION("""COMPUTED_VALUE"""),1.0)</f>
        <v>1</v>
      </c>
      <c r="AV114" s="1" t="str">
        <f>IFERROR(__xludf.DUMMYFUNCTION("""COMPUTED_VALUE"""),"NUEVO")</f>
        <v>NUEVO</v>
      </c>
      <c r="AW114" s="1" t="str">
        <f>IFERROR(__xludf.DUMMYFUNCTION("""COMPUTED_VALUE"""),"SI")</f>
        <v>SI</v>
      </c>
      <c r="AX114" s="1"/>
      <c r="AY114" s="1" t="str">
        <f>IFERROR(__xludf.DUMMYFUNCTION("""COMPUTED_VALUE"""),"PAGO COMPLETO")</f>
        <v>PAGO COMPLETO</v>
      </c>
      <c r="AZ114" s="5">
        <f>IFERROR(__xludf.DUMMYFUNCTION("""COMPUTED_VALUE"""),45560.0)</f>
        <v>45560</v>
      </c>
      <c r="BA114" s="1">
        <f>IFERROR(__xludf.DUMMYFUNCTION("""COMPUTED_VALUE"""),0.0)</f>
        <v>0</v>
      </c>
      <c r="BB114" s="1">
        <f>IFERROR(__xludf.DUMMYFUNCTION("""COMPUTED_VALUE"""),0.0)</f>
        <v>0</v>
      </c>
      <c r="BC114" s="4">
        <f>IFERROR(__xludf.DUMMYFUNCTION("""COMPUTED_VALUE"""),0.0)</f>
        <v>0</v>
      </c>
      <c r="BD114" s="4">
        <f>IFERROR(__xludf.DUMMYFUNCTION("""COMPUTED_VALUE"""),100.0)</f>
        <v>100</v>
      </c>
      <c r="BE114" s="1">
        <f>IFERROR(__xludf.DUMMYFUNCTION("""COMPUTED_VALUE"""),9.0)</f>
        <v>9</v>
      </c>
      <c r="BF114" s="6">
        <f>IFERROR(__xludf.DUMMYFUNCTION("""COMPUTED_VALUE"""),1.0)</f>
        <v>1</v>
      </c>
      <c r="BG114" s="1">
        <f>IFERROR(__xludf.DUMMYFUNCTION("""COMPUTED_VALUE"""),1.0)</f>
        <v>1</v>
      </c>
      <c r="BH114" s="1" t="str">
        <f>IFERROR(__xludf.DUMMYFUNCTION("""COMPUTED_VALUE"""),"0")</f>
        <v>0</v>
      </c>
      <c r="BI114" s="4">
        <f>IFERROR(__xludf.DUMMYFUNCTION("""COMPUTED_VALUE"""),100.0)</f>
        <v>100</v>
      </c>
      <c r="BJ114" s="1">
        <f>IFERROR(__xludf.DUMMYFUNCTION("""COMPUTED_VALUE"""),0.0)</f>
        <v>0</v>
      </c>
      <c r="BK114" s="4">
        <f>IFERROR(__xludf.DUMMYFUNCTION("""COMPUTED_VALUE"""),100.0)</f>
        <v>100</v>
      </c>
      <c r="BL114" s="1">
        <f>IFERROR(__xludf.DUMMYFUNCTION("""COMPUTED_VALUE"""),1055.0)</f>
        <v>1055</v>
      </c>
      <c r="BM114" s="1">
        <f>IFERROR(__xludf.DUMMYFUNCTION("""COMPUTED_VALUE"""),39.0)</f>
        <v>39</v>
      </c>
      <c r="BN114" s="2">
        <f>IFERROR(__xludf.DUMMYFUNCTION("""COMPUTED_VALUE"""),45558.0)</f>
        <v>45558</v>
      </c>
      <c r="BO114" s="1">
        <f>IFERROR(__xludf.DUMMYFUNCTION("""COMPUTED_VALUE"""),9.0)</f>
        <v>9</v>
      </c>
      <c r="BP114" s="1">
        <f>IFERROR(__xludf.DUMMYFUNCTION("""COMPUTED_VALUE"""),2024.0)</f>
        <v>2024</v>
      </c>
    </row>
    <row r="115">
      <c r="A115" s="1">
        <f>IFERROR(__xludf.DUMMYFUNCTION("""COMPUTED_VALUE"""),114.0)</f>
        <v>114</v>
      </c>
      <c r="B115" s="1">
        <f>IFERROR(__xludf.DUMMYFUNCTION("""COMPUTED_VALUE"""),2178338.0)</f>
        <v>2178338</v>
      </c>
      <c r="C115" s="1" t="str">
        <f>IFERROR(__xludf.DUMMYFUNCTION("""COMPUTED_VALUE"""),"2025-1")</f>
        <v>2025-1</v>
      </c>
      <c r="D115" s="1" t="str">
        <f>IFERROR(__xludf.DUMMYFUNCTION("""COMPUTED_VALUE"""),"Admisión de Alto Rendimiento")</f>
        <v>Admisión de Alto Rendimiento</v>
      </c>
      <c r="E115" s="2">
        <f>IFERROR(__xludf.DUMMYFUNCTION("""COMPUTED_VALUE"""),45561.0)</f>
        <v>45561</v>
      </c>
      <c r="F115" s="1" t="str">
        <f>IFERROR(__xludf.DUMMYFUNCTION("""COMPUTED_VALUE"""),"MARIA ISABEL ")</f>
        <v>MARIA ISABEL </v>
      </c>
      <c r="G115" s="1" t="str">
        <f>IFERROR(__xludf.DUMMYFUNCTION("""COMPUTED_VALUE"""),"BOCANEGRA PISCOYA")</f>
        <v>BOCANEGRA PISCOYA</v>
      </c>
      <c r="H115" s="1" t="str">
        <f>IFERROR(__xludf.DUMMYFUNCTION("""COMPUTED_VALUE"""),"Arquitectura")</f>
        <v>Arquitectura</v>
      </c>
      <c r="I115" s="1" t="str">
        <f>IFERROR(__xludf.DUMMYFUNCTION("""COMPUTED_VALUE"""),"Pago Link")</f>
        <v>Pago Link</v>
      </c>
      <c r="J115" s="1" t="str">
        <f>IFERROR(__xludf.DUMMYFUNCTION("""COMPUTED_VALUE"""),"Diurno")</f>
        <v>Diurno</v>
      </c>
      <c r="K115" s="1" t="str">
        <f>IFERROR(__xludf.DUMMYFUNCTION("""COMPUTED_VALUE"""),"NUEVO")</f>
        <v>NUEVO</v>
      </c>
      <c r="L115" s="1">
        <f>IFERROR(__xludf.DUMMYFUNCTION("""COMPUTED_VALUE"""),0.0)</f>
        <v>0</v>
      </c>
      <c r="M115" s="1">
        <f>IFERROR(__xludf.DUMMYFUNCTION("""COMPUTED_VALUE"""),0.0)</f>
        <v>0</v>
      </c>
      <c r="N115" s="1" t="str">
        <f>IFERROR(__xludf.DUMMYFUNCTION("""COMPUTED_VALUE"""),"BECA")</f>
        <v>BECA</v>
      </c>
      <c r="O115" s="1" t="str">
        <f>IFERROR(__xludf.DUMMYFUNCTION("""COMPUTED_VALUE"""),"BECA CADENA COLEGIOS")</f>
        <v>BECA CADENA COLEGIOS</v>
      </c>
      <c r="P115" s="4">
        <f>IFERROR(__xludf.DUMMYFUNCTION("""COMPUTED_VALUE"""),0.0)</f>
        <v>0</v>
      </c>
      <c r="Q115" s="4">
        <f>IFERROR(__xludf.DUMMYFUNCTION("""COMPUTED_VALUE"""),0.0)</f>
        <v>0</v>
      </c>
      <c r="R115" s="4">
        <f>IFERROR(__xludf.DUMMYFUNCTION("""COMPUTED_VALUE"""),1600.0)</f>
        <v>1600</v>
      </c>
      <c r="S115" s="4">
        <f>IFERROR(__xludf.DUMMYFUNCTION("""COMPUTED_VALUE"""),1200.0)</f>
        <v>1200</v>
      </c>
      <c r="T115" s="1" t="str">
        <f>IFERROR(__xludf.DUMMYFUNCTION("""COMPUTED_VALUE"""),"NINGUNO")</f>
        <v>NINGUNO</v>
      </c>
      <c r="U115" s="1" t="str">
        <f>IFERROR(__xludf.DUMMYFUNCTION("""COMPUTED_VALUE"""),"FABIOLA")</f>
        <v>FABIOLA</v>
      </c>
      <c r="V115" s="1" t="str">
        <f>IFERROR(__xludf.DUMMYFUNCTION("""COMPUTED_VALUE"""),"Ninguno")</f>
        <v>Ninguno</v>
      </c>
      <c r="W115" s="1" t="str">
        <f>IFERROR(__xludf.DUMMYFUNCTION("""COMPUTED_VALUE"""),"Metodología de enseñanza")</f>
        <v>Metodología de enseñanza</v>
      </c>
      <c r="X115" s="1" t="str">
        <f>IFERROR(__xludf.DUMMYFUNCTION("""COMPUTED_VALUE"""),"le gusta mucho la metodologia")</f>
        <v>le gusta mucho la metodologia</v>
      </c>
      <c r="Y115" s="1" t="str">
        <f>IFERROR(__xludf.DUMMYFUNCTION("""COMPUTED_VALUE"""),"PAGO COMPLETO")</f>
        <v>PAGO COMPLETO</v>
      </c>
      <c r="Z115" s="1">
        <f>IFERROR(__xludf.DUMMYFUNCTION("""COMPUTED_VALUE"""),0.0)</f>
        <v>0</v>
      </c>
      <c r="AA115" s="1" t="str">
        <f>IFERROR(__xludf.DUMMYFUNCTION("""COMPUTED_VALUE"""),"-")</f>
        <v>-</v>
      </c>
      <c r="AB115" s="1">
        <f>IFERROR(__xludf.DUMMYFUNCTION("""COMPUTED_VALUE"""),0.0)</f>
        <v>0</v>
      </c>
      <c r="AC115" s="1">
        <f>IFERROR(__xludf.DUMMYFUNCTION("""COMPUTED_VALUE"""),0.0)</f>
        <v>0</v>
      </c>
      <c r="AD115" s="1" t="str">
        <f>IFERROR(__xludf.DUMMYFUNCTION("""COMPUTED_VALUE"""),"Cinthia Mariella Orosco")</f>
        <v>Cinthia Mariella Orosco</v>
      </c>
      <c r="AE115" s="1" t="str">
        <f>IFERROR(__xludf.DUMMYFUNCTION("""COMPUTED_VALUE"""),"0")</f>
        <v>0</v>
      </c>
      <c r="AF115" s="1">
        <f>IFERROR(__xludf.DUMMYFUNCTION("""COMPUTED_VALUE"""),2024.0)</f>
        <v>2024</v>
      </c>
      <c r="AG115" s="1">
        <f>IFERROR(__xludf.DUMMYFUNCTION("""COMPUTED_VALUE"""),1787654.0)</f>
        <v>1787654</v>
      </c>
      <c r="AH115" s="1">
        <f>IFERROR(__xludf.DUMMYFUNCTION("""COMPUTED_VALUE"""),17.0)</f>
        <v>17</v>
      </c>
      <c r="AI115" s="1" t="str">
        <f>IFERROR(__xludf.DUMMYFUNCTION("""COMPUTED_VALUE"""),"0000395775")</f>
        <v>0000395775</v>
      </c>
      <c r="AJ115" s="1">
        <f>IFERROR(__xludf.DUMMYFUNCTION("""COMPUTED_VALUE"""),7.0733575E7)</f>
        <v>70733575</v>
      </c>
      <c r="AK115" s="1">
        <f>IFERROR(__xludf.DUMMYFUNCTION("""COMPUTED_VALUE"""),9.7112171E8)</f>
        <v>971121710</v>
      </c>
      <c r="AL115" s="1" t="str">
        <f>IFERROR(__xludf.DUMMYFUNCTION("""COMPUTED_VALUE"""),"misabel3008@hotmail.com")</f>
        <v>misabel3008@hotmail.com</v>
      </c>
      <c r="AM115" s="1" t="str">
        <f>IFERROR(__xludf.DUMMYFUNCTION("""COMPUTED_VALUE"""),"FEMENINO")</f>
        <v>FEMENINO</v>
      </c>
      <c r="AN115" s="1">
        <f>IFERROR(__xludf.DUMMYFUNCTION("""COMPUTED_VALUE"""),1850.0)</f>
        <v>1850</v>
      </c>
      <c r="AO115" s="1">
        <f>IFERROR(__xludf.DUMMYFUNCTION("""COMPUTED_VALUE"""),780.0)</f>
        <v>780</v>
      </c>
      <c r="AP115" s="1" t="str">
        <f>IFERROR(__xludf.DUMMYFUNCTION("""COMPUTED_VALUE"""),"OUTBOUND")</f>
        <v>OUTBOUND</v>
      </c>
      <c r="AQ115" s="1" t="str">
        <f>IFERROR(__xludf.DUMMYFUNCTION("""COMPUTED_VALUE"""),"OUTBOUND")</f>
        <v>OUTBOUND</v>
      </c>
      <c r="AR115" s="1" t="str">
        <f>IFERROR(__xludf.DUMMYFUNCTION("""COMPUTED_VALUE"""),"HEREDADO")</f>
        <v>HEREDADO</v>
      </c>
      <c r="AS115" s="1"/>
      <c r="AT115" s="2">
        <f>IFERROR(__xludf.DUMMYFUNCTION("""COMPUTED_VALUE"""),45489.0)</f>
        <v>45489</v>
      </c>
      <c r="AU115" s="1">
        <f>IFERROR(__xludf.DUMMYFUNCTION("""COMPUTED_VALUE"""),1.0)</f>
        <v>1</v>
      </c>
      <c r="AV115" s="1" t="str">
        <f>IFERROR(__xludf.DUMMYFUNCTION("""COMPUTED_VALUE"""),"NUEVO")</f>
        <v>NUEVO</v>
      </c>
      <c r="AW115" s="1" t="str">
        <f>IFERROR(__xludf.DUMMYFUNCTION("""COMPUTED_VALUE"""),"SI")</f>
        <v>SI</v>
      </c>
      <c r="AX115" s="1"/>
      <c r="AY115" s="1" t="str">
        <f>IFERROR(__xludf.DUMMYFUNCTION("""COMPUTED_VALUE"""),"PAGO COMPLETO")</f>
        <v>PAGO COMPLETO</v>
      </c>
      <c r="AZ115" s="5">
        <f>IFERROR(__xludf.DUMMYFUNCTION("""COMPUTED_VALUE"""),45561.0)</f>
        <v>45561</v>
      </c>
      <c r="BA115" s="1">
        <f>IFERROR(__xludf.DUMMYFUNCTION("""COMPUTED_VALUE"""),0.0)</f>
        <v>0</v>
      </c>
      <c r="BB115" s="1">
        <f>IFERROR(__xludf.DUMMYFUNCTION("""COMPUTED_VALUE"""),0.0)</f>
        <v>0</v>
      </c>
      <c r="BC115" s="4">
        <f>IFERROR(__xludf.DUMMYFUNCTION("""COMPUTED_VALUE"""),0.0)</f>
        <v>0</v>
      </c>
      <c r="BD115" s="4">
        <f>IFERROR(__xludf.DUMMYFUNCTION("""COMPUTED_VALUE"""),0.0)</f>
        <v>0</v>
      </c>
      <c r="BE115" s="1">
        <f>IFERROR(__xludf.DUMMYFUNCTION("""COMPUTED_VALUE"""),9.0)</f>
        <v>9</v>
      </c>
      <c r="BF115" s="6">
        <f>IFERROR(__xludf.DUMMYFUNCTION("""COMPUTED_VALUE"""),1.0)</f>
        <v>1</v>
      </c>
      <c r="BG115" s="1">
        <f>IFERROR(__xludf.DUMMYFUNCTION("""COMPUTED_VALUE"""),1.0)</f>
        <v>1</v>
      </c>
      <c r="BH115" s="1" t="str">
        <f>IFERROR(__xludf.DUMMYFUNCTION("""COMPUTED_VALUE"""),"0")</f>
        <v>0</v>
      </c>
      <c r="BI115" s="4">
        <f>IFERROR(__xludf.DUMMYFUNCTION("""COMPUTED_VALUE"""),0.0)</f>
        <v>0</v>
      </c>
      <c r="BJ115" s="1">
        <f>IFERROR(__xludf.DUMMYFUNCTION("""COMPUTED_VALUE"""),0.0)</f>
        <v>0</v>
      </c>
      <c r="BK115" s="4">
        <f>IFERROR(__xludf.DUMMYFUNCTION("""COMPUTED_VALUE"""),0.0)</f>
        <v>0</v>
      </c>
      <c r="BL115" s="1">
        <f>IFERROR(__xludf.DUMMYFUNCTION("""COMPUTED_VALUE"""),1200.0)</f>
        <v>1200</v>
      </c>
      <c r="BM115" s="1">
        <f>IFERROR(__xludf.DUMMYFUNCTION("""COMPUTED_VALUE"""),39.0)</f>
        <v>39</v>
      </c>
      <c r="BN115" s="2">
        <f>IFERROR(__xludf.DUMMYFUNCTION("""COMPUTED_VALUE"""),45558.0)</f>
        <v>45558</v>
      </c>
      <c r="BO115" s="1">
        <f>IFERROR(__xludf.DUMMYFUNCTION("""COMPUTED_VALUE"""),9.0)</f>
        <v>9</v>
      </c>
      <c r="BP115" s="1">
        <f>IFERROR(__xludf.DUMMYFUNCTION("""COMPUTED_VALUE"""),2024.0)</f>
        <v>2024</v>
      </c>
    </row>
    <row r="116">
      <c r="A116" s="1">
        <f>IFERROR(__xludf.DUMMYFUNCTION("""COMPUTED_VALUE"""),115.0)</f>
        <v>115</v>
      </c>
      <c r="B116" s="1">
        <f>IFERROR(__xludf.DUMMYFUNCTION("""COMPUTED_VALUE"""),4615438.0)</f>
        <v>4615438</v>
      </c>
      <c r="C116" s="1" t="str">
        <f>IFERROR(__xludf.DUMMYFUNCTION("""COMPUTED_VALUE"""),"2025-1")</f>
        <v>2025-1</v>
      </c>
      <c r="D116" s="1" t="str">
        <f>IFERROR(__xludf.DUMMYFUNCTION("""COMPUTED_VALUE"""),"Admisión de Alto Rendimiento")</f>
        <v>Admisión de Alto Rendimiento</v>
      </c>
      <c r="E116" s="2">
        <f>IFERROR(__xludf.DUMMYFUNCTION("""COMPUTED_VALUE"""),45562.0)</f>
        <v>45562</v>
      </c>
      <c r="F116" s="1" t="str">
        <f>IFERROR(__xludf.DUMMYFUNCTION("""COMPUTED_VALUE"""),"FERNANDA ISABEL")</f>
        <v>FERNANDA ISABEL</v>
      </c>
      <c r="G116" s="1" t="str">
        <f>IFERROR(__xludf.DUMMYFUNCTION("""COMPUTED_VALUE""")," SILES GONZALES")</f>
        <v> SILES GONZALES</v>
      </c>
      <c r="H116" s="1" t="str">
        <f>IFERROR(__xludf.DUMMYFUNCTION("""COMPUTED_VALUE"""),"Comunicación Audiovisual y Cine")</f>
        <v>Comunicación Audiovisual y Cine</v>
      </c>
      <c r="I116" s="1" t="str">
        <f>IFERROR(__xludf.DUMMYFUNCTION("""COMPUTED_VALUE"""),"POS")</f>
        <v>POS</v>
      </c>
      <c r="J116" s="1" t="str">
        <f>IFERROR(__xludf.DUMMYFUNCTION("""COMPUTED_VALUE"""),"Diurno")</f>
        <v>Diurno</v>
      </c>
      <c r="K116" s="1" t="str">
        <f>IFERROR(__xludf.DUMMYFUNCTION("""COMPUTED_VALUE"""),"NUEVO")</f>
        <v>NUEVO</v>
      </c>
      <c r="L116" s="1">
        <f>IFERROR(__xludf.DUMMYFUNCTION("""COMPUTED_VALUE"""),0.0)</f>
        <v>0</v>
      </c>
      <c r="M116" s="1">
        <f>IFERROR(__xludf.DUMMYFUNCTION("""COMPUTED_VALUE"""),0.0)</f>
        <v>0</v>
      </c>
      <c r="N116" s="1" t="str">
        <f>IFERROR(__xludf.DUMMYFUNCTION("""COMPUTED_VALUE"""),"BECA")</f>
        <v>BECA</v>
      </c>
      <c r="O116" s="1" t="str">
        <f>IFERROR(__xludf.DUMMYFUNCTION("""COMPUTED_VALUE"""),"BECA CARRERAS CORE")</f>
        <v>BECA CARRERAS CORE</v>
      </c>
      <c r="P116" s="4">
        <f>IFERROR(__xludf.DUMMYFUNCTION("""COMPUTED_VALUE"""),0.0)</f>
        <v>0</v>
      </c>
      <c r="Q116" s="4">
        <f>IFERROR(__xludf.DUMMYFUNCTION("""COMPUTED_VALUE"""),0.0)</f>
        <v>0</v>
      </c>
      <c r="R116" s="4">
        <f>IFERROR(__xludf.DUMMYFUNCTION("""COMPUTED_VALUE"""),1600.0)</f>
        <v>1600</v>
      </c>
      <c r="S116" s="4">
        <f>IFERROR(__xludf.DUMMYFUNCTION("""COMPUTED_VALUE"""),1280.0)</f>
        <v>1280</v>
      </c>
      <c r="T116" s="1" t="str">
        <f>IFERROR(__xludf.DUMMYFUNCTION("""COMPUTED_VALUE"""),"NINGUNO")</f>
        <v>NINGUNO</v>
      </c>
      <c r="U116" s="1" t="str">
        <f>IFERROR(__xludf.DUMMYFUNCTION("""COMPUTED_VALUE"""),"FABIOLA")</f>
        <v>FABIOLA</v>
      </c>
      <c r="V116" s="1" t="str">
        <f>IFERROR(__xludf.DUMMYFUNCTION("""COMPUTED_VALUE"""),"Ninguno")</f>
        <v>Ninguno</v>
      </c>
      <c r="W116" s="1" t="str">
        <f>IFERROR(__xludf.DUMMYFUNCTION("""COMPUTED_VALUE"""),"Metodología de enseñanza")</f>
        <v>Metodología de enseñanza</v>
      </c>
      <c r="X116" s="1" t="str">
        <f>IFERROR(__xludf.DUMMYFUNCTION("""COMPUTED_VALUE"""),"-")</f>
        <v>-</v>
      </c>
      <c r="Y116" s="1" t="str">
        <f>IFERROR(__xludf.DUMMYFUNCTION("""COMPUTED_VALUE"""),"PAGO COMPLETO")</f>
        <v>PAGO COMPLETO</v>
      </c>
      <c r="Z116" s="1">
        <f>IFERROR(__xludf.DUMMYFUNCTION("""COMPUTED_VALUE"""),0.0)</f>
        <v>0</v>
      </c>
      <c r="AA116" s="1" t="str">
        <f>IFERROR(__xludf.DUMMYFUNCTION("""COMPUTED_VALUE"""),"-")</f>
        <v>-</v>
      </c>
      <c r="AB116" s="1">
        <f>IFERROR(__xludf.DUMMYFUNCTION("""COMPUTED_VALUE"""),0.0)</f>
        <v>0</v>
      </c>
      <c r="AC116" s="1">
        <f>IFERROR(__xludf.DUMMYFUNCTION("""COMPUTED_VALUE"""),0.0)</f>
        <v>0</v>
      </c>
      <c r="AD116" s="1" t="str">
        <f>IFERROR(__xludf.DUMMYFUNCTION("""COMPUTED_VALUE"""),"Ingrid Guillermo Rivera")</f>
        <v>Ingrid Guillermo Rivera</v>
      </c>
      <c r="AE116" s="1" t="str">
        <f>IFERROR(__xludf.DUMMYFUNCTION("""COMPUTED_VALUE"""),"0")</f>
        <v>0</v>
      </c>
      <c r="AF116" s="1">
        <f>IFERROR(__xludf.DUMMYFUNCTION("""COMPUTED_VALUE"""),2024.0)</f>
        <v>2024</v>
      </c>
      <c r="AG116" s="1">
        <f>IFERROR(__xludf.DUMMYFUNCTION("""COMPUTED_VALUE"""),775254.0)</f>
        <v>775254</v>
      </c>
      <c r="AH116" s="1">
        <f>IFERROR(__xludf.DUMMYFUNCTION("""COMPUTED_VALUE"""),17.0)</f>
        <v>17</v>
      </c>
      <c r="AI116" s="1" t="str">
        <f>IFERROR(__xludf.DUMMYFUNCTION("""COMPUTED_VALUE"""),"0000396277")</f>
        <v>0000396277</v>
      </c>
      <c r="AJ116" s="1">
        <f>IFERROR(__xludf.DUMMYFUNCTION("""COMPUTED_VALUE"""),6.1188119E7)</f>
        <v>61188119</v>
      </c>
      <c r="AK116" s="1">
        <f>IFERROR(__xludf.DUMMYFUNCTION("""COMPUTED_VALUE"""),9.0719938E8)</f>
        <v>907199380</v>
      </c>
      <c r="AL116" s="1" t="str">
        <f>IFERROR(__xludf.DUMMYFUNCTION("""COMPUTED_VALUE"""),"fernandaisalesg@gmail.com")</f>
        <v>fernandaisalesg@gmail.com</v>
      </c>
      <c r="AM116" s="1" t="str">
        <f>IFERROR(__xludf.DUMMYFUNCTION("""COMPUTED_VALUE"""),"FEMENINO")</f>
        <v>FEMENINO</v>
      </c>
      <c r="AN116" s="1">
        <f>IFERROR(__xludf.DUMMYFUNCTION("""COMPUTED_VALUE"""),2425.0)</f>
        <v>2425</v>
      </c>
      <c r="AO116" s="1">
        <f>IFERROR(__xludf.DUMMYFUNCTION("""COMPUTED_VALUE"""),1050.0)</f>
        <v>1050</v>
      </c>
      <c r="AP116" s="1" t="str">
        <f>IFERROR(__xludf.DUMMYFUNCTION("""COMPUTED_VALUE"""),"FORMULARIO")</f>
        <v>FORMULARIO</v>
      </c>
      <c r="AQ116" s="1" t="str">
        <f>IFERROR(__xludf.DUMMYFUNCTION("""COMPUTED_VALUE"""),"ORGANICO")</f>
        <v>ORGANICO</v>
      </c>
      <c r="AR116" s="1" t="str">
        <f>IFERROR(__xludf.DUMMYFUNCTION("""COMPUTED_VALUE"""),"NUEVO")</f>
        <v>NUEVO</v>
      </c>
      <c r="AS116" s="1"/>
      <c r="AT116" s="2">
        <f>IFERROR(__xludf.DUMMYFUNCTION("""COMPUTED_VALUE"""),45559.0)</f>
        <v>45559</v>
      </c>
      <c r="AU116" s="1">
        <f>IFERROR(__xludf.DUMMYFUNCTION("""COMPUTED_VALUE"""),1.0)</f>
        <v>1</v>
      </c>
      <c r="AV116" s="1" t="str">
        <f>IFERROR(__xludf.DUMMYFUNCTION("""COMPUTED_VALUE"""),"NUEVO")</f>
        <v>NUEVO</v>
      </c>
      <c r="AW116" s="1" t="str">
        <f>IFERROR(__xludf.DUMMYFUNCTION("""COMPUTED_VALUE"""),"SI")</f>
        <v>SI</v>
      </c>
      <c r="AX116" s="1"/>
      <c r="AY116" s="1" t="str">
        <f>IFERROR(__xludf.DUMMYFUNCTION("""COMPUTED_VALUE"""),"PAGO COMPLETO")</f>
        <v>PAGO COMPLETO</v>
      </c>
      <c r="AZ116" s="5">
        <f>IFERROR(__xludf.DUMMYFUNCTION("""COMPUTED_VALUE"""),45562.0)</f>
        <v>45562</v>
      </c>
      <c r="BA116" s="1">
        <f>IFERROR(__xludf.DUMMYFUNCTION("""COMPUTED_VALUE"""),0.0)</f>
        <v>0</v>
      </c>
      <c r="BB116" s="1">
        <f>IFERROR(__xludf.DUMMYFUNCTION("""COMPUTED_VALUE"""),0.0)</f>
        <v>0</v>
      </c>
      <c r="BC116" s="4">
        <f>IFERROR(__xludf.DUMMYFUNCTION("""COMPUTED_VALUE"""),0.0)</f>
        <v>0</v>
      </c>
      <c r="BD116" s="4">
        <f>IFERROR(__xludf.DUMMYFUNCTION("""COMPUTED_VALUE"""),0.0)</f>
        <v>0</v>
      </c>
      <c r="BE116" s="1">
        <f>IFERROR(__xludf.DUMMYFUNCTION("""COMPUTED_VALUE"""),9.0)</f>
        <v>9</v>
      </c>
      <c r="BF116" s="6">
        <f>IFERROR(__xludf.DUMMYFUNCTION("""COMPUTED_VALUE"""),1.0)</f>
        <v>1</v>
      </c>
      <c r="BG116" s="1">
        <f>IFERROR(__xludf.DUMMYFUNCTION("""COMPUTED_VALUE"""),1.0)</f>
        <v>1</v>
      </c>
      <c r="BH116" s="1" t="str">
        <f>IFERROR(__xludf.DUMMYFUNCTION("""COMPUTED_VALUE"""),"0")</f>
        <v>0</v>
      </c>
      <c r="BI116" s="4">
        <f>IFERROR(__xludf.DUMMYFUNCTION("""COMPUTED_VALUE"""),0.0)</f>
        <v>0</v>
      </c>
      <c r="BJ116" s="1">
        <f>IFERROR(__xludf.DUMMYFUNCTION("""COMPUTED_VALUE"""),0.0)</f>
        <v>0</v>
      </c>
      <c r="BK116" s="4">
        <f>IFERROR(__xludf.DUMMYFUNCTION("""COMPUTED_VALUE"""),0.0)</f>
        <v>0</v>
      </c>
      <c r="BL116" s="1">
        <f>IFERROR(__xludf.DUMMYFUNCTION("""COMPUTED_VALUE"""),1280.0)</f>
        <v>1280</v>
      </c>
      <c r="BM116" s="1">
        <f>IFERROR(__xludf.DUMMYFUNCTION("""COMPUTED_VALUE"""),39.0)</f>
        <v>39</v>
      </c>
      <c r="BN116" s="2">
        <f>IFERROR(__xludf.DUMMYFUNCTION("""COMPUTED_VALUE"""),45558.0)</f>
        <v>45558</v>
      </c>
      <c r="BO116" s="1">
        <f>IFERROR(__xludf.DUMMYFUNCTION("""COMPUTED_VALUE"""),9.0)</f>
        <v>9</v>
      </c>
      <c r="BP116" s="1">
        <f>IFERROR(__xludf.DUMMYFUNCTION("""COMPUTED_VALUE"""),2024.0)</f>
        <v>2024</v>
      </c>
    </row>
    <row r="117">
      <c r="A117" s="1">
        <f>IFERROR(__xludf.DUMMYFUNCTION("""COMPUTED_VALUE"""),116.0)</f>
        <v>116</v>
      </c>
      <c r="B117" s="1">
        <f>IFERROR(__xludf.DUMMYFUNCTION("""COMPUTED_VALUE"""),3384426.0)</f>
        <v>3384426</v>
      </c>
      <c r="C117" s="1" t="str">
        <f>IFERROR(__xludf.DUMMYFUNCTION("""COMPUTED_VALUE"""),"2025-1")</f>
        <v>2025-1</v>
      </c>
      <c r="D117" s="1" t="str">
        <f>IFERROR(__xludf.DUMMYFUNCTION("""COMPUTED_VALUE"""),"Admisión de Alto Rendimiento")</f>
        <v>Admisión de Alto Rendimiento</v>
      </c>
      <c r="E117" s="2">
        <f>IFERROR(__xludf.DUMMYFUNCTION("""COMPUTED_VALUE"""),45563.0)</f>
        <v>45563</v>
      </c>
      <c r="F117" s="1" t="str">
        <f>IFERROR(__xludf.DUMMYFUNCTION("""COMPUTED_VALUE"""),"JOSE MARÍA CAYETANO")</f>
        <v>JOSE MARÍA CAYETANO</v>
      </c>
      <c r="G117" s="1" t="str">
        <f>IFERROR(__xludf.DUMMYFUNCTION("""COMPUTED_VALUE"""),"SOBENES RECARTE")</f>
        <v>SOBENES RECARTE</v>
      </c>
      <c r="H117" s="1" t="str">
        <f>IFERROR(__xludf.DUMMYFUNCTION("""COMPUTED_VALUE"""),"Comunicación Audiovisual y Cine")</f>
        <v>Comunicación Audiovisual y Cine</v>
      </c>
      <c r="I117" s="1" t="str">
        <f>IFERROR(__xludf.DUMMYFUNCTION("""COMPUTED_VALUE"""),"POS")</f>
        <v>POS</v>
      </c>
      <c r="J117" s="1" t="str">
        <f>IFERROR(__xludf.DUMMYFUNCTION("""COMPUTED_VALUE"""),"Diurno")</f>
        <v>Diurno</v>
      </c>
      <c r="K117" s="1" t="str">
        <f>IFERROR(__xludf.DUMMYFUNCTION("""COMPUTED_VALUE"""),"NUEVO")</f>
        <v>NUEVO</v>
      </c>
      <c r="L117" s="1">
        <f>IFERROR(__xludf.DUMMYFUNCTION("""COMPUTED_VALUE"""),0.0)</f>
        <v>0</v>
      </c>
      <c r="M117" s="1">
        <f>IFERROR(__xludf.DUMMYFUNCTION("""COMPUTED_VALUE"""),0.0)</f>
        <v>0</v>
      </c>
      <c r="N117" s="1" t="str">
        <f>IFERROR(__xludf.DUMMYFUNCTION("""COMPUTED_VALUE"""),"BECA")</f>
        <v>BECA</v>
      </c>
      <c r="O117" s="1" t="str">
        <f>IFERROR(__xludf.DUMMYFUNCTION("""COMPUTED_VALUE"""),"BECA CARRERAS CORE")</f>
        <v>BECA CARRERAS CORE</v>
      </c>
      <c r="P117" s="4">
        <f>IFERROR(__xludf.DUMMYFUNCTION("""COMPUTED_VALUE"""),0.0)</f>
        <v>0</v>
      </c>
      <c r="Q117" s="4">
        <f>IFERROR(__xludf.DUMMYFUNCTION("""COMPUTED_VALUE"""),0.0)</f>
        <v>0</v>
      </c>
      <c r="R117" s="4">
        <f>IFERROR(__xludf.DUMMYFUNCTION("""COMPUTED_VALUE"""),1600.0)</f>
        <v>1600</v>
      </c>
      <c r="S117" s="4">
        <f>IFERROR(__xludf.DUMMYFUNCTION("""COMPUTED_VALUE"""),1280.0)</f>
        <v>1280</v>
      </c>
      <c r="T117" s="1" t="str">
        <f>IFERROR(__xludf.DUMMYFUNCTION("""COMPUTED_VALUE"""),"NINGUNO")</f>
        <v>NINGUNO</v>
      </c>
      <c r="U117" s="1" t="str">
        <f>IFERROR(__xludf.DUMMYFUNCTION("""COMPUTED_VALUE"""),"FABIOLA")</f>
        <v>FABIOLA</v>
      </c>
      <c r="V117" s="1" t="str">
        <f>IFERROR(__xludf.DUMMYFUNCTION("""COMPUTED_VALUE"""),"Ninguno")</f>
        <v>Ninguno</v>
      </c>
      <c r="W117" s="1" t="str">
        <f>IFERROR(__xludf.DUMMYFUNCTION("""COMPUTED_VALUE"""),"Metodología de enseñanza")</f>
        <v>Metodología de enseñanza</v>
      </c>
      <c r="X117" s="1" t="str">
        <f>IFERROR(__xludf.DUMMYFUNCTION("""COMPUTED_VALUE"""),"-")</f>
        <v>-</v>
      </c>
      <c r="Y117" s="1" t="str">
        <f>IFERROR(__xludf.DUMMYFUNCTION("""COMPUTED_VALUE"""),"PAGO COMPLETO")</f>
        <v>PAGO COMPLETO</v>
      </c>
      <c r="Z117" s="1">
        <f>IFERROR(__xludf.DUMMYFUNCTION("""COMPUTED_VALUE"""),0.0)</f>
        <v>0</v>
      </c>
      <c r="AA117" s="1" t="str">
        <f>IFERROR(__xludf.DUMMYFUNCTION("""COMPUTED_VALUE"""),"-")</f>
        <v>-</v>
      </c>
      <c r="AB117" s="1">
        <f>IFERROR(__xludf.DUMMYFUNCTION("""COMPUTED_VALUE"""),0.0)</f>
        <v>0</v>
      </c>
      <c r="AC117" s="1">
        <f>IFERROR(__xludf.DUMMYFUNCTION("""COMPUTED_VALUE"""),0.0)</f>
        <v>0</v>
      </c>
      <c r="AD117" s="1" t="str">
        <f>IFERROR(__xludf.DUMMYFUNCTION("""COMPUTED_VALUE"""),"Stefano Napuri")</f>
        <v>Stefano Napuri</v>
      </c>
      <c r="AE117" s="1" t="str">
        <f>IFERROR(__xludf.DUMMYFUNCTION("""COMPUTED_VALUE"""),"0")</f>
        <v>0</v>
      </c>
      <c r="AF117" s="1">
        <f>IFERROR(__xludf.DUMMYFUNCTION("""COMPUTED_VALUE"""),2024.0)</f>
        <v>2024</v>
      </c>
      <c r="AG117" s="1">
        <f>IFERROR(__xludf.DUMMYFUNCTION("""COMPUTED_VALUE"""),1074574.0)</f>
        <v>1074574</v>
      </c>
      <c r="AH117" s="1">
        <f>IFERROR(__xludf.DUMMYFUNCTION("""COMPUTED_VALUE"""),16.0)</f>
        <v>16</v>
      </c>
      <c r="AI117" s="1" t="str">
        <f>IFERROR(__xludf.DUMMYFUNCTION("""COMPUTED_VALUE"""),"0000396382")</f>
        <v>0000396382</v>
      </c>
      <c r="AJ117" s="1">
        <f>IFERROR(__xludf.DUMMYFUNCTION("""COMPUTED_VALUE"""),7.1151333E7)</f>
        <v>71151333</v>
      </c>
      <c r="AK117" s="1">
        <f>IFERROR(__xludf.DUMMYFUNCTION("""COMPUTED_VALUE"""),9.57163372E8)</f>
        <v>957163372</v>
      </c>
      <c r="AL117" s="1" t="str">
        <f>IFERROR(__xludf.DUMMYFUNCTION("""COMPUTED_VALUE"""),"larvafc208@gmail.com")</f>
        <v>larvafc208@gmail.com</v>
      </c>
      <c r="AM117" s="1" t="str">
        <f>IFERROR(__xludf.DUMMYFUNCTION("""COMPUTED_VALUE"""),"MASCULINO")</f>
        <v>MASCULINO</v>
      </c>
      <c r="AN117" s="1">
        <f>IFERROR(__xludf.DUMMYFUNCTION("""COMPUTED_VALUE"""),1600.0)</f>
        <v>1600</v>
      </c>
      <c r="AO117" s="1">
        <f>IFERROR(__xludf.DUMMYFUNCTION("""COMPUTED_VALUE"""),880.0)</f>
        <v>880</v>
      </c>
      <c r="AP117" s="1" t="str">
        <f>IFERROR(__xludf.DUMMYFUNCTION("""COMPUTED_VALUE"""),"FORMULARIO")</f>
        <v>FORMULARIO</v>
      </c>
      <c r="AQ117" s="1" t="str">
        <f>IFERROR(__xludf.DUMMYFUNCTION("""COMPUTED_VALUE"""),"SEARCH MARCA")</f>
        <v>SEARCH MARCA</v>
      </c>
      <c r="AR117" s="1" t="str">
        <f>IFERROR(__xludf.DUMMYFUNCTION("""COMPUTED_VALUE"""),"NUEVO")</f>
        <v>NUEVO</v>
      </c>
      <c r="AS117" s="1" t="str">
        <f>IFERROR(__xludf.DUMMYFUNCTION("""COMPUTED_VALUE"""),"ucal-pg-performance-sedes-abierta-cpl-search_conversion_marca-20240401")</f>
        <v>ucal-pg-performance-sedes-abierta-cpl-search_conversion_marca-20240401</v>
      </c>
      <c r="AT117" s="2">
        <f>IFERROR(__xludf.DUMMYFUNCTION("""COMPUTED_VALUE"""),45475.0)</f>
        <v>45475</v>
      </c>
      <c r="AU117" s="1">
        <f>IFERROR(__xludf.DUMMYFUNCTION("""COMPUTED_VALUE"""),1.0)</f>
        <v>1</v>
      </c>
      <c r="AV117" s="1" t="str">
        <f>IFERROR(__xludf.DUMMYFUNCTION("""COMPUTED_VALUE"""),"NUEVO")</f>
        <v>NUEVO</v>
      </c>
      <c r="AW117" s="1" t="str">
        <f>IFERROR(__xludf.DUMMYFUNCTION("""COMPUTED_VALUE"""),"SI")</f>
        <v>SI</v>
      </c>
      <c r="AX117" s="1"/>
      <c r="AY117" s="1" t="str">
        <f>IFERROR(__xludf.DUMMYFUNCTION("""COMPUTED_VALUE"""),"PAGO COMPLETO")</f>
        <v>PAGO COMPLETO</v>
      </c>
      <c r="AZ117" s="5">
        <f>IFERROR(__xludf.DUMMYFUNCTION("""COMPUTED_VALUE"""),45563.0)</f>
        <v>45563</v>
      </c>
      <c r="BA117" s="1">
        <f>IFERROR(__xludf.DUMMYFUNCTION("""COMPUTED_VALUE"""),0.0)</f>
        <v>0</v>
      </c>
      <c r="BB117" s="1">
        <f>IFERROR(__xludf.DUMMYFUNCTION("""COMPUTED_VALUE"""),0.0)</f>
        <v>0</v>
      </c>
      <c r="BC117" s="4">
        <f>IFERROR(__xludf.DUMMYFUNCTION("""COMPUTED_VALUE"""),0.0)</f>
        <v>0</v>
      </c>
      <c r="BD117" s="4">
        <f>IFERROR(__xludf.DUMMYFUNCTION("""COMPUTED_VALUE"""),0.0)</f>
        <v>0</v>
      </c>
      <c r="BE117" s="1">
        <f>IFERROR(__xludf.DUMMYFUNCTION("""COMPUTED_VALUE"""),9.0)</f>
        <v>9</v>
      </c>
      <c r="BF117" s="6">
        <f>IFERROR(__xludf.DUMMYFUNCTION("""COMPUTED_VALUE"""),1.0)</f>
        <v>1</v>
      </c>
      <c r="BG117" s="1">
        <f>IFERROR(__xludf.DUMMYFUNCTION("""COMPUTED_VALUE"""),1.0)</f>
        <v>1</v>
      </c>
      <c r="BH117" s="1" t="str">
        <f>IFERROR(__xludf.DUMMYFUNCTION("""COMPUTED_VALUE"""),"0")</f>
        <v>0</v>
      </c>
      <c r="BI117" s="4">
        <f>IFERROR(__xludf.DUMMYFUNCTION("""COMPUTED_VALUE"""),0.0)</f>
        <v>0</v>
      </c>
      <c r="BJ117" s="1">
        <f>IFERROR(__xludf.DUMMYFUNCTION("""COMPUTED_VALUE"""),0.0)</f>
        <v>0</v>
      </c>
      <c r="BK117" s="4">
        <f>IFERROR(__xludf.DUMMYFUNCTION("""COMPUTED_VALUE"""),0.0)</f>
        <v>0</v>
      </c>
      <c r="BL117" s="1">
        <f>IFERROR(__xludf.DUMMYFUNCTION("""COMPUTED_VALUE"""),1280.0)</f>
        <v>1280</v>
      </c>
      <c r="BM117" s="1">
        <f>IFERROR(__xludf.DUMMYFUNCTION("""COMPUTED_VALUE"""),39.0)</f>
        <v>39</v>
      </c>
      <c r="BN117" s="2">
        <f>IFERROR(__xludf.DUMMYFUNCTION("""COMPUTED_VALUE"""),45558.0)</f>
        <v>45558</v>
      </c>
      <c r="BO117" s="1">
        <f>IFERROR(__xludf.DUMMYFUNCTION("""COMPUTED_VALUE"""),9.0)</f>
        <v>9</v>
      </c>
      <c r="BP117" s="1">
        <f>IFERROR(__xludf.DUMMYFUNCTION("""COMPUTED_VALUE"""),2024.0)</f>
        <v>2024</v>
      </c>
    </row>
    <row r="118">
      <c r="A118" s="1">
        <f>IFERROR(__xludf.DUMMYFUNCTION("""COMPUTED_VALUE"""),117.0)</f>
        <v>117</v>
      </c>
      <c r="B118" s="1">
        <f>IFERROR(__xludf.DUMMYFUNCTION("""COMPUTED_VALUE"""),4598189.0)</f>
        <v>4598189</v>
      </c>
      <c r="C118" s="1" t="str">
        <f>IFERROR(__xludf.DUMMYFUNCTION("""COMPUTED_VALUE"""),"2025-1")</f>
        <v>2025-1</v>
      </c>
      <c r="D118" s="1" t="str">
        <f>IFERROR(__xludf.DUMMYFUNCTION("""COMPUTED_VALUE"""),"Admisión Extraordinaria (Traslados)")</f>
        <v>Admisión Extraordinaria (Traslados)</v>
      </c>
      <c r="E118" s="2">
        <f>IFERROR(__xludf.DUMMYFUNCTION("""COMPUTED_VALUE"""),45563.0)</f>
        <v>45563</v>
      </c>
      <c r="F118" s="1" t="str">
        <f>IFERROR(__xludf.DUMMYFUNCTION("""COMPUTED_VALUE""")," KRISTABEL XIOMARA")</f>
        <v> KRISTABEL XIOMARA</v>
      </c>
      <c r="G118" s="1" t="str">
        <f>IFERROR(__xludf.DUMMYFUNCTION("""COMPUTED_VALUE"""),"REVILLA TARAZONA")</f>
        <v>REVILLA TARAZONA</v>
      </c>
      <c r="H118" s="1" t="str">
        <f>IFERROR(__xludf.DUMMYFUNCTION("""COMPUTED_VALUE"""),"Arquitectura de Interiores")</f>
        <v>Arquitectura de Interiores</v>
      </c>
      <c r="I118" s="1" t="str">
        <f>IFERROR(__xludf.DUMMYFUNCTION("""COMPUTED_VALUE"""),"CARGO")</f>
        <v>CARGO</v>
      </c>
      <c r="J118" s="1" t="str">
        <f>IFERROR(__xludf.DUMMYFUNCTION("""COMPUTED_VALUE"""),"Diurno")</f>
        <v>Diurno</v>
      </c>
      <c r="K118" s="1" t="str">
        <f>IFERROR(__xludf.DUMMYFUNCTION("""COMPUTED_VALUE"""),"TRASLADO")</f>
        <v>TRASLADO</v>
      </c>
      <c r="L118" s="1">
        <f>IFERROR(__xludf.DUMMYFUNCTION("""COMPUTED_VALUE"""),1.0)</f>
        <v>1</v>
      </c>
      <c r="M118" s="1">
        <f>IFERROR(__xludf.DUMMYFUNCTION("""COMPUTED_VALUE"""),0.0)</f>
        <v>0</v>
      </c>
      <c r="N118" s="1" t="str">
        <f>IFERROR(__xludf.DUMMYFUNCTION("""COMPUTED_VALUE"""),"RECA")</f>
        <v>RECA</v>
      </c>
      <c r="O118" s="1" t="str">
        <f>IFERROR(__xludf.DUMMYFUNCTION("""COMPUTED_VALUE"""),"RECA TRASLADO CON CONVA")</f>
        <v>RECA TRASLADO CON CONVA</v>
      </c>
      <c r="P118" s="4">
        <f>IFERROR(__xludf.DUMMYFUNCTION("""COMPUTED_VALUE"""),0.0)</f>
        <v>0</v>
      </c>
      <c r="Q118" s="4">
        <f>IFERROR(__xludf.DUMMYFUNCTION("""COMPUTED_VALUE"""),0.0)</f>
        <v>0</v>
      </c>
      <c r="R118" s="4">
        <f>IFERROR(__xludf.DUMMYFUNCTION("""COMPUTED_VALUE"""),1600.0)</f>
        <v>1600</v>
      </c>
      <c r="S118" s="4">
        <f>IFERROR(__xludf.DUMMYFUNCTION("""COMPUTED_VALUE"""),1000.0)</f>
        <v>1000</v>
      </c>
      <c r="T118" s="1" t="str">
        <f>IFERROR(__xludf.DUMMYFUNCTION("""COMPUTED_VALUE"""),"NINGUNO")</f>
        <v>NINGUNO</v>
      </c>
      <c r="U118" s="1" t="str">
        <f>IFERROR(__xludf.DUMMYFUNCTION("""COMPUTED_VALUE"""),"FABIOLA")</f>
        <v>FABIOLA</v>
      </c>
      <c r="V118" s="1" t="str">
        <f>IFERROR(__xludf.DUMMYFUNCTION("""COMPUTED_VALUE"""),"Ninguno")</f>
        <v>Ninguno</v>
      </c>
      <c r="W118" s="1" t="str">
        <f>IFERROR(__xludf.DUMMYFUNCTION("""COMPUTED_VALUE"""),"Metodología de enseñanza")</f>
        <v>Metodología de enseñanza</v>
      </c>
      <c r="X118" s="1" t="str">
        <f>IFERROR(__xludf.DUMMYFUNCTION("""COMPUTED_VALUE"""),"-")</f>
        <v>-</v>
      </c>
      <c r="Y118" s="1" t="str">
        <f>IFERROR(__xludf.DUMMYFUNCTION("""COMPUTED_VALUE"""),"PAGO COMPLETO")</f>
        <v>PAGO COMPLETO</v>
      </c>
      <c r="Z118" s="1">
        <f>IFERROR(__xludf.DUMMYFUNCTION("""COMPUTED_VALUE"""),0.0)</f>
        <v>0</v>
      </c>
      <c r="AA118" s="1" t="str">
        <f>IFERROR(__xludf.DUMMYFUNCTION("""COMPUTED_VALUE"""),"-")</f>
        <v>-</v>
      </c>
      <c r="AB118" s="1">
        <f>IFERROR(__xludf.DUMMYFUNCTION("""COMPUTED_VALUE"""),0.0)</f>
        <v>0</v>
      </c>
      <c r="AC118" s="1">
        <f>IFERROR(__xludf.DUMMYFUNCTION("""COMPUTED_VALUE"""),0.0)</f>
        <v>0</v>
      </c>
      <c r="AD118" s="1" t="str">
        <f>IFERROR(__xludf.DUMMYFUNCTION("""COMPUTED_VALUE"""),"Stefano Napuri")</f>
        <v>Stefano Napuri</v>
      </c>
      <c r="AE118" s="1" t="str">
        <f>IFERROR(__xludf.DUMMYFUNCTION("""COMPUTED_VALUE"""),"Instituto de Educación Superior Tecnológico Privado Toulouse Lautrec")</f>
        <v>Instituto de Educación Superior Tecnológico Privado Toulouse Lautrec</v>
      </c>
      <c r="AF118" s="1">
        <f>IFERROR(__xludf.DUMMYFUNCTION("""COMPUTED_VALUE"""),2022.0)</f>
        <v>2022</v>
      </c>
      <c r="AG118" s="1">
        <f>IFERROR(__xludf.DUMMYFUNCTION("""COMPUTED_VALUE"""),1638972.0)</f>
        <v>1638972</v>
      </c>
      <c r="AH118" s="1">
        <f>IFERROR(__xludf.DUMMYFUNCTION("""COMPUTED_VALUE"""),18.0)</f>
        <v>18</v>
      </c>
      <c r="AI118" s="1" t="str">
        <f>IFERROR(__xludf.DUMMYFUNCTION("""COMPUTED_VALUE"""),"0000037741")</f>
        <v>0000037741</v>
      </c>
      <c r="AJ118" s="1">
        <f>IFERROR(__xludf.DUMMYFUNCTION("""COMPUTED_VALUE"""),6.0787762E7)</f>
        <v>60787762</v>
      </c>
      <c r="AK118" s="1">
        <f>IFERROR(__xludf.DUMMYFUNCTION("""COMPUTED_VALUE"""),9.75674485E8)</f>
        <v>975674485</v>
      </c>
      <c r="AL118" s="1" t="str">
        <f>IFERROR(__xludf.DUMMYFUNCTION("""COMPUTED_VALUE"""),"navixstar03@gmail.com")</f>
        <v>navixstar03@gmail.com</v>
      </c>
      <c r="AM118" s="1" t="str">
        <f>IFERROR(__xludf.DUMMYFUNCTION("""COMPUTED_VALUE"""),"FEMENINO")</f>
        <v>FEMENINO</v>
      </c>
      <c r="AN118" s="1">
        <f>IFERROR(__xludf.DUMMYFUNCTION("""COMPUTED_VALUE"""),1600.0)</f>
        <v>1600</v>
      </c>
      <c r="AO118" s="1">
        <f>IFERROR(__xludf.DUMMYFUNCTION("""COMPUTED_VALUE"""),550.0)</f>
        <v>550</v>
      </c>
      <c r="AP118" s="1" t="str">
        <f>IFERROR(__xludf.DUMMYFUNCTION("""COMPUTED_VALUE"""),"FORMULARIO")</f>
        <v>FORMULARIO</v>
      </c>
      <c r="AQ118" s="1" t="str">
        <f>IFERROR(__xludf.DUMMYFUNCTION("""COMPUTED_VALUE"""),"ORGANICO")</f>
        <v>ORGANICO</v>
      </c>
      <c r="AR118" s="1" t="str">
        <f>IFERROR(__xludf.DUMMYFUNCTION("""COMPUTED_VALUE"""),"NUEVO")</f>
        <v>NUEVO</v>
      </c>
      <c r="AS118" s="1"/>
      <c r="AT118" s="2">
        <f>IFERROR(__xludf.DUMMYFUNCTION("""COMPUTED_VALUE"""),45552.0)</f>
        <v>45552</v>
      </c>
      <c r="AU118" s="1">
        <f>IFERROR(__xludf.DUMMYFUNCTION("""COMPUTED_VALUE"""),1.0)</f>
        <v>1</v>
      </c>
      <c r="AV118" s="1" t="str">
        <f>IFERROR(__xludf.DUMMYFUNCTION("""COMPUTED_VALUE"""),"TRASLADO")</f>
        <v>TRASLADO</v>
      </c>
      <c r="AW118" s="1" t="str">
        <f>IFERROR(__xludf.DUMMYFUNCTION("""COMPUTED_VALUE"""),"SI")</f>
        <v>SI</v>
      </c>
      <c r="AX118" s="1"/>
      <c r="AY118" s="1" t="str">
        <f>IFERROR(__xludf.DUMMYFUNCTION("""COMPUTED_VALUE"""),"PAGO COMPLETO")</f>
        <v>PAGO COMPLETO</v>
      </c>
      <c r="AZ118" s="5">
        <f>IFERROR(__xludf.DUMMYFUNCTION("""COMPUTED_VALUE"""),45563.0)</f>
        <v>45563</v>
      </c>
      <c r="BA118" s="1">
        <f>IFERROR(__xludf.DUMMYFUNCTION("""COMPUTED_VALUE"""),0.0)</f>
        <v>0</v>
      </c>
      <c r="BB118" s="1">
        <f>IFERROR(__xludf.DUMMYFUNCTION("""COMPUTED_VALUE"""),0.0)</f>
        <v>0</v>
      </c>
      <c r="BC118" s="4">
        <f>IFERROR(__xludf.DUMMYFUNCTION("""COMPUTED_VALUE"""),0.0)</f>
        <v>0</v>
      </c>
      <c r="BD118" s="4">
        <f>IFERROR(__xludf.DUMMYFUNCTION("""COMPUTED_VALUE"""),0.0)</f>
        <v>0</v>
      </c>
      <c r="BE118" s="1">
        <f>IFERROR(__xludf.DUMMYFUNCTION("""COMPUTED_VALUE"""),9.0)</f>
        <v>9</v>
      </c>
      <c r="BF118" s="6">
        <f>IFERROR(__xludf.DUMMYFUNCTION("""COMPUTED_VALUE"""),1.0)</f>
        <v>1</v>
      </c>
      <c r="BG118" s="1">
        <f>IFERROR(__xludf.DUMMYFUNCTION("""COMPUTED_VALUE"""),1.0)</f>
        <v>1</v>
      </c>
      <c r="BH118" s="1" t="str">
        <f>IFERROR(__xludf.DUMMYFUNCTION("""COMPUTED_VALUE"""),"1")</f>
        <v>1</v>
      </c>
      <c r="BI118" s="4">
        <f>IFERROR(__xludf.DUMMYFUNCTION("""COMPUTED_VALUE"""),0.0)</f>
        <v>0</v>
      </c>
      <c r="BJ118" s="1">
        <f>IFERROR(__xludf.DUMMYFUNCTION("""COMPUTED_VALUE"""),0.0)</f>
        <v>0</v>
      </c>
      <c r="BK118" s="4">
        <f>IFERROR(__xludf.DUMMYFUNCTION("""COMPUTED_VALUE"""),0.0)</f>
        <v>0</v>
      </c>
      <c r="BL118" s="1">
        <f>IFERROR(__xludf.DUMMYFUNCTION("""COMPUTED_VALUE"""),1000.0)</f>
        <v>1000</v>
      </c>
      <c r="BM118" s="1">
        <f>IFERROR(__xludf.DUMMYFUNCTION("""COMPUTED_VALUE"""),39.0)</f>
        <v>39</v>
      </c>
      <c r="BN118" s="2">
        <f>IFERROR(__xludf.DUMMYFUNCTION("""COMPUTED_VALUE"""),45558.0)</f>
        <v>45558</v>
      </c>
      <c r="BO118" s="1">
        <f>IFERROR(__xludf.DUMMYFUNCTION("""COMPUTED_VALUE"""),9.0)</f>
        <v>9</v>
      </c>
      <c r="BP118" s="1">
        <f>IFERROR(__xludf.DUMMYFUNCTION("""COMPUTED_VALUE"""),2024.0)</f>
        <v>2024</v>
      </c>
    </row>
    <row r="119">
      <c r="A119" s="1">
        <f>IFERROR(__xludf.DUMMYFUNCTION("""COMPUTED_VALUE"""),118.0)</f>
        <v>118</v>
      </c>
      <c r="B119" s="1">
        <f>IFERROR(__xludf.DUMMYFUNCTION("""COMPUTED_VALUE"""),4611798.0)</f>
        <v>4611798</v>
      </c>
      <c r="C119" s="1" t="str">
        <f>IFERROR(__xludf.DUMMYFUNCTION("""COMPUTED_VALUE"""),"2025-1")</f>
        <v>2025-1</v>
      </c>
      <c r="D119" s="1" t="str">
        <f>IFERROR(__xludf.DUMMYFUNCTION("""COMPUTED_VALUE"""),"Admisión de Alto Rendimiento")</f>
        <v>Admisión de Alto Rendimiento</v>
      </c>
      <c r="E119" s="2">
        <f>IFERROR(__xludf.DUMMYFUNCTION("""COMPUTED_VALUE"""),45563.0)</f>
        <v>45563</v>
      </c>
      <c r="F119" s="1" t="str">
        <f>IFERROR(__xludf.DUMMYFUNCTION("""COMPUTED_VALUE"""),"ALEJANDRA DEL PILAR ")</f>
        <v>ALEJANDRA DEL PILAR </v>
      </c>
      <c r="G119" s="1" t="str">
        <f>IFERROR(__xludf.DUMMYFUNCTION("""COMPUTED_VALUE"""),"CHUCHON RIVERA")</f>
        <v>CHUCHON RIVERA</v>
      </c>
      <c r="H119" s="1" t="str">
        <f>IFERROR(__xludf.DUMMYFUNCTION("""COMPUTED_VALUE"""),"Comunicación Audiovisual y Cine")</f>
        <v>Comunicación Audiovisual y Cine</v>
      </c>
      <c r="I119" s="1" t="str">
        <f>IFERROR(__xludf.DUMMYFUNCTION("""COMPUTED_VALUE"""),"CARGO")</f>
        <v>CARGO</v>
      </c>
      <c r="J119" s="1" t="str">
        <f>IFERROR(__xludf.DUMMYFUNCTION("""COMPUTED_VALUE"""),"Diurno")</f>
        <v>Diurno</v>
      </c>
      <c r="K119" s="1" t="str">
        <f>IFERROR(__xludf.DUMMYFUNCTION("""COMPUTED_VALUE"""),"NUEVO")</f>
        <v>NUEVO</v>
      </c>
      <c r="L119" s="1">
        <f>IFERROR(__xludf.DUMMYFUNCTION("""COMPUTED_VALUE"""),0.0)</f>
        <v>0</v>
      </c>
      <c r="M119" s="1">
        <f>IFERROR(__xludf.DUMMYFUNCTION("""COMPUTED_VALUE"""),0.0)</f>
        <v>0</v>
      </c>
      <c r="N119" s="1" t="str">
        <f>IFERROR(__xludf.DUMMYFUNCTION("""COMPUTED_VALUE"""),"BECA")</f>
        <v>BECA</v>
      </c>
      <c r="O119" s="1" t="str">
        <f>IFERROR(__xludf.DUMMYFUNCTION("""COMPUTED_VALUE"""),"BECA CARRERAS CORE")</f>
        <v>BECA CARRERAS CORE</v>
      </c>
      <c r="P119" s="4">
        <f>IFERROR(__xludf.DUMMYFUNCTION("""COMPUTED_VALUE"""),0.0)</f>
        <v>0</v>
      </c>
      <c r="Q119" s="4">
        <f>IFERROR(__xludf.DUMMYFUNCTION("""COMPUTED_VALUE"""),0.0)</f>
        <v>0</v>
      </c>
      <c r="R119" s="4">
        <f>IFERROR(__xludf.DUMMYFUNCTION("""COMPUTED_VALUE"""),1600.0)</f>
        <v>1600</v>
      </c>
      <c r="S119" s="4">
        <f>IFERROR(__xludf.DUMMYFUNCTION("""COMPUTED_VALUE"""),1280.0)</f>
        <v>1280</v>
      </c>
      <c r="T119" s="1" t="str">
        <f>IFERROR(__xludf.DUMMYFUNCTION("""COMPUTED_VALUE"""),"NINGUNO")</f>
        <v>NINGUNO</v>
      </c>
      <c r="U119" s="1" t="str">
        <f>IFERROR(__xludf.DUMMYFUNCTION("""COMPUTED_VALUE"""),"FABIOLA")</f>
        <v>FABIOLA</v>
      </c>
      <c r="V119" s="1" t="str">
        <f>IFERROR(__xludf.DUMMYFUNCTION("""COMPUTED_VALUE"""),"Ninguno")</f>
        <v>Ninguno</v>
      </c>
      <c r="W119" s="1" t="str">
        <f>IFERROR(__xludf.DUMMYFUNCTION("""COMPUTED_VALUE"""),"Malla curricular")</f>
        <v>Malla curricular</v>
      </c>
      <c r="X119" s="1" t="str">
        <f>IFERROR(__xludf.DUMMYFUNCTION("""COMPUTED_VALUE"""),"-")</f>
        <v>-</v>
      </c>
      <c r="Y119" s="1" t="str">
        <f>IFERROR(__xludf.DUMMYFUNCTION("""COMPUTED_VALUE"""),"PAGO COMPLETO")</f>
        <v>PAGO COMPLETO</v>
      </c>
      <c r="Z119" s="1">
        <f>IFERROR(__xludf.DUMMYFUNCTION("""COMPUTED_VALUE"""),0.0)</f>
        <v>0</v>
      </c>
      <c r="AA119" s="1" t="str">
        <f>IFERROR(__xludf.DUMMYFUNCTION("""COMPUTED_VALUE"""),"-")</f>
        <v>-</v>
      </c>
      <c r="AB119" s="1">
        <f>IFERROR(__xludf.DUMMYFUNCTION("""COMPUTED_VALUE"""),1.0)</f>
        <v>1</v>
      </c>
      <c r="AC119" s="1">
        <f>IFERROR(__xludf.DUMMYFUNCTION("""COMPUTED_VALUE"""),0.0)</f>
        <v>0</v>
      </c>
      <c r="AD119" s="1" t="str">
        <f>IFERROR(__xludf.DUMMYFUNCTION("""COMPUTED_VALUE"""),"Rosmery Enriquez")</f>
        <v>Rosmery Enriquez</v>
      </c>
      <c r="AE119" s="1" t="str">
        <f>IFERROR(__xludf.DUMMYFUNCTION("""COMPUTED_VALUE"""),"0")</f>
        <v>0</v>
      </c>
      <c r="AF119" s="1">
        <f>IFERROR(__xludf.DUMMYFUNCTION("""COMPUTED_VALUE"""),2023.0)</f>
        <v>2023</v>
      </c>
      <c r="AG119" s="1">
        <f>IFERROR(__xludf.DUMMYFUNCTION("""COMPUTED_VALUE"""),1313915.0)</f>
        <v>1313915</v>
      </c>
      <c r="AH119" s="1">
        <f>IFERROR(__xludf.DUMMYFUNCTION("""COMPUTED_VALUE"""),17.0)</f>
        <v>17</v>
      </c>
      <c r="AI119" s="1" t="str">
        <f>IFERROR(__xludf.DUMMYFUNCTION("""COMPUTED_VALUE"""),"0000396284")</f>
        <v>0000396284</v>
      </c>
      <c r="AJ119" s="1">
        <f>IFERROR(__xludf.DUMMYFUNCTION("""COMPUTED_VALUE"""),6.0939777E7)</f>
        <v>60939777</v>
      </c>
      <c r="AK119" s="1">
        <f>IFERROR(__xludf.DUMMYFUNCTION("""COMPUTED_VALUE"""),9.71366646E8)</f>
        <v>971366646</v>
      </c>
      <c r="AL119" s="1" t="str">
        <f>IFERROR(__xludf.DUMMYFUNCTION("""COMPUTED_VALUE"""),"arlertcr@gmail.com")</f>
        <v>arlertcr@gmail.com</v>
      </c>
      <c r="AM119" s="1" t="str">
        <f>IFERROR(__xludf.DUMMYFUNCTION("""COMPUTED_VALUE"""),"FEMENINO")</f>
        <v>FEMENINO</v>
      </c>
      <c r="AN119" s="1">
        <f>IFERROR(__xludf.DUMMYFUNCTION("""COMPUTED_VALUE"""),1600.0)</f>
        <v>1600</v>
      </c>
      <c r="AO119" s="1">
        <f>IFERROR(__xludf.DUMMYFUNCTION("""COMPUTED_VALUE"""),290.0)</f>
        <v>290</v>
      </c>
      <c r="AP119" s="1" t="str">
        <f>IFERROR(__xludf.DUMMYFUNCTION("""COMPUTED_VALUE"""),"FORMULARIO")</f>
        <v>FORMULARIO</v>
      </c>
      <c r="AQ119" s="1" t="str">
        <f>IFERROR(__xludf.DUMMYFUNCTION("""COMPUTED_VALUE"""),"SEARCH CARRERA")</f>
        <v>SEARCH CARRERA</v>
      </c>
      <c r="AR119" s="1" t="str">
        <f>IFERROR(__xludf.DUMMYFUNCTION("""COMPUTED_VALUE"""),"NUEVO")</f>
        <v>NUEVO</v>
      </c>
      <c r="AS119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119" s="2">
        <f>IFERROR(__xludf.DUMMYFUNCTION("""COMPUTED_VALUE"""),45557.0)</f>
        <v>45557</v>
      </c>
      <c r="AU119" s="1">
        <f>IFERROR(__xludf.DUMMYFUNCTION("""COMPUTED_VALUE"""),1.0)</f>
        <v>1</v>
      </c>
      <c r="AV119" s="1" t="str">
        <f>IFERROR(__xludf.DUMMYFUNCTION("""COMPUTED_VALUE"""),"NUEVO")</f>
        <v>NUEVO</v>
      </c>
      <c r="AW119" s="1" t="str">
        <f>IFERROR(__xludf.DUMMYFUNCTION("""COMPUTED_VALUE"""),"SI")</f>
        <v>SI</v>
      </c>
      <c r="AX119" s="1"/>
      <c r="AY119" s="1" t="str">
        <f>IFERROR(__xludf.DUMMYFUNCTION("""COMPUTED_VALUE"""),"PAGO COMPLETO")</f>
        <v>PAGO COMPLETO</v>
      </c>
      <c r="AZ119" s="5">
        <f>IFERROR(__xludf.DUMMYFUNCTION("""COMPUTED_VALUE"""),45563.0)</f>
        <v>45563</v>
      </c>
      <c r="BA119" s="1">
        <f>IFERROR(__xludf.DUMMYFUNCTION("""COMPUTED_VALUE"""),0.0)</f>
        <v>0</v>
      </c>
      <c r="BB119" s="1">
        <f>IFERROR(__xludf.DUMMYFUNCTION("""COMPUTED_VALUE"""),0.0)</f>
        <v>0</v>
      </c>
      <c r="BC119" s="4">
        <f>IFERROR(__xludf.DUMMYFUNCTION("""COMPUTED_VALUE"""),0.0)</f>
        <v>0</v>
      </c>
      <c r="BD119" s="4">
        <f>IFERROR(__xludf.DUMMYFUNCTION("""COMPUTED_VALUE"""),0.0)</f>
        <v>0</v>
      </c>
      <c r="BE119" s="1">
        <f>IFERROR(__xludf.DUMMYFUNCTION("""COMPUTED_VALUE"""),9.0)</f>
        <v>9</v>
      </c>
      <c r="BF119" s="6">
        <f>IFERROR(__xludf.DUMMYFUNCTION("""COMPUTED_VALUE"""),1.0)</f>
        <v>1</v>
      </c>
      <c r="BG119" s="1">
        <f>IFERROR(__xludf.DUMMYFUNCTION("""COMPUTED_VALUE"""),1.0)</f>
        <v>1</v>
      </c>
      <c r="BH119" s="1" t="str">
        <f>IFERROR(__xludf.DUMMYFUNCTION("""COMPUTED_VALUE"""),"0")</f>
        <v>0</v>
      </c>
      <c r="BI119" s="4">
        <f>IFERROR(__xludf.DUMMYFUNCTION("""COMPUTED_VALUE"""),0.0)</f>
        <v>0</v>
      </c>
      <c r="BJ119" s="1">
        <f>IFERROR(__xludf.DUMMYFUNCTION("""COMPUTED_VALUE"""),0.0)</f>
        <v>0</v>
      </c>
      <c r="BK119" s="4">
        <f>IFERROR(__xludf.DUMMYFUNCTION("""COMPUTED_VALUE"""),0.0)</f>
        <v>0</v>
      </c>
      <c r="BL119" s="1">
        <f>IFERROR(__xludf.DUMMYFUNCTION("""COMPUTED_VALUE"""),1280.0)</f>
        <v>1280</v>
      </c>
      <c r="BM119" s="1">
        <f>IFERROR(__xludf.DUMMYFUNCTION("""COMPUTED_VALUE"""),39.0)</f>
        <v>39</v>
      </c>
      <c r="BN119" s="2">
        <f>IFERROR(__xludf.DUMMYFUNCTION("""COMPUTED_VALUE"""),45558.0)</f>
        <v>45558</v>
      </c>
      <c r="BO119" s="1">
        <f>IFERROR(__xludf.DUMMYFUNCTION("""COMPUTED_VALUE"""),9.0)</f>
        <v>9</v>
      </c>
      <c r="BP119" s="1">
        <f>IFERROR(__xludf.DUMMYFUNCTION("""COMPUTED_VALUE"""),2024.0)</f>
        <v>2024</v>
      </c>
    </row>
    <row r="120">
      <c r="A120" s="1">
        <f>IFERROR(__xludf.DUMMYFUNCTION("""COMPUTED_VALUE"""),119.0)</f>
        <v>119</v>
      </c>
      <c r="B120" s="1">
        <f>IFERROR(__xludf.DUMMYFUNCTION("""COMPUTED_VALUE"""),2089114.0)</f>
        <v>2089114</v>
      </c>
      <c r="C120" s="1" t="str">
        <f>IFERROR(__xludf.DUMMYFUNCTION("""COMPUTED_VALUE"""),"2025-1")</f>
        <v>2025-1</v>
      </c>
      <c r="D120" s="1" t="str">
        <f>IFERROR(__xludf.DUMMYFUNCTION("""COMPUTED_VALUE"""),"Admisión Ordinaria")</f>
        <v>Admisión Ordinaria</v>
      </c>
      <c r="E120" s="2">
        <f>IFERROR(__xludf.DUMMYFUNCTION("""COMPUTED_VALUE"""),45565.0)</f>
        <v>45565</v>
      </c>
      <c r="F120" s="1" t="str">
        <f>IFERROR(__xludf.DUMMYFUNCTION("""COMPUTED_VALUE"""),"JOSÉ JEAN PIEER")</f>
        <v>JOSÉ JEAN PIEER</v>
      </c>
      <c r="G120" s="1" t="str">
        <f>IFERROR(__xludf.DUMMYFUNCTION("""COMPUTED_VALUE"""),"GRANDE VALENCIA")</f>
        <v>GRANDE VALENCIA</v>
      </c>
      <c r="H120" s="1" t="str">
        <f>IFERROR(__xludf.DUMMYFUNCTION("""COMPUTED_VALUE"""),"Marketing e Innovación")</f>
        <v>Marketing e Innovación</v>
      </c>
      <c r="I120" s="1" t="str">
        <f>IFERROR(__xludf.DUMMYFUNCTION("""COMPUTED_VALUE"""),"CARGO")</f>
        <v>CARGO</v>
      </c>
      <c r="J120" s="1" t="str">
        <f>IFERROR(__xludf.DUMMYFUNCTION("""COMPUTED_VALUE"""),"Diurno")</f>
        <v>Diurno</v>
      </c>
      <c r="K120" s="1" t="str">
        <f>IFERROR(__xludf.DUMMYFUNCTION("""COMPUTED_VALUE"""),"NUEVO")</f>
        <v>NUEVO</v>
      </c>
      <c r="L120" s="1">
        <f>IFERROR(__xludf.DUMMYFUNCTION("""COMPUTED_VALUE"""),0.0)</f>
        <v>0</v>
      </c>
      <c r="M120" s="1">
        <f>IFERROR(__xludf.DUMMYFUNCTION("""COMPUTED_VALUE"""),0.0)</f>
        <v>0</v>
      </c>
      <c r="N120" s="1" t="str">
        <f>IFERROR(__xludf.DUMMYFUNCTION("""COMPUTED_VALUE"""),"BECA")</f>
        <v>BECA</v>
      </c>
      <c r="O120" s="1" t="str">
        <f>IFERROR(__xludf.DUMMYFUNCTION("""COMPUTED_VALUE"""),"BECA CARRERAS NUEVAS")</f>
        <v>BECA CARRERAS NUEVAS</v>
      </c>
      <c r="P120" s="4">
        <f>IFERROR(__xludf.DUMMYFUNCTION("""COMPUTED_VALUE"""),0.0)</f>
        <v>0</v>
      </c>
      <c r="Q120" s="4">
        <f>IFERROR(__xludf.DUMMYFUNCTION("""COMPUTED_VALUE"""),0.0)</f>
        <v>0</v>
      </c>
      <c r="R120" s="4">
        <f>IFERROR(__xludf.DUMMYFUNCTION("""COMPUTED_VALUE"""),1350.0)</f>
        <v>1350</v>
      </c>
      <c r="S120" s="4">
        <f>IFERROR(__xludf.DUMMYFUNCTION("""COMPUTED_VALUE"""),1000.0)</f>
        <v>1000</v>
      </c>
      <c r="T120" s="1" t="str">
        <f>IFERROR(__xludf.DUMMYFUNCTION("""COMPUTED_VALUE"""),"NINGUNO")</f>
        <v>NINGUNO</v>
      </c>
      <c r="U120" s="1" t="str">
        <f>IFERROR(__xludf.DUMMYFUNCTION("""COMPUTED_VALUE"""),"FABIOLA")</f>
        <v>FABIOLA</v>
      </c>
      <c r="V120" s="1" t="str">
        <f>IFERROR(__xludf.DUMMYFUNCTION("""COMPUTED_VALUE"""),"Ninguno")</f>
        <v>Ninguno</v>
      </c>
      <c r="W120" s="1" t="str">
        <f>IFERROR(__xludf.DUMMYFUNCTION("""COMPUTED_VALUE"""),"Metodología de enseñanza")</f>
        <v>Metodología de enseñanza</v>
      </c>
      <c r="X120" s="1" t="str">
        <f>IFERROR(__xludf.DUMMYFUNCTION("""COMPUTED_VALUE"""),"-")</f>
        <v>-</v>
      </c>
      <c r="Y120" s="1" t="str">
        <f>IFERROR(__xludf.DUMMYFUNCTION("""COMPUTED_VALUE"""),"PAGO COMPLETO")</f>
        <v>PAGO COMPLETO</v>
      </c>
      <c r="Z120" s="1">
        <f>IFERROR(__xludf.DUMMYFUNCTION("""COMPUTED_VALUE"""),0.0)</f>
        <v>0</v>
      </c>
      <c r="AA120" s="1" t="str">
        <f>IFERROR(__xludf.DUMMYFUNCTION("""COMPUTED_VALUE"""),"-")</f>
        <v>-</v>
      </c>
      <c r="AB120" s="1">
        <f>IFERROR(__xludf.DUMMYFUNCTION("""COMPUTED_VALUE"""),0.0)</f>
        <v>0</v>
      </c>
      <c r="AC120" s="1">
        <f>IFERROR(__xludf.DUMMYFUNCTION("""COMPUTED_VALUE"""),0.0)</f>
        <v>0</v>
      </c>
      <c r="AD120" s="1" t="str">
        <f>IFERROR(__xludf.DUMMYFUNCTION("""COMPUTED_VALUE"""),"Ingrid Guillermo Rivera")</f>
        <v>Ingrid Guillermo Rivera</v>
      </c>
      <c r="AE120" s="1" t="str">
        <f>IFERROR(__xludf.DUMMYFUNCTION("""COMPUTED_VALUE"""),"0")</f>
        <v>0</v>
      </c>
      <c r="AF120" s="1">
        <f>IFERROR(__xludf.DUMMYFUNCTION("""COMPUTED_VALUE"""),2022.0)</f>
        <v>2022</v>
      </c>
      <c r="AG120" s="1">
        <f>IFERROR(__xludf.DUMMYFUNCTION("""COMPUTED_VALUE"""),777995.0)</f>
        <v>777995</v>
      </c>
      <c r="AH120" s="1">
        <f>IFERROR(__xludf.DUMMYFUNCTION("""COMPUTED_VALUE"""),18.0)</f>
        <v>18</v>
      </c>
      <c r="AI120" s="1" t="str">
        <f>IFERROR(__xludf.DUMMYFUNCTION("""COMPUTED_VALUE"""),"0000396417")</f>
        <v>0000396417</v>
      </c>
      <c r="AJ120" s="1">
        <f>IFERROR(__xludf.DUMMYFUNCTION("""COMPUTED_VALUE"""),7.5251235E7)</f>
        <v>75251235</v>
      </c>
      <c r="AK120" s="1">
        <f>IFERROR(__xludf.DUMMYFUNCTION("""COMPUTED_VALUE"""),9.91122782E8)</f>
        <v>991122782</v>
      </c>
      <c r="AL120" s="1" t="str">
        <f>IFERROR(__xludf.DUMMYFUNCTION("""COMPUTED_VALUE"""),"XEANVALENCIA5@gmail.com")</f>
        <v>XEANVALENCIA5@gmail.com</v>
      </c>
      <c r="AM120" s="1" t="str">
        <f>IFERROR(__xludf.DUMMYFUNCTION("""COMPUTED_VALUE"""),"MASCULINO")</f>
        <v>MASCULINO</v>
      </c>
      <c r="AN120" s="1">
        <f>IFERROR(__xludf.DUMMYFUNCTION("""COMPUTED_VALUE"""),1350.0)</f>
        <v>1350</v>
      </c>
      <c r="AO120" s="1">
        <f>IFERROR(__xludf.DUMMYFUNCTION("""COMPUTED_VALUE"""),0.0)</f>
        <v>0</v>
      </c>
      <c r="AP120" s="1" t="str">
        <f>IFERROR(__xludf.DUMMYFUNCTION("""COMPUTED_VALUE"""),"OUTBOUND")</f>
        <v>OUTBOUND</v>
      </c>
      <c r="AQ120" s="1" t="str">
        <f>IFERROR(__xludf.DUMMYFUNCTION("""COMPUTED_VALUE"""),"OUTBOUND")</f>
        <v>OUTBOUND</v>
      </c>
      <c r="AR120" s="1" t="str">
        <f>IFERROR(__xludf.DUMMYFUNCTION("""COMPUTED_VALUE"""),"HEREDADO")</f>
        <v>HEREDADO</v>
      </c>
      <c r="AS120" s="1"/>
      <c r="AT120" s="2">
        <f>IFERROR(__xludf.DUMMYFUNCTION("""COMPUTED_VALUE"""),45562.0)</f>
        <v>45562</v>
      </c>
      <c r="AU120" s="1">
        <f>IFERROR(__xludf.DUMMYFUNCTION("""COMPUTED_VALUE"""),1.0)</f>
        <v>1</v>
      </c>
      <c r="AV120" s="1" t="str">
        <f>IFERROR(__xludf.DUMMYFUNCTION("""COMPUTED_VALUE"""),"NUEVO")</f>
        <v>NUEVO</v>
      </c>
      <c r="AW120" s="1" t="str">
        <f>IFERROR(__xludf.DUMMYFUNCTION("""COMPUTED_VALUE"""),"SI")</f>
        <v>SI</v>
      </c>
      <c r="AX120" s="1"/>
      <c r="AY120" s="1" t="str">
        <f>IFERROR(__xludf.DUMMYFUNCTION("""COMPUTED_VALUE"""),"PAGO COMPLETO")</f>
        <v>PAGO COMPLETO</v>
      </c>
      <c r="AZ120" s="5">
        <f>IFERROR(__xludf.DUMMYFUNCTION("""COMPUTED_VALUE"""),45565.0)</f>
        <v>45565</v>
      </c>
      <c r="BA120" s="1">
        <f>IFERROR(__xludf.DUMMYFUNCTION("""COMPUTED_VALUE"""),0.0)</f>
        <v>0</v>
      </c>
      <c r="BB120" s="1">
        <f>IFERROR(__xludf.DUMMYFUNCTION("""COMPUTED_VALUE"""),0.0)</f>
        <v>0</v>
      </c>
      <c r="BC120" s="4">
        <f>IFERROR(__xludf.DUMMYFUNCTION("""COMPUTED_VALUE"""),0.0)</f>
        <v>0</v>
      </c>
      <c r="BD120" s="4">
        <f>IFERROR(__xludf.DUMMYFUNCTION("""COMPUTED_VALUE"""),0.0)</f>
        <v>0</v>
      </c>
      <c r="BE120" s="1">
        <f>IFERROR(__xludf.DUMMYFUNCTION("""COMPUTED_VALUE"""),9.0)</f>
        <v>9</v>
      </c>
      <c r="BF120" s="6">
        <f>IFERROR(__xludf.DUMMYFUNCTION("""COMPUTED_VALUE"""),1.0)</f>
        <v>1</v>
      </c>
      <c r="BG120" s="1">
        <f>IFERROR(__xludf.DUMMYFUNCTION("""COMPUTED_VALUE"""),1.0)</f>
        <v>1</v>
      </c>
      <c r="BH120" s="1" t="str">
        <f>IFERROR(__xludf.DUMMYFUNCTION("""COMPUTED_VALUE"""),"0")</f>
        <v>0</v>
      </c>
      <c r="BI120" s="4">
        <f>IFERROR(__xludf.DUMMYFUNCTION("""COMPUTED_VALUE"""),0.0)</f>
        <v>0</v>
      </c>
      <c r="BJ120" s="1">
        <f>IFERROR(__xludf.DUMMYFUNCTION("""COMPUTED_VALUE"""),0.0)</f>
        <v>0</v>
      </c>
      <c r="BK120" s="4">
        <f>IFERROR(__xludf.DUMMYFUNCTION("""COMPUTED_VALUE"""),0.0)</f>
        <v>0</v>
      </c>
      <c r="BL120" s="1">
        <f>IFERROR(__xludf.DUMMYFUNCTION("""COMPUTED_VALUE"""),1000.0)</f>
        <v>1000</v>
      </c>
      <c r="BM120" s="1">
        <f>IFERROR(__xludf.DUMMYFUNCTION("""COMPUTED_VALUE"""),40.0)</f>
        <v>40</v>
      </c>
      <c r="BN120" s="2">
        <f>IFERROR(__xludf.DUMMYFUNCTION("""COMPUTED_VALUE"""),45565.0)</f>
        <v>45565</v>
      </c>
      <c r="BO120" s="1">
        <f>IFERROR(__xludf.DUMMYFUNCTION("""COMPUTED_VALUE"""),9.0)</f>
        <v>9</v>
      </c>
      <c r="BP120" s="1">
        <f>IFERROR(__xludf.DUMMYFUNCTION("""COMPUTED_VALUE"""),2024.0)</f>
        <v>2024</v>
      </c>
    </row>
    <row r="121">
      <c r="A121" s="1">
        <f>IFERROR(__xludf.DUMMYFUNCTION("""COMPUTED_VALUE"""),120.0)</f>
        <v>120</v>
      </c>
      <c r="B121" s="1">
        <f>IFERROR(__xludf.DUMMYFUNCTION("""COMPUTED_VALUE"""),4575818.0)</f>
        <v>4575818</v>
      </c>
      <c r="C121" s="1" t="str">
        <f>IFERROR(__xludf.DUMMYFUNCTION("""COMPUTED_VALUE"""),"2025-1")</f>
        <v>2025-1</v>
      </c>
      <c r="D121" s="1" t="str">
        <f>IFERROR(__xludf.DUMMYFUNCTION("""COMPUTED_VALUE"""),"Admisión Ordinaria")</f>
        <v>Admisión Ordinaria</v>
      </c>
      <c r="E121" s="2">
        <f>IFERROR(__xludf.DUMMYFUNCTION("""COMPUTED_VALUE"""),45565.0)</f>
        <v>45565</v>
      </c>
      <c r="F121" s="1" t="str">
        <f>IFERROR(__xludf.DUMMYFUNCTION("""COMPUTED_VALUE"""),"ASTRID ")</f>
        <v>ASTRID </v>
      </c>
      <c r="G121" s="1" t="str">
        <f>IFERROR(__xludf.DUMMYFUNCTION("""COMPUTED_VALUE"""),"RUTZKE KAJAT")</f>
        <v>RUTZKE KAJAT</v>
      </c>
      <c r="H121" s="1" t="str">
        <f>IFERROR(__xludf.DUMMYFUNCTION("""COMPUTED_VALUE"""),"Arquitectura de Interiores")</f>
        <v>Arquitectura de Interiores</v>
      </c>
      <c r="I121" s="1" t="str">
        <f>IFERROR(__xludf.DUMMYFUNCTION("""COMPUTED_VALUE"""),"CARGO")</f>
        <v>CARGO</v>
      </c>
      <c r="J121" s="1" t="str">
        <f>IFERROR(__xludf.DUMMYFUNCTION("""COMPUTED_VALUE"""),"Diurno")</f>
        <v>Diurno</v>
      </c>
      <c r="K121" s="1" t="str">
        <f>IFERROR(__xludf.DUMMYFUNCTION("""COMPUTED_VALUE"""),"TRASLADO")</f>
        <v>TRASLADO</v>
      </c>
      <c r="L121" s="1">
        <f>IFERROR(__xludf.DUMMYFUNCTION("""COMPUTED_VALUE"""),0.0)</f>
        <v>0</v>
      </c>
      <c r="M121" s="1">
        <f>IFERROR(__xludf.DUMMYFUNCTION("""COMPUTED_VALUE"""),1.0)</f>
        <v>1</v>
      </c>
      <c r="N121" s="1" t="str">
        <f>IFERROR(__xludf.DUMMYFUNCTION("""COMPUTED_VALUE"""),"BECA")</f>
        <v>BECA</v>
      </c>
      <c r="O121" s="1" t="str">
        <f>IFERROR(__xludf.DUMMYFUNCTION("""COMPUTED_VALUE"""),"BECA CARRERAS CORE-TRASLADOS SIN CONVA")</f>
        <v>BECA CARRERAS CORE-TRASLADOS SIN CONVA</v>
      </c>
      <c r="P121" s="4">
        <f>IFERROR(__xludf.DUMMYFUNCTION("""COMPUTED_VALUE"""),0.0)</f>
        <v>0</v>
      </c>
      <c r="Q121" s="4">
        <f>IFERROR(__xludf.DUMMYFUNCTION("""COMPUTED_VALUE"""),0.0)</f>
        <v>0</v>
      </c>
      <c r="R121" s="4">
        <f>IFERROR(__xludf.DUMMYFUNCTION("""COMPUTED_VALUE"""),3200.0)</f>
        <v>3200</v>
      </c>
      <c r="S121" s="4">
        <f>IFERROR(__xludf.DUMMYFUNCTION("""COMPUTED_VALUE"""),2560.0)</f>
        <v>2560</v>
      </c>
      <c r="T121" s="1" t="str">
        <f>IFERROR(__xludf.DUMMYFUNCTION("""COMPUTED_VALUE"""),"NINGUNO")</f>
        <v>NINGUNO</v>
      </c>
      <c r="U121" s="1" t="str">
        <f>IFERROR(__xludf.DUMMYFUNCTION("""COMPUTED_VALUE"""),"FABIOLA")</f>
        <v>FABIOLA</v>
      </c>
      <c r="V121" s="1" t="str">
        <f>IFERROR(__xludf.DUMMYFUNCTION("""COMPUTED_VALUE"""),"Ninguno")</f>
        <v>Ninguno</v>
      </c>
      <c r="W121" s="1" t="str">
        <f>IFERROR(__xludf.DUMMYFUNCTION("""COMPUTED_VALUE"""),"Metodología de enseñanza")</f>
        <v>Metodología de enseñanza</v>
      </c>
      <c r="X121" s="1" t="str">
        <f>IFERROR(__xludf.DUMMYFUNCTION("""COMPUTED_VALUE"""),"Alumna está facinada con Ucal y tiene conocidos aquí")</f>
        <v>Alumna está facinada con Ucal y tiene conocidos aquí</v>
      </c>
      <c r="Y121" s="1" t="str">
        <f>IFERROR(__xludf.DUMMYFUNCTION("""COMPUTED_VALUE"""),"PAGO COMPLETO")</f>
        <v>PAGO COMPLETO</v>
      </c>
      <c r="Z121" s="1">
        <f>IFERROR(__xludf.DUMMYFUNCTION("""COMPUTED_VALUE"""),0.0)</f>
        <v>0</v>
      </c>
      <c r="AA121" s="1" t="str">
        <f>IFERROR(__xludf.DUMMYFUNCTION("""COMPUTED_VALUE"""),"-")</f>
        <v>-</v>
      </c>
      <c r="AB121" s="1">
        <f>IFERROR(__xludf.DUMMYFUNCTION("""COMPUTED_VALUE"""),0.0)</f>
        <v>0</v>
      </c>
      <c r="AC121" s="1">
        <f>IFERROR(__xludf.DUMMYFUNCTION("""COMPUTED_VALUE"""),0.0)</f>
        <v>0</v>
      </c>
      <c r="AD121" s="1" t="str">
        <f>IFERROR(__xludf.DUMMYFUNCTION("""COMPUTED_VALUE"""),"Maria Luque")</f>
        <v>Maria Luque</v>
      </c>
      <c r="AE121" s="1" t="str">
        <f>IFERROR(__xludf.DUMMYFUNCTION("""COMPUTED_VALUE"""),"Cientifica del Sur")</f>
        <v>Cientifica del Sur</v>
      </c>
      <c r="AF121" s="1">
        <f>IFERROR(__xludf.DUMMYFUNCTION("""COMPUTED_VALUE"""),2022.0)</f>
        <v>2022</v>
      </c>
      <c r="AG121" s="1">
        <f>IFERROR(__xludf.DUMMYFUNCTION("""COMPUTED_VALUE"""),649855.0)</f>
        <v>649855</v>
      </c>
      <c r="AH121" s="1">
        <f>IFERROR(__xludf.DUMMYFUNCTION("""COMPUTED_VALUE"""),19.0)</f>
        <v>19</v>
      </c>
      <c r="AI121" s="1" t="str">
        <f>IFERROR(__xludf.DUMMYFUNCTION("""COMPUTED_VALUE"""),"0000396464")</f>
        <v>0000396464</v>
      </c>
      <c r="AJ121" s="1">
        <f>IFERROR(__xludf.DUMMYFUNCTION("""COMPUTED_VALUE"""),7.035993E7)</f>
        <v>70359930</v>
      </c>
      <c r="AK121" s="1">
        <f>IFERROR(__xludf.DUMMYFUNCTION("""COMPUTED_VALUE"""),9.64343066E8)</f>
        <v>964343066</v>
      </c>
      <c r="AL121" s="1" t="str">
        <f>IFERROR(__xludf.DUMMYFUNCTION("""COMPUTED_VALUE"""),"astridrutzke@gmail.com")</f>
        <v>astridrutzke@gmail.com</v>
      </c>
      <c r="AM121" s="1" t="str">
        <f>IFERROR(__xludf.DUMMYFUNCTION("""COMPUTED_VALUE"""),"FEMENINO")</f>
        <v>FEMENINO</v>
      </c>
      <c r="AN121" s="1">
        <f>IFERROR(__xludf.DUMMYFUNCTION("""COMPUTED_VALUE"""),3200.0)</f>
        <v>3200</v>
      </c>
      <c r="AO121" s="1">
        <f>IFERROR(__xludf.DUMMYFUNCTION("""COMPUTED_VALUE"""),4120.0)</f>
        <v>4120</v>
      </c>
      <c r="AP121" s="1" t="str">
        <f>IFERROR(__xludf.DUMMYFUNCTION("""COMPUTED_VALUE"""),"BIDIRECCIONAL")</f>
        <v>BIDIRECCIONAL</v>
      </c>
      <c r="AQ121" s="1" t="str">
        <f>IFERROR(__xludf.DUMMYFUNCTION("""COMPUTED_VALUE"""),"ORGANICO")</f>
        <v>ORGANICO</v>
      </c>
      <c r="AR121" s="1" t="str">
        <f>IFERROR(__xludf.DUMMYFUNCTION("""COMPUTED_VALUE"""),"NUEVO")</f>
        <v>NUEVO</v>
      </c>
      <c r="AS121" s="1"/>
      <c r="AT121" s="2">
        <f>IFERROR(__xludf.DUMMYFUNCTION("""COMPUTED_VALUE"""),45545.0)</f>
        <v>45545</v>
      </c>
      <c r="AU121" s="1">
        <f>IFERROR(__xludf.DUMMYFUNCTION("""COMPUTED_VALUE"""),1.0)</f>
        <v>1</v>
      </c>
      <c r="AV121" s="1" t="str">
        <f>IFERROR(__xludf.DUMMYFUNCTION("""COMPUTED_VALUE"""),"NUEVO")</f>
        <v>NUEVO</v>
      </c>
      <c r="AW121" s="1" t="str">
        <f>IFERROR(__xludf.DUMMYFUNCTION("""COMPUTED_VALUE"""),"SI")</f>
        <v>SI</v>
      </c>
      <c r="AX121" s="1"/>
      <c r="AY121" s="1" t="str">
        <f>IFERROR(__xludf.DUMMYFUNCTION("""COMPUTED_VALUE"""),"PAGO COMPLETO")</f>
        <v>PAGO COMPLETO</v>
      </c>
      <c r="AZ121" s="5">
        <f>IFERROR(__xludf.DUMMYFUNCTION("""COMPUTED_VALUE"""),45565.0)</f>
        <v>45565</v>
      </c>
      <c r="BA121" s="1">
        <f>IFERROR(__xludf.DUMMYFUNCTION("""COMPUTED_VALUE"""),0.0)</f>
        <v>0</v>
      </c>
      <c r="BB121" s="1">
        <f>IFERROR(__xludf.DUMMYFUNCTION("""COMPUTED_VALUE"""),0.0)</f>
        <v>0</v>
      </c>
      <c r="BC121" s="4">
        <f>IFERROR(__xludf.DUMMYFUNCTION("""COMPUTED_VALUE"""),0.0)</f>
        <v>0</v>
      </c>
      <c r="BD121" s="4">
        <f>IFERROR(__xludf.DUMMYFUNCTION("""COMPUTED_VALUE"""),0.0)</f>
        <v>0</v>
      </c>
      <c r="BE121" s="1">
        <f>IFERROR(__xludf.DUMMYFUNCTION("""COMPUTED_VALUE"""),9.0)</f>
        <v>9</v>
      </c>
      <c r="BF121" s="6">
        <f>IFERROR(__xludf.DUMMYFUNCTION("""COMPUTED_VALUE"""),1.0)</f>
        <v>1</v>
      </c>
      <c r="BG121" s="1">
        <f>IFERROR(__xludf.DUMMYFUNCTION("""COMPUTED_VALUE"""),1.0)</f>
        <v>1</v>
      </c>
      <c r="BH121" s="1" t="str">
        <f>IFERROR(__xludf.DUMMYFUNCTION("""COMPUTED_VALUE"""),"0")</f>
        <v>0</v>
      </c>
      <c r="BI121" s="4">
        <f>IFERROR(__xludf.DUMMYFUNCTION("""COMPUTED_VALUE"""),0.0)</f>
        <v>0</v>
      </c>
      <c r="BJ121" s="1">
        <f>IFERROR(__xludf.DUMMYFUNCTION("""COMPUTED_VALUE"""),0.0)</f>
        <v>0</v>
      </c>
      <c r="BK121" s="4">
        <f>IFERROR(__xludf.DUMMYFUNCTION("""COMPUTED_VALUE"""),0.0)</f>
        <v>0</v>
      </c>
      <c r="BL121" s="1">
        <f>IFERROR(__xludf.DUMMYFUNCTION("""COMPUTED_VALUE"""),2560.0)</f>
        <v>2560</v>
      </c>
      <c r="BM121" s="1">
        <f>IFERROR(__xludf.DUMMYFUNCTION("""COMPUTED_VALUE"""),40.0)</f>
        <v>40</v>
      </c>
      <c r="BN121" s="2">
        <f>IFERROR(__xludf.DUMMYFUNCTION("""COMPUTED_VALUE"""),45565.0)</f>
        <v>45565</v>
      </c>
      <c r="BO121" s="1">
        <f>IFERROR(__xludf.DUMMYFUNCTION("""COMPUTED_VALUE"""),9.0)</f>
        <v>9</v>
      </c>
      <c r="BP121" s="1">
        <f>IFERROR(__xludf.DUMMYFUNCTION("""COMPUTED_VALUE"""),2024.0)</f>
        <v>2024</v>
      </c>
    </row>
    <row r="122">
      <c r="A122" s="1">
        <f>IFERROR(__xludf.DUMMYFUNCTION("""COMPUTED_VALUE"""),121.0)</f>
        <v>121</v>
      </c>
      <c r="B122" s="1">
        <f>IFERROR(__xludf.DUMMYFUNCTION("""COMPUTED_VALUE"""),4573699.0)</f>
        <v>4573699</v>
      </c>
      <c r="C122" s="1" t="str">
        <f>IFERROR(__xludf.DUMMYFUNCTION("""COMPUTED_VALUE"""),"2025-1")</f>
        <v>2025-1</v>
      </c>
      <c r="D122" s="1" t="str">
        <f>IFERROR(__xludf.DUMMYFUNCTION("""COMPUTED_VALUE"""),"Admisión de Alto Rendimiento")</f>
        <v>Admisión de Alto Rendimiento</v>
      </c>
      <c r="E122" s="2">
        <f>IFERROR(__xludf.DUMMYFUNCTION("""COMPUTED_VALUE"""),45565.0)</f>
        <v>45565</v>
      </c>
      <c r="F122" s="1" t="str">
        <f>IFERROR(__xludf.DUMMYFUNCTION("""COMPUTED_VALUE"""),"Juan Andree ")</f>
        <v>Juan Andree </v>
      </c>
      <c r="G122" s="1" t="str">
        <f>IFERROR(__xludf.DUMMYFUNCTION("""COMPUTED_VALUE"""),"Apaza Cajchaya")</f>
        <v>Apaza Cajchaya</v>
      </c>
      <c r="H122" s="1" t="str">
        <f>IFERROR(__xludf.DUMMYFUNCTION("""COMPUTED_VALUE"""),"Psicología")</f>
        <v>Psicología</v>
      </c>
      <c r="I122" s="1" t="str">
        <f>IFERROR(__xludf.DUMMYFUNCTION("""COMPUTED_VALUE"""),"POS")</f>
        <v>POS</v>
      </c>
      <c r="J122" s="1" t="str">
        <f>IFERROR(__xludf.DUMMYFUNCTION("""COMPUTED_VALUE"""),"Diurno")</f>
        <v>Diurno</v>
      </c>
      <c r="K122" s="1" t="str">
        <f>IFERROR(__xludf.DUMMYFUNCTION("""COMPUTED_VALUE"""),"NUEVO")</f>
        <v>NUEVO</v>
      </c>
      <c r="L122" s="1">
        <f>IFERROR(__xludf.DUMMYFUNCTION("""COMPUTED_VALUE"""),0.0)</f>
        <v>0</v>
      </c>
      <c r="M122" s="1">
        <f>IFERROR(__xludf.DUMMYFUNCTION("""COMPUTED_VALUE"""),0.0)</f>
        <v>0</v>
      </c>
      <c r="N122" s="1" t="str">
        <f>IFERROR(__xludf.DUMMYFUNCTION("""COMPUTED_VALUE"""),"BECA")</f>
        <v>BECA</v>
      </c>
      <c r="O122" s="1" t="str">
        <f>IFERROR(__xludf.DUMMYFUNCTION("""COMPUTED_VALUE"""),"BECA CARRERAS NUEVAS")</f>
        <v>BECA CARRERAS NUEVAS</v>
      </c>
      <c r="P122" s="4">
        <f>IFERROR(__xludf.DUMMYFUNCTION("""COMPUTED_VALUE"""),0.0)</f>
        <v>0</v>
      </c>
      <c r="Q122" s="4">
        <f>IFERROR(__xludf.DUMMYFUNCTION("""COMPUTED_VALUE"""),0.0)</f>
        <v>0</v>
      </c>
      <c r="R122" s="4">
        <f>IFERROR(__xludf.DUMMYFUNCTION("""COMPUTED_VALUE"""),1500.0)</f>
        <v>1500</v>
      </c>
      <c r="S122" s="4">
        <f>IFERROR(__xludf.DUMMYFUNCTION("""COMPUTED_VALUE"""),1200.0)</f>
        <v>1200</v>
      </c>
      <c r="T122" s="1" t="str">
        <f>IFERROR(__xludf.DUMMYFUNCTION("""COMPUTED_VALUE"""),"Visita Guiada")</f>
        <v>Visita Guiada</v>
      </c>
      <c r="U122" s="1" t="str">
        <f>IFERROR(__xludf.DUMMYFUNCTION("""COMPUTED_VALUE"""),"FABIOLA")</f>
        <v>FABIOLA</v>
      </c>
      <c r="V122" s="1" t="str">
        <f>IFERROR(__xludf.DUMMYFUNCTION("""COMPUTED_VALUE"""),"Ninguno")</f>
        <v>Ninguno</v>
      </c>
      <c r="W122" s="1" t="str">
        <f>IFERROR(__xludf.DUMMYFUNCTION("""COMPUTED_VALUE"""),"Metodología de enseñanza")</f>
        <v>Metodología de enseñanza</v>
      </c>
      <c r="X122" s="1" t="str">
        <f>IFERROR(__xludf.DUMMYFUNCTION("""COMPUTED_VALUE"""),"le encanto el modelo educativo")</f>
        <v>le encanto el modelo educativo</v>
      </c>
      <c r="Y122" s="1" t="str">
        <f>IFERROR(__xludf.DUMMYFUNCTION("""COMPUTED_VALUE"""),"PAGO COMPLETO")</f>
        <v>PAGO COMPLETO</v>
      </c>
      <c r="Z122" s="1">
        <f>IFERROR(__xludf.DUMMYFUNCTION("""COMPUTED_VALUE"""),0.0)</f>
        <v>0</v>
      </c>
      <c r="AA122" s="1" t="str">
        <f>IFERROR(__xludf.DUMMYFUNCTION("""COMPUTED_VALUE"""),"-")</f>
        <v>-</v>
      </c>
      <c r="AB122" s="1">
        <f>IFERROR(__xludf.DUMMYFUNCTION("""COMPUTED_VALUE"""),0.0)</f>
        <v>0</v>
      </c>
      <c r="AC122" s="1">
        <f>IFERROR(__xludf.DUMMYFUNCTION("""COMPUTED_VALUE"""),0.0)</f>
        <v>0</v>
      </c>
      <c r="AD122" s="1" t="str">
        <f>IFERROR(__xludf.DUMMYFUNCTION("""COMPUTED_VALUE"""),"Cinthia Mariella Orosco")</f>
        <v>Cinthia Mariella Orosco</v>
      </c>
      <c r="AE122" s="1" t="str">
        <f>IFERROR(__xludf.DUMMYFUNCTION("""COMPUTED_VALUE"""),"0")</f>
        <v>0</v>
      </c>
      <c r="AF122" s="1">
        <f>IFERROR(__xludf.DUMMYFUNCTION("""COMPUTED_VALUE"""),2024.0)</f>
        <v>2024</v>
      </c>
      <c r="AG122" s="1">
        <f>IFERROR(__xludf.DUMMYFUNCTION("""COMPUTED_VALUE"""),1039437.0)</f>
        <v>1039437</v>
      </c>
      <c r="AH122" s="1">
        <f>IFERROR(__xludf.DUMMYFUNCTION("""COMPUTED_VALUE"""),17.0)</f>
        <v>17</v>
      </c>
      <c r="AI122" s="1" t="str">
        <f>IFERROR(__xludf.DUMMYFUNCTION("""COMPUTED_VALUE"""),"0000396542")</f>
        <v>0000396542</v>
      </c>
      <c r="AJ122" s="1">
        <f>IFERROR(__xludf.DUMMYFUNCTION("""COMPUTED_VALUE"""),6.1093348E7)</f>
        <v>61093348</v>
      </c>
      <c r="AK122" s="1">
        <f>IFERROR(__xludf.DUMMYFUNCTION("""COMPUTED_VALUE"""),9.59150234E8)</f>
        <v>959150234</v>
      </c>
      <c r="AL122" s="1" t="str">
        <f>IFERROR(__xludf.DUMMYFUNCTION("""COMPUTED_VALUE"""),"jandree1905@gmail.com")</f>
        <v>jandree1905@gmail.com</v>
      </c>
      <c r="AM122" s="1" t="str">
        <f>IFERROR(__xludf.DUMMYFUNCTION("""COMPUTED_VALUE"""),"MASCULINO")</f>
        <v>MASCULINO</v>
      </c>
      <c r="AN122" s="1">
        <f>IFERROR(__xludf.DUMMYFUNCTION("""COMPUTED_VALUE"""),1500.0)</f>
        <v>1500</v>
      </c>
      <c r="AO122" s="1">
        <f>IFERROR(__xludf.DUMMYFUNCTION("""COMPUTED_VALUE"""),0.0)</f>
        <v>0</v>
      </c>
      <c r="AP122" s="1" t="str">
        <f>IFERROR(__xludf.DUMMYFUNCTION("""COMPUTED_VALUE"""),"COLEGIOS")</f>
        <v>COLEGIOS</v>
      </c>
      <c r="AQ122" s="1" t="str">
        <f>IFERROR(__xludf.DUMMYFUNCTION("""COMPUTED_VALUE"""),"COLEGIOS")</f>
        <v>COLEGIOS</v>
      </c>
      <c r="AR122" s="1" t="str">
        <f>IFERROR(__xludf.DUMMYFUNCTION("""COMPUTED_VALUE"""),"NUEVO")</f>
        <v>NUEVO</v>
      </c>
      <c r="AS122" s="1"/>
      <c r="AT122" s="2">
        <f>IFERROR(__xludf.DUMMYFUNCTION("""COMPUTED_VALUE"""),45543.0)</f>
        <v>45543</v>
      </c>
      <c r="AU122" s="1">
        <f>IFERROR(__xludf.DUMMYFUNCTION("""COMPUTED_VALUE"""),1.0)</f>
        <v>1</v>
      </c>
      <c r="AV122" s="1" t="str">
        <f>IFERROR(__xludf.DUMMYFUNCTION("""COMPUTED_VALUE"""),"NUEVO")</f>
        <v>NUEVO</v>
      </c>
      <c r="AW122" s="1" t="str">
        <f>IFERROR(__xludf.DUMMYFUNCTION("""COMPUTED_VALUE"""),"SI")</f>
        <v>SI</v>
      </c>
      <c r="AX122" s="1"/>
      <c r="AY122" s="1" t="str">
        <f>IFERROR(__xludf.DUMMYFUNCTION("""COMPUTED_VALUE"""),"PAGO COMPLETO")</f>
        <v>PAGO COMPLETO</v>
      </c>
      <c r="AZ122" s="5">
        <f>IFERROR(__xludf.DUMMYFUNCTION("""COMPUTED_VALUE"""),45565.0)</f>
        <v>45565</v>
      </c>
      <c r="BA122" s="1">
        <f>IFERROR(__xludf.DUMMYFUNCTION("""COMPUTED_VALUE"""),0.0)</f>
        <v>0</v>
      </c>
      <c r="BB122" s="1">
        <f>IFERROR(__xludf.DUMMYFUNCTION("""COMPUTED_VALUE"""),0.0)</f>
        <v>0</v>
      </c>
      <c r="BC122" s="4">
        <f>IFERROR(__xludf.DUMMYFUNCTION("""COMPUTED_VALUE"""),0.0)</f>
        <v>0</v>
      </c>
      <c r="BD122" s="4">
        <f>IFERROR(__xludf.DUMMYFUNCTION("""COMPUTED_VALUE"""),100.0)</f>
        <v>100</v>
      </c>
      <c r="BE122" s="1">
        <f>IFERROR(__xludf.DUMMYFUNCTION("""COMPUTED_VALUE"""),9.0)</f>
        <v>9</v>
      </c>
      <c r="BF122" s="6">
        <f>IFERROR(__xludf.DUMMYFUNCTION("""COMPUTED_VALUE"""),1.0)</f>
        <v>1</v>
      </c>
      <c r="BG122" s="1">
        <f>IFERROR(__xludf.DUMMYFUNCTION("""COMPUTED_VALUE"""),1.0)</f>
        <v>1</v>
      </c>
      <c r="BH122" s="1" t="str">
        <f>IFERROR(__xludf.DUMMYFUNCTION("""COMPUTED_VALUE"""),"0")</f>
        <v>0</v>
      </c>
      <c r="BI122" s="4">
        <f>IFERROR(__xludf.DUMMYFUNCTION("""COMPUTED_VALUE"""),100.0)</f>
        <v>100</v>
      </c>
      <c r="BJ122" s="1">
        <f>IFERROR(__xludf.DUMMYFUNCTION("""COMPUTED_VALUE"""),0.0)</f>
        <v>0</v>
      </c>
      <c r="BK122" s="4">
        <f>IFERROR(__xludf.DUMMYFUNCTION("""COMPUTED_VALUE"""),100.0)</f>
        <v>100</v>
      </c>
      <c r="BL122" s="1">
        <f>IFERROR(__xludf.DUMMYFUNCTION("""COMPUTED_VALUE"""),1180.0)</f>
        <v>1180</v>
      </c>
      <c r="BM122" s="1">
        <f>IFERROR(__xludf.DUMMYFUNCTION("""COMPUTED_VALUE"""),40.0)</f>
        <v>40</v>
      </c>
      <c r="BN122" s="2">
        <f>IFERROR(__xludf.DUMMYFUNCTION("""COMPUTED_VALUE"""),45565.0)</f>
        <v>45565</v>
      </c>
      <c r="BO122" s="1">
        <f>IFERROR(__xludf.DUMMYFUNCTION("""COMPUTED_VALUE"""),9.0)</f>
        <v>9</v>
      </c>
      <c r="BP122" s="1">
        <f>IFERROR(__xludf.DUMMYFUNCTION("""COMPUTED_VALUE"""),2024.0)</f>
        <v>2024</v>
      </c>
    </row>
    <row r="123">
      <c r="A123" s="1">
        <f>IFERROR(__xludf.DUMMYFUNCTION("""COMPUTED_VALUE"""),122.0)</f>
        <v>122</v>
      </c>
      <c r="B123" s="1">
        <f>IFERROR(__xludf.DUMMYFUNCTION("""COMPUTED_VALUE"""),4699071.0)</f>
        <v>4699071</v>
      </c>
      <c r="C123" s="1" t="str">
        <f>IFERROR(__xludf.DUMMYFUNCTION("""COMPUTED_VALUE"""),"2025-1")</f>
        <v>2025-1</v>
      </c>
      <c r="D123" s="1" t="str">
        <f>IFERROR(__xludf.DUMMYFUNCTION("""COMPUTED_VALUE"""),"Admisión de Alto Rendimiento")</f>
        <v>Admisión de Alto Rendimiento</v>
      </c>
      <c r="E123" s="2">
        <f>IFERROR(__xludf.DUMMYFUNCTION("""COMPUTED_VALUE"""),45565.0)</f>
        <v>45565</v>
      </c>
      <c r="F123" s="1" t="str">
        <f>IFERROR(__xludf.DUMMYFUNCTION("""COMPUTED_VALUE"""),"EMILY DANIELA ")</f>
        <v>EMILY DANIELA </v>
      </c>
      <c r="G123" s="1" t="str">
        <f>IFERROR(__xludf.DUMMYFUNCTION("""COMPUTED_VALUE"""),"VERGARA CURI ")</f>
        <v>VERGARA CURI </v>
      </c>
      <c r="H123" s="1" t="str">
        <f>IFERROR(__xludf.DUMMYFUNCTION("""COMPUTED_VALUE"""),"Comunicación Audiovisual y Cine")</f>
        <v>Comunicación Audiovisual y Cine</v>
      </c>
      <c r="I123" s="1" t="str">
        <f>IFERROR(__xludf.DUMMYFUNCTION("""COMPUTED_VALUE"""),"CARGO")</f>
        <v>CARGO</v>
      </c>
      <c r="J123" s="1" t="str">
        <f>IFERROR(__xludf.DUMMYFUNCTION("""COMPUTED_VALUE"""),"Diurno")</f>
        <v>Diurno</v>
      </c>
      <c r="K123" s="1" t="str">
        <f>IFERROR(__xludf.DUMMYFUNCTION("""COMPUTED_VALUE"""),"NUEVO")</f>
        <v>NUEVO</v>
      </c>
      <c r="L123" s="1">
        <f>IFERROR(__xludf.DUMMYFUNCTION("""COMPUTED_VALUE"""),0.0)</f>
        <v>0</v>
      </c>
      <c r="M123" s="1">
        <f>IFERROR(__xludf.DUMMYFUNCTION("""COMPUTED_VALUE"""),0.0)</f>
        <v>0</v>
      </c>
      <c r="N123" s="1" t="str">
        <f>IFERROR(__xludf.DUMMYFUNCTION("""COMPUTED_VALUE"""),"BECA")</f>
        <v>BECA</v>
      </c>
      <c r="O123" s="1" t="str">
        <f>IFERROR(__xludf.DUMMYFUNCTION("""COMPUTED_VALUE"""),"BECA CARRERAS CORE")</f>
        <v>BECA CARRERAS CORE</v>
      </c>
      <c r="P123" s="4">
        <f>IFERROR(__xludf.DUMMYFUNCTION("""COMPUTED_VALUE"""),0.0)</f>
        <v>0</v>
      </c>
      <c r="Q123" s="4">
        <f>IFERROR(__xludf.DUMMYFUNCTION("""COMPUTED_VALUE"""),0.0)</f>
        <v>0</v>
      </c>
      <c r="R123" s="4">
        <f>IFERROR(__xludf.DUMMYFUNCTION("""COMPUTED_VALUE"""),1600.0)</f>
        <v>1600</v>
      </c>
      <c r="S123" s="4">
        <f>IFERROR(__xludf.DUMMYFUNCTION("""COMPUTED_VALUE"""),1280.0)</f>
        <v>1280</v>
      </c>
      <c r="T123" s="1" t="str">
        <f>IFERROR(__xludf.DUMMYFUNCTION("""COMPUTED_VALUE"""),"NINGUNO")</f>
        <v>NINGUNO</v>
      </c>
      <c r="U123" s="1" t="str">
        <f>IFERROR(__xludf.DUMMYFUNCTION("""COMPUTED_VALUE"""),"FABIOLA")</f>
        <v>FABIOLA</v>
      </c>
      <c r="V123" s="1" t="str">
        <f>IFERROR(__xludf.DUMMYFUNCTION("""COMPUTED_VALUE"""),"Ninguno")</f>
        <v>Ninguno</v>
      </c>
      <c r="W123" s="1" t="str">
        <f>IFERROR(__xludf.DUMMYFUNCTION("""COMPUTED_VALUE"""),"Metodología de enseñanza")</f>
        <v>Metodología de enseñanza</v>
      </c>
      <c r="X123" s="1" t="str">
        <f>IFERROR(__xludf.DUMMYFUNCTION("""COMPUTED_VALUE"""),"le encanto la metodología ")</f>
        <v>le encanto la metodología </v>
      </c>
      <c r="Y123" s="1" t="str">
        <f>IFERROR(__xludf.DUMMYFUNCTION("""COMPUTED_VALUE"""),"PAGO COMPLETO")</f>
        <v>PAGO COMPLETO</v>
      </c>
      <c r="Z123" s="1">
        <f>IFERROR(__xludf.DUMMYFUNCTION("""COMPUTED_VALUE"""),0.0)</f>
        <v>0</v>
      </c>
      <c r="AA123" s="1" t="str">
        <f>IFERROR(__xludf.DUMMYFUNCTION("""COMPUTED_VALUE"""),"-")</f>
        <v>-</v>
      </c>
      <c r="AB123" s="1">
        <f>IFERROR(__xludf.DUMMYFUNCTION("""COMPUTED_VALUE"""),0.0)</f>
        <v>0</v>
      </c>
      <c r="AC123" s="1">
        <f>IFERROR(__xludf.DUMMYFUNCTION("""COMPUTED_VALUE"""),0.0)</f>
        <v>0</v>
      </c>
      <c r="AD123" s="1" t="str">
        <f>IFERROR(__xludf.DUMMYFUNCTION("""COMPUTED_VALUE"""),"Cinthia Mariella Orosco")</f>
        <v>Cinthia Mariella Orosco</v>
      </c>
      <c r="AE123" s="1" t="str">
        <f>IFERROR(__xludf.DUMMYFUNCTION("""COMPUTED_VALUE"""),"0")</f>
        <v>0</v>
      </c>
      <c r="AF123" s="1">
        <f>IFERROR(__xludf.DUMMYFUNCTION("""COMPUTED_VALUE"""),2024.0)</f>
        <v>2024</v>
      </c>
      <c r="AG123" s="1">
        <f>IFERROR(__xludf.DUMMYFUNCTION("""COMPUTED_VALUE"""),1223304.0)</f>
        <v>1223304</v>
      </c>
      <c r="AH123" s="1">
        <f>IFERROR(__xludf.DUMMYFUNCTION("""COMPUTED_VALUE"""),16.0)</f>
        <v>16</v>
      </c>
      <c r="AI123" s="1" t="str">
        <f>IFERROR(__xludf.DUMMYFUNCTION("""COMPUTED_VALUE"""),"0000396565")</f>
        <v>0000396565</v>
      </c>
      <c r="AJ123" s="1">
        <f>IFERROR(__xludf.DUMMYFUNCTION("""COMPUTED_VALUE"""),7.1356661E7)</f>
        <v>71356661</v>
      </c>
      <c r="AK123" s="1">
        <f>IFERROR(__xludf.DUMMYFUNCTION("""COMPUTED_VALUE"""),9.6041762E8)</f>
        <v>960417620</v>
      </c>
      <c r="AL123" s="1" t="str">
        <f>IFERROR(__xludf.DUMMYFUNCTION("""COMPUTED_VALUE"""),"EMILVC.2604@gmail.com")</f>
        <v>EMILVC.2604@gmail.com</v>
      </c>
      <c r="AM123" s="1" t="str">
        <f>IFERROR(__xludf.DUMMYFUNCTION("""COMPUTED_VALUE"""),"FEMENINO")</f>
        <v>FEMENINO</v>
      </c>
      <c r="AN123" s="1">
        <f>IFERROR(__xludf.DUMMYFUNCTION("""COMPUTED_VALUE"""),1600.0)</f>
        <v>1600</v>
      </c>
      <c r="AO123" s="1">
        <f>IFERROR(__xludf.DUMMYFUNCTION("""COMPUTED_VALUE"""),460.0)</f>
        <v>460</v>
      </c>
      <c r="AP123" s="1" t="str">
        <f>IFERROR(__xludf.DUMMYFUNCTION("""COMPUTED_VALUE"""),"FORMULARIO")</f>
        <v>FORMULARIO</v>
      </c>
      <c r="AQ123" s="1" t="str">
        <f>IFERROR(__xludf.DUMMYFUNCTION("""COMPUTED_VALUE"""),"SEARCH MARCA")</f>
        <v>SEARCH MARCA</v>
      </c>
      <c r="AR123" s="1" t="str">
        <f>IFERROR(__xludf.DUMMYFUNCTION("""COMPUTED_VALUE"""),"NUEVO")</f>
        <v>NUEVO</v>
      </c>
      <c r="AS123" s="1" t="str">
        <f>IFERROR(__xludf.DUMMYFUNCTION("""COMPUTED_VALUE"""),"ucal-pg-performance-sedes-abierta-cpl-search_conversion_marca-20240401")</f>
        <v>ucal-pg-performance-sedes-abierta-cpl-search_conversion_marca-20240401</v>
      </c>
      <c r="AT123" s="2">
        <f>IFERROR(__xludf.DUMMYFUNCTION("""COMPUTED_VALUE"""),45562.0)</f>
        <v>45562</v>
      </c>
      <c r="AU123" s="1">
        <f>IFERROR(__xludf.DUMMYFUNCTION("""COMPUTED_VALUE"""),1.0)</f>
        <v>1</v>
      </c>
      <c r="AV123" s="1" t="str">
        <f>IFERROR(__xludf.DUMMYFUNCTION("""COMPUTED_VALUE"""),"NUEVO")</f>
        <v>NUEVO</v>
      </c>
      <c r="AW123" s="1" t="str">
        <f>IFERROR(__xludf.DUMMYFUNCTION("""COMPUTED_VALUE"""),"SI")</f>
        <v>SI</v>
      </c>
      <c r="AX123" s="1"/>
      <c r="AY123" s="1" t="str">
        <f>IFERROR(__xludf.DUMMYFUNCTION("""COMPUTED_VALUE"""),"PAGO COMPLETO")</f>
        <v>PAGO COMPLETO</v>
      </c>
      <c r="AZ123" s="5">
        <f>IFERROR(__xludf.DUMMYFUNCTION("""COMPUTED_VALUE"""),45565.0)</f>
        <v>45565</v>
      </c>
      <c r="BA123" s="1">
        <f>IFERROR(__xludf.DUMMYFUNCTION("""COMPUTED_VALUE"""),0.0)</f>
        <v>0</v>
      </c>
      <c r="BB123" s="1">
        <f>IFERROR(__xludf.DUMMYFUNCTION("""COMPUTED_VALUE"""),0.0)</f>
        <v>0</v>
      </c>
      <c r="BC123" s="4">
        <f>IFERROR(__xludf.DUMMYFUNCTION("""COMPUTED_VALUE"""),0.0)</f>
        <v>0</v>
      </c>
      <c r="BD123" s="4">
        <f>IFERROR(__xludf.DUMMYFUNCTION("""COMPUTED_VALUE"""),0.0)</f>
        <v>0</v>
      </c>
      <c r="BE123" s="1">
        <f>IFERROR(__xludf.DUMMYFUNCTION("""COMPUTED_VALUE"""),9.0)</f>
        <v>9</v>
      </c>
      <c r="BF123" s="6">
        <f>IFERROR(__xludf.DUMMYFUNCTION("""COMPUTED_VALUE"""),1.0)</f>
        <v>1</v>
      </c>
      <c r="BG123" s="1">
        <f>IFERROR(__xludf.DUMMYFUNCTION("""COMPUTED_VALUE"""),1.0)</f>
        <v>1</v>
      </c>
      <c r="BH123" s="1" t="str">
        <f>IFERROR(__xludf.DUMMYFUNCTION("""COMPUTED_VALUE"""),"0")</f>
        <v>0</v>
      </c>
      <c r="BI123" s="4">
        <f>IFERROR(__xludf.DUMMYFUNCTION("""COMPUTED_VALUE"""),0.0)</f>
        <v>0</v>
      </c>
      <c r="BJ123" s="1">
        <f>IFERROR(__xludf.DUMMYFUNCTION("""COMPUTED_VALUE"""),0.0)</f>
        <v>0</v>
      </c>
      <c r="BK123" s="4">
        <f>IFERROR(__xludf.DUMMYFUNCTION("""COMPUTED_VALUE"""),0.0)</f>
        <v>0</v>
      </c>
      <c r="BL123" s="1">
        <f>IFERROR(__xludf.DUMMYFUNCTION("""COMPUTED_VALUE"""),1280.0)</f>
        <v>1280</v>
      </c>
      <c r="BM123" s="1">
        <f>IFERROR(__xludf.DUMMYFUNCTION("""COMPUTED_VALUE"""),40.0)</f>
        <v>40</v>
      </c>
      <c r="BN123" s="2">
        <f>IFERROR(__xludf.DUMMYFUNCTION("""COMPUTED_VALUE"""),45565.0)</f>
        <v>45565</v>
      </c>
      <c r="BO123" s="1">
        <f>IFERROR(__xludf.DUMMYFUNCTION("""COMPUTED_VALUE"""),9.0)</f>
        <v>9</v>
      </c>
      <c r="BP123" s="1">
        <f>IFERROR(__xludf.DUMMYFUNCTION("""COMPUTED_VALUE"""),2024.0)</f>
        <v>2024</v>
      </c>
    </row>
    <row r="124">
      <c r="A124" s="1">
        <f>IFERROR(__xludf.DUMMYFUNCTION("""COMPUTED_VALUE"""),123.0)</f>
        <v>123</v>
      </c>
      <c r="B124" s="1">
        <f>IFERROR(__xludf.DUMMYFUNCTION("""COMPUTED_VALUE"""),3236383.0)</f>
        <v>3236383</v>
      </c>
      <c r="C124" s="1" t="str">
        <f>IFERROR(__xludf.DUMMYFUNCTION("""COMPUTED_VALUE"""),"2025-1")</f>
        <v>2025-1</v>
      </c>
      <c r="D124" s="1" t="str">
        <f>IFERROR(__xludf.DUMMYFUNCTION("""COMPUTED_VALUE"""),"Admisión de Alto Rendimiento")</f>
        <v>Admisión de Alto Rendimiento</v>
      </c>
      <c r="E124" s="2">
        <f>IFERROR(__xludf.DUMMYFUNCTION("""COMPUTED_VALUE"""),45565.0)</f>
        <v>45565</v>
      </c>
      <c r="F124" s="1" t="str">
        <f>IFERROR(__xludf.DUMMYFUNCTION("""COMPUTED_VALUE"""),"KIARA LINDA")</f>
        <v>KIARA LINDA</v>
      </c>
      <c r="G124" s="1" t="str">
        <f>IFERROR(__xludf.DUMMYFUNCTION("""COMPUTED_VALUE"""),"FLORES SICHA")</f>
        <v>FLORES SICHA</v>
      </c>
      <c r="H124" s="1" t="str">
        <f>IFERROR(__xludf.DUMMYFUNCTION("""COMPUTED_VALUE"""),"Diseño Gráfico Publicitario")</f>
        <v>Diseño Gráfico Publicitario</v>
      </c>
      <c r="I124" s="1" t="str">
        <f>IFERROR(__xludf.DUMMYFUNCTION("""COMPUTED_VALUE"""),"POS")</f>
        <v>POS</v>
      </c>
      <c r="J124" s="1" t="str">
        <f>IFERROR(__xludf.DUMMYFUNCTION("""COMPUTED_VALUE"""),"Diurno")</f>
        <v>Diurno</v>
      </c>
      <c r="K124" s="1" t="str">
        <f>IFERROR(__xludf.DUMMYFUNCTION("""COMPUTED_VALUE"""),"NUEVO")</f>
        <v>NUEVO</v>
      </c>
      <c r="L124" s="1">
        <f>IFERROR(__xludf.DUMMYFUNCTION("""COMPUTED_VALUE"""),0.0)</f>
        <v>0</v>
      </c>
      <c r="M124" s="1">
        <f>IFERROR(__xludf.DUMMYFUNCTION("""COMPUTED_VALUE"""),0.0)</f>
        <v>0</v>
      </c>
      <c r="N124" s="1" t="str">
        <f>IFERROR(__xludf.DUMMYFUNCTION("""COMPUTED_VALUE"""),"RECA-BECA")</f>
        <v>RECA-BECA</v>
      </c>
      <c r="O124" s="1" t="str">
        <f>IFERROR(__xludf.DUMMYFUNCTION("""COMPUTED_VALUE"""),"BECA CARRERAS CORE")</f>
        <v>BECA CARRERAS CORE</v>
      </c>
      <c r="P124" s="4">
        <f>IFERROR(__xludf.DUMMYFUNCTION("""COMPUTED_VALUE"""),0.0)</f>
        <v>0</v>
      </c>
      <c r="Q124" s="4">
        <f>IFERROR(__xludf.DUMMYFUNCTION("""COMPUTED_VALUE"""),0.0)</f>
        <v>0</v>
      </c>
      <c r="R124" s="4">
        <f>IFERROR(__xludf.DUMMYFUNCTION("""COMPUTED_VALUE"""),1415.0)</f>
        <v>1415</v>
      </c>
      <c r="S124" s="4">
        <f>IFERROR(__xludf.DUMMYFUNCTION("""COMPUTED_VALUE"""),1150.0)</f>
        <v>1150</v>
      </c>
      <c r="T124" s="1" t="str">
        <f>IFERROR(__xludf.DUMMYFUNCTION("""COMPUTED_VALUE"""),"NINGUNO")</f>
        <v>NINGUNO</v>
      </c>
      <c r="U124" s="1" t="str">
        <f>IFERROR(__xludf.DUMMYFUNCTION("""COMPUTED_VALUE"""),"SEBASTIAN")</f>
        <v>SEBASTIAN</v>
      </c>
      <c r="V124" s="1" t="str">
        <f>IFERROR(__xludf.DUMMYFUNCTION("""COMPUTED_VALUE"""),"Ninguno")</f>
        <v>Ninguno</v>
      </c>
      <c r="W124" s="1" t="str">
        <f>IFERROR(__xludf.DUMMYFUNCTION("""COMPUTED_VALUE"""),"Ubicación de sede")</f>
        <v>Ubicación de sede</v>
      </c>
      <c r="X124" s="1" t="str">
        <f>IFERROR(__xludf.DUMMYFUNCTION("""COMPUTED_VALUE"""),"-")</f>
        <v>-</v>
      </c>
      <c r="Y124" s="1" t="str">
        <f>IFERROR(__xludf.DUMMYFUNCTION("""COMPUTED_VALUE"""),"PAGO COMPLETO")</f>
        <v>PAGO COMPLETO</v>
      </c>
      <c r="Z124" s="1">
        <f>IFERROR(__xludf.DUMMYFUNCTION("""COMPUTED_VALUE"""),0.0)</f>
        <v>0</v>
      </c>
      <c r="AA124" s="1" t="str">
        <f>IFERROR(__xludf.DUMMYFUNCTION("""COMPUTED_VALUE"""),"-")</f>
        <v>-</v>
      </c>
      <c r="AB124" s="1">
        <f>IFERROR(__xludf.DUMMYFUNCTION("""COMPUTED_VALUE"""),0.0)</f>
        <v>0</v>
      </c>
      <c r="AC124" s="1">
        <f>IFERROR(__xludf.DUMMYFUNCTION("""COMPUTED_VALUE"""),0.0)</f>
        <v>0</v>
      </c>
      <c r="AD124" s="1" t="str">
        <f>IFERROR(__xludf.DUMMYFUNCTION("""COMPUTED_VALUE"""),"Ingrid Guillermo Rivera")</f>
        <v>Ingrid Guillermo Rivera</v>
      </c>
      <c r="AE124" s="1" t="str">
        <f>IFERROR(__xludf.DUMMYFUNCTION("""COMPUTED_VALUE"""),"0")</f>
        <v>0</v>
      </c>
      <c r="AF124" s="1">
        <f>IFERROR(__xludf.DUMMYFUNCTION("""COMPUTED_VALUE"""),2024.0)</f>
        <v>2024</v>
      </c>
      <c r="AG124" s="1">
        <f>IFERROR(__xludf.DUMMYFUNCTION("""COMPUTED_VALUE"""),1509488.0)</f>
        <v>1509488</v>
      </c>
      <c r="AH124" s="1">
        <f>IFERROR(__xludf.DUMMYFUNCTION("""COMPUTED_VALUE"""),19.0)</f>
        <v>19</v>
      </c>
      <c r="AI124" s="1" t="str">
        <f>IFERROR(__xludf.DUMMYFUNCTION("""COMPUTED_VALUE"""),"0000396607")</f>
        <v>0000396607</v>
      </c>
      <c r="AJ124" s="1">
        <f>IFERROR(__xludf.DUMMYFUNCTION("""COMPUTED_VALUE"""),7.7552918E7)</f>
        <v>77552918</v>
      </c>
      <c r="AK124" s="1">
        <f>IFERROR(__xludf.DUMMYFUNCTION("""COMPUTED_VALUE"""),9.73790886E8)</f>
        <v>973790886</v>
      </c>
      <c r="AL124" s="1" t="str">
        <f>IFERROR(__xludf.DUMMYFUNCTION("""COMPUTED_VALUE"""),"kiaralinda@gmail.com")</f>
        <v>kiaralinda@gmail.com</v>
      </c>
      <c r="AM124" s="1" t="str">
        <f>IFERROR(__xludf.DUMMYFUNCTION("""COMPUTED_VALUE"""),"FEMENINO")</f>
        <v>FEMENINO</v>
      </c>
      <c r="AN124" s="1">
        <f>IFERROR(__xludf.DUMMYFUNCTION("""COMPUTED_VALUE"""),1415.0)</f>
        <v>1415</v>
      </c>
      <c r="AO124" s="1">
        <f>IFERROR(__xludf.DUMMYFUNCTION("""COMPUTED_VALUE"""),350.0)</f>
        <v>350</v>
      </c>
      <c r="AP124" s="1" t="str">
        <f>IFERROR(__xludf.DUMMYFUNCTION("""COMPUTED_VALUE"""),"COLEGIOS")</f>
        <v>COLEGIOS</v>
      </c>
      <c r="AQ124" s="1" t="str">
        <f>IFERROR(__xludf.DUMMYFUNCTION("""COMPUTED_VALUE"""),"COLEGIOS")</f>
        <v>COLEGIOS</v>
      </c>
      <c r="AR124" s="1" t="str">
        <f>IFERROR(__xludf.DUMMYFUNCTION("""COMPUTED_VALUE"""),"NUEVO")</f>
        <v>NUEVO</v>
      </c>
      <c r="AS124" s="1"/>
      <c r="AT124" s="2">
        <f>IFERROR(__xludf.DUMMYFUNCTION("""COMPUTED_VALUE"""),45439.0)</f>
        <v>45439</v>
      </c>
      <c r="AU124" s="1">
        <f>IFERROR(__xludf.DUMMYFUNCTION("""COMPUTED_VALUE"""),1.0)</f>
        <v>1</v>
      </c>
      <c r="AV124" s="1" t="str">
        <f>IFERROR(__xludf.DUMMYFUNCTION("""COMPUTED_VALUE"""),"NUEVO")</f>
        <v>NUEVO</v>
      </c>
      <c r="AW124" s="1" t="str">
        <f>IFERROR(__xludf.DUMMYFUNCTION("""COMPUTED_VALUE"""),"SI")</f>
        <v>SI</v>
      </c>
      <c r="AX124" s="1"/>
      <c r="AY124" s="1" t="str">
        <f>IFERROR(__xludf.DUMMYFUNCTION("""COMPUTED_VALUE"""),"PAGO COMPLETO")</f>
        <v>PAGO COMPLETO</v>
      </c>
      <c r="AZ124" s="5">
        <f>IFERROR(__xludf.DUMMYFUNCTION("""COMPUTED_VALUE"""),45565.0)</f>
        <v>45565</v>
      </c>
      <c r="BA124" s="1">
        <f>IFERROR(__xludf.DUMMYFUNCTION("""COMPUTED_VALUE"""),0.0)</f>
        <v>0</v>
      </c>
      <c r="BB124" s="1">
        <f>IFERROR(__xludf.DUMMYFUNCTION("""COMPUTED_VALUE"""),0.0)</f>
        <v>0</v>
      </c>
      <c r="BC124" s="4">
        <f>IFERROR(__xludf.DUMMYFUNCTION("""COMPUTED_VALUE"""),0.0)</f>
        <v>0</v>
      </c>
      <c r="BD124" s="4">
        <f>IFERROR(__xludf.DUMMYFUNCTION("""COMPUTED_VALUE"""),0.0)</f>
        <v>0</v>
      </c>
      <c r="BE124" s="1">
        <f>IFERROR(__xludf.DUMMYFUNCTION("""COMPUTED_VALUE"""),9.0)</f>
        <v>9</v>
      </c>
      <c r="BF124" s="6">
        <f>IFERROR(__xludf.DUMMYFUNCTION("""COMPUTED_VALUE"""),1.0)</f>
        <v>1</v>
      </c>
      <c r="BG124" s="1">
        <f>IFERROR(__xludf.DUMMYFUNCTION("""COMPUTED_VALUE"""),1.0)</f>
        <v>1</v>
      </c>
      <c r="BH124" s="1" t="str">
        <f>IFERROR(__xludf.DUMMYFUNCTION("""COMPUTED_VALUE"""),"0")</f>
        <v>0</v>
      </c>
      <c r="BI124" s="4">
        <f>IFERROR(__xludf.DUMMYFUNCTION("""COMPUTED_VALUE"""),0.0)</f>
        <v>0</v>
      </c>
      <c r="BJ124" s="1">
        <f>IFERROR(__xludf.DUMMYFUNCTION("""COMPUTED_VALUE"""),0.0)</f>
        <v>0</v>
      </c>
      <c r="BK124" s="4">
        <f>IFERROR(__xludf.DUMMYFUNCTION("""COMPUTED_VALUE"""),0.0)</f>
        <v>0</v>
      </c>
      <c r="BL124" s="1">
        <f>IFERROR(__xludf.DUMMYFUNCTION("""COMPUTED_VALUE"""),1150.0)</f>
        <v>1150</v>
      </c>
      <c r="BM124" s="1">
        <f>IFERROR(__xludf.DUMMYFUNCTION("""COMPUTED_VALUE"""),40.0)</f>
        <v>40</v>
      </c>
      <c r="BN124" s="2">
        <f>IFERROR(__xludf.DUMMYFUNCTION("""COMPUTED_VALUE"""),45565.0)</f>
        <v>45565</v>
      </c>
      <c r="BO124" s="1">
        <f>IFERROR(__xludf.DUMMYFUNCTION("""COMPUTED_VALUE"""),9.0)</f>
        <v>9</v>
      </c>
      <c r="BP124" s="1">
        <f>IFERROR(__xludf.DUMMYFUNCTION("""COMPUTED_VALUE"""),2024.0)</f>
        <v>2024</v>
      </c>
    </row>
    <row r="125">
      <c r="A125" s="1">
        <f>IFERROR(__xludf.DUMMYFUNCTION("""COMPUTED_VALUE"""),124.0)</f>
        <v>124</v>
      </c>
      <c r="B125" s="1">
        <f>IFERROR(__xludf.DUMMYFUNCTION("""COMPUTED_VALUE"""),4711433.0)</f>
        <v>4711433</v>
      </c>
      <c r="C125" s="1" t="str">
        <f>IFERROR(__xludf.DUMMYFUNCTION("""COMPUTED_VALUE"""),"2025-1")</f>
        <v>2025-1</v>
      </c>
      <c r="D125" s="1" t="str">
        <f>IFERROR(__xludf.DUMMYFUNCTION("""COMPUTED_VALUE"""),"Admisión de Alto Rendimiento")</f>
        <v>Admisión de Alto Rendimiento</v>
      </c>
      <c r="E125" s="2">
        <f>IFERROR(__xludf.DUMMYFUNCTION("""COMPUTED_VALUE"""),45565.0)</f>
        <v>45565</v>
      </c>
      <c r="F125" s="1" t="str">
        <f>IFERROR(__xludf.DUMMYFUNCTION("""COMPUTED_VALUE"""),"GADIEL FARID")</f>
        <v>GADIEL FARID</v>
      </c>
      <c r="G125" s="1" t="str">
        <f>IFERROR(__xludf.DUMMYFUNCTION("""COMPUTED_VALUE"""),"FARFAN PAREDES")</f>
        <v>FARFAN PAREDES</v>
      </c>
      <c r="H125" s="1" t="str">
        <f>IFERROR(__xludf.DUMMYFUNCTION("""COMPUTED_VALUE"""),"Comunicación Audiovisual y Cine")</f>
        <v>Comunicación Audiovisual y Cine</v>
      </c>
      <c r="I125" s="1" t="str">
        <f>IFERROR(__xludf.DUMMYFUNCTION("""COMPUTED_VALUE"""),"CARGO")</f>
        <v>CARGO</v>
      </c>
      <c r="J125" s="1" t="str">
        <f>IFERROR(__xludf.DUMMYFUNCTION("""COMPUTED_VALUE"""),"Diurno")</f>
        <v>Diurno</v>
      </c>
      <c r="K125" s="1" t="str">
        <f>IFERROR(__xludf.DUMMYFUNCTION("""COMPUTED_VALUE"""),"NUEVO")</f>
        <v>NUEVO</v>
      </c>
      <c r="L125" s="1">
        <f>IFERROR(__xludf.DUMMYFUNCTION("""COMPUTED_VALUE"""),0.0)</f>
        <v>0</v>
      </c>
      <c r="M125" s="1">
        <f>IFERROR(__xludf.DUMMYFUNCTION("""COMPUTED_VALUE"""),0.0)</f>
        <v>0</v>
      </c>
      <c r="N125" s="1" t="str">
        <f>IFERROR(__xludf.DUMMYFUNCTION("""COMPUTED_VALUE"""),"BECA")</f>
        <v>BECA</v>
      </c>
      <c r="O125" s="1" t="str">
        <f>IFERROR(__xludf.DUMMYFUNCTION("""COMPUTED_VALUE"""),"BECA COMETA FEST")</f>
        <v>BECA COMETA FEST</v>
      </c>
      <c r="P125" s="4">
        <f>IFERROR(__xludf.DUMMYFUNCTION("""COMPUTED_VALUE"""),0.0)</f>
        <v>0</v>
      </c>
      <c r="Q125" s="4">
        <f>IFERROR(__xludf.DUMMYFUNCTION("""COMPUTED_VALUE"""),0.0)</f>
        <v>0</v>
      </c>
      <c r="R125" s="4">
        <f>IFERROR(__xludf.DUMMYFUNCTION("""COMPUTED_VALUE"""),1600.0)</f>
        <v>1600</v>
      </c>
      <c r="S125" s="4">
        <f>IFERROR(__xludf.DUMMYFUNCTION("""COMPUTED_VALUE"""),1200.0)</f>
        <v>1200</v>
      </c>
      <c r="T125" s="1" t="str">
        <f>IFERROR(__xludf.DUMMYFUNCTION("""COMPUTED_VALUE"""),"NINGUNO")</f>
        <v>NINGUNO</v>
      </c>
      <c r="U125" s="1" t="str">
        <f>IFERROR(__xludf.DUMMYFUNCTION("""COMPUTED_VALUE"""),"FABIOLA")</f>
        <v>FABIOLA</v>
      </c>
      <c r="V125" s="1" t="str">
        <f>IFERROR(__xludf.DUMMYFUNCTION("""COMPUTED_VALUE"""),"Ninguno")</f>
        <v>Ninguno</v>
      </c>
      <c r="W125" s="1" t="str">
        <f>IFERROR(__xludf.DUMMYFUNCTION("""COMPUTED_VALUE"""),"Metodología de enseñanza")</f>
        <v>Metodología de enseñanza</v>
      </c>
      <c r="X125" s="1" t="str">
        <f>IFERROR(__xludf.DUMMYFUNCTION("""COMPUTED_VALUE"""),"-")</f>
        <v>-</v>
      </c>
      <c r="Y125" s="1" t="str">
        <f>IFERROR(__xludf.DUMMYFUNCTION("""COMPUTED_VALUE"""),"PAGO COMPLETO")</f>
        <v>PAGO COMPLETO</v>
      </c>
      <c r="Z125" s="1">
        <f>IFERROR(__xludf.DUMMYFUNCTION("""COMPUTED_VALUE"""),0.0)</f>
        <v>0</v>
      </c>
      <c r="AA125" s="1" t="str">
        <f>IFERROR(__xludf.DUMMYFUNCTION("""COMPUTED_VALUE"""),"-")</f>
        <v>-</v>
      </c>
      <c r="AB125" s="1">
        <f>IFERROR(__xludf.DUMMYFUNCTION("""COMPUTED_VALUE"""),0.0)</f>
        <v>0</v>
      </c>
      <c r="AC125" s="1">
        <f>IFERROR(__xludf.DUMMYFUNCTION("""COMPUTED_VALUE"""),0.0)</f>
        <v>0</v>
      </c>
      <c r="AD125" s="1" t="str">
        <f>IFERROR(__xludf.DUMMYFUNCTION("""COMPUTED_VALUE"""),"Stefano Napuri")</f>
        <v>Stefano Napuri</v>
      </c>
      <c r="AE125" s="1" t="str">
        <f>IFERROR(__xludf.DUMMYFUNCTION("""COMPUTED_VALUE"""),"0")</f>
        <v>0</v>
      </c>
      <c r="AF125" s="1">
        <f>IFERROR(__xludf.DUMMYFUNCTION("""COMPUTED_VALUE"""),2024.0)</f>
        <v>2024</v>
      </c>
      <c r="AG125" s="1">
        <f>IFERROR(__xludf.DUMMYFUNCTION("""COMPUTED_VALUE"""),449553.0)</f>
        <v>449553</v>
      </c>
      <c r="AH125" s="1">
        <f>IFERROR(__xludf.DUMMYFUNCTION("""COMPUTED_VALUE"""),17.0)</f>
        <v>17</v>
      </c>
      <c r="AI125" s="1" t="str">
        <f>IFERROR(__xludf.DUMMYFUNCTION("""COMPUTED_VALUE"""),"0000396598")</f>
        <v>0000396598</v>
      </c>
      <c r="AJ125" s="1">
        <f>IFERROR(__xludf.DUMMYFUNCTION("""COMPUTED_VALUE"""),7.0722304E7)</f>
        <v>70722304</v>
      </c>
      <c r="AK125" s="1">
        <f>IFERROR(__xludf.DUMMYFUNCTION("""COMPUTED_VALUE"""),9.60094429E8)</f>
        <v>960094429</v>
      </c>
      <c r="AL125" s="1" t="str">
        <f>IFERROR(__xludf.DUMMYFUNCTION("""COMPUTED_VALUE"""),"gadielfarid2.0@gmail.com")</f>
        <v>gadielfarid2.0@gmail.com</v>
      </c>
      <c r="AM125" s="1" t="str">
        <f>IFERROR(__xludf.DUMMYFUNCTION("""COMPUTED_VALUE"""),"MASCULINO")</f>
        <v>MASCULINO</v>
      </c>
      <c r="AN125" s="1">
        <f>IFERROR(__xludf.DUMMYFUNCTION("""COMPUTED_VALUE"""),1600.0)</f>
        <v>1600</v>
      </c>
      <c r="AO125" s="1">
        <f>IFERROR(__xludf.DUMMYFUNCTION("""COMPUTED_VALUE"""),590.0)</f>
        <v>590</v>
      </c>
      <c r="AP125" s="1" t="str">
        <f>IFERROR(__xludf.DUMMYFUNCTION("""COMPUTED_VALUE"""),"COLEGIOS")</f>
        <v>COLEGIOS</v>
      </c>
      <c r="AQ125" s="1" t="str">
        <f>IFERROR(__xludf.DUMMYFUNCTION("""COMPUTED_VALUE"""),"COLEGIOS")</f>
        <v>COLEGIOS</v>
      </c>
      <c r="AR125" s="1" t="str">
        <f>IFERROR(__xludf.DUMMYFUNCTION("""COMPUTED_VALUE"""),"NUEVO")</f>
        <v>NUEVO</v>
      </c>
      <c r="AS125" s="1"/>
      <c r="AT125" s="2">
        <f>IFERROR(__xludf.DUMMYFUNCTION("""COMPUTED_VALUE"""),45565.0)</f>
        <v>45565</v>
      </c>
      <c r="AU125" s="1">
        <f>IFERROR(__xludf.DUMMYFUNCTION("""COMPUTED_VALUE"""),1.0)</f>
        <v>1</v>
      </c>
      <c r="AV125" s="1" t="str">
        <f>IFERROR(__xludf.DUMMYFUNCTION("""COMPUTED_VALUE"""),"NUEVO")</f>
        <v>NUEVO</v>
      </c>
      <c r="AW125" s="1" t="str">
        <f>IFERROR(__xludf.DUMMYFUNCTION("""COMPUTED_VALUE"""),"SI")</f>
        <v>SI</v>
      </c>
      <c r="AX125" s="1"/>
      <c r="AY125" s="1" t="str">
        <f>IFERROR(__xludf.DUMMYFUNCTION("""COMPUTED_VALUE"""),"PAGO COMPLETO")</f>
        <v>PAGO COMPLETO</v>
      </c>
      <c r="AZ125" s="5">
        <f>IFERROR(__xludf.DUMMYFUNCTION("""COMPUTED_VALUE"""),45565.0)</f>
        <v>45565</v>
      </c>
      <c r="BA125" s="1">
        <f>IFERROR(__xludf.DUMMYFUNCTION("""COMPUTED_VALUE"""),0.0)</f>
        <v>0</v>
      </c>
      <c r="BB125" s="1">
        <f>IFERROR(__xludf.DUMMYFUNCTION("""COMPUTED_VALUE"""),0.0)</f>
        <v>0</v>
      </c>
      <c r="BC125" s="4">
        <f>IFERROR(__xludf.DUMMYFUNCTION("""COMPUTED_VALUE"""),0.0)</f>
        <v>0</v>
      </c>
      <c r="BD125" s="4">
        <f>IFERROR(__xludf.DUMMYFUNCTION("""COMPUTED_VALUE"""),0.0)</f>
        <v>0</v>
      </c>
      <c r="BE125" s="1">
        <f>IFERROR(__xludf.DUMMYFUNCTION("""COMPUTED_VALUE"""),9.0)</f>
        <v>9</v>
      </c>
      <c r="BF125" s="6">
        <f>IFERROR(__xludf.DUMMYFUNCTION("""COMPUTED_VALUE"""),1.0)</f>
        <v>1</v>
      </c>
      <c r="BG125" s="1">
        <f>IFERROR(__xludf.DUMMYFUNCTION("""COMPUTED_VALUE"""),1.0)</f>
        <v>1</v>
      </c>
      <c r="BH125" s="1" t="str">
        <f>IFERROR(__xludf.DUMMYFUNCTION("""COMPUTED_VALUE"""),"0")</f>
        <v>0</v>
      </c>
      <c r="BI125" s="4">
        <f>IFERROR(__xludf.DUMMYFUNCTION("""COMPUTED_VALUE"""),0.0)</f>
        <v>0</v>
      </c>
      <c r="BJ125" s="1">
        <f>IFERROR(__xludf.DUMMYFUNCTION("""COMPUTED_VALUE"""),0.0)</f>
        <v>0</v>
      </c>
      <c r="BK125" s="4">
        <f>IFERROR(__xludf.DUMMYFUNCTION("""COMPUTED_VALUE"""),0.0)</f>
        <v>0</v>
      </c>
      <c r="BL125" s="1">
        <f>IFERROR(__xludf.DUMMYFUNCTION("""COMPUTED_VALUE"""),1200.0)</f>
        <v>1200</v>
      </c>
      <c r="BM125" s="1">
        <f>IFERROR(__xludf.DUMMYFUNCTION("""COMPUTED_VALUE"""),40.0)</f>
        <v>40</v>
      </c>
      <c r="BN125" s="2">
        <f>IFERROR(__xludf.DUMMYFUNCTION("""COMPUTED_VALUE"""),45565.0)</f>
        <v>45565</v>
      </c>
      <c r="BO125" s="1">
        <f>IFERROR(__xludf.DUMMYFUNCTION("""COMPUTED_VALUE"""),9.0)</f>
        <v>9</v>
      </c>
      <c r="BP125" s="1">
        <f>IFERROR(__xludf.DUMMYFUNCTION("""COMPUTED_VALUE"""),2024.0)</f>
        <v>2024</v>
      </c>
    </row>
    <row r="126">
      <c r="A126" s="1">
        <f>IFERROR(__xludf.DUMMYFUNCTION("""COMPUTED_VALUE"""),125.0)</f>
        <v>125</v>
      </c>
      <c r="B126" s="1">
        <f>IFERROR(__xludf.DUMMYFUNCTION("""COMPUTED_VALUE"""),4374127.0)</f>
        <v>4374127</v>
      </c>
      <c r="C126" s="1" t="str">
        <f>IFERROR(__xludf.DUMMYFUNCTION("""COMPUTED_VALUE"""),"2025-1")</f>
        <v>2025-1</v>
      </c>
      <c r="D126" s="1" t="str">
        <f>IFERROR(__xludf.DUMMYFUNCTION("""COMPUTED_VALUE"""),"Admisión de Alto Rendimiento")</f>
        <v>Admisión de Alto Rendimiento</v>
      </c>
      <c r="E126" s="2">
        <f>IFERROR(__xludf.DUMMYFUNCTION("""COMPUTED_VALUE"""),45568.0)</f>
        <v>45568</v>
      </c>
      <c r="F126" s="1" t="str">
        <f>IFERROR(__xludf.DUMMYFUNCTION("""COMPUTED_VALUE"""),"KIARA JAZMIN")</f>
        <v>KIARA JAZMIN</v>
      </c>
      <c r="G126" s="1" t="str">
        <f>IFERROR(__xludf.DUMMYFUNCTION("""COMPUTED_VALUE""")," FIGUEROA COTRINA")</f>
        <v> FIGUEROA COTRINA</v>
      </c>
      <c r="H126" s="1" t="str">
        <f>IFERROR(__xludf.DUMMYFUNCTION("""COMPUTED_VALUE"""),"Arquitectura")</f>
        <v>Arquitectura</v>
      </c>
      <c r="I126" s="1" t="str">
        <f>IFERROR(__xludf.DUMMYFUNCTION("""COMPUTED_VALUE"""),"POS")</f>
        <v>POS</v>
      </c>
      <c r="J126" s="1" t="str">
        <f>IFERROR(__xludf.DUMMYFUNCTION("""COMPUTED_VALUE"""),"Diurno")</f>
        <v>Diurno</v>
      </c>
      <c r="K126" s="1" t="str">
        <f>IFERROR(__xludf.DUMMYFUNCTION("""COMPUTED_VALUE"""),"NUEVO")</f>
        <v>NUEVO</v>
      </c>
      <c r="L126" s="1">
        <f>IFERROR(__xludf.DUMMYFUNCTION("""COMPUTED_VALUE"""),0.0)</f>
        <v>0</v>
      </c>
      <c r="M126" s="1">
        <f>IFERROR(__xludf.DUMMYFUNCTION("""COMPUTED_VALUE"""),0.0)</f>
        <v>0</v>
      </c>
      <c r="N126" s="1" t="str">
        <f>IFERROR(__xludf.DUMMYFUNCTION("""COMPUTED_VALUE"""),"BECA")</f>
        <v>BECA</v>
      </c>
      <c r="O126" s="1" t="str">
        <f>IFERROR(__xludf.DUMMYFUNCTION("""COMPUTED_VALUE"""),"BECAS GANADOR DEL CONCURSO")</f>
        <v>BECAS GANADOR DEL CONCURSO</v>
      </c>
      <c r="P126" s="4">
        <f>IFERROR(__xludf.DUMMYFUNCTION("""COMPUTED_VALUE"""),200.0)</f>
        <v>200</v>
      </c>
      <c r="Q126" s="4">
        <f>IFERROR(__xludf.DUMMYFUNCTION("""COMPUTED_VALUE"""),475.0)</f>
        <v>475</v>
      </c>
      <c r="R126" s="4">
        <f>IFERROR(__xludf.DUMMYFUNCTION("""COMPUTED_VALUE"""),1600.0)</f>
        <v>1600</v>
      </c>
      <c r="S126" s="4">
        <f>IFERROR(__xludf.DUMMYFUNCTION("""COMPUTED_VALUE"""),0.0)</f>
        <v>0</v>
      </c>
      <c r="T126" s="1" t="str">
        <f>IFERROR(__xludf.DUMMYFUNCTION("""COMPUTED_VALUE"""),"NINGUNO")</f>
        <v>NINGUNO</v>
      </c>
      <c r="U126" s="1" t="str">
        <f>IFERROR(__xludf.DUMMYFUNCTION("""COMPUTED_VALUE"""),"FABIOLA")</f>
        <v>FABIOLA</v>
      </c>
      <c r="V126" s="1" t="str">
        <f>IFERROR(__xludf.DUMMYFUNCTION("""COMPUTED_VALUE"""),"Ninguno")</f>
        <v>Ninguno</v>
      </c>
      <c r="W126" s="1" t="str">
        <f>IFERROR(__xludf.DUMMYFUNCTION("""COMPUTED_VALUE"""),"Beca concurso")</f>
        <v>Beca concurso</v>
      </c>
      <c r="X126" s="1" t="str">
        <f>IFERROR(__xludf.DUMMYFUNCTION("""COMPUTED_VALUE"""),"-")</f>
        <v>-</v>
      </c>
      <c r="Y126" s="1" t="str">
        <f>IFERROR(__xludf.DUMMYFUNCTION("""COMPUTED_VALUE"""),"PAGO COMPLETO")</f>
        <v>PAGO COMPLETO</v>
      </c>
      <c r="Z126" s="1">
        <f>IFERROR(__xludf.DUMMYFUNCTION("""COMPUTED_VALUE"""),0.0)</f>
        <v>0</v>
      </c>
      <c r="AA126" s="1" t="str">
        <f>IFERROR(__xludf.DUMMYFUNCTION("""COMPUTED_VALUE"""),"-")</f>
        <v>-</v>
      </c>
      <c r="AB126" s="1">
        <f>IFERROR(__xludf.DUMMYFUNCTION("""COMPUTED_VALUE"""),0.0)</f>
        <v>0</v>
      </c>
      <c r="AC126" s="1">
        <f>IFERROR(__xludf.DUMMYFUNCTION("""COMPUTED_VALUE"""),0.0)</f>
        <v>0</v>
      </c>
      <c r="AD126" s="1" t="str">
        <f>IFERROR(__xludf.DUMMYFUNCTION("""COMPUTED_VALUE"""),"José Munar")</f>
        <v>José Munar</v>
      </c>
      <c r="AE126" s="1" t="str">
        <f>IFERROR(__xludf.DUMMYFUNCTION("""COMPUTED_VALUE"""),"0")</f>
        <v>0</v>
      </c>
      <c r="AF126" s="1">
        <f>IFERROR(__xludf.DUMMYFUNCTION("""COMPUTED_VALUE"""),2024.0)</f>
        <v>2024</v>
      </c>
      <c r="AG126" s="1">
        <f>IFERROR(__xludf.DUMMYFUNCTION("""COMPUTED_VALUE"""),762765.0)</f>
        <v>762765</v>
      </c>
      <c r="AH126" s="1">
        <f>IFERROR(__xludf.DUMMYFUNCTION("""COMPUTED_VALUE"""),16.0)</f>
        <v>16</v>
      </c>
      <c r="AI126" s="1" t="str">
        <f>IFERROR(__xludf.DUMMYFUNCTION("""COMPUTED_VALUE"""),"0000396987")</f>
        <v>0000396987</v>
      </c>
      <c r="AJ126" s="1">
        <f>IFERROR(__xludf.DUMMYFUNCTION("""COMPUTED_VALUE"""),6.1331017E7)</f>
        <v>61331017</v>
      </c>
      <c r="AK126" s="1">
        <f>IFERROR(__xludf.DUMMYFUNCTION("""COMPUTED_VALUE"""),9.95209882E8)</f>
        <v>995209882</v>
      </c>
      <c r="AL126" s="1" t="str">
        <f>IFERROR(__xludf.DUMMYFUNCTION("""COMPUTED_VALUE"""),"jazfigueroa.08@gmail.com")</f>
        <v>jazfigueroa.08@gmail.com</v>
      </c>
      <c r="AM126" s="1" t="str">
        <f>IFERROR(__xludf.DUMMYFUNCTION("""COMPUTED_VALUE"""),"FEMENINO")</f>
        <v>FEMENINO</v>
      </c>
      <c r="AN126" s="1">
        <f>IFERROR(__xludf.DUMMYFUNCTION("""COMPUTED_VALUE"""),1600.0)</f>
        <v>1600</v>
      </c>
      <c r="AO126" s="1">
        <f>IFERROR(__xludf.DUMMYFUNCTION("""COMPUTED_VALUE"""),420.0)</f>
        <v>420</v>
      </c>
      <c r="AP126" s="1" t="str">
        <f>IFERROR(__xludf.DUMMYFUNCTION("""COMPUTED_VALUE"""),"COLEGIOS")</f>
        <v>COLEGIOS</v>
      </c>
      <c r="AQ126" s="1" t="str">
        <f>IFERROR(__xludf.DUMMYFUNCTION("""COMPUTED_VALUE"""),"COLEGIOS")</f>
        <v>COLEGIOS</v>
      </c>
      <c r="AR126" s="1" t="str">
        <f>IFERROR(__xludf.DUMMYFUNCTION("""COMPUTED_VALUE"""),"NUEVO")</f>
        <v>NUEVO</v>
      </c>
      <c r="AS126" s="1"/>
      <c r="AT126" s="2">
        <f>IFERROR(__xludf.DUMMYFUNCTION("""COMPUTED_VALUE"""),45487.0)</f>
        <v>45487</v>
      </c>
      <c r="AU126" s="1">
        <f>IFERROR(__xludf.DUMMYFUNCTION("""COMPUTED_VALUE"""),1.0)</f>
        <v>1</v>
      </c>
      <c r="AV126" s="1" t="str">
        <f>IFERROR(__xludf.DUMMYFUNCTION("""COMPUTED_VALUE"""),"NUEVO")</f>
        <v>NUEVO</v>
      </c>
      <c r="AW126" s="1" t="str">
        <f>IFERROR(__xludf.DUMMYFUNCTION("""COMPUTED_VALUE"""),"SI")</f>
        <v>SI</v>
      </c>
      <c r="AX126" s="1"/>
      <c r="AY126" s="1" t="str">
        <f>IFERROR(__xludf.DUMMYFUNCTION("""COMPUTED_VALUE"""),"PAGO COMPLETO")</f>
        <v>PAGO COMPLETO</v>
      </c>
      <c r="AZ126" s="5">
        <f>IFERROR(__xludf.DUMMYFUNCTION("""COMPUTED_VALUE"""),45568.0)</f>
        <v>45568</v>
      </c>
      <c r="BA126" s="1">
        <f>IFERROR(__xludf.DUMMYFUNCTION("""COMPUTED_VALUE"""),0.0)</f>
        <v>0</v>
      </c>
      <c r="BB126" s="1">
        <f>IFERROR(__xludf.DUMMYFUNCTION("""COMPUTED_VALUE"""),0.0)</f>
        <v>0</v>
      </c>
      <c r="BC126" s="4">
        <f>IFERROR(__xludf.DUMMYFUNCTION("""COMPUTED_VALUE"""),0.0)</f>
        <v>0</v>
      </c>
      <c r="BD126" s="4">
        <f>IFERROR(__xludf.DUMMYFUNCTION("""COMPUTED_VALUE"""),0.0)</f>
        <v>0</v>
      </c>
      <c r="BE126" s="1">
        <f>IFERROR(__xludf.DUMMYFUNCTION("""COMPUTED_VALUE"""),10.0)</f>
        <v>10</v>
      </c>
      <c r="BF126" s="6">
        <f>IFERROR(__xludf.DUMMYFUNCTION("""COMPUTED_VALUE"""),1.0)</f>
        <v>1</v>
      </c>
      <c r="BG126" s="1"/>
      <c r="BH126" s="1" t="str">
        <f>IFERROR(__xludf.DUMMYFUNCTION("""COMPUTED_VALUE"""),"0")</f>
        <v>0</v>
      </c>
      <c r="BI126" s="4">
        <f>IFERROR(__xludf.DUMMYFUNCTION("""COMPUTED_VALUE"""),0.0)</f>
        <v>0</v>
      </c>
      <c r="BJ126" s="1">
        <f>IFERROR(__xludf.DUMMYFUNCTION("""COMPUTED_VALUE"""),0.0)</f>
        <v>0</v>
      </c>
      <c r="BK126" s="4">
        <f>IFERROR(__xludf.DUMMYFUNCTION("""COMPUTED_VALUE"""),0.0)</f>
        <v>0</v>
      </c>
      <c r="BL126" s="1">
        <f>IFERROR(__xludf.DUMMYFUNCTION("""COMPUTED_VALUE"""),0.0)</f>
        <v>0</v>
      </c>
      <c r="BM126" s="1">
        <f>IFERROR(__xludf.DUMMYFUNCTION("""COMPUTED_VALUE"""),40.0)</f>
        <v>40</v>
      </c>
      <c r="BN126" s="2">
        <f>IFERROR(__xludf.DUMMYFUNCTION("""COMPUTED_VALUE"""),45565.0)</f>
        <v>45565</v>
      </c>
      <c r="BO126" s="1">
        <f>IFERROR(__xludf.DUMMYFUNCTION("""COMPUTED_VALUE"""),10.0)</f>
        <v>10</v>
      </c>
      <c r="BP126" s="1">
        <f>IFERROR(__xludf.DUMMYFUNCTION("""COMPUTED_VALUE"""),2024.0)</f>
        <v>2024</v>
      </c>
    </row>
    <row r="127">
      <c r="A127" s="1">
        <f>IFERROR(__xludf.DUMMYFUNCTION("""COMPUTED_VALUE"""),126.0)</f>
        <v>126</v>
      </c>
      <c r="B127" s="1">
        <f>IFERROR(__xludf.DUMMYFUNCTION("""COMPUTED_VALUE"""),2704852.0)</f>
        <v>2704852</v>
      </c>
      <c r="C127" s="1" t="str">
        <f>IFERROR(__xludf.DUMMYFUNCTION("""COMPUTED_VALUE"""),"2025-1")</f>
        <v>2025-1</v>
      </c>
      <c r="D127" s="1" t="str">
        <f>IFERROR(__xludf.DUMMYFUNCTION("""COMPUTED_VALUE"""),"Admisión de Alto Rendimiento")</f>
        <v>Admisión de Alto Rendimiento</v>
      </c>
      <c r="E127" s="2">
        <f>IFERROR(__xludf.DUMMYFUNCTION("""COMPUTED_VALUE"""),45569.0)</f>
        <v>45569</v>
      </c>
      <c r="F127" s="1" t="str">
        <f>IFERROR(__xludf.DUMMYFUNCTION("""COMPUTED_VALUE"""),"DAIRA CAMILA ")</f>
        <v>DAIRA CAMILA </v>
      </c>
      <c r="G127" s="1" t="str">
        <f>IFERROR(__xludf.DUMMYFUNCTION("""COMPUTED_VALUE"""),"TANTA GOMEZ")</f>
        <v>TANTA GOMEZ</v>
      </c>
      <c r="H127" s="1" t="str">
        <f>IFERROR(__xludf.DUMMYFUNCTION("""COMPUTED_VALUE"""),"Psicología")</f>
        <v>Psicología</v>
      </c>
      <c r="I127" s="1" t="str">
        <f>IFERROR(__xludf.DUMMYFUNCTION("""COMPUTED_VALUE"""),"CARGO")</f>
        <v>CARGO</v>
      </c>
      <c r="J127" s="1" t="str">
        <f>IFERROR(__xludf.DUMMYFUNCTION("""COMPUTED_VALUE"""),"Diurno")</f>
        <v>Diurno</v>
      </c>
      <c r="K127" s="1" t="str">
        <f>IFERROR(__xludf.DUMMYFUNCTION("""COMPUTED_VALUE"""),"NUEVO")</f>
        <v>NUEVO</v>
      </c>
      <c r="L127" s="1">
        <f>IFERROR(__xludf.DUMMYFUNCTION("""COMPUTED_VALUE"""),0.0)</f>
        <v>0</v>
      </c>
      <c r="M127" s="1">
        <f>IFERROR(__xludf.DUMMYFUNCTION("""COMPUTED_VALUE"""),0.0)</f>
        <v>0</v>
      </c>
      <c r="N127" s="1" t="str">
        <f>IFERROR(__xludf.DUMMYFUNCTION("""COMPUTED_VALUE"""),"BECA")</f>
        <v>BECA</v>
      </c>
      <c r="O127" s="1" t="str">
        <f>IFERROR(__xludf.DUMMYFUNCTION("""COMPUTED_VALUE"""),"BECA CARRERAS NUEVAS")</f>
        <v>BECA CARRERAS NUEVAS</v>
      </c>
      <c r="P127" s="4">
        <f>IFERROR(__xludf.DUMMYFUNCTION("""COMPUTED_VALUE"""),0.0)</f>
        <v>0</v>
      </c>
      <c r="Q127" s="4">
        <f>IFERROR(__xludf.DUMMYFUNCTION("""COMPUTED_VALUE"""),0.0)</f>
        <v>0</v>
      </c>
      <c r="R127" s="4">
        <f>IFERROR(__xludf.DUMMYFUNCTION("""COMPUTED_VALUE"""),1600.0)</f>
        <v>1600</v>
      </c>
      <c r="S127" s="4">
        <f>IFERROR(__xludf.DUMMYFUNCTION("""COMPUTED_VALUE"""),1200.0)</f>
        <v>1200</v>
      </c>
      <c r="T127" s="1" t="str">
        <f>IFERROR(__xludf.DUMMYFUNCTION("""COMPUTED_VALUE"""),"NINGUNO")</f>
        <v>NINGUNO</v>
      </c>
      <c r="U127" s="1" t="str">
        <f>IFERROR(__xludf.DUMMYFUNCTION("""COMPUTED_VALUE"""),"FABIOLA")</f>
        <v>FABIOLA</v>
      </c>
      <c r="V127" s="1" t="str">
        <f>IFERROR(__xludf.DUMMYFUNCTION("""COMPUTED_VALUE"""),"Ninguno")</f>
        <v>Ninguno</v>
      </c>
      <c r="W127" s="1" t="str">
        <f>IFERROR(__xludf.DUMMYFUNCTION("""COMPUTED_VALUE"""),"Beca")</f>
        <v>Beca</v>
      </c>
      <c r="X127" s="1" t="str">
        <f>IFERROR(__xludf.DUMMYFUNCTION("""COMPUTED_VALUE"""),"-")</f>
        <v>-</v>
      </c>
      <c r="Y127" s="1" t="str">
        <f>IFERROR(__xludf.DUMMYFUNCTION("""COMPUTED_VALUE"""),"PAGO COMPLETO")</f>
        <v>PAGO COMPLETO</v>
      </c>
      <c r="Z127" s="1">
        <f>IFERROR(__xludf.DUMMYFUNCTION("""COMPUTED_VALUE"""),0.0)</f>
        <v>0</v>
      </c>
      <c r="AA127" s="1" t="str">
        <f>IFERROR(__xludf.DUMMYFUNCTION("""COMPUTED_VALUE"""),"-")</f>
        <v>-</v>
      </c>
      <c r="AB127" s="1">
        <f>IFERROR(__xludf.DUMMYFUNCTION("""COMPUTED_VALUE"""),0.0)</f>
        <v>0</v>
      </c>
      <c r="AC127" s="1">
        <f>IFERROR(__xludf.DUMMYFUNCTION("""COMPUTED_VALUE"""),0.0)</f>
        <v>0</v>
      </c>
      <c r="AD127" s="1" t="str">
        <f>IFERROR(__xludf.DUMMYFUNCTION("""COMPUTED_VALUE"""),"Fiorella Lanegra")</f>
        <v>Fiorella Lanegra</v>
      </c>
      <c r="AE127" s="1" t="str">
        <f>IFERROR(__xludf.DUMMYFUNCTION("""COMPUTED_VALUE"""),"0")</f>
        <v>0</v>
      </c>
      <c r="AF127" s="1">
        <f>IFERROR(__xludf.DUMMYFUNCTION("""COMPUTED_VALUE"""),2024.0)</f>
        <v>2024</v>
      </c>
      <c r="AG127" s="1">
        <f>IFERROR(__xludf.DUMMYFUNCTION("""COMPUTED_VALUE"""),1375260.0)</f>
        <v>1375260</v>
      </c>
      <c r="AH127" s="1">
        <f>IFERROR(__xludf.DUMMYFUNCTION("""COMPUTED_VALUE"""),16.0)</f>
        <v>16</v>
      </c>
      <c r="AI127" s="1" t="str">
        <f>IFERROR(__xludf.DUMMYFUNCTION("""COMPUTED_VALUE"""),"0000397060")</f>
        <v>0000397060</v>
      </c>
      <c r="AJ127" s="1">
        <f>IFERROR(__xludf.DUMMYFUNCTION("""COMPUTED_VALUE"""),6.137413E7)</f>
        <v>61374130</v>
      </c>
      <c r="AK127" s="1">
        <f>IFERROR(__xludf.DUMMYFUNCTION("""COMPUTED_VALUE"""),9.33102686E8)</f>
        <v>933102686</v>
      </c>
      <c r="AL127" s="1" t="str">
        <f>IFERROR(__xludf.DUMMYFUNCTION("""COMPUTED_VALUE"""),"dairatanta@gmail.com")</f>
        <v>dairatanta@gmail.com</v>
      </c>
      <c r="AM127" s="1" t="str">
        <f>IFERROR(__xludf.DUMMYFUNCTION("""COMPUTED_VALUE"""),"FEMENINO")</f>
        <v>FEMENINO</v>
      </c>
      <c r="AN127" s="1">
        <f>IFERROR(__xludf.DUMMYFUNCTION("""COMPUTED_VALUE"""),1850.0)</f>
        <v>1850</v>
      </c>
      <c r="AO127" s="1">
        <f>IFERROR(__xludf.DUMMYFUNCTION("""COMPUTED_VALUE"""),680.0)</f>
        <v>680</v>
      </c>
      <c r="AP127" s="1" t="str">
        <f>IFERROR(__xludf.DUMMYFUNCTION("""COMPUTED_VALUE"""),"COLEGIOS")</f>
        <v>COLEGIOS</v>
      </c>
      <c r="AQ127" s="1" t="str">
        <f>IFERROR(__xludf.DUMMYFUNCTION("""COMPUTED_VALUE"""),"COLEGIOS")</f>
        <v>COLEGIOS</v>
      </c>
      <c r="AR127" s="1" t="str">
        <f>IFERROR(__xludf.DUMMYFUNCTION("""COMPUTED_VALUE"""),"NUEVO")</f>
        <v>NUEVO</v>
      </c>
      <c r="AS127" s="1"/>
      <c r="AT127" s="2">
        <f>IFERROR(__xludf.DUMMYFUNCTION("""COMPUTED_VALUE"""),45405.0)</f>
        <v>45405</v>
      </c>
      <c r="AU127" s="1">
        <f>IFERROR(__xludf.DUMMYFUNCTION("""COMPUTED_VALUE"""),1.0)</f>
        <v>1</v>
      </c>
      <c r="AV127" s="1" t="str">
        <f>IFERROR(__xludf.DUMMYFUNCTION("""COMPUTED_VALUE"""),"NUEVO")</f>
        <v>NUEVO</v>
      </c>
      <c r="AW127" s="1" t="str">
        <f>IFERROR(__xludf.DUMMYFUNCTION("""COMPUTED_VALUE"""),"SI")</f>
        <v>SI</v>
      </c>
      <c r="AX127" s="1"/>
      <c r="AY127" s="1" t="str">
        <f>IFERROR(__xludf.DUMMYFUNCTION("""COMPUTED_VALUE"""),"PAGO COMPLETO")</f>
        <v>PAGO COMPLETO</v>
      </c>
      <c r="AZ127" s="5">
        <f>IFERROR(__xludf.DUMMYFUNCTION("""COMPUTED_VALUE"""),45569.0)</f>
        <v>45569</v>
      </c>
      <c r="BA127" s="1">
        <f>IFERROR(__xludf.DUMMYFUNCTION("""COMPUTED_VALUE"""),0.0)</f>
        <v>0</v>
      </c>
      <c r="BB127" s="1">
        <f>IFERROR(__xludf.DUMMYFUNCTION("""COMPUTED_VALUE"""),0.0)</f>
        <v>0</v>
      </c>
      <c r="BC127" s="4">
        <f>IFERROR(__xludf.DUMMYFUNCTION("""COMPUTED_VALUE"""),0.0)</f>
        <v>0</v>
      </c>
      <c r="BD127" s="4">
        <f>IFERROR(__xludf.DUMMYFUNCTION("""COMPUTED_VALUE"""),0.0)</f>
        <v>0</v>
      </c>
      <c r="BE127" s="1">
        <f>IFERROR(__xludf.DUMMYFUNCTION("""COMPUTED_VALUE"""),10.0)</f>
        <v>10</v>
      </c>
      <c r="BF127" s="6">
        <f>IFERROR(__xludf.DUMMYFUNCTION("""COMPUTED_VALUE"""),1.0)</f>
        <v>1</v>
      </c>
      <c r="BG127" s="1">
        <f>IFERROR(__xludf.DUMMYFUNCTION("""COMPUTED_VALUE"""),1.0)</f>
        <v>1</v>
      </c>
      <c r="BH127" s="1" t="str">
        <f>IFERROR(__xludf.DUMMYFUNCTION("""COMPUTED_VALUE"""),"0")</f>
        <v>0</v>
      </c>
      <c r="BI127" s="4">
        <f>IFERROR(__xludf.DUMMYFUNCTION("""COMPUTED_VALUE"""),0.0)</f>
        <v>0</v>
      </c>
      <c r="BJ127" s="1">
        <f>IFERROR(__xludf.DUMMYFUNCTION("""COMPUTED_VALUE"""),0.0)</f>
        <v>0</v>
      </c>
      <c r="BK127" s="4">
        <f>IFERROR(__xludf.DUMMYFUNCTION("""COMPUTED_VALUE"""),0.0)</f>
        <v>0</v>
      </c>
      <c r="BL127" s="1">
        <f>IFERROR(__xludf.DUMMYFUNCTION("""COMPUTED_VALUE"""),1200.0)</f>
        <v>1200</v>
      </c>
      <c r="BM127" s="1">
        <f>IFERROR(__xludf.DUMMYFUNCTION("""COMPUTED_VALUE"""),40.0)</f>
        <v>40</v>
      </c>
      <c r="BN127" s="2">
        <f>IFERROR(__xludf.DUMMYFUNCTION("""COMPUTED_VALUE"""),45565.0)</f>
        <v>45565</v>
      </c>
      <c r="BO127" s="1">
        <f>IFERROR(__xludf.DUMMYFUNCTION("""COMPUTED_VALUE"""),10.0)</f>
        <v>10</v>
      </c>
      <c r="BP127" s="1">
        <f>IFERROR(__xludf.DUMMYFUNCTION("""COMPUTED_VALUE"""),2024.0)</f>
        <v>2024</v>
      </c>
    </row>
    <row r="128">
      <c r="A128" s="1">
        <f>IFERROR(__xludf.DUMMYFUNCTION("""COMPUTED_VALUE"""),127.0)</f>
        <v>127</v>
      </c>
      <c r="B128" s="1">
        <f>IFERROR(__xludf.DUMMYFUNCTION("""COMPUTED_VALUE"""),3400247.0)</f>
        <v>3400247</v>
      </c>
      <c r="C128" s="1" t="str">
        <f>IFERROR(__xludf.DUMMYFUNCTION("""COMPUTED_VALUE"""),"2025-1")</f>
        <v>2025-1</v>
      </c>
      <c r="D128" s="1" t="str">
        <f>IFERROR(__xludf.DUMMYFUNCTION("""COMPUTED_VALUE"""),"Admisión de Alto Rendimiento")</f>
        <v>Admisión de Alto Rendimiento</v>
      </c>
      <c r="E128" s="2">
        <f>IFERROR(__xludf.DUMMYFUNCTION("""COMPUTED_VALUE"""),45569.0)</f>
        <v>45569</v>
      </c>
      <c r="F128" s="1" t="str">
        <f>IFERROR(__xludf.DUMMYFUNCTION("""COMPUTED_VALUE"""),"MARIA JULIA ")</f>
        <v>MARIA JULIA </v>
      </c>
      <c r="G128" s="1" t="str">
        <f>IFERROR(__xludf.DUMMYFUNCTION("""COMPUTED_VALUE"""),"CUELLAR CONTRERAS")</f>
        <v>CUELLAR CONTRERAS</v>
      </c>
      <c r="H128" s="1" t="str">
        <f>IFERROR(__xludf.DUMMYFUNCTION("""COMPUTED_VALUE"""),"Diseño Gráfico Publicitario")</f>
        <v>Diseño Gráfico Publicitario</v>
      </c>
      <c r="I128" s="1" t="str">
        <f>IFERROR(__xludf.DUMMYFUNCTION("""COMPUTED_VALUE"""),"Pago Link")</f>
        <v>Pago Link</v>
      </c>
      <c r="J128" s="1" t="str">
        <f>IFERROR(__xludf.DUMMYFUNCTION("""COMPUTED_VALUE"""),"Diurno")</f>
        <v>Diurno</v>
      </c>
      <c r="K128" s="1" t="str">
        <f>IFERROR(__xludf.DUMMYFUNCTION("""COMPUTED_VALUE"""),"NUEVO")</f>
        <v>NUEVO</v>
      </c>
      <c r="L128" s="1">
        <f>IFERROR(__xludf.DUMMYFUNCTION("""COMPUTED_VALUE"""),0.0)</f>
        <v>0</v>
      </c>
      <c r="M128" s="1">
        <f>IFERROR(__xludf.DUMMYFUNCTION("""COMPUTED_VALUE"""),0.0)</f>
        <v>0</v>
      </c>
      <c r="N128" s="1" t="str">
        <f>IFERROR(__xludf.DUMMYFUNCTION("""COMPUTED_VALUE"""),"BECA")</f>
        <v>BECA</v>
      </c>
      <c r="O128" s="1" t="str">
        <f>IFERROR(__xludf.DUMMYFUNCTION("""COMPUTED_VALUE"""),"BECA RECUPERO")</f>
        <v>BECA RECUPERO</v>
      </c>
      <c r="P128" s="4">
        <f>IFERROR(__xludf.DUMMYFUNCTION("""COMPUTED_VALUE"""),0.0)</f>
        <v>0</v>
      </c>
      <c r="Q128" s="4">
        <f>IFERROR(__xludf.DUMMYFUNCTION("""COMPUTED_VALUE"""),0.0)</f>
        <v>0</v>
      </c>
      <c r="R128" s="4">
        <f>IFERROR(__xludf.DUMMYFUNCTION("""COMPUTED_VALUE"""),1150.0)</f>
        <v>1150</v>
      </c>
      <c r="S128" s="4">
        <f>IFERROR(__xludf.DUMMYFUNCTION("""COMPUTED_VALUE"""),900.0)</f>
        <v>900</v>
      </c>
      <c r="T128" s="1" t="str">
        <f>IFERROR(__xludf.DUMMYFUNCTION("""COMPUTED_VALUE"""),"NINGUNO")</f>
        <v>NINGUNO</v>
      </c>
      <c r="U128" s="1" t="str">
        <f>IFERROR(__xludf.DUMMYFUNCTION("""COMPUTED_VALUE"""),"FABIOLA")</f>
        <v>FABIOLA</v>
      </c>
      <c r="V128" s="1" t="str">
        <f>IFERROR(__xludf.DUMMYFUNCTION("""COMPUTED_VALUE"""),"Ninguno")</f>
        <v>Ninguno</v>
      </c>
      <c r="W128" s="1" t="str">
        <f>IFERROR(__xludf.DUMMYFUNCTION("""COMPUTED_VALUE"""),"Beca")</f>
        <v>Beca</v>
      </c>
      <c r="X128" s="1" t="str">
        <f>IFERROR(__xludf.DUMMYFUNCTION("""COMPUTED_VALUE"""),"le gustaba UCAL pero por temas económicos no podía, con la base de recupero accedio y la mamá está contenta ya que la hija había venido varias veces ")</f>
        <v>le gustaba UCAL pero por temas económicos no podía, con la base de recupero accedio y la mamá está contenta ya que la hija había venido varias veces </v>
      </c>
      <c r="Y128" s="1" t="str">
        <f>IFERROR(__xludf.DUMMYFUNCTION("""COMPUTED_VALUE"""),"PAGO COMPLETO")</f>
        <v>PAGO COMPLETO</v>
      </c>
      <c r="Z128" s="1">
        <f>IFERROR(__xludf.DUMMYFUNCTION("""COMPUTED_VALUE"""),0.0)</f>
        <v>0</v>
      </c>
      <c r="AA128" s="1" t="str">
        <f>IFERROR(__xludf.DUMMYFUNCTION("""COMPUTED_VALUE"""),"-")</f>
        <v>-</v>
      </c>
      <c r="AB128" s="1">
        <f>IFERROR(__xludf.DUMMYFUNCTION("""COMPUTED_VALUE"""),0.0)</f>
        <v>0</v>
      </c>
      <c r="AC128" s="1">
        <f>IFERROR(__xludf.DUMMYFUNCTION("""COMPUTED_VALUE"""),0.0)</f>
        <v>0</v>
      </c>
      <c r="AD128" s="1" t="str">
        <f>IFERROR(__xludf.DUMMYFUNCTION("""COMPUTED_VALUE"""),"Rosmery Enriquez")</f>
        <v>Rosmery Enriquez</v>
      </c>
      <c r="AE128" s="1" t="str">
        <f>IFERROR(__xludf.DUMMYFUNCTION("""COMPUTED_VALUE"""),"0")</f>
        <v>0</v>
      </c>
      <c r="AF128" s="1">
        <f>IFERROR(__xludf.DUMMYFUNCTION("""COMPUTED_VALUE"""),2024.0)</f>
        <v>2024</v>
      </c>
      <c r="AG128" s="1">
        <f>IFERROR(__xludf.DUMMYFUNCTION("""COMPUTED_VALUE"""),1505403.0)</f>
        <v>1505403</v>
      </c>
      <c r="AH128" s="1">
        <f>IFERROR(__xludf.DUMMYFUNCTION("""COMPUTED_VALUE"""),17.0)</f>
        <v>17</v>
      </c>
      <c r="AI128" s="1" t="str">
        <f>IFERROR(__xludf.DUMMYFUNCTION("""COMPUTED_VALUE"""),"0000397082")</f>
        <v>0000397082</v>
      </c>
      <c r="AJ128" s="1">
        <f>IFERROR(__xludf.DUMMYFUNCTION("""COMPUTED_VALUE"""),7.0712081E7)</f>
        <v>70712081</v>
      </c>
      <c r="AK128" s="1">
        <f>IFERROR(__xludf.DUMMYFUNCTION("""COMPUTED_VALUE"""),9.99740836E8)</f>
        <v>999740836</v>
      </c>
      <c r="AL128" s="1" t="str">
        <f>IFERROR(__xludf.DUMMYFUNCTION("""COMPUTED_VALUE"""),"mariajulliacuellarcontreras@gmail.com ")</f>
        <v>mariajulliacuellarcontreras@gmail.com </v>
      </c>
      <c r="AM128" s="1" t="str">
        <f>IFERROR(__xludf.DUMMYFUNCTION("""COMPUTED_VALUE"""),"FEMENINO")</f>
        <v>FEMENINO</v>
      </c>
      <c r="AN128" s="1">
        <f>IFERROR(__xludf.DUMMYFUNCTION("""COMPUTED_VALUE"""),1850.0)</f>
        <v>1850</v>
      </c>
      <c r="AO128" s="1">
        <f>IFERROR(__xludf.DUMMYFUNCTION("""COMPUTED_VALUE"""),585.0)</f>
        <v>585</v>
      </c>
      <c r="AP128" s="1" t="str">
        <f>IFERROR(__xludf.DUMMYFUNCTION("""COMPUTED_VALUE"""),"COLEGIOS")</f>
        <v>COLEGIOS</v>
      </c>
      <c r="AQ128" s="1" t="str">
        <f>IFERROR(__xludf.DUMMYFUNCTION("""COMPUTED_VALUE"""),"COLEGIOS")</f>
        <v>COLEGIOS</v>
      </c>
      <c r="AR128" s="1" t="str">
        <f>IFERROR(__xludf.DUMMYFUNCTION("""COMPUTED_VALUE"""),"NUEVO")</f>
        <v>NUEVO</v>
      </c>
      <c r="AS128" s="1"/>
      <c r="AT128" s="2">
        <f>IFERROR(__xludf.DUMMYFUNCTION("""COMPUTED_VALUE"""),45490.0)</f>
        <v>45490</v>
      </c>
      <c r="AU128" s="1">
        <f>IFERROR(__xludf.DUMMYFUNCTION("""COMPUTED_VALUE"""),1.0)</f>
        <v>1</v>
      </c>
      <c r="AV128" s="1" t="str">
        <f>IFERROR(__xludf.DUMMYFUNCTION("""COMPUTED_VALUE"""),"NUEVO")</f>
        <v>NUEVO</v>
      </c>
      <c r="AW128" s="1" t="str">
        <f>IFERROR(__xludf.DUMMYFUNCTION("""COMPUTED_VALUE"""),"SI")</f>
        <v>SI</v>
      </c>
      <c r="AX128" s="1"/>
      <c r="AY128" s="1" t="str">
        <f>IFERROR(__xludf.DUMMYFUNCTION("""COMPUTED_VALUE"""),"PAGO COMPLETO")</f>
        <v>PAGO COMPLETO</v>
      </c>
      <c r="AZ128" s="5">
        <f>IFERROR(__xludf.DUMMYFUNCTION("""COMPUTED_VALUE"""),45569.0)</f>
        <v>45569</v>
      </c>
      <c r="BA128" s="1">
        <f>IFERROR(__xludf.DUMMYFUNCTION("""COMPUTED_VALUE"""),0.0)</f>
        <v>0</v>
      </c>
      <c r="BB128" s="1">
        <f>IFERROR(__xludf.DUMMYFUNCTION("""COMPUTED_VALUE"""),0.0)</f>
        <v>0</v>
      </c>
      <c r="BC128" s="4">
        <f>IFERROR(__xludf.DUMMYFUNCTION("""COMPUTED_VALUE"""),0.0)</f>
        <v>0</v>
      </c>
      <c r="BD128" s="4">
        <f>IFERROR(__xludf.DUMMYFUNCTION("""COMPUTED_VALUE"""),0.0)</f>
        <v>0</v>
      </c>
      <c r="BE128" s="1">
        <f>IFERROR(__xludf.DUMMYFUNCTION("""COMPUTED_VALUE"""),10.0)</f>
        <v>10</v>
      </c>
      <c r="BF128" s="6">
        <f>IFERROR(__xludf.DUMMYFUNCTION("""COMPUTED_VALUE"""),1.0)</f>
        <v>1</v>
      </c>
      <c r="BG128" s="1">
        <f>IFERROR(__xludf.DUMMYFUNCTION("""COMPUTED_VALUE"""),1.0)</f>
        <v>1</v>
      </c>
      <c r="BH128" s="1" t="str">
        <f>IFERROR(__xludf.DUMMYFUNCTION("""COMPUTED_VALUE"""),"0")</f>
        <v>0</v>
      </c>
      <c r="BI128" s="4">
        <f>IFERROR(__xludf.DUMMYFUNCTION("""COMPUTED_VALUE"""),0.0)</f>
        <v>0</v>
      </c>
      <c r="BJ128" s="1">
        <f>IFERROR(__xludf.DUMMYFUNCTION("""COMPUTED_VALUE"""),0.0)</f>
        <v>0</v>
      </c>
      <c r="BK128" s="4">
        <f>IFERROR(__xludf.DUMMYFUNCTION("""COMPUTED_VALUE"""),0.0)</f>
        <v>0</v>
      </c>
      <c r="BL128" s="1">
        <f>IFERROR(__xludf.DUMMYFUNCTION("""COMPUTED_VALUE"""),900.0)</f>
        <v>900</v>
      </c>
      <c r="BM128" s="1">
        <f>IFERROR(__xludf.DUMMYFUNCTION("""COMPUTED_VALUE"""),40.0)</f>
        <v>40</v>
      </c>
      <c r="BN128" s="2">
        <f>IFERROR(__xludf.DUMMYFUNCTION("""COMPUTED_VALUE"""),45565.0)</f>
        <v>45565</v>
      </c>
      <c r="BO128" s="1">
        <f>IFERROR(__xludf.DUMMYFUNCTION("""COMPUTED_VALUE"""),10.0)</f>
        <v>10</v>
      </c>
      <c r="BP128" s="1">
        <f>IFERROR(__xludf.DUMMYFUNCTION("""COMPUTED_VALUE"""),2024.0)</f>
        <v>2024</v>
      </c>
    </row>
    <row r="129">
      <c r="A129" s="1">
        <f>IFERROR(__xludf.DUMMYFUNCTION("""COMPUTED_VALUE"""),128.0)</f>
        <v>128</v>
      </c>
      <c r="B129" s="1">
        <f>IFERROR(__xludf.DUMMYFUNCTION("""COMPUTED_VALUE"""),1945620.0)</f>
        <v>1945620</v>
      </c>
      <c r="C129" s="1" t="str">
        <f>IFERROR(__xludf.DUMMYFUNCTION("""COMPUTED_VALUE"""),"2025-1")</f>
        <v>2025-1</v>
      </c>
      <c r="D129" s="1" t="str">
        <f>IFERROR(__xludf.DUMMYFUNCTION("""COMPUTED_VALUE"""),"Admisión de Alto Rendimiento")</f>
        <v>Admisión de Alto Rendimiento</v>
      </c>
      <c r="E129" s="2">
        <f>IFERROR(__xludf.DUMMYFUNCTION("""COMPUTED_VALUE"""),45570.0)</f>
        <v>45570</v>
      </c>
      <c r="F129" s="1" t="str">
        <f>IFERROR(__xludf.DUMMYFUNCTION("""COMPUTED_VALUE"""),"ROSALIA ADRIANA")</f>
        <v>ROSALIA ADRIANA</v>
      </c>
      <c r="G129" s="1" t="str">
        <f>IFERROR(__xludf.DUMMYFUNCTION("""COMPUTED_VALUE"""),"GODINEZ BALLON DE MARRUFO")</f>
        <v>GODINEZ BALLON DE MARRUFO</v>
      </c>
      <c r="H129" s="1" t="str">
        <f>IFERROR(__xludf.DUMMYFUNCTION("""COMPUTED_VALUE"""),"Arquitectura")</f>
        <v>Arquitectura</v>
      </c>
      <c r="I129" s="1" t="str">
        <f>IFERROR(__xludf.DUMMYFUNCTION("""COMPUTED_VALUE"""),"POS")</f>
        <v>POS</v>
      </c>
      <c r="J129" s="1" t="str">
        <f>IFERROR(__xludf.DUMMYFUNCTION("""COMPUTED_VALUE"""),"Diurno")</f>
        <v>Diurno</v>
      </c>
      <c r="K129" s="1" t="str">
        <f>IFERROR(__xludf.DUMMYFUNCTION("""COMPUTED_VALUE"""),"TRASLADO")</f>
        <v>TRASLADO</v>
      </c>
      <c r="L129" s="1">
        <f>IFERROR(__xludf.DUMMYFUNCTION("""COMPUTED_VALUE"""),0.0)</f>
        <v>0</v>
      </c>
      <c r="M129" s="1">
        <f>IFERROR(__xludf.DUMMYFUNCTION("""COMPUTED_VALUE"""),0.0)</f>
        <v>0</v>
      </c>
      <c r="N129" s="1" t="str">
        <f>IFERROR(__xludf.DUMMYFUNCTION("""COMPUTED_VALUE"""),"BECA")</f>
        <v>BECA</v>
      </c>
      <c r="O129" s="1" t="str">
        <f>IFERROR(__xludf.DUMMYFUNCTION("""COMPUTED_VALUE"""),"BECA CARRERAS CORE-TRASLADOS SIN CONVA")</f>
        <v>BECA CARRERAS CORE-TRASLADOS SIN CONVA</v>
      </c>
      <c r="P129" s="4">
        <f>IFERROR(__xludf.DUMMYFUNCTION("""COMPUTED_VALUE"""),0.0)</f>
        <v>0</v>
      </c>
      <c r="Q129" s="4">
        <f>IFERROR(__xludf.DUMMYFUNCTION("""COMPUTED_VALUE"""),0.0)</f>
        <v>0</v>
      </c>
      <c r="R129" s="4">
        <f>IFERROR(__xludf.DUMMYFUNCTION("""COMPUTED_VALUE"""),1350.0)</f>
        <v>1350</v>
      </c>
      <c r="S129" s="4">
        <f>IFERROR(__xludf.DUMMYFUNCTION("""COMPUTED_VALUE"""),950.0)</f>
        <v>950</v>
      </c>
      <c r="T129" s="1" t="str">
        <f>IFERROR(__xludf.DUMMYFUNCTION("""COMPUTED_VALUE"""),"NINGUNO")</f>
        <v>NINGUNO</v>
      </c>
      <c r="U129" s="1" t="str">
        <f>IFERROR(__xludf.DUMMYFUNCTION("""COMPUTED_VALUE"""),"FABIOLA")</f>
        <v>FABIOLA</v>
      </c>
      <c r="V129" s="1" t="str">
        <f>IFERROR(__xludf.DUMMYFUNCTION("""COMPUTED_VALUE"""),"Ninguno")</f>
        <v>Ninguno</v>
      </c>
      <c r="W129" s="1" t="str">
        <f>IFERROR(__xludf.DUMMYFUNCTION("""COMPUTED_VALUE"""),"Beca")</f>
        <v>Beca</v>
      </c>
      <c r="X129" s="1" t="str">
        <f>IFERROR(__xludf.DUMMYFUNCTION("""COMPUTED_VALUE"""),"-")</f>
        <v>-</v>
      </c>
      <c r="Y129" s="1" t="str">
        <f>IFERROR(__xludf.DUMMYFUNCTION("""COMPUTED_VALUE"""),"PAGO FRACCIONADO")</f>
        <v>PAGO FRACCIONADO</v>
      </c>
      <c r="Z129" s="1">
        <f>IFERROR(__xludf.DUMMYFUNCTION("""COMPUTED_VALUE"""),475.0)</f>
        <v>475</v>
      </c>
      <c r="AA129" s="1" t="str">
        <f>IFERROR(__xludf.DUMMYFUNCTION("""COMPUTED_VALUE"""),"25/10/2024")</f>
        <v>25/10/2024</v>
      </c>
      <c r="AB129" s="1">
        <f>IFERROR(__xludf.DUMMYFUNCTION("""COMPUTED_VALUE"""),0.0)</f>
        <v>0</v>
      </c>
      <c r="AC129" s="1">
        <f>IFERROR(__xludf.DUMMYFUNCTION("""COMPUTED_VALUE"""),0.0)</f>
        <v>0</v>
      </c>
      <c r="AD129" s="1" t="str">
        <f>IFERROR(__xludf.DUMMYFUNCTION("""COMPUTED_VALUE"""),"Cinthia Mariella Orosco")</f>
        <v>Cinthia Mariella Orosco</v>
      </c>
      <c r="AE129" s="1" t="str">
        <f>IFERROR(__xludf.DUMMYFUNCTION("""COMPUTED_VALUE"""),"Instituto de Educación Superior Tecnológico Privado Toulouse Lautrec")</f>
        <v>Instituto de Educación Superior Tecnológico Privado Toulouse Lautrec</v>
      </c>
      <c r="AF129" s="1">
        <f>IFERROR(__xludf.DUMMYFUNCTION("""COMPUTED_VALUE"""),2020.0)</f>
        <v>2020</v>
      </c>
      <c r="AG129" s="1">
        <f>IFERROR(__xludf.DUMMYFUNCTION("""COMPUTED_VALUE"""),1241124.0)</f>
        <v>1241124</v>
      </c>
      <c r="AH129" s="1">
        <f>IFERROR(__xludf.DUMMYFUNCTION("""COMPUTED_VALUE"""),27.0)</f>
        <v>27</v>
      </c>
      <c r="AI129" s="1" t="str">
        <f>IFERROR(__xludf.DUMMYFUNCTION("""COMPUTED_VALUE"""),"2018005152")</f>
        <v>2018005152</v>
      </c>
      <c r="AJ129" s="1">
        <f>IFERROR(__xludf.DUMMYFUNCTION("""COMPUTED_VALUE"""),7.0446754E7)</f>
        <v>70446754</v>
      </c>
      <c r="AK129" s="1">
        <f>IFERROR(__xludf.DUMMYFUNCTION("""COMPUTED_VALUE"""),9.42514573E8)</f>
        <v>942514573</v>
      </c>
      <c r="AL129" s="1" t="str">
        <f>IFERROR(__xludf.DUMMYFUNCTION("""COMPUTED_VALUE"""),"ballonrosalia04@gmail.com")</f>
        <v>ballonrosalia04@gmail.com</v>
      </c>
      <c r="AM129" s="1" t="str">
        <f>IFERROR(__xludf.DUMMYFUNCTION("""COMPUTED_VALUE"""),"FEMENINO")</f>
        <v>FEMENINO</v>
      </c>
      <c r="AN129" s="1">
        <f>IFERROR(__xludf.DUMMYFUNCTION("""COMPUTED_VALUE"""),1350.0)</f>
        <v>1350</v>
      </c>
      <c r="AO129" s="1">
        <f>IFERROR(__xludf.DUMMYFUNCTION("""COMPUTED_VALUE"""),360.0)</f>
        <v>360</v>
      </c>
      <c r="AP129" s="1" t="str">
        <f>IFERROR(__xludf.DUMMYFUNCTION("""COMPUTED_VALUE"""),"FORMULARIO")</f>
        <v>FORMULARIO</v>
      </c>
      <c r="AQ129" s="1" t="str">
        <f>IFERROR(__xludf.DUMMYFUNCTION("""COMPUTED_VALUE"""),"ORGANICO")</f>
        <v>ORGANICO</v>
      </c>
      <c r="AR129" s="1" t="str">
        <f>IFERROR(__xludf.DUMMYFUNCTION("""COMPUTED_VALUE"""),"NUEVO")</f>
        <v>NUEVO</v>
      </c>
      <c r="AS129" s="1"/>
      <c r="AT129" s="2">
        <f>IFERROR(__xludf.DUMMYFUNCTION("""COMPUTED_VALUE"""),45567.0)</f>
        <v>45567</v>
      </c>
      <c r="AU129" s="1">
        <f>IFERROR(__xludf.DUMMYFUNCTION("""COMPUTED_VALUE"""),1.0)</f>
        <v>1</v>
      </c>
      <c r="AV129" s="1" t="str">
        <f>IFERROR(__xludf.DUMMYFUNCTION("""COMPUTED_VALUE"""),"NUEVO")</f>
        <v>NUEVO</v>
      </c>
      <c r="AW129" s="1" t="str">
        <f>IFERROR(__xludf.DUMMYFUNCTION("""COMPUTED_VALUE"""),"SI")</f>
        <v>SI</v>
      </c>
      <c r="AX129" s="1"/>
      <c r="AY129" s="1" t="str">
        <f>IFERROR(__xludf.DUMMYFUNCTION("""COMPUTED_VALUE"""),"PAGO COMPLETO")</f>
        <v>PAGO COMPLETO</v>
      </c>
      <c r="AZ129" s="5">
        <f>IFERROR(__xludf.DUMMYFUNCTION("""COMPUTED_VALUE"""),45600.0)</f>
        <v>45600</v>
      </c>
      <c r="BA129" s="1">
        <f>IFERROR(__xludf.DUMMYFUNCTION("""COMPUTED_VALUE"""),475.0)</f>
        <v>475</v>
      </c>
      <c r="BB129" s="1">
        <f>IFERROR(__xludf.DUMMYFUNCTION("""COMPUTED_VALUE"""),0.0)</f>
        <v>0</v>
      </c>
      <c r="BC129" s="4">
        <f>IFERROR(__xludf.DUMMYFUNCTION("""COMPUTED_VALUE"""),0.0)</f>
        <v>0</v>
      </c>
      <c r="BD129" s="4">
        <f>IFERROR(__xludf.DUMMYFUNCTION("""COMPUTED_VALUE"""),0.0)</f>
        <v>0</v>
      </c>
      <c r="BE129" s="1">
        <f>IFERROR(__xludf.DUMMYFUNCTION("""COMPUTED_VALUE"""),10.0)</f>
        <v>10</v>
      </c>
      <c r="BF129" s="6">
        <f>IFERROR(__xludf.DUMMYFUNCTION("""COMPUTED_VALUE"""),1.0)</f>
        <v>1</v>
      </c>
      <c r="BG129" s="1">
        <f>IFERROR(__xludf.DUMMYFUNCTION("""COMPUTED_VALUE"""),1.0)</f>
        <v>1</v>
      </c>
      <c r="BH129" s="1" t="str">
        <f>IFERROR(__xludf.DUMMYFUNCTION("""COMPUTED_VALUE"""),"0")</f>
        <v>0</v>
      </c>
      <c r="BI129" s="4">
        <f>IFERROR(__xludf.DUMMYFUNCTION("""COMPUTED_VALUE"""),950.0)</f>
        <v>950</v>
      </c>
      <c r="BJ129" s="1">
        <f>IFERROR(__xludf.DUMMYFUNCTION("""COMPUTED_VALUE"""),0.0)</f>
        <v>0</v>
      </c>
      <c r="BK129" s="4">
        <f>IFERROR(__xludf.DUMMYFUNCTION("""COMPUTED_VALUE"""),0.0)</f>
        <v>0</v>
      </c>
      <c r="BL129" s="1">
        <f>IFERROR(__xludf.DUMMYFUNCTION("""COMPUTED_VALUE"""),950.0)</f>
        <v>950</v>
      </c>
      <c r="BM129" s="1">
        <f>IFERROR(__xludf.DUMMYFUNCTION("""COMPUTED_VALUE"""),40.0)</f>
        <v>40</v>
      </c>
      <c r="BN129" s="2">
        <f>IFERROR(__xludf.DUMMYFUNCTION("""COMPUTED_VALUE"""),45565.0)</f>
        <v>45565</v>
      </c>
      <c r="BO129" s="1">
        <f>IFERROR(__xludf.DUMMYFUNCTION("""COMPUTED_VALUE"""),10.0)</f>
        <v>10</v>
      </c>
      <c r="BP129" s="1">
        <f>IFERROR(__xludf.DUMMYFUNCTION("""COMPUTED_VALUE"""),2024.0)</f>
        <v>2024</v>
      </c>
    </row>
    <row r="130">
      <c r="A130" s="1">
        <f>IFERROR(__xludf.DUMMYFUNCTION("""COMPUTED_VALUE"""),129.0)</f>
        <v>129</v>
      </c>
      <c r="B130" s="1">
        <f>IFERROR(__xludf.DUMMYFUNCTION("""COMPUTED_VALUE"""),4704875.0)</f>
        <v>4704875</v>
      </c>
      <c r="C130" s="1" t="str">
        <f>IFERROR(__xludf.DUMMYFUNCTION("""COMPUTED_VALUE"""),"2025-1")</f>
        <v>2025-1</v>
      </c>
      <c r="D130" s="1" t="str">
        <f>IFERROR(__xludf.DUMMYFUNCTION("""COMPUTED_VALUE"""),"Admisión de Alto Rendimiento")</f>
        <v>Admisión de Alto Rendimiento</v>
      </c>
      <c r="E130" s="2">
        <f>IFERROR(__xludf.DUMMYFUNCTION("""COMPUTED_VALUE"""),45570.0)</f>
        <v>45570</v>
      </c>
      <c r="F130" s="1" t="str">
        <f>IFERROR(__xludf.DUMMYFUNCTION("""COMPUTED_VALUE"""),"NAOMI CORAIMA ")</f>
        <v>NAOMI CORAIMA </v>
      </c>
      <c r="G130" s="1" t="str">
        <f>IFERROR(__xludf.DUMMYFUNCTION("""COMPUTED_VALUE"""),"PADILLA TORRES")</f>
        <v>PADILLA TORRES</v>
      </c>
      <c r="H130" s="1" t="str">
        <f>IFERROR(__xludf.DUMMYFUNCTION("""COMPUTED_VALUE"""),"Diseño Gráfico Publicitario")</f>
        <v>Diseño Gráfico Publicitario</v>
      </c>
      <c r="I130" s="1" t="str">
        <f>IFERROR(__xludf.DUMMYFUNCTION("""COMPUTED_VALUE"""),"Pago Link")</f>
        <v>Pago Link</v>
      </c>
      <c r="J130" s="1" t="str">
        <f>IFERROR(__xludf.DUMMYFUNCTION("""COMPUTED_VALUE"""),"Diurno")</f>
        <v>Diurno</v>
      </c>
      <c r="K130" s="1" t="str">
        <f>IFERROR(__xludf.DUMMYFUNCTION("""COMPUTED_VALUE"""),"NUEVO")</f>
        <v>NUEVO</v>
      </c>
      <c r="L130" s="1">
        <f>IFERROR(__xludf.DUMMYFUNCTION("""COMPUTED_VALUE"""),0.0)</f>
        <v>0</v>
      </c>
      <c r="M130" s="1">
        <f>IFERROR(__xludf.DUMMYFUNCTION("""COMPUTED_VALUE"""),0.0)</f>
        <v>0</v>
      </c>
      <c r="N130" s="1" t="str">
        <f>IFERROR(__xludf.DUMMYFUNCTION("""COMPUTED_VALUE"""),"RECA-BECA")</f>
        <v>RECA-BECA</v>
      </c>
      <c r="O130" s="1" t="str">
        <f>IFERROR(__xludf.DUMMYFUNCTION("""COMPUTED_VALUE"""),"BECA CARRERAS CORE")</f>
        <v>BECA CARRERAS CORE</v>
      </c>
      <c r="P130" s="4">
        <f>IFERROR(__xludf.DUMMYFUNCTION("""COMPUTED_VALUE"""),0.0)</f>
        <v>0</v>
      </c>
      <c r="Q130" s="4">
        <f>IFERROR(__xludf.DUMMYFUNCTION("""COMPUTED_VALUE"""),0.0)</f>
        <v>0</v>
      </c>
      <c r="R130" s="4">
        <f>IFERROR(__xludf.DUMMYFUNCTION("""COMPUTED_VALUE"""),1415.0)</f>
        <v>1415</v>
      </c>
      <c r="S130" s="4">
        <f>IFERROR(__xludf.DUMMYFUNCTION("""COMPUTED_VALUE"""),1150.0)</f>
        <v>1150</v>
      </c>
      <c r="T130" s="1" t="str">
        <f>IFERROR(__xludf.DUMMYFUNCTION("""COMPUTED_VALUE"""),"NINGUNO")</f>
        <v>NINGUNO</v>
      </c>
      <c r="U130" s="1" t="str">
        <f>IFERROR(__xludf.DUMMYFUNCTION("""COMPUTED_VALUE"""),"FABIOLA")</f>
        <v>FABIOLA</v>
      </c>
      <c r="V130" s="1" t="str">
        <f>IFERROR(__xludf.DUMMYFUNCTION("""COMPUTED_VALUE"""),"Ninguno")</f>
        <v>Ninguno</v>
      </c>
      <c r="W130" s="1" t="str">
        <f>IFERROR(__xludf.DUMMYFUNCTION("""COMPUTED_VALUE"""),"Metodología de enseñanza")</f>
        <v>Metodología de enseñanza</v>
      </c>
      <c r="X130" s="1" t="str">
        <f>IFERROR(__xludf.DUMMYFUNCTION("""COMPUTED_VALUE"""),"-")</f>
        <v>-</v>
      </c>
      <c r="Y130" s="1" t="str">
        <f>IFERROR(__xludf.DUMMYFUNCTION("""COMPUTED_VALUE"""),"PAGO FRACCIONADO")</f>
        <v>PAGO FRACCIONADO</v>
      </c>
      <c r="Z130" s="1">
        <f>IFERROR(__xludf.DUMMYFUNCTION("""COMPUTED_VALUE"""),575.0)</f>
        <v>575</v>
      </c>
      <c r="AA130" s="1" t="str">
        <f>IFERROR(__xludf.DUMMYFUNCTION("""COMPUTED_VALUE"""),"29/10/2024")</f>
        <v>29/10/2024</v>
      </c>
      <c r="AB130" s="1">
        <f>IFERROR(__xludf.DUMMYFUNCTION("""COMPUTED_VALUE"""),0.0)</f>
        <v>0</v>
      </c>
      <c r="AC130" s="1">
        <f>IFERROR(__xludf.DUMMYFUNCTION("""COMPUTED_VALUE"""),0.0)</f>
        <v>0</v>
      </c>
      <c r="AD130" s="1" t="str">
        <f>IFERROR(__xludf.DUMMYFUNCTION("""COMPUTED_VALUE"""),"Ingrid Guillermo Rivera")</f>
        <v>Ingrid Guillermo Rivera</v>
      </c>
      <c r="AE130" s="1" t="str">
        <f>IFERROR(__xludf.DUMMYFUNCTION("""COMPUTED_VALUE"""),"0")</f>
        <v>0</v>
      </c>
      <c r="AF130" s="1">
        <f>IFERROR(__xludf.DUMMYFUNCTION("""COMPUTED_VALUE"""),2024.0)</f>
        <v>2024</v>
      </c>
      <c r="AG130" s="1">
        <f>IFERROR(__xludf.DUMMYFUNCTION("""COMPUTED_VALUE"""),1046911.0)</f>
        <v>1046911</v>
      </c>
      <c r="AH130" s="1">
        <f>IFERROR(__xludf.DUMMYFUNCTION("""COMPUTED_VALUE"""),17.0)</f>
        <v>17</v>
      </c>
      <c r="AI130" s="1" t="str">
        <f>IFERROR(__xludf.DUMMYFUNCTION("""COMPUTED_VALUE"""),"0000397175")</f>
        <v>0000397175</v>
      </c>
      <c r="AJ130" s="1">
        <f>IFERROR(__xludf.DUMMYFUNCTION("""COMPUTED_VALUE"""),6.0051084E7)</f>
        <v>60051084</v>
      </c>
      <c r="AK130" s="1">
        <f>IFERROR(__xludf.DUMMYFUNCTION("""COMPUTED_VALUE"""),9.86004559E8)</f>
        <v>986004559</v>
      </c>
      <c r="AL130" s="1" t="str">
        <f>IFERROR(__xludf.DUMMYFUNCTION("""COMPUTED_VALUE"""),"KORAYMADILLATORRES@gmail.com")</f>
        <v>KORAYMADILLATORRES@gmail.com</v>
      </c>
      <c r="AM130" s="1" t="str">
        <f>IFERROR(__xludf.DUMMYFUNCTION("""COMPUTED_VALUE"""),"FEMENINO")</f>
        <v>FEMENINO</v>
      </c>
      <c r="AN130" s="1">
        <f>IFERROR(__xludf.DUMMYFUNCTION("""COMPUTED_VALUE"""),1775.0)</f>
        <v>1775</v>
      </c>
      <c r="AO130" s="1">
        <f>IFERROR(__xludf.DUMMYFUNCTION("""COMPUTED_VALUE"""),350.0)</f>
        <v>350</v>
      </c>
      <c r="AP130" s="1" t="str">
        <f>IFERROR(__xludf.DUMMYFUNCTION("""COMPUTED_VALUE"""),"OUTBOUND")</f>
        <v>OUTBOUND</v>
      </c>
      <c r="AQ130" s="1" t="str">
        <f>IFERROR(__xludf.DUMMYFUNCTION("""COMPUTED_VALUE"""),"OUTBOUND")</f>
        <v>OUTBOUND</v>
      </c>
      <c r="AR130" s="1" t="str">
        <f>IFERROR(__xludf.DUMMYFUNCTION("""COMPUTED_VALUE"""),"NUEVO")</f>
        <v>NUEVO</v>
      </c>
      <c r="AS130" s="1"/>
      <c r="AT130" s="2">
        <f>IFERROR(__xludf.DUMMYFUNCTION("""COMPUTED_VALUE"""),45566.0)</f>
        <v>45566</v>
      </c>
      <c r="AU130" s="1">
        <f>IFERROR(__xludf.DUMMYFUNCTION("""COMPUTED_VALUE"""),1.0)</f>
        <v>1</v>
      </c>
      <c r="AV130" s="1" t="str">
        <f>IFERROR(__xludf.DUMMYFUNCTION("""COMPUTED_VALUE"""),"NUEVO")</f>
        <v>NUEVO</v>
      </c>
      <c r="AW130" s="1" t="str">
        <f>IFERROR(__xludf.DUMMYFUNCTION("""COMPUTED_VALUE"""),"SI")</f>
        <v>SI</v>
      </c>
      <c r="AX130" s="1"/>
      <c r="AY130" s="1" t="str">
        <f>IFERROR(__xludf.DUMMYFUNCTION("""COMPUTED_VALUE"""),"PAGO COMPLETO")</f>
        <v>PAGO COMPLETO</v>
      </c>
      <c r="AZ130" s="5">
        <f>IFERROR(__xludf.DUMMYFUNCTION("""COMPUTED_VALUE"""),45582.0)</f>
        <v>45582</v>
      </c>
      <c r="BA130" s="1">
        <f>IFERROR(__xludf.DUMMYFUNCTION("""COMPUTED_VALUE"""),575.0)</f>
        <v>575</v>
      </c>
      <c r="BB130" s="1">
        <f>IFERROR(__xludf.DUMMYFUNCTION("""COMPUTED_VALUE"""),0.0)</f>
        <v>0</v>
      </c>
      <c r="BC130" s="4">
        <f>IFERROR(__xludf.DUMMYFUNCTION("""COMPUTED_VALUE"""),0.0)</f>
        <v>0</v>
      </c>
      <c r="BD130" s="4">
        <f>IFERROR(__xludf.DUMMYFUNCTION("""COMPUTED_VALUE"""),0.0)</f>
        <v>0</v>
      </c>
      <c r="BE130" s="1">
        <f>IFERROR(__xludf.DUMMYFUNCTION("""COMPUTED_VALUE"""),10.0)</f>
        <v>10</v>
      </c>
      <c r="BF130" s="6">
        <f>IFERROR(__xludf.DUMMYFUNCTION("""COMPUTED_VALUE"""),1.0)</f>
        <v>1</v>
      </c>
      <c r="BG130" s="1">
        <f>IFERROR(__xludf.DUMMYFUNCTION("""COMPUTED_VALUE"""),1.0)</f>
        <v>1</v>
      </c>
      <c r="BH130" s="1" t="str">
        <f>IFERROR(__xludf.DUMMYFUNCTION("""COMPUTED_VALUE"""),"0")</f>
        <v>0</v>
      </c>
      <c r="BI130" s="4">
        <f>IFERROR(__xludf.DUMMYFUNCTION("""COMPUTED_VALUE"""),1150.0)</f>
        <v>1150</v>
      </c>
      <c r="BJ130" s="1">
        <f>IFERROR(__xludf.DUMMYFUNCTION("""COMPUTED_VALUE"""),0.0)</f>
        <v>0</v>
      </c>
      <c r="BK130" s="4">
        <f>IFERROR(__xludf.DUMMYFUNCTION("""COMPUTED_VALUE"""),0.0)</f>
        <v>0</v>
      </c>
      <c r="BL130" s="1">
        <f>IFERROR(__xludf.DUMMYFUNCTION("""COMPUTED_VALUE"""),1150.0)</f>
        <v>1150</v>
      </c>
      <c r="BM130" s="1">
        <f>IFERROR(__xludf.DUMMYFUNCTION("""COMPUTED_VALUE"""),40.0)</f>
        <v>40</v>
      </c>
      <c r="BN130" s="2">
        <f>IFERROR(__xludf.DUMMYFUNCTION("""COMPUTED_VALUE"""),45565.0)</f>
        <v>45565</v>
      </c>
      <c r="BO130" s="1">
        <f>IFERROR(__xludf.DUMMYFUNCTION("""COMPUTED_VALUE"""),10.0)</f>
        <v>10</v>
      </c>
      <c r="BP130" s="1">
        <f>IFERROR(__xludf.DUMMYFUNCTION("""COMPUTED_VALUE"""),2024.0)</f>
        <v>2024</v>
      </c>
    </row>
    <row r="131">
      <c r="A131" s="1">
        <f>IFERROR(__xludf.DUMMYFUNCTION("""COMPUTED_VALUE"""),130.0)</f>
        <v>130</v>
      </c>
      <c r="B131" s="1">
        <f>IFERROR(__xludf.DUMMYFUNCTION("""COMPUTED_VALUE"""),3389881.0)</f>
        <v>3389881</v>
      </c>
      <c r="C131" s="1" t="str">
        <f>IFERROR(__xludf.DUMMYFUNCTION("""COMPUTED_VALUE"""),"2025-1")</f>
        <v>2025-1</v>
      </c>
      <c r="D131" s="1" t="str">
        <f>IFERROR(__xludf.DUMMYFUNCTION("""COMPUTED_VALUE"""),"Admisión Ordinaria")</f>
        <v>Admisión Ordinaria</v>
      </c>
      <c r="E131" s="2">
        <f>IFERROR(__xludf.DUMMYFUNCTION("""COMPUTED_VALUE"""),45572.0)</f>
        <v>45572</v>
      </c>
      <c r="F131" s="1" t="str">
        <f>IFERROR(__xludf.DUMMYFUNCTION("""COMPUTED_VALUE"""),"MARIA FERNANDA")</f>
        <v>MARIA FERNANDA</v>
      </c>
      <c r="G131" s="1" t="str">
        <f>IFERROR(__xludf.DUMMYFUNCTION("""COMPUTED_VALUE"""),"LOZANO PALOMINO")</f>
        <v>LOZANO PALOMINO</v>
      </c>
      <c r="H131" s="1" t="str">
        <f>IFERROR(__xludf.DUMMYFUNCTION("""COMPUTED_VALUE"""),"Marketing e Innovación")</f>
        <v>Marketing e Innovación</v>
      </c>
      <c r="I131" s="1" t="str">
        <f>IFERROR(__xludf.DUMMYFUNCTION("""COMPUTED_VALUE"""),"POS")</f>
        <v>POS</v>
      </c>
      <c r="J131" s="1" t="str">
        <f>IFERROR(__xludf.DUMMYFUNCTION("""COMPUTED_VALUE"""),"Diurno")</f>
        <v>Diurno</v>
      </c>
      <c r="K131" s="1" t="str">
        <f>IFERROR(__xludf.DUMMYFUNCTION("""COMPUTED_VALUE"""),"NUEVO")</f>
        <v>NUEVO</v>
      </c>
      <c r="L131" s="1">
        <f>IFERROR(__xludf.DUMMYFUNCTION("""COMPUTED_VALUE"""),0.0)</f>
        <v>0</v>
      </c>
      <c r="M131" s="1">
        <f>IFERROR(__xludf.DUMMYFUNCTION("""COMPUTED_VALUE"""),0.0)</f>
        <v>0</v>
      </c>
      <c r="N131" s="1" t="str">
        <f>IFERROR(__xludf.DUMMYFUNCTION("""COMPUTED_VALUE"""),"BECA")</f>
        <v>BECA</v>
      </c>
      <c r="O131" s="1" t="str">
        <f>IFERROR(__xludf.DUMMYFUNCTION("""COMPUTED_VALUE"""),"BECA CARRERAS NUEVAS")</f>
        <v>BECA CARRERAS NUEVAS</v>
      </c>
      <c r="P131" s="4">
        <f>IFERROR(__xludf.DUMMYFUNCTION("""COMPUTED_VALUE"""),0.0)</f>
        <v>0</v>
      </c>
      <c r="Q131" s="4">
        <f>IFERROR(__xludf.DUMMYFUNCTION("""COMPUTED_VALUE"""),0.0)</f>
        <v>0</v>
      </c>
      <c r="R131" s="4">
        <f>IFERROR(__xludf.DUMMYFUNCTION("""COMPUTED_VALUE"""),1350.0)</f>
        <v>1350</v>
      </c>
      <c r="S131" s="4">
        <f>IFERROR(__xludf.DUMMYFUNCTION("""COMPUTED_VALUE"""),1000.0)</f>
        <v>1000</v>
      </c>
      <c r="T131" s="1" t="str">
        <f>IFERROR(__xludf.DUMMYFUNCTION("""COMPUTED_VALUE"""),"NINGUNO")</f>
        <v>NINGUNO</v>
      </c>
      <c r="U131" s="1" t="str">
        <f>IFERROR(__xludf.DUMMYFUNCTION("""COMPUTED_VALUE"""),"FABIOLA")</f>
        <v>FABIOLA</v>
      </c>
      <c r="V131" s="1" t="str">
        <f>IFERROR(__xludf.DUMMYFUNCTION("""COMPUTED_VALUE"""),"Ninguno")</f>
        <v>Ninguno</v>
      </c>
      <c r="W131" s="1" t="str">
        <f>IFERROR(__xludf.DUMMYFUNCTION("""COMPUTED_VALUE"""),"Metodología de enseñanza")</f>
        <v>Metodología de enseñanza</v>
      </c>
      <c r="X131" s="1" t="str">
        <f>IFERROR(__xludf.DUMMYFUNCTION("""COMPUTED_VALUE"""),"-")</f>
        <v>-</v>
      </c>
      <c r="Y131" s="1" t="str">
        <f>IFERROR(__xludf.DUMMYFUNCTION("""COMPUTED_VALUE"""),"PAGO FRACCIONADO")</f>
        <v>PAGO FRACCIONADO</v>
      </c>
      <c r="Z131" s="1">
        <f>IFERROR(__xludf.DUMMYFUNCTION("""COMPUTED_VALUE"""),500.0)</f>
        <v>500</v>
      </c>
      <c r="AA131" s="1" t="str">
        <f>IFERROR(__xludf.DUMMYFUNCTION("""COMPUTED_VALUE"""),"8/11/2024")</f>
        <v>8/11/2024</v>
      </c>
      <c r="AB131" s="1">
        <f>IFERROR(__xludf.DUMMYFUNCTION("""COMPUTED_VALUE"""),1.0)</f>
        <v>1</v>
      </c>
      <c r="AC131" s="1">
        <f>IFERROR(__xludf.DUMMYFUNCTION("""COMPUTED_VALUE"""),0.0)</f>
        <v>0</v>
      </c>
      <c r="AD131" s="1" t="str">
        <f>IFERROR(__xludf.DUMMYFUNCTION("""COMPUTED_VALUE"""),"Ingrid Guillermo Rivera")</f>
        <v>Ingrid Guillermo Rivera</v>
      </c>
      <c r="AE131" s="1" t="str">
        <f>IFERROR(__xludf.DUMMYFUNCTION("""COMPUTED_VALUE"""),"0")</f>
        <v>0</v>
      </c>
      <c r="AF131" s="1">
        <f>IFERROR(__xludf.DUMMYFUNCTION("""COMPUTED_VALUE"""),2022.0)</f>
        <v>2022</v>
      </c>
      <c r="AG131" s="1">
        <f>IFERROR(__xludf.DUMMYFUNCTION("""COMPUTED_VALUE"""),692459.0)</f>
        <v>692459</v>
      </c>
      <c r="AH131" s="1">
        <f>IFERROR(__xludf.DUMMYFUNCTION("""COMPUTED_VALUE"""),19.0)</f>
        <v>19</v>
      </c>
      <c r="AI131" s="1" t="str">
        <f>IFERROR(__xludf.DUMMYFUNCTION("""COMPUTED_VALUE"""),"0000397301")</f>
        <v>0000397301</v>
      </c>
      <c r="AJ131" s="1">
        <f>IFERROR(__xludf.DUMMYFUNCTION("""COMPUTED_VALUE"""),7.4734834E7)</f>
        <v>74734834</v>
      </c>
      <c r="AK131" s="1">
        <f>IFERROR(__xludf.DUMMYFUNCTION("""COMPUTED_VALUE"""),9.12802002E8)</f>
        <v>912802002</v>
      </c>
      <c r="AL131" s="1" t="str">
        <f>IFERROR(__xludf.DUMMYFUNCTION("""COMPUTED_VALUE"""),"FERNANDALOZANOPALOMINO@gmail.com")</f>
        <v>FERNANDALOZANOPALOMINO@gmail.com</v>
      </c>
      <c r="AM131" s="1" t="str">
        <f>IFERROR(__xludf.DUMMYFUNCTION("""COMPUTED_VALUE"""),"FEMENINO")</f>
        <v>FEMENINO</v>
      </c>
      <c r="AN131" s="1">
        <f>IFERROR(__xludf.DUMMYFUNCTION("""COMPUTED_VALUE"""),1350.0)</f>
        <v>1350</v>
      </c>
      <c r="AO131" s="1">
        <f>IFERROR(__xludf.DUMMYFUNCTION("""COMPUTED_VALUE"""),0.0)</f>
        <v>0</v>
      </c>
      <c r="AP131" s="1" t="str">
        <f>IFERROR(__xludf.DUMMYFUNCTION("""COMPUTED_VALUE"""),"OUTBOUND")</f>
        <v>OUTBOUND</v>
      </c>
      <c r="AQ131" s="1" t="str">
        <f>IFERROR(__xludf.DUMMYFUNCTION("""COMPUTED_VALUE"""),"OUTBOUND")</f>
        <v>OUTBOUND</v>
      </c>
      <c r="AR131" s="1" t="str">
        <f>IFERROR(__xludf.DUMMYFUNCTION("""COMPUTED_VALUE"""),"NUEVO")</f>
        <v>NUEVO</v>
      </c>
      <c r="AS131" s="1"/>
      <c r="AT131" s="2">
        <f>IFERROR(__xludf.DUMMYFUNCTION("""COMPUTED_VALUE"""),45572.0)</f>
        <v>45572</v>
      </c>
      <c r="AU131" s="1">
        <f>IFERROR(__xludf.DUMMYFUNCTION("""COMPUTED_VALUE"""),1.0)</f>
        <v>1</v>
      </c>
      <c r="AV131" s="1" t="str">
        <f>IFERROR(__xludf.DUMMYFUNCTION("""COMPUTED_VALUE"""),"NUEVO")</f>
        <v>NUEVO</v>
      </c>
      <c r="AW131" s="1" t="str">
        <f>IFERROR(__xludf.DUMMYFUNCTION("""COMPUTED_VALUE"""),"SI")</f>
        <v>SI</v>
      </c>
      <c r="AX131" s="1"/>
      <c r="AY131" s="1" t="str">
        <f>IFERROR(__xludf.DUMMYFUNCTION("""COMPUTED_VALUE"""),"PAGO COMPLETO")</f>
        <v>PAGO COMPLETO</v>
      </c>
      <c r="AZ131" s="5">
        <f>IFERROR(__xludf.DUMMYFUNCTION("""COMPUTED_VALUE"""),45601.0)</f>
        <v>45601</v>
      </c>
      <c r="BA131" s="1">
        <f>IFERROR(__xludf.DUMMYFUNCTION("""COMPUTED_VALUE"""),500.0)</f>
        <v>500</v>
      </c>
      <c r="BB131" s="1">
        <f>IFERROR(__xludf.DUMMYFUNCTION("""COMPUTED_VALUE"""),0.0)</f>
        <v>0</v>
      </c>
      <c r="BC131" s="4">
        <f>IFERROR(__xludf.DUMMYFUNCTION("""COMPUTED_VALUE"""),0.0)</f>
        <v>0</v>
      </c>
      <c r="BD131" s="4">
        <f>IFERROR(__xludf.DUMMYFUNCTION("""COMPUTED_VALUE"""),0.0)</f>
        <v>0</v>
      </c>
      <c r="BE131" s="1">
        <f>IFERROR(__xludf.DUMMYFUNCTION("""COMPUTED_VALUE"""),10.0)</f>
        <v>10</v>
      </c>
      <c r="BF131" s="6">
        <f>IFERROR(__xludf.DUMMYFUNCTION("""COMPUTED_VALUE"""),1.0)</f>
        <v>1</v>
      </c>
      <c r="BG131" s="1">
        <f>IFERROR(__xludf.DUMMYFUNCTION("""COMPUTED_VALUE"""),1.0)</f>
        <v>1</v>
      </c>
      <c r="BH131" s="1" t="str">
        <f>IFERROR(__xludf.DUMMYFUNCTION("""COMPUTED_VALUE"""),"0")</f>
        <v>0</v>
      </c>
      <c r="BI131" s="4">
        <f>IFERROR(__xludf.DUMMYFUNCTION("""COMPUTED_VALUE"""),1000.0)</f>
        <v>1000</v>
      </c>
      <c r="BJ131" s="1">
        <f>IFERROR(__xludf.DUMMYFUNCTION("""COMPUTED_VALUE"""),0.0)</f>
        <v>0</v>
      </c>
      <c r="BK131" s="4">
        <f>IFERROR(__xludf.DUMMYFUNCTION("""COMPUTED_VALUE"""),0.0)</f>
        <v>0</v>
      </c>
      <c r="BL131" s="1">
        <f>IFERROR(__xludf.DUMMYFUNCTION("""COMPUTED_VALUE"""),1000.0)</f>
        <v>1000</v>
      </c>
      <c r="BM131" s="1">
        <f>IFERROR(__xludf.DUMMYFUNCTION("""COMPUTED_VALUE"""),41.0)</f>
        <v>41</v>
      </c>
      <c r="BN131" s="2">
        <f>IFERROR(__xludf.DUMMYFUNCTION("""COMPUTED_VALUE"""),45572.0)</f>
        <v>45572</v>
      </c>
      <c r="BO131" s="1">
        <f>IFERROR(__xludf.DUMMYFUNCTION("""COMPUTED_VALUE"""),10.0)</f>
        <v>10</v>
      </c>
      <c r="BP131" s="1">
        <f>IFERROR(__xludf.DUMMYFUNCTION("""COMPUTED_VALUE"""),2024.0)</f>
        <v>2024</v>
      </c>
    </row>
    <row r="132">
      <c r="A132" s="1">
        <f>IFERROR(__xludf.DUMMYFUNCTION("""COMPUTED_VALUE"""),131.0)</f>
        <v>131</v>
      </c>
      <c r="B132" s="1">
        <f>IFERROR(__xludf.DUMMYFUNCTION("""COMPUTED_VALUE"""),4614059.0)</f>
        <v>4614059</v>
      </c>
      <c r="C132" s="1" t="str">
        <f>IFERROR(__xludf.DUMMYFUNCTION("""COMPUTED_VALUE"""),"2025-1")</f>
        <v>2025-1</v>
      </c>
      <c r="D132" s="1" t="str">
        <f>IFERROR(__xludf.DUMMYFUNCTION("""COMPUTED_VALUE"""),"Admisión de Alto Rendimiento")</f>
        <v>Admisión de Alto Rendimiento</v>
      </c>
      <c r="E132" s="2">
        <f>IFERROR(__xludf.DUMMYFUNCTION("""COMPUTED_VALUE"""),45574.0)</f>
        <v>45574</v>
      </c>
      <c r="F132" s="1" t="str">
        <f>IFERROR(__xludf.DUMMYFUNCTION("""COMPUTED_VALUE"""),"STEFANY ISABEL ")</f>
        <v>STEFANY ISABEL </v>
      </c>
      <c r="G132" s="1" t="str">
        <f>IFERROR(__xludf.DUMMYFUNCTION("""COMPUTED_VALUE"""),"PINTADO ALVAREZ")</f>
        <v>PINTADO ALVAREZ</v>
      </c>
      <c r="H132" s="1" t="str">
        <f>IFERROR(__xludf.DUMMYFUNCTION("""COMPUTED_VALUE"""),"Comunicación Audiovisual y Cine")</f>
        <v>Comunicación Audiovisual y Cine</v>
      </c>
      <c r="I132" s="1" t="str">
        <f>IFERROR(__xludf.DUMMYFUNCTION("""COMPUTED_VALUE"""),"POS")</f>
        <v>POS</v>
      </c>
      <c r="J132" s="1" t="str">
        <f>IFERROR(__xludf.DUMMYFUNCTION("""COMPUTED_VALUE"""),"Diurno")</f>
        <v>Diurno</v>
      </c>
      <c r="K132" s="1" t="str">
        <f>IFERROR(__xludf.DUMMYFUNCTION("""COMPUTED_VALUE"""),"NUEVO")</f>
        <v>NUEVO</v>
      </c>
      <c r="L132" s="1">
        <f>IFERROR(__xludf.DUMMYFUNCTION("""COMPUTED_VALUE"""),0.0)</f>
        <v>0</v>
      </c>
      <c r="M132" s="1">
        <f>IFERROR(__xludf.DUMMYFUNCTION("""COMPUTED_VALUE"""),0.0)</f>
        <v>0</v>
      </c>
      <c r="N132" s="1" t="str">
        <f>IFERROR(__xludf.DUMMYFUNCTION("""COMPUTED_VALUE"""),"BECA")</f>
        <v>BECA</v>
      </c>
      <c r="O132" s="1" t="str">
        <f>IFERROR(__xludf.DUMMYFUNCTION("""COMPUTED_VALUE"""),"BECA CARRERAS CORE")</f>
        <v>BECA CARRERAS CORE</v>
      </c>
      <c r="P132" s="4">
        <f>IFERROR(__xludf.DUMMYFUNCTION("""COMPUTED_VALUE"""),0.0)</f>
        <v>0</v>
      </c>
      <c r="Q132" s="4">
        <f>IFERROR(__xludf.DUMMYFUNCTION("""COMPUTED_VALUE"""),0.0)</f>
        <v>0</v>
      </c>
      <c r="R132" s="4">
        <f>IFERROR(__xludf.DUMMYFUNCTION("""COMPUTED_VALUE"""),1350.0)</f>
        <v>1350</v>
      </c>
      <c r="S132" s="4">
        <f>IFERROR(__xludf.DUMMYFUNCTION("""COMPUTED_VALUE"""),1000.0)</f>
        <v>1000</v>
      </c>
      <c r="T132" s="1" t="str">
        <f>IFERROR(__xludf.DUMMYFUNCTION("""COMPUTED_VALUE"""),"Visita Guiada")</f>
        <v>Visita Guiada</v>
      </c>
      <c r="U132" s="1" t="str">
        <f>IFERROR(__xludf.DUMMYFUNCTION("""COMPUTED_VALUE"""),"FABIOLA")</f>
        <v>FABIOLA</v>
      </c>
      <c r="V132" s="1" t="str">
        <f>IFERROR(__xludf.DUMMYFUNCTION("""COMPUTED_VALUE"""),"Ninguno")</f>
        <v>Ninguno</v>
      </c>
      <c r="W132" s="1" t="str">
        <f>IFERROR(__xludf.DUMMYFUNCTION("""COMPUTED_VALUE"""),"Metodología de enseñanza")</f>
        <v>Metodología de enseñanza</v>
      </c>
      <c r="X132" s="1" t="str">
        <f>IFERROR(__xludf.DUMMYFUNCTION("""COMPUTED_VALUE"""),"le encanta el modelo educativo")</f>
        <v>le encanta el modelo educativo</v>
      </c>
      <c r="Y132" s="1" t="str">
        <f>IFERROR(__xludf.DUMMYFUNCTION("""COMPUTED_VALUE"""),"PAGO FRACCIONADO")</f>
        <v>PAGO FRACCIONADO</v>
      </c>
      <c r="Z132" s="1">
        <f>IFERROR(__xludf.DUMMYFUNCTION("""COMPUTED_VALUE"""),500.0)</f>
        <v>500</v>
      </c>
      <c r="AA132" s="1" t="str">
        <f>IFERROR(__xludf.DUMMYFUNCTION("""COMPUTED_VALUE"""),"30/10/2024")</f>
        <v>30/10/2024</v>
      </c>
      <c r="AB132" s="1">
        <f>IFERROR(__xludf.DUMMYFUNCTION("""COMPUTED_VALUE"""),0.0)</f>
        <v>0</v>
      </c>
      <c r="AC132" s="1">
        <f>IFERROR(__xludf.DUMMYFUNCTION("""COMPUTED_VALUE"""),0.0)</f>
        <v>0</v>
      </c>
      <c r="AD132" s="1" t="str">
        <f>IFERROR(__xludf.DUMMYFUNCTION("""COMPUTED_VALUE"""),"Cinthia Mariella Orosco")</f>
        <v>Cinthia Mariella Orosco</v>
      </c>
      <c r="AE132" s="1" t="str">
        <f>IFERROR(__xludf.DUMMYFUNCTION("""COMPUTED_VALUE"""),"0")</f>
        <v>0</v>
      </c>
      <c r="AF132" s="1">
        <f>IFERROR(__xludf.DUMMYFUNCTION("""COMPUTED_VALUE"""),2021.0)</f>
        <v>2021</v>
      </c>
      <c r="AG132" s="1">
        <f>IFERROR(__xludf.DUMMYFUNCTION("""COMPUTED_VALUE"""),1506872.0)</f>
        <v>1506872</v>
      </c>
      <c r="AH132" s="1">
        <f>IFERROR(__xludf.DUMMYFUNCTION("""COMPUTED_VALUE"""),19.0)</f>
        <v>19</v>
      </c>
      <c r="AI132" s="1" t="str">
        <f>IFERROR(__xludf.DUMMYFUNCTION("""COMPUTED_VALUE"""),"0000397465")</f>
        <v>0000397465</v>
      </c>
      <c r="AJ132" s="1">
        <f>IFERROR(__xludf.DUMMYFUNCTION("""COMPUTED_VALUE"""),7.2953577E7)</f>
        <v>72953577</v>
      </c>
      <c r="AK132" s="1">
        <f>IFERROR(__xludf.DUMMYFUNCTION("""COMPUTED_VALUE"""),9.4716416E8)</f>
        <v>947164160</v>
      </c>
      <c r="AL132" s="1" t="str">
        <f>IFERROR(__xludf.DUMMYFUNCTION("""COMPUTED_VALUE"""),"stefanypintado1@gmail.com")</f>
        <v>stefanypintado1@gmail.com</v>
      </c>
      <c r="AM132" s="1" t="str">
        <f>IFERROR(__xludf.DUMMYFUNCTION("""COMPUTED_VALUE"""),"FEMENINO")</f>
        <v>FEMENINO</v>
      </c>
      <c r="AN132" s="1">
        <f>IFERROR(__xludf.DUMMYFUNCTION("""COMPUTED_VALUE"""),1350.0)</f>
        <v>1350</v>
      </c>
      <c r="AO132" s="1">
        <f>IFERROR(__xludf.DUMMYFUNCTION("""COMPUTED_VALUE"""),0.0)</f>
        <v>0</v>
      </c>
      <c r="AP132" s="1" t="str">
        <f>IFERROR(__xludf.DUMMYFUNCTION("""COMPUTED_VALUE"""),"BIDIRECCIONAL")</f>
        <v>BIDIRECCIONAL</v>
      </c>
      <c r="AQ132" s="1" t="str">
        <f>IFERROR(__xludf.DUMMYFUNCTION("""COMPUTED_VALUE"""),"SEARCH CARRERA")</f>
        <v>SEARCH CARRERA</v>
      </c>
      <c r="AR132" s="1" t="str">
        <f>IFERROR(__xludf.DUMMYFUNCTION("""COMPUTED_VALUE"""),"NUEVO")</f>
        <v>NUEVO</v>
      </c>
      <c r="AS132" s="1" t="str">
        <f>IFERROR(__xludf.DUMMYFUNCTION("""COMPUTED_VALUE"""),"ucal-pg-performance-sedes-abierta-cpl-search_conversion_mundo_comunicaciones_bidi_search_carreras-20240702")</f>
        <v>ucal-pg-performance-sedes-abierta-cpl-search_conversion_mundo_comunicaciones_bidi_search_carreras-20240702</v>
      </c>
      <c r="AT132" s="2">
        <f>IFERROR(__xludf.DUMMYFUNCTION("""COMPUTED_VALUE"""),45558.0)</f>
        <v>45558</v>
      </c>
      <c r="AU132" s="1">
        <f>IFERROR(__xludf.DUMMYFUNCTION("""COMPUTED_VALUE"""),1.0)</f>
        <v>1</v>
      </c>
      <c r="AV132" s="1" t="str">
        <f>IFERROR(__xludf.DUMMYFUNCTION("""COMPUTED_VALUE"""),"NUEVO")</f>
        <v>NUEVO</v>
      </c>
      <c r="AW132" s="1" t="str">
        <f>IFERROR(__xludf.DUMMYFUNCTION("""COMPUTED_VALUE"""),"SI")</f>
        <v>SI</v>
      </c>
      <c r="AX132" s="1"/>
      <c r="AY132" s="1" t="str">
        <f>IFERROR(__xludf.DUMMYFUNCTION("""COMPUTED_VALUE"""),"PAGO COMPLETO")</f>
        <v>PAGO COMPLETO</v>
      </c>
      <c r="AZ132" s="5">
        <f>IFERROR(__xludf.DUMMYFUNCTION("""COMPUTED_VALUE"""),45594.0)</f>
        <v>45594</v>
      </c>
      <c r="BA132" s="1">
        <f>IFERROR(__xludf.DUMMYFUNCTION("""COMPUTED_VALUE"""),400.0)</f>
        <v>400</v>
      </c>
      <c r="BB132" s="1">
        <f>IFERROR(__xludf.DUMMYFUNCTION("""COMPUTED_VALUE"""),0.0)</f>
        <v>0</v>
      </c>
      <c r="BC132" s="4">
        <f>IFERROR(__xludf.DUMMYFUNCTION("""COMPUTED_VALUE"""),0.0)</f>
        <v>0</v>
      </c>
      <c r="BD132" s="4">
        <f>IFERROR(__xludf.DUMMYFUNCTION("""COMPUTED_VALUE"""),100.0)</f>
        <v>100</v>
      </c>
      <c r="BE132" s="1">
        <f>IFERROR(__xludf.DUMMYFUNCTION("""COMPUTED_VALUE"""),10.0)</f>
        <v>10</v>
      </c>
      <c r="BF132" s="6">
        <f>IFERROR(__xludf.DUMMYFUNCTION("""COMPUTED_VALUE"""),1.0)</f>
        <v>1</v>
      </c>
      <c r="BG132" s="1">
        <f>IFERROR(__xludf.DUMMYFUNCTION("""COMPUTED_VALUE"""),1.0)</f>
        <v>1</v>
      </c>
      <c r="BH132" s="1" t="str">
        <f>IFERROR(__xludf.DUMMYFUNCTION("""COMPUTED_VALUE"""),"0")</f>
        <v>0</v>
      </c>
      <c r="BI132" s="4">
        <f>IFERROR(__xludf.DUMMYFUNCTION("""COMPUTED_VALUE"""),1000.0)</f>
        <v>1000</v>
      </c>
      <c r="BJ132" s="1">
        <f>IFERROR(__xludf.DUMMYFUNCTION("""COMPUTED_VALUE"""),0.0)</f>
        <v>0</v>
      </c>
      <c r="BK132" s="4">
        <f>IFERROR(__xludf.DUMMYFUNCTION("""COMPUTED_VALUE"""),100.0)</f>
        <v>100</v>
      </c>
      <c r="BL132" s="1">
        <f>IFERROR(__xludf.DUMMYFUNCTION("""COMPUTED_VALUE"""),980.0)</f>
        <v>980</v>
      </c>
      <c r="BM132" s="1">
        <f>IFERROR(__xludf.DUMMYFUNCTION("""COMPUTED_VALUE"""),41.0)</f>
        <v>41</v>
      </c>
      <c r="BN132" s="2">
        <f>IFERROR(__xludf.DUMMYFUNCTION("""COMPUTED_VALUE"""),45572.0)</f>
        <v>45572</v>
      </c>
      <c r="BO132" s="1">
        <f>IFERROR(__xludf.DUMMYFUNCTION("""COMPUTED_VALUE"""),10.0)</f>
        <v>10</v>
      </c>
      <c r="BP132" s="1">
        <f>IFERROR(__xludf.DUMMYFUNCTION("""COMPUTED_VALUE"""),2024.0)</f>
        <v>2024</v>
      </c>
    </row>
    <row r="133">
      <c r="A133" s="1">
        <f>IFERROR(__xludf.DUMMYFUNCTION("""COMPUTED_VALUE"""),132.0)</f>
        <v>132</v>
      </c>
      <c r="B133" s="1">
        <f>IFERROR(__xludf.DUMMYFUNCTION("""COMPUTED_VALUE"""),3359511.0)</f>
        <v>3359511</v>
      </c>
      <c r="C133" s="1" t="str">
        <f>IFERROR(__xludf.DUMMYFUNCTION("""COMPUTED_VALUE"""),"2025-1")</f>
        <v>2025-1</v>
      </c>
      <c r="D133" s="1" t="str">
        <f>IFERROR(__xludf.DUMMYFUNCTION("""COMPUTED_VALUE"""),"Admisión de Alto Rendimiento")</f>
        <v>Admisión de Alto Rendimiento</v>
      </c>
      <c r="E133" s="2">
        <f>IFERROR(__xludf.DUMMYFUNCTION("""COMPUTED_VALUE"""),45575.0)</f>
        <v>45575</v>
      </c>
      <c r="F133" s="1" t="str">
        <f>IFERROR(__xludf.DUMMYFUNCTION("""COMPUTED_VALUE""")," SARAI SALOME")</f>
        <v> SARAI SALOME</v>
      </c>
      <c r="G133" s="1" t="str">
        <f>IFERROR(__xludf.DUMMYFUNCTION("""COMPUTED_VALUE"""),"BAZALAR PEREZ")</f>
        <v>BAZALAR PEREZ</v>
      </c>
      <c r="H133" s="1" t="str">
        <f>IFERROR(__xludf.DUMMYFUNCTION("""COMPUTED_VALUE"""),"Comunicación Audiovisual y Cine")</f>
        <v>Comunicación Audiovisual y Cine</v>
      </c>
      <c r="I133" s="1" t="str">
        <f>IFERROR(__xludf.DUMMYFUNCTION("""COMPUTED_VALUE"""),"CARGO")</f>
        <v>CARGO</v>
      </c>
      <c r="J133" s="1" t="str">
        <f>IFERROR(__xludf.DUMMYFUNCTION("""COMPUTED_VALUE"""),"Diurno")</f>
        <v>Diurno</v>
      </c>
      <c r="K133" s="1" t="str">
        <f>IFERROR(__xludf.DUMMYFUNCTION("""COMPUTED_VALUE"""),"NUEVO")</f>
        <v>NUEVO</v>
      </c>
      <c r="L133" s="1">
        <f>IFERROR(__xludf.DUMMYFUNCTION("""COMPUTED_VALUE"""),0.0)</f>
        <v>0</v>
      </c>
      <c r="M133" s="1">
        <f>IFERROR(__xludf.DUMMYFUNCTION("""COMPUTED_VALUE"""),0.0)</f>
        <v>0</v>
      </c>
      <c r="N133" s="1" t="str">
        <f>IFERROR(__xludf.DUMMYFUNCTION("""COMPUTED_VALUE"""),"BECA")</f>
        <v>BECA</v>
      </c>
      <c r="O133" s="1" t="str">
        <f>IFERROR(__xludf.DUMMYFUNCTION("""COMPUTED_VALUE"""),"BECA CARRERAS CORE")</f>
        <v>BECA CARRERAS CORE</v>
      </c>
      <c r="P133" s="4">
        <f>IFERROR(__xludf.DUMMYFUNCTION("""COMPUTED_VALUE"""),0.0)</f>
        <v>0</v>
      </c>
      <c r="Q133" s="4">
        <f>IFERROR(__xludf.DUMMYFUNCTION("""COMPUTED_VALUE"""),0.0)</f>
        <v>0</v>
      </c>
      <c r="R133" s="4">
        <f>IFERROR(__xludf.DUMMYFUNCTION("""COMPUTED_VALUE"""),1600.0)</f>
        <v>1600</v>
      </c>
      <c r="S133" s="4">
        <f>IFERROR(__xludf.DUMMYFUNCTION("""COMPUTED_VALUE"""),1200.0)</f>
        <v>1200</v>
      </c>
      <c r="T133" s="1" t="str">
        <f>IFERROR(__xludf.DUMMYFUNCTION("""COMPUTED_VALUE"""),"NINGUNO")</f>
        <v>NINGUNO</v>
      </c>
      <c r="U133" s="1" t="str">
        <f>IFERROR(__xludf.DUMMYFUNCTION("""COMPUTED_VALUE"""),"FABIOLA")</f>
        <v>FABIOLA</v>
      </c>
      <c r="V133" s="1" t="str">
        <f>IFERROR(__xludf.DUMMYFUNCTION("""COMPUTED_VALUE"""),"Ninguno")</f>
        <v>Ninguno</v>
      </c>
      <c r="W133" s="1" t="str">
        <f>IFERROR(__xludf.DUMMYFUNCTION("""COMPUTED_VALUE"""),"Malla curricular")</f>
        <v>Malla curricular</v>
      </c>
      <c r="X133" s="1" t="str">
        <f>IFERROR(__xludf.DUMMYFUNCTION("""COMPUTED_VALUE"""),"-")</f>
        <v>-</v>
      </c>
      <c r="Y133" s="1" t="str">
        <f>IFERROR(__xludf.DUMMYFUNCTION("""COMPUTED_VALUE"""),"PAGO COMPLETO")</f>
        <v>PAGO COMPLETO</v>
      </c>
      <c r="Z133" s="1">
        <f>IFERROR(__xludf.DUMMYFUNCTION("""COMPUTED_VALUE"""),0.0)</f>
        <v>0</v>
      </c>
      <c r="AA133" s="1" t="str">
        <f>IFERROR(__xludf.DUMMYFUNCTION("""COMPUTED_VALUE"""),"-")</f>
        <v>-</v>
      </c>
      <c r="AB133" s="1">
        <f>IFERROR(__xludf.DUMMYFUNCTION("""COMPUTED_VALUE"""),0.0)</f>
        <v>0</v>
      </c>
      <c r="AC133" s="1">
        <f>IFERROR(__xludf.DUMMYFUNCTION("""COMPUTED_VALUE"""),0.0)</f>
        <v>0</v>
      </c>
      <c r="AD133" s="1" t="str">
        <f>IFERROR(__xludf.DUMMYFUNCTION("""COMPUTED_VALUE"""),"Stefano Napuri")</f>
        <v>Stefano Napuri</v>
      </c>
      <c r="AE133" s="1" t="str">
        <f>IFERROR(__xludf.DUMMYFUNCTION("""COMPUTED_VALUE"""),"0")</f>
        <v>0</v>
      </c>
      <c r="AF133" s="1">
        <f>IFERROR(__xludf.DUMMYFUNCTION("""COMPUTED_VALUE"""),2024.0)</f>
        <v>2024</v>
      </c>
      <c r="AG133" s="1">
        <f>IFERROR(__xludf.DUMMYFUNCTION("""COMPUTED_VALUE"""),1507706.0)</f>
        <v>1507706</v>
      </c>
      <c r="AH133" s="1">
        <f>IFERROR(__xludf.DUMMYFUNCTION("""COMPUTED_VALUE"""),17.0)</f>
        <v>17</v>
      </c>
      <c r="AI133" s="1" t="str">
        <f>IFERROR(__xludf.DUMMYFUNCTION("""COMPUTED_VALUE"""),"0000397307")</f>
        <v>0000397307</v>
      </c>
      <c r="AJ133" s="1">
        <f>IFERROR(__xludf.DUMMYFUNCTION("""COMPUTED_VALUE"""),6.2852959E7)</f>
        <v>62852959</v>
      </c>
      <c r="AK133" s="1">
        <f>IFERROR(__xludf.DUMMYFUNCTION("""COMPUTED_VALUE"""),9.33918877E8)</f>
        <v>933918877</v>
      </c>
      <c r="AL133" s="1" t="str">
        <f>IFERROR(__xludf.DUMMYFUNCTION("""COMPUTED_VALUE"""),"SARAIBPZZZ@gmail.com")</f>
        <v>SARAIBPZZZ@gmail.com</v>
      </c>
      <c r="AM133" s="1" t="str">
        <f>IFERROR(__xludf.DUMMYFUNCTION("""COMPUTED_VALUE"""),"FEMENINO")</f>
        <v>FEMENINO</v>
      </c>
      <c r="AN133" s="1">
        <f>IFERROR(__xludf.DUMMYFUNCTION("""COMPUTED_VALUE"""),1600.0)</f>
        <v>1600</v>
      </c>
      <c r="AO133" s="1">
        <f>IFERROR(__xludf.DUMMYFUNCTION("""COMPUTED_VALUE"""),695.0)</f>
        <v>695</v>
      </c>
      <c r="AP133" s="1" t="str">
        <f>IFERROR(__xludf.DUMMYFUNCTION("""COMPUTED_VALUE"""),"COLEGIOS")</f>
        <v>COLEGIOS</v>
      </c>
      <c r="AQ133" s="1" t="str">
        <f>IFERROR(__xludf.DUMMYFUNCTION("""COMPUTED_VALUE"""),"COLEGIOS")</f>
        <v>COLEGIOS</v>
      </c>
      <c r="AR133" s="1" t="str">
        <f>IFERROR(__xludf.DUMMYFUNCTION("""COMPUTED_VALUE"""),"NUEVO")</f>
        <v>NUEVO</v>
      </c>
      <c r="AS133" s="1"/>
      <c r="AT133" s="2">
        <f>IFERROR(__xludf.DUMMYFUNCTION("""COMPUTED_VALUE"""),45469.0)</f>
        <v>45469</v>
      </c>
      <c r="AU133" s="1">
        <f>IFERROR(__xludf.DUMMYFUNCTION("""COMPUTED_VALUE"""),1.0)</f>
        <v>1</v>
      </c>
      <c r="AV133" s="1" t="str">
        <f>IFERROR(__xludf.DUMMYFUNCTION("""COMPUTED_VALUE"""),"NUEVO")</f>
        <v>NUEVO</v>
      </c>
      <c r="AW133" s="1" t="str">
        <f>IFERROR(__xludf.DUMMYFUNCTION("""COMPUTED_VALUE"""),"SI")</f>
        <v>SI</v>
      </c>
      <c r="AX133" s="1"/>
      <c r="AY133" s="1" t="str">
        <f>IFERROR(__xludf.DUMMYFUNCTION("""COMPUTED_VALUE"""),"PAGO COMPLETO")</f>
        <v>PAGO COMPLETO</v>
      </c>
      <c r="AZ133" s="5">
        <f>IFERROR(__xludf.DUMMYFUNCTION("""COMPUTED_VALUE"""),45575.0)</f>
        <v>45575</v>
      </c>
      <c r="BA133" s="1">
        <f>IFERROR(__xludf.DUMMYFUNCTION("""COMPUTED_VALUE"""),0.0)</f>
        <v>0</v>
      </c>
      <c r="BB133" s="1">
        <f>IFERROR(__xludf.DUMMYFUNCTION("""COMPUTED_VALUE"""),0.0)</f>
        <v>0</v>
      </c>
      <c r="BC133" s="4">
        <f>IFERROR(__xludf.DUMMYFUNCTION("""COMPUTED_VALUE"""),0.0)</f>
        <v>0</v>
      </c>
      <c r="BD133" s="4">
        <f>IFERROR(__xludf.DUMMYFUNCTION("""COMPUTED_VALUE"""),0.0)</f>
        <v>0</v>
      </c>
      <c r="BE133" s="1">
        <f>IFERROR(__xludf.DUMMYFUNCTION("""COMPUTED_VALUE"""),10.0)</f>
        <v>10</v>
      </c>
      <c r="BF133" s="6">
        <f>IFERROR(__xludf.DUMMYFUNCTION("""COMPUTED_VALUE"""),1.0)</f>
        <v>1</v>
      </c>
      <c r="BG133" s="1">
        <f>IFERROR(__xludf.DUMMYFUNCTION("""COMPUTED_VALUE"""),1.0)</f>
        <v>1</v>
      </c>
      <c r="BH133" s="1" t="str">
        <f>IFERROR(__xludf.DUMMYFUNCTION("""COMPUTED_VALUE"""),"0")</f>
        <v>0</v>
      </c>
      <c r="BI133" s="4">
        <f>IFERROR(__xludf.DUMMYFUNCTION("""COMPUTED_VALUE"""),0.0)</f>
        <v>0</v>
      </c>
      <c r="BJ133" s="1">
        <f>IFERROR(__xludf.DUMMYFUNCTION("""COMPUTED_VALUE"""),0.0)</f>
        <v>0</v>
      </c>
      <c r="BK133" s="4">
        <f>IFERROR(__xludf.DUMMYFUNCTION("""COMPUTED_VALUE"""),0.0)</f>
        <v>0</v>
      </c>
      <c r="BL133" s="1">
        <f>IFERROR(__xludf.DUMMYFUNCTION("""COMPUTED_VALUE"""),1200.0)</f>
        <v>1200</v>
      </c>
      <c r="BM133" s="1">
        <f>IFERROR(__xludf.DUMMYFUNCTION("""COMPUTED_VALUE"""),41.0)</f>
        <v>41</v>
      </c>
      <c r="BN133" s="2">
        <f>IFERROR(__xludf.DUMMYFUNCTION("""COMPUTED_VALUE"""),45572.0)</f>
        <v>45572</v>
      </c>
      <c r="BO133" s="1">
        <f>IFERROR(__xludf.DUMMYFUNCTION("""COMPUTED_VALUE"""),10.0)</f>
        <v>10</v>
      </c>
      <c r="BP133" s="1">
        <f>IFERROR(__xludf.DUMMYFUNCTION("""COMPUTED_VALUE"""),2024.0)</f>
        <v>2024</v>
      </c>
    </row>
    <row r="134">
      <c r="A134" s="1">
        <f>IFERROR(__xludf.DUMMYFUNCTION("""COMPUTED_VALUE"""),133.0)</f>
        <v>133</v>
      </c>
      <c r="B134" s="1">
        <f>IFERROR(__xludf.DUMMYFUNCTION("""COMPUTED_VALUE"""),4509332.0)</f>
        <v>4509332</v>
      </c>
      <c r="C134" s="1" t="str">
        <f>IFERROR(__xludf.DUMMYFUNCTION("""COMPUTED_VALUE"""),"2025-1")</f>
        <v>2025-1</v>
      </c>
      <c r="D134" s="1" t="str">
        <f>IFERROR(__xludf.DUMMYFUNCTION("""COMPUTED_VALUE"""),"Admisión Extraordinaria (Traslados)")</f>
        <v>Admisión Extraordinaria (Traslados)</v>
      </c>
      <c r="E134" s="2">
        <f>IFERROR(__xludf.DUMMYFUNCTION("""COMPUTED_VALUE"""),45576.0)</f>
        <v>45576</v>
      </c>
      <c r="F134" s="1" t="str">
        <f>IFERROR(__xludf.DUMMYFUNCTION("""COMPUTED_VALUE"""),"ROMINA NATALY ")</f>
        <v>ROMINA NATALY </v>
      </c>
      <c r="G134" s="1" t="str">
        <f>IFERROR(__xludf.DUMMYFUNCTION("""COMPUTED_VALUE"""),"PACHECO FLORES")</f>
        <v>PACHECO FLORES</v>
      </c>
      <c r="H134" s="1" t="str">
        <f>IFERROR(__xludf.DUMMYFUNCTION("""COMPUTED_VALUE"""),"Comunicación y Publicidad Transmedia")</f>
        <v>Comunicación y Publicidad Transmedia</v>
      </c>
      <c r="I134" s="1" t="str">
        <f>IFERROR(__xludf.DUMMYFUNCTION("""COMPUTED_VALUE"""),"CARGO")</f>
        <v>CARGO</v>
      </c>
      <c r="J134" s="1" t="str">
        <f>IFERROR(__xludf.DUMMYFUNCTION("""COMPUTED_VALUE"""),"Diurno")</f>
        <v>Diurno</v>
      </c>
      <c r="K134" s="1" t="str">
        <f>IFERROR(__xludf.DUMMYFUNCTION("""COMPUTED_VALUE"""),"TRASLADO")</f>
        <v>TRASLADO</v>
      </c>
      <c r="L134" s="1">
        <f>IFERROR(__xludf.DUMMYFUNCTION("""COMPUTED_VALUE"""),1.0)</f>
        <v>1</v>
      </c>
      <c r="M134" s="1">
        <f>IFERROR(__xludf.DUMMYFUNCTION("""COMPUTED_VALUE"""),0.0)</f>
        <v>0</v>
      </c>
      <c r="N134" s="1" t="str">
        <f>IFERROR(__xludf.DUMMYFUNCTION("""COMPUTED_VALUE"""),"RECA")</f>
        <v>RECA</v>
      </c>
      <c r="O134" s="1" t="str">
        <f>IFERROR(__xludf.DUMMYFUNCTION("""COMPUTED_VALUE"""),"RECA TRASLADO CON CONVA")</f>
        <v>RECA TRASLADO CON CONVA</v>
      </c>
      <c r="P134" s="4">
        <f>IFERROR(__xludf.DUMMYFUNCTION("""COMPUTED_VALUE"""),0.0)</f>
        <v>0</v>
      </c>
      <c r="Q134" s="4">
        <f>IFERROR(__xludf.DUMMYFUNCTION("""COMPUTED_VALUE"""),0.0)</f>
        <v>0</v>
      </c>
      <c r="R134" s="4">
        <f>IFERROR(__xludf.DUMMYFUNCTION("""COMPUTED_VALUE"""),1600.0)</f>
        <v>1600</v>
      </c>
      <c r="S134" s="4">
        <f>IFERROR(__xludf.DUMMYFUNCTION("""COMPUTED_VALUE"""),900.0)</f>
        <v>900</v>
      </c>
      <c r="T134" s="1" t="str">
        <f>IFERROR(__xludf.DUMMYFUNCTION("""COMPUTED_VALUE"""),"NINGUNO")</f>
        <v>NINGUNO</v>
      </c>
      <c r="U134" s="1" t="str">
        <f>IFERROR(__xludf.DUMMYFUNCTION("""COMPUTED_VALUE"""),"FABIOLA")</f>
        <v>FABIOLA</v>
      </c>
      <c r="V134" s="1" t="str">
        <f>IFERROR(__xludf.DUMMYFUNCTION("""COMPUTED_VALUE"""),"Ninguno")</f>
        <v>Ninguno</v>
      </c>
      <c r="W134" s="1" t="str">
        <f>IFERROR(__xludf.DUMMYFUNCTION("""COMPUTED_VALUE"""),"Metodología de enseñanza")</f>
        <v>Metodología de enseñanza</v>
      </c>
      <c r="X134" s="1" t="str">
        <f>IFERROR(__xludf.DUMMYFUNCTION("""COMPUTED_VALUE"""),"-")</f>
        <v>-</v>
      </c>
      <c r="Y134" s="1" t="str">
        <f>IFERROR(__xludf.DUMMYFUNCTION("""COMPUTED_VALUE"""),"PAGO COMPLETO")</f>
        <v>PAGO COMPLETO</v>
      </c>
      <c r="Z134" s="1">
        <f>IFERROR(__xludf.DUMMYFUNCTION("""COMPUTED_VALUE"""),0.0)</f>
        <v>0</v>
      </c>
      <c r="AA134" s="1" t="str">
        <f>IFERROR(__xludf.DUMMYFUNCTION("""COMPUTED_VALUE"""),"-")</f>
        <v>-</v>
      </c>
      <c r="AB134" s="1">
        <f>IFERROR(__xludf.DUMMYFUNCTION("""COMPUTED_VALUE"""),0.0)</f>
        <v>0</v>
      </c>
      <c r="AC134" s="1">
        <f>IFERROR(__xludf.DUMMYFUNCTION("""COMPUTED_VALUE"""),0.0)</f>
        <v>0</v>
      </c>
      <c r="AD134" s="1" t="str">
        <f>IFERROR(__xludf.DUMMYFUNCTION("""COMPUTED_VALUE"""),"Ingrid Guillermo Rivera")</f>
        <v>Ingrid Guillermo Rivera</v>
      </c>
      <c r="AE134" s="1" t="str">
        <f>IFERROR(__xludf.DUMMYFUNCTION("""COMPUTED_VALUE"""),"Instituto Superior Tecnológico Latino")</f>
        <v>Instituto Superior Tecnológico Latino</v>
      </c>
      <c r="AF134" s="1">
        <f>IFERROR(__xludf.DUMMYFUNCTION("""COMPUTED_VALUE"""),2019.0)</f>
        <v>2019</v>
      </c>
      <c r="AG134" s="1">
        <f>IFERROR(__xludf.DUMMYFUNCTION("""COMPUTED_VALUE"""),1240894.0)</f>
        <v>1240894</v>
      </c>
      <c r="AH134" s="1">
        <f>IFERROR(__xludf.DUMMYFUNCTION("""COMPUTED_VALUE"""),21.0)</f>
        <v>21</v>
      </c>
      <c r="AI134" s="1" t="str">
        <f>IFERROR(__xludf.DUMMYFUNCTION("""COMPUTED_VALUE"""),"0000397569")</f>
        <v>0000397569</v>
      </c>
      <c r="AJ134" s="1">
        <f>IFERROR(__xludf.DUMMYFUNCTION("""COMPUTED_VALUE"""),7.4021354E7)</f>
        <v>74021354</v>
      </c>
      <c r="AK134" s="1">
        <f>IFERROR(__xludf.DUMMYFUNCTION("""COMPUTED_VALUE"""),9.68895529E8)</f>
        <v>968895529</v>
      </c>
      <c r="AL134" s="1" t="str">
        <f>IFERROR(__xludf.DUMMYFUNCTION("""COMPUTED_VALUE"""),"ROMINAPAF@gmail.com")</f>
        <v>ROMINAPAF@gmail.com</v>
      </c>
      <c r="AM134" s="1" t="str">
        <f>IFERROR(__xludf.DUMMYFUNCTION("""COMPUTED_VALUE"""),"FEMENINO")</f>
        <v>FEMENINO</v>
      </c>
      <c r="AN134" s="1">
        <f>IFERROR(__xludf.DUMMYFUNCTION("""COMPUTED_VALUE"""),1600.0)</f>
        <v>1600</v>
      </c>
      <c r="AO134" s="1">
        <f>IFERROR(__xludf.DUMMYFUNCTION("""COMPUTED_VALUE"""),420.0)</f>
        <v>420</v>
      </c>
      <c r="AP134" s="1" t="str">
        <f>IFERROR(__xludf.DUMMYFUNCTION("""COMPUTED_VALUE"""),"FORMULARIO")</f>
        <v>FORMULARIO</v>
      </c>
      <c r="AQ134" s="1" t="str">
        <f>IFERROR(__xludf.DUMMYFUNCTION("""COMPUTED_VALUE"""),"ORGANICO")</f>
        <v>ORGANICO</v>
      </c>
      <c r="AR134" s="1" t="str">
        <f>IFERROR(__xludf.DUMMYFUNCTION("""COMPUTED_VALUE"""),"NUEVO")</f>
        <v>NUEVO</v>
      </c>
      <c r="AS134" s="1"/>
      <c r="AT134" s="2">
        <f>IFERROR(__xludf.DUMMYFUNCTION("""COMPUTED_VALUE"""),45525.0)</f>
        <v>45525</v>
      </c>
      <c r="AU134" s="1">
        <f>IFERROR(__xludf.DUMMYFUNCTION("""COMPUTED_VALUE"""),1.0)</f>
        <v>1</v>
      </c>
      <c r="AV134" s="1" t="str">
        <f>IFERROR(__xludf.DUMMYFUNCTION("""COMPUTED_VALUE"""),"TRASLADO")</f>
        <v>TRASLADO</v>
      </c>
      <c r="AW134" s="1" t="str">
        <f>IFERROR(__xludf.DUMMYFUNCTION("""COMPUTED_VALUE"""),"SI")</f>
        <v>SI</v>
      </c>
      <c r="AX134" s="1"/>
      <c r="AY134" s="1" t="str">
        <f>IFERROR(__xludf.DUMMYFUNCTION("""COMPUTED_VALUE"""),"PAGO COMPLETO")</f>
        <v>PAGO COMPLETO</v>
      </c>
      <c r="AZ134" s="5">
        <f>IFERROR(__xludf.DUMMYFUNCTION("""COMPUTED_VALUE"""),45576.0)</f>
        <v>45576</v>
      </c>
      <c r="BA134" s="1">
        <f>IFERROR(__xludf.DUMMYFUNCTION("""COMPUTED_VALUE"""),0.0)</f>
        <v>0</v>
      </c>
      <c r="BB134" s="1">
        <f>IFERROR(__xludf.DUMMYFUNCTION("""COMPUTED_VALUE"""),0.0)</f>
        <v>0</v>
      </c>
      <c r="BC134" s="4">
        <f>IFERROR(__xludf.DUMMYFUNCTION("""COMPUTED_VALUE"""),0.0)</f>
        <v>0</v>
      </c>
      <c r="BD134" s="4">
        <f>IFERROR(__xludf.DUMMYFUNCTION("""COMPUTED_VALUE"""),0.0)</f>
        <v>0</v>
      </c>
      <c r="BE134" s="1">
        <f>IFERROR(__xludf.DUMMYFUNCTION("""COMPUTED_VALUE"""),10.0)</f>
        <v>10</v>
      </c>
      <c r="BF134" s="6">
        <f>IFERROR(__xludf.DUMMYFUNCTION("""COMPUTED_VALUE"""),1.0)</f>
        <v>1</v>
      </c>
      <c r="BG134" s="1">
        <f>IFERROR(__xludf.DUMMYFUNCTION("""COMPUTED_VALUE"""),1.0)</f>
        <v>1</v>
      </c>
      <c r="BH134" s="1" t="str">
        <f>IFERROR(__xludf.DUMMYFUNCTION("""COMPUTED_VALUE"""),"1")</f>
        <v>1</v>
      </c>
      <c r="BI134" s="4">
        <f>IFERROR(__xludf.DUMMYFUNCTION("""COMPUTED_VALUE"""),0.0)</f>
        <v>0</v>
      </c>
      <c r="BJ134" s="1">
        <f>IFERROR(__xludf.DUMMYFUNCTION("""COMPUTED_VALUE"""),0.0)</f>
        <v>0</v>
      </c>
      <c r="BK134" s="4">
        <f>IFERROR(__xludf.DUMMYFUNCTION("""COMPUTED_VALUE"""),0.0)</f>
        <v>0</v>
      </c>
      <c r="BL134" s="1">
        <f>IFERROR(__xludf.DUMMYFUNCTION("""COMPUTED_VALUE"""),900.0)</f>
        <v>900</v>
      </c>
      <c r="BM134" s="1">
        <f>IFERROR(__xludf.DUMMYFUNCTION("""COMPUTED_VALUE"""),41.0)</f>
        <v>41</v>
      </c>
      <c r="BN134" s="2">
        <f>IFERROR(__xludf.DUMMYFUNCTION("""COMPUTED_VALUE"""),45572.0)</f>
        <v>45572</v>
      </c>
      <c r="BO134" s="1">
        <f>IFERROR(__xludf.DUMMYFUNCTION("""COMPUTED_VALUE"""),10.0)</f>
        <v>10</v>
      </c>
      <c r="BP134" s="1">
        <f>IFERROR(__xludf.DUMMYFUNCTION("""COMPUTED_VALUE"""),2024.0)</f>
        <v>2024</v>
      </c>
    </row>
    <row r="135">
      <c r="A135" s="1">
        <f>IFERROR(__xludf.DUMMYFUNCTION("""COMPUTED_VALUE"""),134.0)</f>
        <v>134</v>
      </c>
      <c r="B135" s="1">
        <f>IFERROR(__xludf.DUMMYFUNCTION("""COMPUTED_VALUE"""),4422974.0)</f>
        <v>4422974</v>
      </c>
      <c r="C135" s="1" t="str">
        <f>IFERROR(__xludf.DUMMYFUNCTION("""COMPUTED_VALUE"""),"2025-1")</f>
        <v>2025-1</v>
      </c>
      <c r="D135" s="1" t="str">
        <f>IFERROR(__xludf.DUMMYFUNCTION("""COMPUTED_VALUE"""),"Admisión de Alto Rendimiento")</f>
        <v>Admisión de Alto Rendimiento</v>
      </c>
      <c r="E135" s="2">
        <f>IFERROR(__xludf.DUMMYFUNCTION("""COMPUTED_VALUE"""),45576.0)</f>
        <v>45576</v>
      </c>
      <c r="F135" s="1" t="str">
        <f>IFERROR(__xludf.DUMMYFUNCTION("""COMPUTED_VALUE"""),"RAFAEL LEANDRO")</f>
        <v>RAFAEL LEANDRO</v>
      </c>
      <c r="G135" s="1" t="str">
        <f>IFERROR(__xludf.DUMMYFUNCTION("""COMPUTED_VALUE"""),"DONGO BERAUN")</f>
        <v>DONGO BERAUN</v>
      </c>
      <c r="H135" s="1" t="str">
        <f>IFERROR(__xludf.DUMMYFUNCTION("""COMPUTED_VALUE"""),"Comunicación Audiovisual y Cine")</f>
        <v>Comunicación Audiovisual y Cine</v>
      </c>
      <c r="I135" s="1" t="str">
        <f>IFERROR(__xludf.DUMMYFUNCTION("""COMPUTED_VALUE"""),"POS")</f>
        <v>POS</v>
      </c>
      <c r="J135" s="1" t="str">
        <f>IFERROR(__xludf.DUMMYFUNCTION("""COMPUTED_VALUE"""),"Diurno")</f>
        <v>Diurno</v>
      </c>
      <c r="K135" s="1" t="str">
        <f>IFERROR(__xludf.DUMMYFUNCTION("""COMPUTED_VALUE"""),"NUEVO")</f>
        <v>NUEVO</v>
      </c>
      <c r="L135" s="1">
        <f>IFERROR(__xludf.DUMMYFUNCTION("""COMPUTED_VALUE"""),0.0)</f>
        <v>0</v>
      </c>
      <c r="M135" s="1">
        <f>IFERROR(__xludf.DUMMYFUNCTION("""COMPUTED_VALUE"""),0.0)</f>
        <v>0</v>
      </c>
      <c r="N135" s="1" t="str">
        <f>IFERROR(__xludf.DUMMYFUNCTION("""COMPUTED_VALUE"""),"BECA")</f>
        <v>BECA</v>
      </c>
      <c r="O135" s="1" t="str">
        <f>IFERROR(__xludf.DUMMYFUNCTION("""COMPUTED_VALUE"""),"BECA CADENA COLEGIOS")</f>
        <v>BECA CADENA COLEGIOS</v>
      </c>
      <c r="P135" s="4">
        <f>IFERROR(__xludf.DUMMYFUNCTION("""COMPUTED_VALUE"""),0.0)</f>
        <v>0</v>
      </c>
      <c r="Q135" s="4">
        <f>IFERROR(__xludf.DUMMYFUNCTION("""COMPUTED_VALUE"""),0.0)</f>
        <v>0</v>
      </c>
      <c r="R135" s="4">
        <f>IFERROR(__xludf.DUMMYFUNCTION("""COMPUTED_VALUE"""),1600.0)</f>
        <v>1600</v>
      </c>
      <c r="S135" s="4">
        <f>IFERROR(__xludf.DUMMYFUNCTION("""COMPUTED_VALUE"""),1200.0)</f>
        <v>1200</v>
      </c>
      <c r="T135" s="1" t="str">
        <f>IFERROR(__xludf.DUMMYFUNCTION("""COMPUTED_VALUE"""),"NINGUNO")</f>
        <v>NINGUNO</v>
      </c>
      <c r="U135" s="1" t="str">
        <f>IFERROR(__xludf.DUMMYFUNCTION("""COMPUTED_VALUE"""),"FABIOLA")</f>
        <v>FABIOLA</v>
      </c>
      <c r="V135" s="1" t="str">
        <f>IFERROR(__xludf.DUMMYFUNCTION("""COMPUTED_VALUE"""),"Ninguno")</f>
        <v>Ninguno</v>
      </c>
      <c r="W135" s="1" t="str">
        <f>IFERROR(__xludf.DUMMYFUNCTION("""COMPUTED_VALUE"""),"Metodología de enseñanza")</f>
        <v>Metodología de enseñanza</v>
      </c>
      <c r="X135" s="1" t="str">
        <f>IFERROR(__xludf.DUMMYFUNCTION("""COMPUTED_VALUE"""),"-")</f>
        <v>-</v>
      </c>
      <c r="Y135" s="1" t="str">
        <f>IFERROR(__xludf.DUMMYFUNCTION("""COMPUTED_VALUE"""),"PAGO FRACCIONADO")</f>
        <v>PAGO FRACCIONADO</v>
      </c>
      <c r="Z135" s="1">
        <f>IFERROR(__xludf.DUMMYFUNCTION("""COMPUTED_VALUE"""),600.0)</f>
        <v>600</v>
      </c>
      <c r="AA135" s="1" t="str">
        <f>IFERROR(__xludf.DUMMYFUNCTION("""COMPUTED_VALUE"""),"21/10/2024")</f>
        <v>21/10/2024</v>
      </c>
      <c r="AB135" s="1">
        <f>IFERROR(__xludf.DUMMYFUNCTION("""COMPUTED_VALUE"""),0.0)</f>
        <v>0</v>
      </c>
      <c r="AC135" s="1">
        <f>IFERROR(__xludf.DUMMYFUNCTION("""COMPUTED_VALUE"""),0.0)</f>
        <v>0</v>
      </c>
      <c r="AD135" s="1" t="str">
        <f>IFERROR(__xludf.DUMMYFUNCTION("""COMPUTED_VALUE"""),"Ingrid Guillermo Rivera")</f>
        <v>Ingrid Guillermo Rivera</v>
      </c>
      <c r="AE135" s="1" t="str">
        <f>IFERROR(__xludf.DUMMYFUNCTION("""COMPUTED_VALUE"""),"0")</f>
        <v>0</v>
      </c>
      <c r="AF135" s="1">
        <f>IFERROR(__xludf.DUMMYFUNCTION("""COMPUTED_VALUE"""),2024.0)</f>
        <v>2024</v>
      </c>
      <c r="AG135" s="1">
        <f>IFERROR(__xludf.DUMMYFUNCTION("""COMPUTED_VALUE"""),1507524.0)</f>
        <v>1507524</v>
      </c>
      <c r="AH135" s="1">
        <f>IFERROR(__xludf.DUMMYFUNCTION("""COMPUTED_VALUE"""),17.0)</f>
        <v>17</v>
      </c>
      <c r="AI135" s="1" t="str">
        <f>IFERROR(__xludf.DUMMYFUNCTION("""COMPUTED_VALUE"""),"0000397640")</f>
        <v>0000397640</v>
      </c>
      <c r="AJ135" s="1">
        <f>IFERROR(__xludf.DUMMYFUNCTION("""COMPUTED_VALUE"""),6.1046141E7)</f>
        <v>61046141</v>
      </c>
      <c r="AK135" s="1">
        <f>IFERROR(__xludf.DUMMYFUNCTION("""COMPUTED_VALUE"""),9.46114072E8)</f>
        <v>946114072</v>
      </c>
      <c r="AL135" s="1" t="str">
        <f>IFERROR(__xludf.DUMMYFUNCTION("""COMPUTED_VALUE"""),"maribera18ra@gmail.com")</f>
        <v>maribera18ra@gmail.com</v>
      </c>
      <c r="AM135" s="1" t="str">
        <f>IFERROR(__xludf.DUMMYFUNCTION("""COMPUTED_VALUE"""),"MASCULINO")</f>
        <v>MASCULINO</v>
      </c>
      <c r="AN135" s="1">
        <f>IFERROR(__xludf.DUMMYFUNCTION("""COMPUTED_VALUE"""),1600.0)</f>
        <v>1600</v>
      </c>
      <c r="AO135" s="1">
        <f>IFERROR(__xludf.DUMMYFUNCTION("""COMPUTED_VALUE"""),620.0)</f>
        <v>620</v>
      </c>
      <c r="AP135" s="1" t="str">
        <f>IFERROR(__xludf.DUMMYFUNCTION("""COMPUTED_VALUE"""),"OUTBOUND")</f>
        <v>OUTBOUND</v>
      </c>
      <c r="AQ135" s="1" t="str">
        <f>IFERROR(__xludf.DUMMYFUNCTION("""COMPUTED_VALUE"""),"OUTBOUND")</f>
        <v>OUTBOUND</v>
      </c>
      <c r="AR135" s="1" t="str">
        <f>IFERROR(__xludf.DUMMYFUNCTION("""COMPUTED_VALUE"""),"NUEVO")</f>
        <v>NUEVO</v>
      </c>
      <c r="AS135" s="1"/>
      <c r="AT135" s="2">
        <f>IFERROR(__xludf.DUMMYFUNCTION("""COMPUTED_VALUE"""),45512.0)</f>
        <v>45512</v>
      </c>
      <c r="AU135" s="1">
        <f>IFERROR(__xludf.DUMMYFUNCTION("""COMPUTED_VALUE"""),1.0)</f>
        <v>1</v>
      </c>
      <c r="AV135" s="1" t="str">
        <f>IFERROR(__xludf.DUMMYFUNCTION("""COMPUTED_VALUE"""),"NUEVO")</f>
        <v>NUEVO</v>
      </c>
      <c r="AW135" s="1" t="str">
        <f>IFERROR(__xludf.DUMMYFUNCTION("""COMPUTED_VALUE"""),"SI")</f>
        <v>SI</v>
      </c>
      <c r="AX135" s="1"/>
      <c r="AY135" s="1" t="str">
        <f>IFERROR(__xludf.DUMMYFUNCTION("""COMPUTED_VALUE"""),"PAGO COMPLETO")</f>
        <v>PAGO COMPLETO</v>
      </c>
      <c r="AZ135" s="5">
        <f>IFERROR(__xludf.DUMMYFUNCTION("""COMPUTED_VALUE"""),45588.0)</f>
        <v>45588</v>
      </c>
      <c r="BA135" s="1">
        <f>IFERROR(__xludf.DUMMYFUNCTION("""COMPUTED_VALUE"""),600.0)</f>
        <v>600</v>
      </c>
      <c r="BB135" s="1">
        <f>IFERROR(__xludf.DUMMYFUNCTION("""COMPUTED_VALUE"""),0.0)</f>
        <v>0</v>
      </c>
      <c r="BC135" s="4">
        <f>IFERROR(__xludf.DUMMYFUNCTION("""COMPUTED_VALUE"""),0.0)</f>
        <v>0</v>
      </c>
      <c r="BD135" s="4">
        <f>IFERROR(__xludf.DUMMYFUNCTION("""COMPUTED_VALUE"""),0.0)</f>
        <v>0</v>
      </c>
      <c r="BE135" s="1">
        <f>IFERROR(__xludf.DUMMYFUNCTION("""COMPUTED_VALUE"""),10.0)</f>
        <v>10</v>
      </c>
      <c r="BF135" s="6">
        <f>IFERROR(__xludf.DUMMYFUNCTION("""COMPUTED_VALUE"""),1.0)</f>
        <v>1</v>
      </c>
      <c r="BG135" s="1">
        <f>IFERROR(__xludf.DUMMYFUNCTION("""COMPUTED_VALUE"""),1.0)</f>
        <v>1</v>
      </c>
      <c r="BH135" s="1" t="str">
        <f>IFERROR(__xludf.DUMMYFUNCTION("""COMPUTED_VALUE"""),"0")</f>
        <v>0</v>
      </c>
      <c r="BI135" s="4">
        <f>IFERROR(__xludf.DUMMYFUNCTION("""COMPUTED_VALUE"""),1200.0)</f>
        <v>1200</v>
      </c>
      <c r="BJ135" s="1">
        <f>IFERROR(__xludf.DUMMYFUNCTION("""COMPUTED_VALUE"""),0.0)</f>
        <v>0</v>
      </c>
      <c r="BK135" s="4">
        <f>IFERROR(__xludf.DUMMYFUNCTION("""COMPUTED_VALUE"""),0.0)</f>
        <v>0</v>
      </c>
      <c r="BL135" s="1">
        <f>IFERROR(__xludf.DUMMYFUNCTION("""COMPUTED_VALUE"""),1200.0)</f>
        <v>1200</v>
      </c>
      <c r="BM135" s="1">
        <f>IFERROR(__xludf.DUMMYFUNCTION("""COMPUTED_VALUE"""),41.0)</f>
        <v>41</v>
      </c>
      <c r="BN135" s="2">
        <f>IFERROR(__xludf.DUMMYFUNCTION("""COMPUTED_VALUE"""),45572.0)</f>
        <v>45572</v>
      </c>
      <c r="BO135" s="1">
        <f>IFERROR(__xludf.DUMMYFUNCTION("""COMPUTED_VALUE"""),10.0)</f>
        <v>10</v>
      </c>
      <c r="BP135" s="1">
        <f>IFERROR(__xludf.DUMMYFUNCTION("""COMPUTED_VALUE"""),2024.0)</f>
        <v>2024</v>
      </c>
    </row>
    <row r="136">
      <c r="A136" s="1">
        <f>IFERROR(__xludf.DUMMYFUNCTION("""COMPUTED_VALUE"""),135.0)</f>
        <v>135</v>
      </c>
      <c r="B136" s="1">
        <f>IFERROR(__xludf.DUMMYFUNCTION("""COMPUTED_VALUE"""),4700323.0)</f>
        <v>4700323</v>
      </c>
      <c r="C136" s="1" t="str">
        <f>IFERROR(__xludf.DUMMYFUNCTION("""COMPUTED_VALUE"""),"2025-1")</f>
        <v>2025-1</v>
      </c>
      <c r="D136" s="1" t="str">
        <f>IFERROR(__xludf.DUMMYFUNCTION("""COMPUTED_VALUE"""),"Admisión de Alto Rendimiento")</f>
        <v>Admisión de Alto Rendimiento</v>
      </c>
      <c r="E136" s="2">
        <f>IFERROR(__xludf.DUMMYFUNCTION("""COMPUTED_VALUE"""),45577.0)</f>
        <v>45577</v>
      </c>
      <c r="F136" s="1" t="str">
        <f>IFERROR(__xludf.DUMMYFUNCTION("""COMPUTED_VALUE"""),"MARCELLO MANUEL")</f>
        <v>MARCELLO MANUEL</v>
      </c>
      <c r="G136" s="1" t="str">
        <f>IFERROR(__xludf.DUMMYFUNCTION("""COMPUTED_VALUE"""),"BOBBIO PINARES")</f>
        <v>BOBBIO PINARES</v>
      </c>
      <c r="H136" s="1" t="str">
        <f>IFERROR(__xludf.DUMMYFUNCTION("""COMPUTED_VALUE"""),"Diseño Gráfico Publicitario")</f>
        <v>Diseño Gráfico Publicitario</v>
      </c>
      <c r="I136" s="1" t="str">
        <f>IFERROR(__xludf.DUMMYFUNCTION("""COMPUTED_VALUE"""),"POS")</f>
        <v>POS</v>
      </c>
      <c r="J136" s="1" t="str">
        <f>IFERROR(__xludf.DUMMYFUNCTION("""COMPUTED_VALUE"""),"Diurno")</f>
        <v>Diurno</v>
      </c>
      <c r="K136" s="1" t="str">
        <f>IFERROR(__xludf.DUMMYFUNCTION("""COMPUTED_VALUE"""),"NUEVO")</f>
        <v>NUEVO</v>
      </c>
      <c r="L136" s="1">
        <f>IFERROR(__xludf.DUMMYFUNCTION("""COMPUTED_VALUE"""),0.0)</f>
        <v>0</v>
      </c>
      <c r="M136" s="1">
        <f>IFERROR(__xludf.DUMMYFUNCTION("""COMPUTED_VALUE"""),0.0)</f>
        <v>0</v>
      </c>
      <c r="N136" s="1" t="str">
        <f>IFERROR(__xludf.DUMMYFUNCTION("""COMPUTED_VALUE"""),"BECA")</f>
        <v>BECA</v>
      </c>
      <c r="O136" s="1" t="str">
        <f>IFERROR(__xludf.DUMMYFUNCTION("""COMPUTED_VALUE"""),"BECA CARRERAS CORE")</f>
        <v>BECA CARRERAS CORE</v>
      </c>
      <c r="P136" s="4">
        <f>IFERROR(__xludf.DUMMYFUNCTION("""COMPUTED_VALUE"""),0.0)</f>
        <v>0</v>
      </c>
      <c r="Q136" s="4">
        <f>IFERROR(__xludf.DUMMYFUNCTION("""COMPUTED_VALUE"""),0.0)</f>
        <v>0</v>
      </c>
      <c r="R136" s="4">
        <f>IFERROR(__xludf.DUMMYFUNCTION("""COMPUTED_VALUE"""),1150.0)</f>
        <v>1150</v>
      </c>
      <c r="S136" s="4">
        <f>IFERROR(__xludf.DUMMYFUNCTION("""COMPUTED_VALUE"""),950.0)</f>
        <v>950</v>
      </c>
      <c r="T136" s="1" t="str">
        <f>IFERROR(__xludf.DUMMYFUNCTION("""COMPUTED_VALUE"""),"Visita Guiada")</f>
        <v>Visita Guiada</v>
      </c>
      <c r="U136" s="1" t="str">
        <f>IFERROR(__xludf.DUMMYFUNCTION("""COMPUTED_VALUE"""),"FABIOLA")</f>
        <v>FABIOLA</v>
      </c>
      <c r="V136" s="1" t="str">
        <f>IFERROR(__xludf.DUMMYFUNCTION("""COMPUTED_VALUE"""),"Ninguno")</f>
        <v>Ninguno</v>
      </c>
      <c r="W136" s="1" t="str">
        <f>IFERROR(__xludf.DUMMYFUNCTION("""COMPUTED_VALUE"""),"Metodología de enseñanza")</f>
        <v>Metodología de enseñanza</v>
      </c>
      <c r="X136" s="1" t="str">
        <f>IFERROR(__xludf.DUMMYFUNCTION("""COMPUTED_VALUE"""),"le encanto la metodologia")</f>
        <v>le encanto la metodologia</v>
      </c>
      <c r="Y136" s="1" t="str">
        <f>IFERROR(__xludf.DUMMYFUNCTION("""COMPUTED_VALUE"""),"PAGO COMPLETO")</f>
        <v>PAGO COMPLETO</v>
      </c>
      <c r="Z136" s="1">
        <f>IFERROR(__xludf.DUMMYFUNCTION("""COMPUTED_VALUE"""),0.0)</f>
        <v>0</v>
      </c>
      <c r="AA136" s="1" t="str">
        <f>IFERROR(__xludf.DUMMYFUNCTION("""COMPUTED_VALUE"""),"-")</f>
        <v>-</v>
      </c>
      <c r="AB136" s="1">
        <f>IFERROR(__xludf.DUMMYFUNCTION("""COMPUTED_VALUE"""),0.0)</f>
        <v>0</v>
      </c>
      <c r="AC136" s="1">
        <f>IFERROR(__xludf.DUMMYFUNCTION("""COMPUTED_VALUE"""),0.0)</f>
        <v>0</v>
      </c>
      <c r="AD136" s="1" t="str">
        <f>IFERROR(__xludf.DUMMYFUNCTION("""COMPUTED_VALUE"""),"Cinthia Mariella Orosco")</f>
        <v>Cinthia Mariella Orosco</v>
      </c>
      <c r="AE136" s="1" t="str">
        <f>IFERROR(__xludf.DUMMYFUNCTION("""COMPUTED_VALUE"""),"0")</f>
        <v>0</v>
      </c>
      <c r="AF136" s="1">
        <f>IFERROR(__xludf.DUMMYFUNCTION("""COMPUTED_VALUE"""),2024.0)</f>
        <v>2024</v>
      </c>
      <c r="AG136" s="1">
        <f>IFERROR(__xludf.DUMMYFUNCTION("""COMPUTED_VALUE"""),1068238.0)</f>
        <v>1068238</v>
      </c>
      <c r="AH136" s="1">
        <f>IFERROR(__xludf.DUMMYFUNCTION("""COMPUTED_VALUE"""),17.0)</f>
        <v>17</v>
      </c>
      <c r="AI136" s="1" t="str">
        <f>IFERROR(__xludf.DUMMYFUNCTION("""COMPUTED_VALUE"""),"0000397701")</f>
        <v>0000397701</v>
      </c>
      <c r="AJ136" s="1">
        <f>IFERROR(__xludf.DUMMYFUNCTION("""COMPUTED_VALUE"""),7.1145309E7)</f>
        <v>71145309</v>
      </c>
      <c r="AK136" s="1">
        <f>IFERROR(__xludf.DUMMYFUNCTION("""COMPUTED_VALUE"""),9.36404104E8)</f>
        <v>936404104</v>
      </c>
      <c r="AL136" s="1" t="str">
        <f>IFERROR(__xludf.DUMMYFUNCTION("""COMPUTED_VALUE"""),"marcello.bobbio71@gmail.com")</f>
        <v>marcello.bobbio71@gmail.com</v>
      </c>
      <c r="AM136" s="1" t="str">
        <f>IFERROR(__xludf.DUMMYFUNCTION("""COMPUTED_VALUE"""),"FEMENINO")</f>
        <v>FEMENINO</v>
      </c>
      <c r="AN136" s="1">
        <f>IFERROR(__xludf.DUMMYFUNCTION("""COMPUTED_VALUE"""),1150.0)</f>
        <v>1150</v>
      </c>
      <c r="AO136" s="1">
        <f>IFERROR(__xludf.DUMMYFUNCTION("""COMPUTED_VALUE"""),0.0)</f>
        <v>0</v>
      </c>
      <c r="AP136" s="1" t="str">
        <f>IFERROR(__xludf.DUMMYFUNCTION("""COMPUTED_VALUE"""),"FORMULARIO")</f>
        <v>FORMULARIO</v>
      </c>
      <c r="AQ136" s="1" t="str">
        <f>IFERROR(__xludf.DUMMYFUNCTION("""COMPUTED_VALUE"""),"SEARCH MARCA")</f>
        <v>SEARCH MARCA</v>
      </c>
      <c r="AR136" s="1" t="str">
        <f>IFERROR(__xludf.DUMMYFUNCTION("""COMPUTED_VALUE"""),"HEREDADO")</f>
        <v>HEREDADO</v>
      </c>
      <c r="AS136" s="1" t="str">
        <f>IFERROR(__xludf.DUMMYFUNCTION("""COMPUTED_VALUE"""),"ucal-pg-performance-sedes-abierta-cpl-search_conversion_marca-20240401")</f>
        <v>ucal-pg-performance-sedes-abierta-cpl-search_conversion_marca-20240401</v>
      </c>
      <c r="AT136" s="2">
        <f>IFERROR(__xludf.DUMMYFUNCTION("""COMPUTED_VALUE"""),45563.0)</f>
        <v>45563</v>
      </c>
      <c r="AU136" s="1">
        <f>IFERROR(__xludf.DUMMYFUNCTION("""COMPUTED_VALUE"""),1.0)</f>
        <v>1</v>
      </c>
      <c r="AV136" s="1" t="str">
        <f>IFERROR(__xludf.DUMMYFUNCTION("""COMPUTED_VALUE"""),"NUEVO")</f>
        <v>NUEVO</v>
      </c>
      <c r="AW136" s="1" t="str">
        <f>IFERROR(__xludf.DUMMYFUNCTION("""COMPUTED_VALUE"""),"SI")</f>
        <v>SI</v>
      </c>
      <c r="AX136" s="1"/>
      <c r="AY136" s="1" t="str">
        <f>IFERROR(__xludf.DUMMYFUNCTION("""COMPUTED_VALUE"""),"PAGO COMPLETO")</f>
        <v>PAGO COMPLETO</v>
      </c>
      <c r="AZ136" s="5">
        <f>IFERROR(__xludf.DUMMYFUNCTION("""COMPUTED_VALUE"""),45577.0)</f>
        <v>45577</v>
      </c>
      <c r="BA136" s="1">
        <f>IFERROR(__xludf.DUMMYFUNCTION("""COMPUTED_VALUE"""),0.0)</f>
        <v>0</v>
      </c>
      <c r="BB136" s="1">
        <f>IFERROR(__xludf.DUMMYFUNCTION("""COMPUTED_VALUE"""),0.0)</f>
        <v>0</v>
      </c>
      <c r="BC136" s="4">
        <f>IFERROR(__xludf.DUMMYFUNCTION("""COMPUTED_VALUE"""),0.0)</f>
        <v>0</v>
      </c>
      <c r="BD136" s="4">
        <f>IFERROR(__xludf.DUMMYFUNCTION("""COMPUTED_VALUE"""),100.0)</f>
        <v>100</v>
      </c>
      <c r="BE136" s="1">
        <f>IFERROR(__xludf.DUMMYFUNCTION("""COMPUTED_VALUE"""),10.0)</f>
        <v>10</v>
      </c>
      <c r="BF136" s="6">
        <f>IFERROR(__xludf.DUMMYFUNCTION("""COMPUTED_VALUE"""),1.0)</f>
        <v>1</v>
      </c>
      <c r="BG136" s="1">
        <f>IFERROR(__xludf.DUMMYFUNCTION("""COMPUTED_VALUE"""),1.0)</f>
        <v>1</v>
      </c>
      <c r="BH136" s="1" t="str">
        <f>IFERROR(__xludf.DUMMYFUNCTION("""COMPUTED_VALUE"""),"0")</f>
        <v>0</v>
      </c>
      <c r="BI136" s="4">
        <f>IFERROR(__xludf.DUMMYFUNCTION("""COMPUTED_VALUE"""),100.0)</f>
        <v>100</v>
      </c>
      <c r="BJ136" s="1">
        <f>IFERROR(__xludf.DUMMYFUNCTION("""COMPUTED_VALUE"""),0.0)</f>
        <v>0</v>
      </c>
      <c r="BK136" s="4">
        <f>IFERROR(__xludf.DUMMYFUNCTION("""COMPUTED_VALUE"""),100.0)</f>
        <v>100</v>
      </c>
      <c r="BL136" s="1">
        <f>IFERROR(__xludf.DUMMYFUNCTION("""COMPUTED_VALUE"""),930.0)</f>
        <v>930</v>
      </c>
      <c r="BM136" s="1">
        <f>IFERROR(__xludf.DUMMYFUNCTION("""COMPUTED_VALUE"""),41.0)</f>
        <v>41</v>
      </c>
      <c r="BN136" s="2">
        <f>IFERROR(__xludf.DUMMYFUNCTION("""COMPUTED_VALUE"""),45572.0)</f>
        <v>45572</v>
      </c>
      <c r="BO136" s="1">
        <f>IFERROR(__xludf.DUMMYFUNCTION("""COMPUTED_VALUE"""),10.0)</f>
        <v>10</v>
      </c>
      <c r="BP136" s="1">
        <f>IFERROR(__xludf.DUMMYFUNCTION("""COMPUTED_VALUE"""),2024.0)</f>
        <v>2024</v>
      </c>
    </row>
    <row r="137">
      <c r="A137" s="1">
        <f>IFERROR(__xludf.DUMMYFUNCTION("""COMPUTED_VALUE"""),136.0)</f>
        <v>136</v>
      </c>
      <c r="B137" s="1">
        <f>IFERROR(__xludf.DUMMYFUNCTION("""COMPUTED_VALUE"""),4699716.0)</f>
        <v>4699716</v>
      </c>
      <c r="C137" s="1" t="str">
        <f>IFERROR(__xludf.DUMMYFUNCTION("""COMPUTED_VALUE"""),"2025-1")</f>
        <v>2025-1</v>
      </c>
      <c r="D137" s="1" t="str">
        <f>IFERROR(__xludf.DUMMYFUNCTION("""COMPUTED_VALUE"""),"Admisión de Alto Rendimiento")</f>
        <v>Admisión de Alto Rendimiento</v>
      </c>
      <c r="E137" s="2">
        <f>IFERROR(__xludf.DUMMYFUNCTION("""COMPUTED_VALUE"""),45577.0)</f>
        <v>45577</v>
      </c>
      <c r="F137" s="1" t="str">
        <f>IFERROR(__xludf.DUMMYFUNCTION("""COMPUTED_VALUE"""),"ANTONIO ROBERTO ")</f>
        <v>ANTONIO ROBERTO </v>
      </c>
      <c r="G137" s="1" t="str">
        <f>IFERROR(__xludf.DUMMYFUNCTION("""COMPUTED_VALUE"""),"OSORIO REJAS")</f>
        <v>OSORIO REJAS</v>
      </c>
      <c r="H137" s="1" t="str">
        <f>IFERROR(__xludf.DUMMYFUNCTION("""COMPUTED_VALUE"""),"Comunicación Audiovisual y Cine")</f>
        <v>Comunicación Audiovisual y Cine</v>
      </c>
      <c r="I137" s="1" t="str">
        <f>IFERROR(__xludf.DUMMYFUNCTION("""COMPUTED_VALUE"""),"POS")</f>
        <v>POS</v>
      </c>
      <c r="J137" s="1" t="str">
        <f>IFERROR(__xludf.DUMMYFUNCTION("""COMPUTED_VALUE"""),"Diurno")</f>
        <v>Diurno</v>
      </c>
      <c r="K137" s="1" t="str">
        <f>IFERROR(__xludf.DUMMYFUNCTION("""COMPUTED_VALUE"""),"NUEVO")</f>
        <v>NUEVO</v>
      </c>
      <c r="L137" s="1">
        <f>IFERROR(__xludf.DUMMYFUNCTION("""COMPUTED_VALUE"""),0.0)</f>
        <v>0</v>
      </c>
      <c r="M137" s="1">
        <f>IFERROR(__xludf.DUMMYFUNCTION("""COMPUTED_VALUE"""),0.0)</f>
        <v>0</v>
      </c>
      <c r="N137" s="1" t="str">
        <f>IFERROR(__xludf.DUMMYFUNCTION("""COMPUTED_VALUE"""),"RECA")</f>
        <v>RECA</v>
      </c>
      <c r="O137" s="1" t="str">
        <f>IFERROR(__xludf.DUMMYFUNCTION("""COMPUTED_VALUE"""),"RECATEGORIZACIÓN")</f>
        <v>RECATEGORIZACIÓN</v>
      </c>
      <c r="P137" s="4">
        <f>IFERROR(__xludf.DUMMYFUNCTION("""COMPUTED_VALUE"""),0.0)</f>
        <v>0</v>
      </c>
      <c r="Q137" s="4">
        <f>IFERROR(__xludf.DUMMYFUNCTION("""COMPUTED_VALUE"""),0.0)</f>
        <v>0</v>
      </c>
      <c r="R137" s="4">
        <f>IFERROR(__xludf.DUMMYFUNCTION("""COMPUTED_VALUE"""),1600.0)</f>
        <v>1600</v>
      </c>
      <c r="S137" s="4">
        <f>IFERROR(__xludf.DUMMYFUNCTION("""COMPUTED_VALUE"""),1200.0)</f>
        <v>1200</v>
      </c>
      <c r="T137" s="1" t="str">
        <f>IFERROR(__xludf.DUMMYFUNCTION("""COMPUTED_VALUE"""),"NINGUNO")</f>
        <v>NINGUNO</v>
      </c>
      <c r="U137" s="1" t="str">
        <f>IFERROR(__xludf.DUMMYFUNCTION("""COMPUTED_VALUE"""),"FABIOLA")</f>
        <v>FABIOLA</v>
      </c>
      <c r="V137" s="1" t="str">
        <f>IFERROR(__xludf.DUMMYFUNCTION("""COMPUTED_VALUE"""),"Ninguno")</f>
        <v>Ninguno</v>
      </c>
      <c r="W137" s="1" t="str">
        <f>IFERROR(__xludf.DUMMYFUNCTION("""COMPUTED_VALUE"""),"Metodología de enseñanza")</f>
        <v>Metodología de enseñanza</v>
      </c>
      <c r="X137" s="1" t="str">
        <f>IFERROR(__xludf.DUMMYFUNCTION("""COMPUTED_VALUE"""),"le gusta que no tendrá que llevar tantas matemáticas")</f>
        <v>le gusta que no tendrá que llevar tantas matemáticas</v>
      </c>
      <c r="Y137" s="1" t="str">
        <f>IFERROR(__xludf.DUMMYFUNCTION("""COMPUTED_VALUE"""),"PAGO COMPLETO")</f>
        <v>PAGO COMPLETO</v>
      </c>
      <c r="Z137" s="1">
        <f>IFERROR(__xludf.DUMMYFUNCTION("""COMPUTED_VALUE"""),0.0)</f>
        <v>0</v>
      </c>
      <c r="AA137" s="1" t="str">
        <f>IFERROR(__xludf.DUMMYFUNCTION("""COMPUTED_VALUE"""),"-")</f>
        <v>-</v>
      </c>
      <c r="AB137" s="1">
        <f>IFERROR(__xludf.DUMMYFUNCTION("""COMPUTED_VALUE"""),0.0)</f>
        <v>0</v>
      </c>
      <c r="AC137" s="1">
        <f>IFERROR(__xludf.DUMMYFUNCTION("""COMPUTED_VALUE"""),0.0)</f>
        <v>0</v>
      </c>
      <c r="AD137" s="1" t="str">
        <f>IFERROR(__xludf.DUMMYFUNCTION("""COMPUTED_VALUE"""),"Cinthia Mariella Orosco")</f>
        <v>Cinthia Mariella Orosco</v>
      </c>
      <c r="AE137" s="1" t="str">
        <f>IFERROR(__xludf.DUMMYFUNCTION("""COMPUTED_VALUE"""),"0")</f>
        <v>0</v>
      </c>
      <c r="AF137" s="1">
        <f>IFERROR(__xludf.DUMMYFUNCTION("""COMPUTED_VALUE"""),2024.0)</f>
        <v>2024</v>
      </c>
      <c r="AG137" s="1">
        <f>IFERROR(__xludf.DUMMYFUNCTION("""COMPUTED_VALUE"""),1789635.0)</f>
        <v>1789635</v>
      </c>
      <c r="AH137" s="1">
        <f>IFERROR(__xludf.DUMMYFUNCTION("""COMPUTED_VALUE"""),17.0)</f>
        <v>17</v>
      </c>
      <c r="AI137" s="1" t="str">
        <f>IFERROR(__xludf.DUMMYFUNCTION("""COMPUTED_VALUE"""),"0000397677")</f>
        <v>0000397677</v>
      </c>
      <c r="AJ137" s="1">
        <f>IFERROR(__xludf.DUMMYFUNCTION("""COMPUTED_VALUE"""),7.0742826E7)</f>
        <v>70742826</v>
      </c>
      <c r="AK137" s="1">
        <f>IFERROR(__xludf.DUMMYFUNCTION("""COMPUTED_VALUE"""),9.19522459E8)</f>
        <v>919522459</v>
      </c>
      <c r="AL137" s="1" t="str">
        <f>IFERROR(__xludf.DUMMYFUNCTION("""COMPUTED_VALUE"""),"ar16osorior2@gmail.com")</f>
        <v>ar16osorior2@gmail.com</v>
      </c>
      <c r="AM137" s="1" t="str">
        <f>IFERROR(__xludf.DUMMYFUNCTION("""COMPUTED_VALUE"""),"MASCULINO")</f>
        <v>MASCULINO</v>
      </c>
      <c r="AN137" s="1">
        <f>IFERROR(__xludf.DUMMYFUNCTION("""COMPUTED_VALUE"""),1600.0)</f>
        <v>1600</v>
      </c>
      <c r="AO137" s="1">
        <f>IFERROR(__xludf.DUMMYFUNCTION("""COMPUTED_VALUE"""),457.0)</f>
        <v>457</v>
      </c>
      <c r="AP137" s="1" t="str">
        <f>IFERROR(__xludf.DUMMYFUNCTION("""COMPUTED_VALUE"""),"FORMULARIO")</f>
        <v>FORMULARIO</v>
      </c>
      <c r="AQ137" s="1" t="str">
        <f>IFERROR(__xludf.DUMMYFUNCTION("""COMPUTED_VALUE"""),"SEARCH MARCA")</f>
        <v>SEARCH MARCA</v>
      </c>
      <c r="AR137" s="1" t="str">
        <f>IFERROR(__xludf.DUMMYFUNCTION("""COMPUTED_VALUE"""),"NUEVO")</f>
        <v>NUEVO</v>
      </c>
      <c r="AS137" s="1" t="str">
        <f>IFERROR(__xludf.DUMMYFUNCTION("""COMPUTED_VALUE"""),"ucal-pg-performance-sedes-abierta-cpl-search_conversion_marca-20240401")</f>
        <v>ucal-pg-performance-sedes-abierta-cpl-search_conversion_marca-20240401</v>
      </c>
      <c r="AT137" s="2">
        <f>IFERROR(__xludf.DUMMYFUNCTION("""COMPUTED_VALUE"""),45563.0)</f>
        <v>45563</v>
      </c>
      <c r="AU137" s="1">
        <f>IFERROR(__xludf.DUMMYFUNCTION("""COMPUTED_VALUE"""),1.0)</f>
        <v>1</v>
      </c>
      <c r="AV137" s="1" t="str">
        <f>IFERROR(__xludf.DUMMYFUNCTION("""COMPUTED_VALUE"""),"NUEVO")</f>
        <v>NUEVO</v>
      </c>
      <c r="AW137" s="1" t="str">
        <f>IFERROR(__xludf.DUMMYFUNCTION("""COMPUTED_VALUE"""),"SI")</f>
        <v>SI</v>
      </c>
      <c r="AX137" s="1"/>
      <c r="AY137" s="1" t="str">
        <f>IFERROR(__xludf.DUMMYFUNCTION("""COMPUTED_VALUE"""),"PAGO COMPLETO")</f>
        <v>PAGO COMPLETO</v>
      </c>
      <c r="AZ137" s="5">
        <f>IFERROR(__xludf.DUMMYFUNCTION("""COMPUTED_VALUE"""),45577.0)</f>
        <v>45577</v>
      </c>
      <c r="BA137" s="1">
        <f>IFERROR(__xludf.DUMMYFUNCTION("""COMPUTED_VALUE"""),0.0)</f>
        <v>0</v>
      </c>
      <c r="BB137" s="1">
        <f>IFERROR(__xludf.DUMMYFUNCTION("""COMPUTED_VALUE"""),0.0)</f>
        <v>0</v>
      </c>
      <c r="BC137" s="4">
        <f>IFERROR(__xludf.DUMMYFUNCTION("""COMPUTED_VALUE"""),0.0)</f>
        <v>0</v>
      </c>
      <c r="BD137" s="4">
        <f>IFERROR(__xludf.DUMMYFUNCTION("""COMPUTED_VALUE"""),0.0)</f>
        <v>0</v>
      </c>
      <c r="BE137" s="1">
        <f>IFERROR(__xludf.DUMMYFUNCTION("""COMPUTED_VALUE"""),10.0)</f>
        <v>10</v>
      </c>
      <c r="BF137" s="6">
        <f>IFERROR(__xludf.DUMMYFUNCTION("""COMPUTED_VALUE"""),1.0)</f>
        <v>1</v>
      </c>
      <c r="BG137" s="1">
        <f>IFERROR(__xludf.DUMMYFUNCTION("""COMPUTED_VALUE"""),1.0)</f>
        <v>1</v>
      </c>
      <c r="BH137" s="1" t="str">
        <f>IFERROR(__xludf.DUMMYFUNCTION("""COMPUTED_VALUE"""),"0")</f>
        <v>0</v>
      </c>
      <c r="BI137" s="4">
        <f>IFERROR(__xludf.DUMMYFUNCTION("""COMPUTED_VALUE"""),0.0)</f>
        <v>0</v>
      </c>
      <c r="BJ137" s="1">
        <f>IFERROR(__xludf.DUMMYFUNCTION("""COMPUTED_VALUE"""),0.0)</f>
        <v>0</v>
      </c>
      <c r="BK137" s="4">
        <f>IFERROR(__xludf.DUMMYFUNCTION("""COMPUTED_VALUE"""),0.0)</f>
        <v>0</v>
      </c>
      <c r="BL137" s="1">
        <f>IFERROR(__xludf.DUMMYFUNCTION("""COMPUTED_VALUE"""),1200.0)</f>
        <v>1200</v>
      </c>
      <c r="BM137" s="1">
        <f>IFERROR(__xludf.DUMMYFUNCTION("""COMPUTED_VALUE"""),41.0)</f>
        <v>41</v>
      </c>
      <c r="BN137" s="2">
        <f>IFERROR(__xludf.DUMMYFUNCTION("""COMPUTED_VALUE"""),45572.0)</f>
        <v>45572</v>
      </c>
      <c r="BO137" s="1">
        <f>IFERROR(__xludf.DUMMYFUNCTION("""COMPUTED_VALUE"""),10.0)</f>
        <v>10</v>
      </c>
      <c r="BP137" s="1">
        <f>IFERROR(__xludf.DUMMYFUNCTION("""COMPUTED_VALUE"""),2024.0)</f>
        <v>2024</v>
      </c>
    </row>
    <row r="138">
      <c r="A138" s="1">
        <f>IFERROR(__xludf.DUMMYFUNCTION("""COMPUTED_VALUE"""),137.0)</f>
        <v>137</v>
      </c>
      <c r="B138" s="1">
        <f>IFERROR(__xludf.DUMMYFUNCTION("""COMPUTED_VALUE"""),4714265.0)</f>
        <v>4714265</v>
      </c>
      <c r="C138" s="1" t="str">
        <f>IFERROR(__xludf.DUMMYFUNCTION("""COMPUTED_VALUE"""),"2025-1")</f>
        <v>2025-1</v>
      </c>
      <c r="D138" s="1" t="str">
        <f>IFERROR(__xludf.DUMMYFUNCTION("""COMPUTED_VALUE"""),"Admisión de Alto Rendimiento")</f>
        <v>Admisión de Alto Rendimiento</v>
      </c>
      <c r="E138" s="2">
        <f>IFERROR(__xludf.DUMMYFUNCTION("""COMPUTED_VALUE"""),45578.0)</f>
        <v>45578</v>
      </c>
      <c r="F138" s="1" t="str">
        <f>IFERROR(__xludf.DUMMYFUNCTION("""COMPUTED_VALUE"""),"DALYS MIRELLA")</f>
        <v>DALYS MIRELLA</v>
      </c>
      <c r="G138" s="1" t="str">
        <f>IFERROR(__xludf.DUMMYFUNCTION("""COMPUTED_VALUE"""),"CCAHUANCAMA CUSIHUAMAN")</f>
        <v>CCAHUANCAMA CUSIHUAMAN</v>
      </c>
      <c r="H138" s="1" t="str">
        <f>IFERROR(__xludf.DUMMYFUNCTION("""COMPUTED_VALUE"""),"Comunicación Audiovisual y Cine")</f>
        <v>Comunicación Audiovisual y Cine</v>
      </c>
      <c r="I138" s="1" t="str">
        <f>IFERROR(__xludf.DUMMYFUNCTION("""COMPUTED_VALUE"""),"Pago Link")</f>
        <v>Pago Link</v>
      </c>
      <c r="J138" s="1" t="str">
        <f>IFERROR(__xludf.DUMMYFUNCTION("""COMPUTED_VALUE"""),"Diurno")</f>
        <v>Diurno</v>
      </c>
      <c r="K138" s="1" t="str">
        <f>IFERROR(__xludf.DUMMYFUNCTION("""COMPUTED_VALUE"""),"NUEVO")</f>
        <v>NUEVO</v>
      </c>
      <c r="L138" s="1">
        <f>IFERROR(__xludf.DUMMYFUNCTION("""COMPUTED_VALUE"""),0.0)</f>
        <v>0</v>
      </c>
      <c r="M138" s="1">
        <f>IFERROR(__xludf.DUMMYFUNCTION("""COMPUTED_VALUE"""),0.0)</f>
        <v>0</v>
      </c>
      <c r="N138" s="1" t="str">
        <f>IFERROR(__xludf.DUMMYFUNCTION("""COMPUTED_VALUE"""),"BECA")</f>
        <v>BECA</v>
      </c>
      <c r="O138" s="1" t="str">
        <f>IFERROR(__xludf.DUMMYFUNCTION("""COMPUTED_VALUE"""),"BECA CARRERAS CORE")</f>
        <v>BECA CARRERAS CORE</v>
      </c>
      <c r="P138" s="4">
        <f>IFERROR(__xludf.DUMMYFUNCTION("""COMPUTED_VALUE"""),0.0)</f>
        <v>0</v>
      </c>
      <c r="Q138" s="4">
        <f>IFERROR(__xludf.DUMMYFUNCTION("""COMPUTED_VALUE"""),0.0)</f>
        <v>0</v>
      </c>
      <c r="R138" s="4">
        <f>IFERROR(__xludf.DUMMYFUNCTION("""COMPUTED_VALUE"""),1525.0)</f>
        <v>1525</v>
      </c>
      <c r="S138" s="4">
        <f>IFERROR(__xludf.DUMMYFUNCTION("""COMPUTED_VALUE"""),1250.0)</f>
        <v>1250</v>
      </c>
      <c r="T138" s="1" t="str">
        <f>IFERROR(__xludf.DUMMYFUNCTION("""COMPUTED_VALUE"""),"NINGUNO")</f>
        <v>NINGUNO</v>
      </c>
      <c r="U138" s="1" t="str">
        <f>IFERROR(__xludf.DUMMYFUNCTION("""COMPUTED_VALUE"""),"FABIOLA")</f>
        <v>FABIOLA</v>
      </c>
      <c r="V138" s="1" t="str">
        <f>IFERROR(__xludf.DUMMYFUNCTION("""COMPUTED_VALUE"""),"Ninguno")</f>
        <v>Ninguno</v>
      </c>
      <c r="W138" s="1" t="str">
        <f>IFERROR(__xludf.DUMMYFUNCTION("""COMPUTED_VALUE"""),"Metodología de enseñanza")</f>
        <v>Metodología de enseñanza</v>
      </c>
      <c r="X138" s="1" t="str">
        <f>IFERROR(__xludf.DUMMYFUNCTION("""COMPUTED_VALUE"""),"-")</f>
        <v>-</v>
      </c>
      <c r="Y138" s="1" t="str">
        <f>IFERROR(__xludf.DUMMYFUNCTION("""COMPUTED_VALUE"""),"PAGO FRACCIONADO")</f>
        <v>PAGO FRACCIONADO</v>
      </c>
      <c r="Z138" s="1">
        <f>IFERROR(__xludf.DUMMYFUNCTION("""COMPUTED_VALUE"""),625.0)</f>
        <v>625</v>
      </c>
      <c r="AA138" s="1" t="str">
        <f>IFERROR(__xludf.DUMMYFUNCTION("""COMPUTED_VALUE"""),"29/10/2024")</f>
        <v>29/10/2024</v>
      </c>
      <c r="AB138" s="1">
        <f>IFERROR(__xludf.DUMMYFUNCTION("""COMPUTED_VALUE"""),1.0)</f>
        <v>1</v>
      </c>
      <c r="AC138" s="1">
        <f>IFERROR(__xludf.DUMMYFUNCTION("""COMPUTED_VALUE"""),0.0)</f>
        <v>0</v>
      </c>
      <c r="AD138" s="1" t="str">
        <f>IFERROR(__xludf.DUMMYFUNCTION("""COMPUTED_VALUE"""),"Ingrid Guillermo Rivera")</f>
        <v>Ingrid Guillermo Rivera</v>
      </c>
      <c r="AE138" s="1" t="str">
        <f>IFERROR(__xludf.DUMMYFUNCTION("""COMPUTED_VALUE"""),"0")</f>
        <v>0</v>
      </c>
      <c r="AF138" s="1">
        <f>IFERROR(__xludf.DUMMYFUNCTION("""COMPUTED_VALUE"""),2024.0)</f>
        <v>2024</v>
      </c>
      <c r="AG138" s="1">
        <f>IFERROR(__xludf.DUMMYFUNCTION("""COMPUTED_VALUE"""),556258.0)</f>
        <v>556258</v>
      </c>
      <c r="AH138" s="1">
        <f>IFERROR(__xludf.DUMMYFUNCTION("""COMPUTED_VALUE"""),17.0)</f>
        <v>17</v>
      </c>
      <c r="AI138" s="1" t="str">
        <f>IFERROR(__xludf.DUMMYFUNCTION("""COMPUTED_VALUE"""),"0000397759")</f>
        <v>0000397759</v>
      </c>
      <c r="AJ138" s="1">
        <f>IFERROR(__xludf.DUMMYFUNCTION("""COMPUTED_VALUE"""),7.0735402E7)</f>
        <v>70735402</v>
      </c>
      <c r="AK138" s="1">
        <f>IFERROR(__xludf.DUMMYFUNCTION("""COMPUTED_VALUE"""),9.15371123E8)</f>
        <v>915371123</v>
      </c>
      <c r="AL138" s="1" t="str">
        <f>IFERROR(__xludf.DUMMYFUNCTION("""COMPUTED_VALUE"""),"dalys.ddd@gmail.com")</f>
        <v>dalys.ddd@gmail.com</v>
      </c>
      <c r="AM138" s="1" t="str">
        <f>IFERROR(__xludf.DUMMYFUNCTION("""COMPUTED_VALUE"""),"FEMENINO")</f>
        <v>FEMENINO</v>
      </c>
      <c r="AN138" s="1">
        <f>IFERROR(__xludf.DUMMYFUNCTION("""COMPUTED_VALUE"""),1775.0)</f>
        <v>1775</v>
      </c>
      <c r="AO138" s="1">
        <f>IFERROR(__xludf.DUMMYFUNCTION("""COMPUTED_VALUE"""),400.0)</f>
        <v>400</v>
      </c>
      <c r="AP138" s="1" t="str">
        <f>IFERROR(__xludf.DUMMYFUNCTION("""COMPUTED_VALUE"""),"FORMULARIO")</f>
        <v>FORMULARIO</v>
      </c>
      <c r="AQ138" s="1" t="str">
        <f>IFERROR(__xludf.DUMMYFUNCTION("""COMPUTED_VALUE"""),"SEARCH MARCA")</f>
        <v>SEARCH MARCA</v>
      </c>
      <c r="AR138" s="1" t="str">
        <f>IFERROR(__xludf.DUMMYFUNCTION("""COMPUTED_VALUE"""),"NUEVO")</f>
        <v>NUEVO</v>
      </c>
      <c r="AS138" s="1" t="str">
        <f>IFERROR(__xludf.DUMMYFUNCTION("""COMPUTED_VALUE"""),"ucal-pg-performance-sedes-abierta-cpl-search_conversion_marca-20240401")</f>
        <v>ucal-pg-performance-sedes-abierta-cpl-search_conversion_marca-20240401</v>
      </c>
      <c r="AT138" s="2">
        <f>IFERROR(__xludf.DUMMYFUNCTION("""COMPUTED_VALUE"""),45570.0)</f>
        <v>45570</v>
      </c>
      <c r="AU138" s="1">
        <f>IFERROR(__xludf.DUMMYFUNCTION("""COMPUTED_VALUE"""),1.0)</f>
        <v>1</v>
      </c>
      <c r="AV138" s="1" t="str">
        <f>IFERROR(__xludf.DUMMYFUNCTION("""COMPUTED_VALUE"""),"NUEVO")</f>
        <v>NUEVO</v>
      </c>
      <c r="AW138" s="1" t="str">
        <f>IFERROR(__xludf.DUMMYFUNCTION("""COMPUTED_VALUE"""),"SI")</f>
        <v>SI</v>
      </c>
      <c r="AX138" s="1"/>
      <c r="AY138" s="1" t="str">
        <f>IFERROR(__xludf.DUMMYFUNCTION("""COMPUTED_VALUE"""),"PAGO COMPLETO")</f>
        <v>PAGO COMPLETO</v>
      </c>
      <c r="AZ138" s="5">
        <f>IFERROR(__xludf.DUMMYFUNCTION("""COMPUTED_VALUE"""),45595.0)</f>
        <v>45595</v>
      </c>
      <c r="BA138" s="1">
        <f>IFERROR(__xludf.DUMMYFUNCTION("""COMPUTED_VALUE"""),625.0)</f>
        <v>625</v>
      </c>
      <c r="BB138" s="1">
        <f>IFERROR(__xludf.DUMMYFUNCTION("""COMPUTED_VALUE"""),0.0)</f>
        <v>0</v>
      </c>
      <c r="BC138" s="4">
        <f>IFERROR(__xludf.DUMMYFUNCTION("""COMPUTED_VALUE"""),0.0)</f>
        <v>0</v>
      </c>
      <c r="BD138" s="4">
        <f>IFERROR(__xludf.DUMMYFUNCTION("""COMPUTED_VALUE"""),0.0)</f>
        <v>0</v>
      </c>
      <c r="BE138" s="1">
        <f>IFERROR(__xludf.DUMMYFUNCTION("""COMPUTED_VALUE"""),10.0)</f>
        <v>10</v>
      </c>
      <c r="BF138" s="6">
        <f>IFERROR(__xludf.DUMMYFUNCTION("""COMPUTED_VALUE"""),1.0)</f>
        <v>1</v>
      </c>
      <c r="BG138" s="1">
        <f>IFERROR(__xludf.DUMMYFUNCTION("""COMPUTED_VALUE"""),1.0)</f>
        <v>1</v>
      </c>
      <c r="BH138" s="1" t="str">
        <f>IFERROR(__xludf.DUMMYFUNCTION("""COMPUTED_VALUE"""),"0")</f>
        <v>0</v>
      </c>
      <c r="BI138" s="4">
        <f>IFERROR(__xludf.DUMMYFUNCTION("""COMPUTED_VALUE"""),1250.0)</f>
        <v>1250</v>
      </c>
      <c r="BJ138" s="1">
        <f>IFERROR(__xludf.DUMMYFUNCTION("""COMPUTED_VALUE"""),0.0)</f>
        <v>0</v>
      </c>
      <c r="BK138" s="4">
        <f>IFERROR(__xludf.DUMMYFUNCTION("""COMPUTED_VALUE"""),0.0)</f>
        <v>0</v>
      </c>
      <c r="BL138" s="1">
        <f>IFERROR(__xludf.DUMMYFUNCTION("""COMPUTED_VALUE"""),1250.0)</f>
        <v>1250</v>
      </c>
      <c r="BM138" s="1">
        <f>IFERROR(__xludf.DUMMYFUNCTION("""COMPUTED_VALUE"""),41.0)</f>
        <v>41</v>
      </c>
      <c r="BN138" s="2">
        <f>IFERROR(__xludf.DUMMYFUNCTION("""COMPUTED_VALUE"""),45572.0)</f>
        <v>45572</v>
      </c>
      <c r="BO138" s="1">
        <f>IFERROR(__xludf.DUMMYFUNCTION("""COMPUTED_VALUE"""),10.0)</f>
        <v>10</v>
      </c>
      <c r="BP138" s="1">
        <f>IFERROR(__xludf.DUMMYFUNCTION("""COMPUTED_VALUE"""),2024.0)</f>
        <v>2024</v>
      </c>
    </row>
    <row r="139">
      <c r="A139" s="1">
        <f>IFERROR(__xludf.DUMMYFUNCTION("""COMPUTED_VALUE"""),138.0)</f>
        <v>138</v>
      </c>
      <c r="B139" s="1">
        <f>IFERROR(__xludf.DUMMYFUNCTION("""COMPUTED_VALUE"""),4743001.0)</f>
        <v>4743001</v>
      </c>
      <c r="C139" s="1" t="str">
        <f>IFERROR(__xludf.DUMMYFUNCTION("""COMPUTED_VALUE"""),"2025-1")</f>
        <v>2025-1</v>
      </c>
      <c r="D139" s="1" t="str">
        <f>IFERROR(__xludf.DUMMYFUNCTION("""COMPUTED_VALUE"""),"Admisión de Alto Rendimiento")</f>
        <v>Admisión de Alto Rendimiento</v>
      </c>
      <c r="E139" s="2">
        <f>IFERROR(__xludf.DUMMYFUNCTION("""COMPUTED_VALUE"""),45578.0)</f>
        <v>45578</v>
      </c>
      <c r="F139" s="1" t="str">
        <f>IFERROR(__xludf.DUMMYFUNCTION("""COMPUTED_VALUE"""),"BELINDA HADE")</f>
        <v>BELINDA HADE</v>
      </c>
      <c r="G139" s="1" t="str">
        <f>IFERROR(__xludf.DUMMYFUNCTION("""COMPUTED_VALUE"""),"BARREDA MEDRANO")</f>
        <v>BARREDA MEDRANO</v>
      </c>
      <c r="H139" s="1" t="str">
        <f>IFERROR(__xludf.DUMMYFUNCTION("""COMPUTED_VALUE"""),"Administración y Marketing")</f>
        <v>Administración y Marketing</v>
      </c>
      <c r="I139" s="1" t="str">
        <f>IFERROR(__xludf.DUMMYFUNCTION("""COMPUTED_VALUE"""),"Pago Link")</f>
        <v>Pago Link</v>
      </c>
      <c r="J139" s="1" t="str">
        <f>IFERROR(__xludf.DUMMYFUNCTION("""COMPUTED_VALUE"""),"Diurno")</f>
        <v>Diurno</v>
      </c>
      <c r="K139" s="1" t="str">
        <f>IFERROR(__xludf.DUMMYFUNCTION("""COMPUTED_VALUE"""),"NUEVO")</f>
        <v>NUEVO</v>
      </c>
      <c r="L139" s="1">
        <f>IFERROR(__xludf.DUMMYFUNCTION("""COMPUTED_VALUE"""),0.0)</f>
        <v>0</v>
      </c>
      <c r="M139" s="1">
        <f>IFERROR(__xludf.DUMMYFUNCTION("""COMPUTED_VALUE"""),0.0)</f>
        <v>0</v>
      </c>
      <c r="N139" s="1" t="str">
        <f>IFERROR(__xludf.DUMMYFUNCTION("""COMPUTED_VALUE"""),"BECA")</f>
        <v>BECA</v>
      </c>
      <c r="O139" s="1" t="str">
        <f>IFERROR(__xludf.DUMMYFUNCTION("""COMPUTED_VALUE"""),"BECA CARRERAS NUEVAS")</f>
        <v>BECA CARRERAS NUEVAS</v>
      </c>
      <c r="P139" s="4">
        <f>IFERROR(__xludf.DUMMYFUNCTION("""COMPUTED_VALUE"""),0.0)</f>
        <v>0</v>
      </c>
      <c r="Q139" s="4">
        <f>IFERROR(__xludf.DUMMYFUNCTION("""COMPUTED_VALUE"""),0.0)</f>
        <v>0</v>
      </c>
      <c r="R139" s="4">
        <f>IFERROR(__xludf.DUMMYFUNCTION("""COMPUTED_VALUE"""),1350.0)</f>
        <v>1350</v>
      </c>
      <c r="S139" s="4">
        <f>IFERROR(__xludf.DUMMYFUNCTION("""COMPUTED_VALUE"""),1000.0)</f>
        <v>1000</v>
      </c>
      <c r="T139" s="1" t="str">
        <f>IFERROR(__xludf.DUMMYFUNCTION("""COMPUTED_VALUE"""),"NINGUNO")</f>
        <v>NINGUNO</v>
      </c>
      <c r="U139" s="1" t="str">
        <f>IFERROR(__xludf.DUMMYFUNCTION("""COMPUTED_VALUE"""),"FABIOLA")</f>
        <v>FABIOLA</v>
      </c>
      <c r="V139" s="1" t="str">
        <f>IFERROR(__xludf.DUMMYFUNCTION("""COMPUTED_VALUE"""),"Ninguno")</f>
        <v>Ninguno</v>
      </c>
      <c r="W139" s="1" t="str">
        <f>IFERROR(__xludf.DUMMYFUNCTION("""COMPUTED_VALUE"""),"Malla curricular")</f>
        <v>Malla curricular</v>
      </c>
      <c r="X139" s="1" t="str">
        <f>IFERROR(__xludf.DUMMYFUNCTION("""COMPUTED_VALUE"""),"-")</f>
        <v>-</v>
      </c>
      <c r="Y139" s="1" t="str">
        <f>IFERROR(__xludf.DUMMYFUNCTION("""COMPUTED_VALUE"""),"PAGO FRACCIONADO")</f>
        <v>PAGO FRACCIONADO</v>
      </c>
      <c r="Z139" s="1">
        <f>IFERROR(__xludf.DUMMYFUNCTION("""COMPUTED_VALUE"""),500.0)</f>
        <v>500</v>
      </c>
      <c r="AA139" s="1" t="str">
        <f>IFERROR(__xludf.DUMMYFUNCTION("""COMPUTED_VALUE"""),"30/11/2024")</f>
        <v>30/11/2024</v>
      </c>
      <c r="AB139" s="1">
        <f>IFERROR(__xludf.DUMMYFUNCTION("""COMPUTED_VALUE"""),0.0)</f>
        <v>0</v>
      </c>
      <c r="AC139" s="1">
        <f>IFERROR(__xludf.DUMMYFUNCTION("""COMPUTED_VALUE"""),0.0)</f>
        <v>0</v>
      </c>
      <c r="AD139" s="1" t="str">
        <f>IFERROR(__xludf.DUMMYFUNCTION("""COMPUTED_VALUE"""),"Angelica Iparraguirre")</f>
        <v>Angelica Iparraguirre</v>
      </c>
      <c r="AE139" s="1" t="str">
        <f>IFERROR(__xludf.DUMMYFUNCTION("""COMPUTED_VALUE"""),"0")</f>
        <v>0</v>
      </c>
      <c r="AF139" s="1">
        <f>IFERROR(__xludf.DUMMYFUNCTION("""COMPUTED_VALUE"""),2023.0)</f>
        <v>2023</v>
      </c>
      <c r="AG139" s="1">
        <f>IFERROR(__xludf.DUMMYFUNCTION("""COMPUTED_VALUE"""),743781.0)</f>
        <v>743781</v>
      </c>
      <c r="AH139" s="1">
        <f>IFERROR(__xludf.DUMMYFUNCTION("""COMPUTED_VALUE"""),18.0)</f>
        <v>18</v>
      </c>
      <c r="AI139" s="1" t="str">
        <f>IFERROR(__xludf.DUMMYFUNCTION("""COMPUTED_VALUE"""),"0000397735")</f>
        <v>0000397735</v>
      </c>
      <c r="AJ139" s="1">
        <f>IFERROR(__xludf.DUMMYFUNCTION("""COMPUTED_VALUE"""),6.0872515E7)</f>
        <v>60872515</v>
      </c>
      <c r="AK139" s="1">
        <f>IFERROR(__xludf.DUMMYFUNCTION("""COMPUTED_VALUE"""),9.43840217E8)</f>
        <v>943840217</v>
      </c>
      <c r="AL139" s="1" t="str">
        <f>IFERROR(__xludf.DUMMYFUNCTION("""COMPUTED_VALUE"""),"barreda.belinda15@gmail.com")</f>
        <v>barreda.belinda15@gmail.com</v>
      </c>
      <c r="AM139" s="1" t="str">
        <f>IFERROR(__xludf.DUMMYFUNCTION("""COMPUTED_VALUE"""),"FEMENINO")</f>
        <v>FEMENINO</v>
      </c>
      <c r="AN139" s="1">
        <f>IFERROR(__xludf.DUMMYFUNCTION("""COMPUTED_VALUE"""),1350.0)</f>
        <v>1350</v>
      </c>
      <c r="AO139" s="1">
        <f>IFERROR(__xludf.DUMMYFUNCTION("""COMPUTED_VALUE"""),0.0)</f>
        <v>0</v>
      </c>
      <c r="AP139" s="1" t="str">
        <f>IFERROR(__xludf.DUMMYFUNCTION("""COMPUTED_VALUE"""),"BIDIRECCIONAL")</f>
        <v>BIDIRECCIONAL</v>
      </c>
      <c r="AQ139" s="1" t="str">
        <f>IFERROR(__xludf.DUMMYFUNCTION("""COMPUTED_VALUE"""),"ORGANICO")</f>
        <v>ORGANICO</v>
      </c>
      <c r="AR139" s="1" t="str">
        <f>IFERROR(__xludf.DUMMYFUNCTION("""COMPUTED_VALUE"""),"NUEVO")</f>
        <v>NUEVO</v>
      </c>
      <c r="AS139" s="1"/>
      <c r="AT139" s="2">
        <f>IFERROR(__xludf.DUMMYFUNCTION("""COMPUTED_VALUE"""),45574.0)</f>
        <v>45574</v>
      </c>
      <c r="AU139" s="1">
        <f>IFERROR(__xludf.DUMMYFUNCTION("""COMPUTED_VALUE"""),1.0)</f>
        <v>1</v>
      </c>
      <c r="AV139" s="1" t="str">
        <f>IFERROR(__xludf.DUMMYFUNCTION("""COMPUTED_VALUE"""),"NUEVO")</f>
        <v>NUEVO</v>
      </c>
      <c r="AW139" s="1" t="str">
        <f>IFERROR(__xludf.DUMMYFUNCTION("""COMPUTED_VALUE"""),"SI")</f>
        <v>SI</v>
      </c>
      <c r="AX139" s="1"/>
      <c r="AY139" s="1" t="str">
        <f>IFERROR(__xludf.DUMMYFUNCTION("""COMPUTED_VALUE"""),"PAGO COMPLETO")</f>
        <v>PAGO COMPLETO</v>
      </c>
      <c r="AZ139" s="5">
        <f>IFERROR(__xludf.DUMMYFUNCTION("""COMPUTED_VALUE"""),45630.0)</f>
        <v>45630</v>
      </c>
      <c r="BA139" s="1">
        <f>IFERROR(__xludf.DUMMYFUNCTION("""COMPUTED_VALUE"""),500.0)</f>
        <v>500</v>
      </c>
      <c r="BB139" s="1">
        <f>IFERROR(__xludf.DUMMYFUNCTION("""COMPUTED_VALUE"""),0.0)</f>
        <v>0</v>
      </c>
      <c r="BC139" s="4">
        <f>IFERROR(__xludf.DUMMYFUNCTION("""COMPUTED_VALUE"""),0.0)</f>
        <v>0</v>
      </c>
      <c r="BD139" s="4">
        <f>IFERROR(__xludf.DUMMYFUNCTION("""COMPUTED_VALUE"""),0.0)</f>
        <v>0</v>
      </c>
      <c r="BE139" s="1">
        <f>IFERROR(__xludf.DUMMYFUNCTION("""COMPUTED_VALUE"""),10.0)</f>
        <v>10</v>
      </c>
      <c r="BF139" s="6">
        <f>IFERROR(__xludf.DUMMYFUNCTION("""COMPUTED_VALUE"""),1.0)</f>
        <v>1</v>
      </c>
      <c r="BG139" s="1">
        <f>IFERROR(__xludf.DUMMYFUNCTION("""COMPUTED_VALUE"""),1.0)</f>
        <v>1</v>
      </c>
      <c r="BH139" s="1" t="str">
        <f>IFERROR(__xludf.DUMMYFUNCTION("""COMPUTED_VALUE"""),"0")</f>
        <v>0</v>
      </c>
      <c r="BI139" s="4">
        <f>IFERROR(__xludf.DUMMYFUNCTION("""COMPUTED_VALUE"""),1000.0)</f>
        <v>1000</v>
      </c>
      <c r="BJ139" s="1">
        <f>IFERROR(__xludf.DUMMYFUNCTION("""COMPUTED_VALUE"""),0.0)</f>
        <v>0</v>
      </c>
      <c r="BK139" s="4">
        <f>IFERROR(__xludf.DUMMYFUNCTION("""COMPUTED_VALUE"""),0.0)</f>
        <v>0</v>
      </c>
      <c r="BL139" s="1">
        <f>IFERROR(__xludf.DUMMYFUNCTION("""COMPUTED_VALUE"""),1000.0)</f>
        <v>1000</v>
      </c>
      <c r="BM139" s="1">
        <f>IFERROR(__xludf.DUMMYFUNCTION("""COMPUTED_VALUE"""),41.0)</f>
        <v>41</v>
      </c>
      <c r="BN139" s="2">
        <f>IFERROR(__xludf.DUMMYFUNCTION("""COMPUTED_VALUE"""),45572.0)</f>
        <v>45572</v>
      </c>
      <c r="BO139" s="1">
        <f>IFERROR(__xludf.DUMMYFUNCTION("""COMPUTED_VALUE"""),10.0)</f>
        <v>10</v>
      </c>
      <c r="BP139" s="1">
        <f>IFERROR(__xludf.DUMMYFUNCTION("""COMPUTED_VALUE"""),2024.0)</f>
        <v>2024</v>
      </c>
    </row>
    <row r="140">
      <c r="A140" s="1">
        <f>IFERROR(__xludf.DUMMYFUNCTION("""COMPUTED_VALUE"""),139.0)</f>
        <v>139</v>
      </c>
      <c r="B140" s="1">
        <f>IFERROR(__xludf.DUMMYFUNCTION("""COMPUTED_VALUE"""),4719331.0)</f>
        <v>4719331</v>
      </c>
      <c r="C140" s="1" t="str">
        <f>IFERROR(__xludf.DUMMYFUNCTION("""COMPUTED_VALUE"""),"2025-1")</f>
        <v>2025-1</v>
      </c>
      <c r="D140" s="1" t="str">
        <f>IFERROR(__xludf.DUMMYFUNCTION("""COMPUTED_VALUE"""),"Admisión Ordinaria")</f>
        <v>Admisión Ordinaria</v>
      </c>
      <c r="E140" s="2">
        <f>IFERROR(__xludf.DUMMYFUNCTION("""COMPUTED_VALUE"""),45579.0)</f>
        <v>45579</v>
      </c>
      <c r="F140" s="1" t="str">
        <f>IFERROR(__xludf.DUMMYFUNCTION("""COMPUTED_VALUE"""),"BRYTANNY NICOLL")</f>
        <v>BRYTANNY NICOLL</v>
      </c>
      <c r="G140" s="1" t="str">
        <f>IFERROR(__xludf.DUMMYFUNCTION("""COMPUTED_VALUE"""),"GARRAFA GARIBAY")</f>
        <v>GARRAFA GARIBAY</v>
      </c>
      <c r="H140" s="1" t="str">
        <f>IFERROR(__xludf.DUMMYFUNCTION("""COMPUTED_VALUE"""),"Arquitectura de Interiores")</f>
        <v>Arquitectura de Interiores</v>
      </c>
      <c r="I140" s="1" t="str">
        <f>IFERROR(__xludf.DUMMYFUNCTION("""COMPUTED_VALUE"""),"POS")</f>
        <v>POS</v>
      </c>
      <c r="J140" s="1" t="str">
        <f>IFERROR(__xludf.DUMMYFUNCTION("""COMPUTED_VALUE"""),"Diurno")</f>
        <v>Diurno</v>
      </c>
      <c r="K140" s="1" t="str">
        <f>IFERROR(__xludf.DUMMYFUNCTION("""COMPUTED_VALUE"""),"NUEVO")</f>
        <v>NUEVO</v>
      </c>
      <c r="L140" s="1">
        <f>IFERROR(__xludf.DUMMYFUNCTION("""COMPUTED_VALUE"""),0.0)</f>
        <v>0</v>
      </c>
      <c r="M140" s="1">
        <f>IFERROR(__xludf.DUMMYFUNCTION("""COMPUTED_VALUE"""),0.0)</f>
        <v>0</v>
      </c>
      <c r="N140" s="1" t="str">
        <f>IFERROR(__xludf.DUMMYFUNCTION("""COMPUTED_VALUE"""),"BECA")</f>
        <v>BECA</v>
      </c>
      <c r="O140" s="1" t="str">
        <f>IFERROR(__xludf.DUMMYFUNCTION("""COMPUTED_VALUE"""),"BECA CARRERAS CORE")</f>
        <v>BECA CARRERAS CORE</v>
      </c>
      <c r="P140" s="4">
        <f>IFERROR(__xludf.DUMMYFUNCTION("""COMPUTED_VALUE"""),0.0)</f>
        <v>0</v>
      </c>
      <c r="Q140" s="4">
        <f>IFERROR(__xludf.DUMMYFUNCTION("""COMPUTED_VALUE"""),0.0)</f>
        <v>0</v>
      </c>
      <c r="R140" s="4">
        <f>IFERROR(__xludf.DUMMYFUNCTION("""COMPUTED_VALUE"""),1150.0)</f>
        <v>1150</v>
      </c>
      <c r="S140" s="4">
        <f>IFERROR(__xludf.DUMMYFUNCTION("""COMPUTED_VALUE"""),950.0)</f>
        <v>950</v>
      </c>
      <c r="T140" s="1" t="str">
        <f>IFERROR(__xludf.DUMMYFUNCTION("""COMPUTED_VALUE"""),"NINGUNO")</f>
        <v>NINGUNO</v>
      </c>
      <c r="U140" s="1" t="str">
        <f>IFERROR(__xludf.DUMMYFUNCTION("""COMPUTED_VALUE"""),"FABIOLA")</f>
        <v>FABIOLA</v>
      </c>
      <c r="V140" s="1" t="str">
        <f>IFERROR(__xludf.DUMMYFUNCTION("""COMPUTED_VALUE"""),"Ninguno")</f>
        <v>Ninguno</v>
      </c>
      <c r="W140" s="1" t="str">
        <f>IFERROR(__xludf.DUMMYFUNCTION("""COMPUTED_VALUE"""),"Metodología de enseñanza")</f>
        <v>Metodología de enseñanza</v>
      </c>
      <c r="X140" s="1" t="str">
        <f>IFERROR(__xludf.DUMMYFUNCTION("""COMPUTED_VALUE"""),"-")</f>
        <v>-</v>
      </c>
      <c r="Y140" s="1" t="str">
        <f>IFERROR(__xludf.DUMMYFUNCTION("""COMPUTED_VALUE"""),"PAGO FRACCIONADO")</f>
        <v>PAGO FRACCIONADO</v>
      </c>
      <c r="Z140" s="1">
        <f>IFERROR(__xludf.DUMMYFUNCTION("""COMPUTED_VALUE"""),475.0)</f>
        <v>475</v>
      </c>
      <c r="AA140" s="1" t="str">
        <f>IFERROR(__xludf.DUMMYFUNCTION("""COMPUTED_VALUE"""),"29/10/2024")</f>
        <v>29/10/2024</v>
      </c>
      <c r="AB140" s="1">
        <f>IFERROR(__xludf.DUMMYFUNCTION("""COMPUTED_VALUE"""),0.0)</f>
        <v>0</v>
      </c>
      <c r="AC140" s="1">
        <f>IFERROR(__xludf.DUMMYFUNCTION("""COMPUTED_VALUE"""),0.0)</f>
        <v>0</v>
      </c>
      <c r="AD140" s="1" t="str">
        <f>IFERROR(__xludf.DUMMYFUNCTION("""COMPUTED_VALUE"""),"Ingrid Guillermo Rivera")</f>
        <v>Ingrid Guillermo Rivera</v>
      </c>
      <c r="AE140" s="1" t="str">
        <f>IFERROR(__xludf.DUMMYFUNCTION("""COMPUTED_VALUE"""),"0")</f>
        <v>0</v>
      </c>
      <c r="AF140" s="1">
        <f>IFERROR(__xludf.DUMMYFUNCTION("""COMPUTED_VALUE"""),2020.0)</f>
        <v>2020</v>
      </c>
      <c r="AG140" s="1">
        <f>IFERROR(__xludf.DUMMYFUNCTION("""COMPUTED_VALUE"""),1724632.0)</f>
        <v>1724632</v>
      </c>
      <c r="AH140" s="1">
        <f>IFERROR(__xludf.DUMMYFUNCTION("""COMPUTED_VALUE"""),21.0)</f>
        <v>21</v>
      </c>
      <c r="AI140" s="1" t="str">
        <f>IFERROR(__xludf.DUMMYFUNCTION("""COMPUTED_VALUE"""),"0000397785")</f>
        <v>0000397785</v>
      </c>
      <c r="AJ140" s="1">
        <f>IFERROR(__xludf.DUMMYFUNCTION("""COMPUTED_VALUE"""),7.5443657E7)</f>
        <v>75443657</v>
      </c>
      <c r="AK140" s="1">
        <f>IFERROR(__xludf.DUMMYFUNCTION("""COMPUTED_VALUE"""),9.17857133E8)</f>
        <v>917857133</v>
      </c>
      <c r="AL140" s="1" t="str">
        <f>IFERROR(__xludf.DUMMYFUNCTION("""COMPUTED_VALUE"""),"NICO.GTAMASHIRO@gmail.com")</f>
        <v>NICO.GTAMASHIRO@gmail.com</v>
      </c>
      <c r="AM140" s="1" t="str">
        <f>IFERROR(__xludf.DUMMYFUNCTION("""COMPUTED_VALUE"""),"FEMENINO")</f>
        <v>FEMENINO</v>
      </c>
      <c r="AN140" s="1">
        <f>IFERROR(__xludf.DUMMYFUNCTION("""COMPUTED_VALUE"""),1150.0)</f>
        <v>1150</v>
      </c>
      <c r="AO140" s="1">
        <f>IFERROR(__xludf.DUMMYFUNCTION("""COMPUTED_VALUE"""),0.0)</f>
        <v>0</v>
      </c>
      <c r="AP140" s="1" t="str">
        <f>IFERROR(__xludf.DUMMYFUNCTION("""COMPUTED_VALUE"""),"FORMULARIO")</f>
        <v>FORMULARIO</v>
      </c>
      <c r="AQ140" s="1" t="str">
        <f>IFERROR(__xludf.DUMMYFUNCTION("""COMPUTED_VALUE"""),"SEARCH MARCA")</f>
        <v>SEARCH MARCA</v>
      </c>
      <c r="AR140" s="1" t="str">
        <f>IFERROR(__xludf.DUMMYFUNCTION("""COMPUTED_VALUE"""),"NUEVO")</f>
        <v>NUEVO</v>
      </c>
      <c r="AS140" s="1" t="str">
        <f>IFERROR(__xludf.DUMMYFUNCTION("""COMPUTED_VALUE"""),"ucal-pg-performance-sedes-abierta-cpl-search_conversion_marca-20240401")</f>
        <v>ucal-pg-performance-sedes-abierta-cpl-search_conversion_marca-20240401</v>
      </c>
      <c r="AT140" s="2">
        <f>IFERROR(__xludf.DUMMYFUNCTION("""COMPUTED_VALUE"""),45573.0)</f>
        <v>45573</v>
      </c>
      <c r="AU140" s="1">
        <f>IFERROR(__xludf.DUMMYFUNCTION("""COMPUTED_VALUE"""),1.0)</f>
        <v>1</v>
      </c>
      <c r="AV140" s="1" t="str">
        <f>IFERROR(__xludf.DUMMYFUNCTION("""COMPUTED_VALUE"""),"NUEVO")</f>
        <v>NUEVO</v>
      </c>
      <c r="AW140" s="1" t="str">
        <f>IFERROR(__xludf.DUMMYFUNCTION("""COMPUTED_VALUE"""),"SI")</f>
        <v>SI</v>
      </c>
      <c r="AX140" s="1"/>
      <c r="AY140" s="1" t="str">
        <f>IFERROR(__xludf.DUMMYFUNCTION("""COMPUTED_VALUE"""),"PAGO COMPLETO")</f>
        <v>PAGO COMPLETO</v>
      </c>
      <c r="AZ140" s="5">
        <f>IFERROR(__xludf.DUMMYFUNCTION("""COMPUTED_VALUE"""),45596.0)</f>
        <v>45596</v>
      </c>
      <c r="BA140" s="1">
        <f>IFERROR(__xludf.DUMMYFUNCTION("""COMPUTED_VALUE"""),475.0)</f>
        <v>475</v>
      </c>
      <c r="BB140" s="1">
        <f>IFERROR(__xludf.DUMMYFUNCTION("""COMPUTED_VALUE"""),0.0)</f>
        <v>0</v>
      </c>
      <c r="BC140" s="4">
        <f>IFERROR(__xludf.DUMMYFUNCTION("""COMPUTED_VALUE"""),0.0)</f>
        <v>0</v>
      </c>
      <c r="BD140" s="4">
        <f>IFERROR(__xludf.DUMMYFUNCTION("""COMPUTED_VALUE"""),0.0)</f>
        <v>0</v>
      </c>
      <c r="BE140" s="1">
        <f>IFERROR(__xludf.DUMMYFUNCTION("""COMPUTED_VALUE"""),10.0)</f>
        <v>10</v>
      </c>
      <c r="BF140" s="6">
        <f>IFERROR(__xludf.DUMMYFUNCTION("""COMPUTED_VALUE"""),1.0)</f>
        <v>1</v>
      </c>
      <c r="BG140" s="1">
        <f>IFERROR(__xludf.DUMMYFUNCTION("""COMPUTED_VALUE"""),1.0)</f>
        <v>1</v>
      </c>
      <c r="BH140" s="1" t="str">
        <f>IFERROR(__xludf.DUMMYFUNCTION("""COMPUTED_VALUE"""),"0")</f>
        <v>0</v>
      </c>
      <c r="BI140" s="4">
        <f>IFERROR(__xludf.DUMMYFUNCTION("""COMPUTED_VALUE"""),950.0)</f>
        <v>950</v>
      </c>
      <c r="BJ140" s="1">
        <f>IFERROR(__xludf.DUMMYFUNCTION("""COMPUTED_VALUE"""),0.0)</f>
        <v>0</v>
      </c>
      <c r="BK140" s="4">
        <f>IFERROR(__xludf.DUMMYFUNCTION("""COMPUTED_VALUE"""),0.0)</f>
        <v>0</v>
      </c>
      <c r="BL140" s="1">
        <f>IFERROR(__xludf.DUMMYFUNCTION("""COMPUTED_VALUE"""),950.0)</f>
        <v>950</v>
      </c>
      <c r="BM140" s="1">
        <f>IFERROR(__xludf.DUMMYFUNCTION("""COMPUTED_VALUE"""),42.0)</f>
        <v>42</v>
      </c>
      <c r="BN140" s="2">
        <f>IFERROR(__xludf.DUMMYFUNCTION("""COMPUTED_VALUE"""),45579.0)</f>
        <v>45579</v>
      </c>
      <c r="BO140" s="1">
        <f>IFERROR(__xludf.DUMMYFUNCTION("""COMPUTED_VALUE"""),10.0)</f>
        <v>10</v>
      </c>
      <c r="BP140" s="1">
        <f>IFERROR(__xludf.DUMMYFUNCTION("""COMPUTED_VALUE"""),2024.0)</f>
        <v>2024</v>
      </c>
    </row>
    <row r="141">
      <c r="A141" s="1">
        <f>IFERROR(__xludf.DUMMYFUNCTION("""COMPUTED_VALUE"""),140.0)</f>
        <v>140</v>
      </c>
      <c r="B141" s="1">
        <f>IFERROR(__xludf.DUMMYFUNCTION("""COMPUTED_VALUE"""),4743876.0)</f>
        <v>4743876</v>
      </c>
      <c r="C141" s="1" t="str">
        <f>IFERROR(__xludf.DUMMYFUNCTION("""COMPUTED_VALUE"""),"2025-1")</f>
        <v>2025-1</v>
      </c>
      <c r="D141" s="1" t="str">
        <f>IFERROR(__xludf.DUMMYFUNCTION("""COMPUTED_VALUE"""),"Admisión Ordinaria")</f>
        <v>Admisión Ordinaria</v>
      </c>
      <c r="E141" s="2">
        <f>IFERROR(__xludf.DUMMYFUNCTION("""COMPUTED_VALUE"""),45579.0)</f>
        <v>45579</v>
      </c>
      <c r="F141" s="1" t="str">
        <f>IFERROR(__xludf.DUMMYFUNCTION("""COMPUTED_VALUE"""),"JOAQUIN NICOLAS")</f>
        <v>JOAQUIN NICOLAS</v>
      </c>
      <c r="G141" s="1" t="str">
        <f>IFERROR(__xludf.DUMMYFUNCTION("""COMPUTED_VALUE"""),"BURGOS MARMOL")</f>
        <v>BURGOS MARMOL</v>
      </c>
      <c r="H141" s="1" t="str">
        <f>IFERROR(__xludf.DUMMYFUNCTION("""COMPUTED_VALUE"""),"Comunicación Audiovisual y Cine")</f>
        <v>Comunicación Audiovisual y Cine</v>
      </c>
      <c r="I141" s="1" t="str">
        <f>IFERROR(__xludf.DUMMYFUNCTION("""COMPUTED_VALUE"""),"Pago Link")</f>
        <v>Pago Link</v>
      </c>
      <c r="J141" s="1" t="str">
        <f>IFERROR(__xludf.DUMMYFUNCTION("""COMPUTED_VALUE"""),"Diurno")</f>
        <v>Diurno</v>
      </c>
      <c r="K141" s="1" t="str">
        <f>IFERROR(__xludf.DUMMYFUNCTION("""COMPUTED_VALUE"""),"NUEVO")</f>
        <v>NUEVO</v>
      </c>
      <c r="L141" s="1">
        <f>IFERROR(__xludf.DUMMYFUNCTION("""COMPUTED_VALUE"""),0.0)</f>
        <v>0</v>
      </c>
      <c r="M141" s="1">
        <f>IFERROR(__xludf.DUMMYFUNCTION("""COMPUTED_VALUE"""),0.0)</f>
        <v>0</v>
      </c>
      <c r="N141" s="1" t="str">
        <f>IFERROR(__xludf.DUMMYFUNCTION("""COMPUTED_VALUE"""),"BECA")</f>
        <v>BECA</v>
      </c>
      <c r="O141" s="1" t="str">
        <f>IFERROR(__xludf.DUMMYFUNCTION("""COMPUTED_VALUE"""),"BECA CARRERAS CORE")</f>
        <v>BECA CARRERAS CORE</v>
      </c>
      <c r="P141" s="4">
        <f>IFERROR(__xludf.DUMMYFUNCTION("""COMPUTED_VALUE"""),0.0)</f>
        <v>0</v>
      </c>
      <c r="Q141" s="4">
        <f>IFERROR(__xludf.DUMMYFUNCTION("""COMPUTED_VALUE"""),0.0)</f>
        <v>0</v>
      </c>
      <c r="R141" s="4">
        <f>IFERROR(__xludf.DUMMYFUNCTION("""COMPUTED_VALUE"""),1150.0)</f>
        <v>1150</v>
      </c>
      <c r="S141" s="4">
        <f>IFERROR(__xludf.DUMMYFUNCTION("""COMPUTED_VALUE"""),1000.0)</f>
        <v>1000</v>
      </c>
      <c r="T141" s="1" t="str">
        <f>IFERROR(__xludf.DUMMYFUNCTION("""COMPUTED_VALUE"""),"NINGUNO")</f>
        <v>NINGUNO</v>
      </c>
      <c r="U141" s="1" t="str">
        <f>IFERROR(__xludf.DUMMYFUNCTION("""COMPUTED_VALUE"""),"FABIOLA")</f>
        <v>FABIOLA</v>
      </c>
      <c r="V141" s="1" t="str">
        <f>IFERROR(__xludf.DUMMYFUNCTION("""COMPUTED_VALUE"""),"Ninguno")</f>
        <v>Ninguno</v>
      </c>
      <c r="W141" s="1" t="str">
        <f>IFERROR(__xludf.DUMMYFUNCTION("""COMPUTED_VALUE"""),"Prestigio de la institución")</f>
        <v>Prestigio de la institución</v>
      </c>
      <c r="X141" s="1" t="str">
        <f>IFERROR(__xludf.DUMMYFUNCTION("""COMPUTED_VALUE"""),"-")</f>
        <v>-</v>
      </c>
      <c r="Y141" s="1" t="str">
        <f>IFERROR(__xludf.DUMMYFUNCTION("""COMPUTED_VALUE"""),"PAGO FRACCIONADO")</f>
        <v>PAGO FRACCIONADO</v>
      </c>
      <c r="Z141" s="1">
        <f>IFERROR(__xludf.DUMMYFUNCTION("""COMPUTED_VALUE"""),500.0)</f>
        <v>500</v>
      </c>
      <c r="AA141" s="1" t="str">
        <f>IFERROR(__xludf.DUMMYFUNCTION("""COMPUTED_VALUE"""),"26/11/2024")</f>
        <v>26/11/2024</v>
      </c>
      <c r="AB141" s="1">
        <f>IFERROR(__xludf.DUMMYFUNCTION("""COMPUTED_VALUE"""),1.0)</f>
        <v>1</v>
      </c>
      <c r="AC141" s="1">
        <f>IFERROR(__xludf.DUMMYFUNCTION("""COMPUTED_VALUE"""),0.0)</f>
        <v>0</v>
      </c>
      <c r="AD141" s="1" t="str">
        <f>IFERROR(__xludf.DUMMYFUNCTION("""COMPUTED_VALUE"""),"Angelica Iparraguirre")</f>
        <v>Angelica Iparraguirre</v>
      </c>
      <c r="AE141" s="1" t="str">
        <f>IFERROR(__xludf.DUMMYFUNCTION("""COMPUTED_VALUE"""),"0")</f>
        <v>0</v>
      </c>
      <c r="AF141" s="1">
        <f>IFERROR(__xludf.DUMMYFUNCTION("""COMPUTED_VALUE"""),2022.0)</f>
        <v>2022</v>
      </c>
      <c r="AG141" s="1"/>
      <c r="AH141" s="1">
        <f>IFERROR(__xludf.DUMMYFUNCTION("""COMPUTED_VALUE"""),21.0)</f>
        <v>21</v>
      </c>
      <c r="AI141" s="1" t="str">
        <f>IFERROR(__xludf.DUMMYFUNCTION("""COMPUTED_VALUE"""),"0000397781")</f>
        <v>0000397781</v>
      </c>
      <c r="AJ141" s="1">
        <f>IFERROR(__xludf.DUMMYFUNCTION("""COMPUTED_VALUE"""),7.8886871E7)</f>
        <v>78886871</v>
      </c>
      <c r="AK141" s="1">
        <f>IFERROR(__xludf.DUMMYFUNCTION("""COMPUTED_VALUE"""),9.52163486E8)</f>
        <v>952163486</v>
      </c>
      <c r="AL141" s="1" t="str">
        <f>IFERROR(__xludf.DUMMYFUNCTION("""COMPUTED_VALUE"""),"juacoburges@gmail.com")</f>
        <v>juacoburges@gmail.com</v>
      </c>
      <c r="AM141" s="1" t="str">
        <f>IFERROR(__xludf.DUMMYFUNCTION("""COMPUTED_VALUE"""),"MASCULINO")</f>
        <v>MASCULINO</v>
      </c>
      <c r="AN141" s="1">
        <f>IFERROR(__xludf.DUMMYFUNCTION("""COMPUTED_VALUE"""),1150.0)</f>
        <v>1150</v>
      </c>
      <c r="AO141" s="1">
        <f>IFERROR(__xludf.DUMMYFUNCTION("""COMPUTED_VALUE"""),0.0)</f>
        <v>0</v>
      </c>
      <c r="AP141" s="1" t="str">
        <f>IFERROR(__xludf.DUMMYFUNCTION("""COMPUTED_VALUE"""),"BIDIRECCIONAL")</f>
        <v>BIDIRECCIONAL</v>
      </c>
      <c r="AQ141" s="1" t="str">
        <f>IFERROR(__xludf.DUMMYFUNCTION("""COMPUTED_VALUE"""),"ORGANICO")</f>
        <v>ORGANICO</v>
      </c>
      <c r="AR141" s="1" t="str">
        <f>IFERROR(__xludf.DUMMYFUNCTION("""COMPUTED_VALUE"""),"NUEVO")</f>
        <v>NUEVO</v>
      </c>
      <c r="AS141" s="1" t="str">
        <f>IFERROR(__xludf.DUMMYFUNCTION("""COMPUTED_VALUE"""),"ucal-pg-branding-sedes-abierta-no_aplica-mundo_comunicaciones_242-20240430")</f>
        <v>ucal-pg-branding-sedes-abierta-no_aplica-mundo_comunicaciones_242-20240430</v>
      </c>
      <c r="AT141" s="2">
        <f>IFERROR(__xludf.DUMMYFUNCTION("""COMPUTED_VALUE"""),45576.0)</f>
        <v>45576</v>
      </c>
      <c r="AU141" s="1">
        <f>IFERROR(__xludf.DUMMYFUNCTION("""COMPUTED_VALUE"""),1.0)</f>
        <v>1</v>
      </c>
      <c r="AV141" s="1" t="str">
        <f>IFERROR(__xludf.DUMMYFUNCTION("""COMPUTED_VALUE"""),"NUEVO")</f>
        <v>NUEVO</v>
      </c>
      <c r="AW141" s="1" t="str">
        <f>IFERROR(__xludf.DUMMYFUNCTION("""COMPUTED_VALUE"""),"SI")</f>
        <v>SI</v>
      </c>
      <c r="AX141" s="1"/>
      <c r="AY141" s="1" t="str">
        <f>IFERROR(__xludf.DUMMYFUNCTION("""COMPUTED_VALUE"""),"PAGO FRACCIONADO")</f>
        <v>PAGO FRACCIONADO</v>
      </c>
      <c r="AZ141" s="1"/>
      <c r="BA141" s="1">
        <f>IFERROR(__xludf.DUMMYFUNCTION("""COMPUTED_VALUE"""),0.0)</f>
        <v>0</v>
      </c>
      <c r="BB141" s="1">
        <f>IFERROR(__xludf.DUMMYFUNCTION("""COMPUTED_VALUE"""),0.0)</f>
        <v>0</v>
      </c>
      <c r="BC141" s="4">
        <f>IFERROR(__xludf.DUMMYFUNCTION("""COMPUTED_VALUE"""),500.0)</f>
        <v>500</v>
      </c>
      <c r="BD141" s="4">
        <f>IFERROR(__xludf.DUMMYFUNCTION("""COMPUTED_VALUE"""),0.0)</f>
        <v>0</v>
      </c>
      <c r="BE141" s="1">
        <f>IFERROR(__xludf.DUMMYFUNCTION("""COMPUTED_VALUE"""),10.0)</f>
        <v>10</v>
      </c>
      <c r="BF141" s="6">
        <f>IFERROR(__xludf.DUMMYFUNCTION("""COMPUTED_VALUE"""),0.5)</f>
        <v>0.5</v>
      </c>
      <c r="BG141" s="1">
        <f>IFERROR(__xludf.DUMMYFUNCTION("""COMPUTED_VALUE"""),1.0)</f>
        <v>1</v>
      </c>
      <c r="BH141" s="1" t="str">
        <f>IFERROR(__xludf.DUMMYFUNCTION("""COMPUTED_VALUE"""),"0")</f>
        <v>0</v>
      </c>
      <c r="BI141" s="4">
        <f>IFERROR(__xludf.DUMMYFUNCTION("""COMPUTED_VALUE"""),500.0)</f>
        <v>500</v>
      </c>
      <c r="BJ141" s="1">
        <f>IFERROR(__xludf.DUMMYFUNCTION("""COMPUTED_VALUE"""),0.0)</f>
        <v>0</v>
      </c>
      <c r="BK141" s="4">
        <f>IFERROR(__xludf.DUMMYFUNCTION("""COMPUTED_VALUE"""),0.0)</f>
        <v>0</v>
      </c>
      <c r="BL141" s="1">
        <f>IFERROR(__xludf.DUMMYFUNCTION("""COMPUTED_VALUE"""),1000.0)</f>
        <v>1000</v>
      </c>
      <c r="BM141" s="1">
        <f>IFERROR(__xludf.DUMMYFUNCTION("""COMPUTED_VALUE"""),42.0)</f>
        <v>42</v>
      </c>
      <c r="BN141" s="2">
        <f>IFERROR(__xludf.DUMMYFUNCTION("""COMPUTED_VALUE"""),45579.0)</f>
        <v>45579</v>
      </c>
      <c r="BO141" s="1">
        <f>IFERROR(__xludf.DUMMYFUNCTION("""COMPUTED_VALUE"""),10.0)</f>
        <v>10</v>
      </c>
      <c r="BP141" s="1">
        <f>IFERROR(__xludf.DUMMYFUNCTION("""COMPUTED_VALUE"""),2024.0)</f>
        <v>2024</v>
      </c>
    </row>
    <row r="142">
      <c r="A142" s="1">
        <f>IFERROR(__xludf.DUMMYFUNCTION("""COMPUTED_VALUE"""),141.0)</f>
        <v>141</v>
      </c>
      <c r="B142" s="1">
        <f>IFERROR(__xludf.DUMMYFUNCTION("""COMPUTED_VALUE"""),3306259.0)</f>
        <v>3306259</v>
      </c>
      <c r="C142" s="1" t="str">
        <f>IFERROR(__xludf.DUMMYFUNCTION("""COMPUTED_VALUE"""),"2025-1")</f>
        <v>2025-1</v>
      </c>
      <c r="D142" s="1" t="str">
        <f>IFERROR(__xludf.DUMMYFUNCTION("""COMPUTED_VALUE"""),"Admisión de Alto Rendimiento")</f>
        <v>Admisión de Alto Rendimiento</v>
      </c>
      <c r="E142" s="2">
        <f>IFERROR(__xludf.DUMMYFUNCTION("""COMPUTED_VALUE"""),45580.0)</f>
        <v>45580</v>
      </c>
      <c r="F142" s="1" t="str">
        <f>IFERROR(__xludf.DUMMYFUNCTION("""COMPUTED_VALUE"""),"ANA LUCIA")</f>
        <v>ANA LUCIA</v>
      </c>
      <c r="G142" s="1" t="str">
        <f>IFERROR(__xludf.DUMMYFUNCTION("""COMPUTED_VALUE"""),"BACA TORRES")</f>
        <v>BACA TORRES</v>
      </c>
      <c r="H142" s="1" t="str">
        <f>IFERROR(__xludf.DUMMYFUNCTION("""COMPUTED_VALUE"""),"Comunicación Audiovisual y Cine")</f>
        <v>Comunicación Audiovisual y Cine</v>
      </c>
      <c r="I142" s="1" t="str">
        <f>IFERROR(__xludf.DUMMYFUNCTION("""COMPUTED_VALUE"""),"CARGO")</f>
        <v>CARGO</v>
      </c>
      <c r="J142" s="1" t="str">
        <f>IFERROR(__xludf.DUMMYFUNCTION("""COMPUTED_VALUE"""),"Diurno")</f>
        <v>Diurno</v>
      </c>
      <c r="K142" s="1" t="str">
        <f>IFERROR(__xludf.DUMMYFUNCTION("""COMPUTED_VALUE"""),"NUEVO")</f>
        <v>NUEVO</v>
      </c>
      <c r="L142" s="1">
        <f>IFERROR(__xludf.DUMMYFUNCTION("""COMPUTED_VALUE"""),0.0)</f>
        <v>0</v>
      </c>
      <c r="M142" s="1">
        <f>IFERROR(__xludf.DUMMYFUNCTION("""COMPUTED_VALUE"""),0.0)</f>
        <v>0</v>
      </c>
      <c r="N142" s="1" t="str">
        <f>IFERROR(__xludf.DUMMYFUNCTION("""COMPUTED_VALUE"""),"BECA")</f>
        <v>BECA</v>
      </c>
      <c r="O142" s="1" t="str">
        <f>IFERROR(__xludf.DUMMYFUNCTION("""COMPUTED_VALUE"""),"BECAS FINALISTA DEL CONCURSO")</f>
        <v>BECAS FINALISTA DEL CONCURSO</v>
      </c>
      <c r="P142" s="4">
        <f>IFERROR(__xludf.DUMMYFUNCTION("""COMPUTED_VALUE"""),200.0)</f>
        <v>200</v>
      </c>
      <c r="Q142" s="4">
        <f>IFERROR(__xludf.DUMMYFUNCTION("""COMPUTED_VALUE"""),475.0)</f>
        <v>475</v>
      </c>
      <c r="R142" s="4">
        <f>IFERROR(__xludf.DUMMYFUNCTION("""COMPUTED_VALUE"""),2200.0)</f>
        <v>2200</v>
      </c>
      <c r="S142" s="4">
        <f>IFERROR(__xludf.DUMMYFUNCTION("""COMPUTED_VALUE"""),880.0)</f>
        <v>880</v>
      </c>
      <c r="T142" s="1" t="str">
        <f>IFERROR(__xludf.DUMMYFUNCTION("""COMPUTED_VALUE"""),"NINGUNO")</f>
        <v>NINGUNO</v>
      </c>
      <c r="U142" s="1" t="str">
        <f>IFERROR(__xludf.DUMMYFUNCTION("""COMPUTED_VALUE"""),"SEBASTIAN")</f>
        <v>SEBASTIAN</v>
      </c>
      <c r="V142" s="1" t="str">
        <f>IFERROR(__xludf.DUMMYFUNCTION("""COMPUTED_VALUE"""),"Ninguno")</f>
        <v>Ninguno</v>
      </c>
      <c r="W142" s="1" t="str">
        <f>IFERROR(__xludf.DUMMYFUNCTION("""COMPUTED_VALUE"""),"Beca")</f>
        <v>Beca</v>
      </c>
      <c r="X142" s="1" t="str">
        <f>IFERROR(__xludf.DUMMYFUNCTION("""COMPUTED_VALUE"""),"finalista del concurso colegios ")</f>
        <v>finalista del concurso colegios </v>
      </c>
      <c r="Y142" s="1" t="str">
        <f>IFERROR(__xludf.DUMMYFUNCTION("""COMPUTED_VALUE"""),"PAGO COMPLETO")</f>
        <v>PAGO COMPLETO</v>
      </c>
      <c r="Z142" s="1">
        <f>IFERROR(__xludf.DUMMYFUNCTION("""COMPUTED_VALUE"""),0.0)</f>
        <v>0</v>
      </c>
      <c r="AA142" s="1" t="str">
        <f>IFERROR(__xludf.DUMMYFUNCTION("""COMPUTED_VALUE"""),"-")</f>
        <v>-</v>
      </c>
      <c r="AB142" s="1">
        <f>IFERROR(__xludf.DUMMYFUNCTION("""COMPUTED_VALUE"""),1.0)</f>
        <v>1</v>
      </c>
      <c r="AC142" s="1">
        <f>IFERROR(__xludf.DUMMYFUNCTION("""COMPUTED_VALUE"""),1.0)</f>
        <v>1</v>
      </c>
      <c r="AD142" s="1" t="str">
        <f>IFERROR(__xludf.DUMMYFUNCTION("""COMPUTED_VALUE"""),"Juan Pablo Gómez")</f>
        <v>Juan Pablo Gómez</v>
      </c>
      <c r="AE142" s="1" t="str">
        <f>IFERROR(__xludf.DUMMYFUNCTION("""COMPUTED_VALUE"""),"0")</f>
        <v>0</v>
      </c>
      <c r="AF142" s="1">
        <f>IFERROR(__xludf.DUMMYFUNCTION("""COMPUTED_VALUE"""),2024.0)</f>
        <v>2024</v>
      </c>
      <c r="AG142" s="1">
        <f>IFERROR(__xludf.DUMMYFUNCTION("""COMPUTED_VALUE"""),604082.0)</f>
        <v>604082</v>
      </c>
      <c r="AH142" s="1">
        <f>IFERROR(__xludf.DUMMYFUNCTION("""COMPUTED_VALUE"""),17.0)</f>
        <v>17</v>
      </c>
      <c r="AI142" s="1" t="str">
        <f>IFERROR(__xludf.DUMMYFUNCTION("""COMPUTED_VALUE"""),"0000397773")</f>
        <v>0000397773</v>
      </c>
      <c r="AJ142" s="1">
        <f>IFERROR(__xludf.DUMMYFUNCTION("""COMPUTED_VALUE"""),7.0725431E7)</f>
        <v>70725431</v>
      </c>
      <c r="AK142" s="1">
        <f>IFERROR(__xludf.DUMMYFUNCTION("""COMPUTED_VALUE"""),9.24733946E8)</f>
        <v>924733946</v>
      </c>
      <c r="AL142" s="1" t="str">
        <f>IFERROR(__xludf.DUMMYFUNCTION("""COMPUTED_VALUE"""),"tolgabeatriz@yahoo.es")</f>
        <v>tolgabeatriz@yahoo.es</v>
      </c>
      <c r="AM142" s="1" t="str">
        <f>IFERROR(__xludf.DUMMYFUNCTION("""COMPUTED_VALUE"""),"FEMENINO")</f>
        <v>FEMENINO</v>
      </c>
      <c r="AN142" s="1">
        <f>IFERROR(__xludf.DUMMYFUNCTION("""COMPUTED_VALUE"""),2200.0)</f>
        <v>2200</v>
      </c>
      <c r="AO142" s="1">
        <f>IFERROR(__xludf.DUMMYFUNCTION("""COMPUTED_VALUE"""),880.0)</f>
        <v>880</v>
      </c>
      <c r="AP142" s="1" t="str">
        <f>IFERROR(__xludf.DUMMYFUNCTION("""COMPUTED_VALUE"""),"COLEGIOS")</f>
        <v>COLEGIOS</v>
      </c>
      <c r="AQ142" s="1" t="str">
        <f>IFERROR(__xludf.DUMMYFUNCTION("""COMPUTED_VALUE"""),"COLEGIOS")</f>
        <v>COLEGIOS</v>
      </c>
      <c r="AR142" s="1" t="str">
        <f>IFERROR(__xludf.DUMMYFUNCTION("""COMPUTED_VALUE"""),"NUEVO")</f>
        <v>NUEVO</v>
      </c>
      <c r="AS142" s="1"/>
      <c r="AT142" s="2">
        <f>IFERROR(__xludf.DUMMYFUNCTION("""COMPUTED_VALUE"""),45453.0)</f>
        <v>45453</v>
      </c>
      <c r="AU142" s="1">
        <f>IFERROR(__xludf.DUMMYFUNCTION("""COMPUTED_VALUE"""),1.0)</f>
        <v>1</v>
      </c>
      <c r="AV142" s="1" t="str">
        <f>IFERROR(__xludf.DUMMYFUNCTION("""COMPUTED_VALUE"""),"NUEVO")</f>
        <v>NUEVO</v>
      </c>
      <c r="AW142" s="1" t="str">
        <f>IFERROR(__xludf.DUMMYFUNCTION("""COMPUTED_VALUE"""),"SI")</f>
        <v>SI</v>
      </c>
      <c r="AX142" s="1"/>
      <c r="AY142" s="1" t="str">
        <f>IFERROR(__xludf.DUMMYFUNCTION("""COMPUTED_VALUE"""),"PAGO COMPLETO")</f>
        <v>PAGO COMPLETO</v>
      </c>
      <c r="AZ142" s="5">
        <f>IFERROR(__xludf.DUMMYFUNCTION("""COMPUTED_VALUE"""),45580.0)</f>
        <v>45580</v>
      </c>
      <c r="BA142" s="1">
        <f>IFERROR(__xludf.DUMMYFUNCTION("""COMPUTED_VALUE"""),0.0)</f>
        <v>0</v>
      </c>
      <c r="BB142" s="1">
        <f>IFERROR(__xludf.DUMMYFUNCTION("""COMPUTED_VALUE"""),0.0)</f>
        <v>0</v>
      </c>
      <c r="BC142" s="4">
        <f>IFERROR(__xludf.DUMMYFUNCTION("""COMPUTED_VALUE"""),0.0)</f>
        <v>0</v>
      </c>
      <c r="BD142" s="4">
        <f>IFERROR(__xludf.DUMMYFUNCTION("""COMPUTED_VALUE"""),0.0)</f>
        <v>0</v>
      </c>
      <c r="BE142" s="1">
        <f>IFERROR(__xludf.DUMMYFUNCTION("""COMPUTED_VALUE"""),10.0)</f>
        <v>10</v>
      </c>
      <c r="BF142" s="6">
        <f>IFERROR(__xludf.DUMMYFUNCTION("""COMPUTED_VALUE"""),1.0)</f>
        <v>1</v>
      </c>
      <c r="BG142" s="1">
        <f>IFERROR(__xludf.DUMMYFUNCTION("""COMPUTED_VALUE"""),1.0)</f>
        <v>1</v>
      </c>
      <c r="BH142" s="1" t="str">
        <f>IFERROR(__xludf.DUMMYFUNCTION("""COMPUTED_VALUE"""),"0")</f>
        <v>0</v>
      </c>
      <c r="BI142" s="4">
        <f>IFERROR(__xludf.DUMMYFUNCTION("""COMPUTED_VALUE"""),0.0)</f>
        <v>0</v>
      </c>
      <c r="BJ142" s="1">
        <f>IFERROR(__xludf.DUMMYFUNCTION("""COMPUTED_VALUE"""),0.0)</f>
        <v>0</v>
      </c>
      <c r="BK142" s="4">
        <f>IFERROR(__xludf.DUMMYFUNCTION("""COMPUTED_VALUE"""),0.0)</f>
        <v>0</v>
      </c>
      <c r="BL142" s="1">
        <f>IFERROR(__xludf.DUMMYFUNCTION("""COMPUTED_VALUE"""),880.0)</f>
        <v>880</v>
      </c>
      <c r="BM142" s="1">
        <f>IFERROR(__xludf.DUMMYFUNCTION("""COMPUTED_VALUE"""),42.0)</f>
        <v>42</v>
      </c>
      <c r="BN142" s="2">
        <f>IFERROR(__xludf.DUMMYFUNCTION("""COMPUTED_VALUE"""),45579.0)</f>
        <v>45579</v>
      </c>
      <c r="BO142" s="1">
        <f>IFERROR(__xludf.DUMMYFUNCTION("""COMPUTED_VALUE"""),10.0)</f>
        <v>10</v>
      </c>
      <c r="BP142" s="1">
        <f>IFERROR(__xludf.DUMMYFUNCTION("""COMPUTED_VALUE"""),2024.0)</f>
        <v>2024</v>
      </c>
    </row>
    <row r="143">
      <c r="A143" s="1">
        <f>IFERROR(__xludf.DUMMYFUNCTION("""COMPUTED_VALUE"""),142.0)</f>
        <v>142</v>
      </c>
      <c r="B143" s="1">
        <f>IFERROR(__xludf.DUMMYFUNCTION("""COMPUTED_VALUE"""),2099378.0)</f>
        <v>2099378</v>
      </c>
      <c r="C143" s="1" t="str">
        <f>IFERROR(__xludf.DUMMYFUNCTION("""COMPUTED_VALUE"""),"2025-1")</f>
        <v>2025-1</v>
      </c>
      <c r="D143" s="1" t="str">
        <f>IFERROR(__xludf.DUMMYFUNCTION("""COMPUTED_VALUE"""),"Admisión de Alto Rendimiento")</f>
        <v>Admisión de Alto Rendimiento</v>
      </c>
      <c r="E143" s="2">
        <f>IFERROR(__xludf.DUMMYFUNCTION("""COMPUTED_VALUE"""),45581.0)</f>
        <v>45581</v>
      </c>
      <c r="F143" s="1" t="str">
        <f>IFERROR(__xludf.DUMMYFUNCTION("""COMPUTED_VALUE"""),"ANA LUCIA ")</f>
        <v>ANA LUCIA </v>
      </c>
      <c r="G143" s="1" t="str">
        <f>IFERROR(__xludf.DUMMYFUNCTION("""COMPUTED_VALUE"""),"PASTOR AGUAYO")</f>
        <v>PASTOR AGUAYO</v>
      </c>
      <c r="H143" s="1" t="str">
        <f>IFERROR(__xludf.DUMMYFUNCTION("""COMPUTED_VALUE"""),"Comunicación Audiovisual y Cine")</f>
        <v>Comunicación Audiovisual y Cine</v>
      </c>
      <c r="I143" s="1" t="str">
        <f>IFERROR(__xludf.DUMMYFUNCTION("""COMPUTED_VALUE"""),"CARGO")</f>
        <v>CARGO</v>
      </c>
      <c r="J143" s="1" t="str">
        <f>IFERROR(__xludf.DUMMYFUNCTION("""COMPUTED_VALUE"""),"Diurno")</f>
        <v>Diurno</v>
      </c>
      <c r="K143" s="1" t="str">
        <f>IFERROR(__xludf.DUMMYFUNCTION("""COMPUTED_VALUE"""),"NUEVO")</f>
        <v>NUEVO</v>
      </c>
      <c r="L143" s="1">
        <f>IFERROR(__xludf.DUMMYFUNCTION("""COMPUTED_VALUE"""),0.0)</f>
        <v>0</v>
      </c>
      <c r="M143" s="1">
        <f>IFERROR(__xludf.DUMMYFUNCTION("""COMPUTED_VALUE"""),0.0)</f>
        <v>0</v>
      </c>
      <c r="N143" s="1" t="str">
        <f>IFERROR(__xludf.DUMMYFUNCTION("""COMPUTED_VALUE"""),"BECA")</f>
        <v>BECA</v>
      </c>
      <c r="O143" s="1" t="str">
        <f>IFERROR(__xludf.DUMMYFUNCTION("""COMPUTED_VALUE"""),"BECA RECUPERO")</f>
        <v>BECA RECUPERO</v>
      </c>
      <c r="P143" s="4">
        <f>IFERROR(__xludf.DUMMYFUNCTION("""COMPUTED_VALUE"""),0.0)</f>
        <v>0</v>
      </c>
      <c r="Q143" s="4">
        <f>IFERROR(__xludf.DUMMYFUNCTION("""COMPUTED_VALUE"""),0.0)</f>
        <v>0</v>
      </c>
      <c r="R143" s="4">
        <f>IFERROR(__xludf.DUMMYFUNCTION("""COMPUTED_VALUE"""),1075.0)</f>
        <v>1075</v>
      </c>
      <c r="S143" s="4">
        <f>IFERROR(__xludf.DUMMYFUNCTION("""COMPUTED_VALUE"""),900.0)</f>
        <v>900</v>
      </c>
      <c r="T143" s="1" t="str">
        <f>IFERROR(__xludf.DUMMYFUNCTION("""COMPUTED_VALUE"""),"NINGUNO")</f>
        <v>NINGUNO</v>
      </c>
      <c r="U143" s="1" t="str">
        <f>IFERROR(__xludf.DUMMYFUNCTION("""COMPUTED_VALUE"""),"FABIOLA")</f>
        <v>FABIOLA</v>
      </c>
      <c r="V143" s="1" t="str">
        <f>IFERROR(__xludf.DUMMYFUNCTION("""COMPUTED_VALUE"""),"Ninguno")</f>
        <v>Ninguno</v>
      </c>
      <c r="W143" s="1" t="str">
        <f>IFERROR(__xludf.DUMMYFUNCTION("""COMPUTED_VALUE"""),"Malla curricular")</f>
        <v>Malla curricular</v>
      </c>
      <c r="X143" s="1" t="str">
        <f>IFERROR(__xludf.DUMMYFUNCTION("""COMPUTED_VALUE"""),"ES RECUPERO Y LA ESCALA ES 1075 ")</f>
        <v>ES RECUPERO Y LA ESCALA ES 1075 </v>
      </c>
      <c r="Y143" s="1" t="str">
        <f>IFERROR(__xludf.DUMMYFUNCTION("""COMPUTED_VALUE"""),"PAGO COMPLETO")</f>
        <v>PAGO COMPLETO</v>
      </c>
      <c r="Z143" s="1">
        <f>IFERROR(__xludf.DUMMYFUNCTION("""COMPUTED_VALUE"""),0.0)</f>
        <v>0</v>
      </c>
      <c r="AA143" s="1" t="str">
        <f>IFERROR(__xludf.DUMMYFUNCTION("""COMPUTED_VALUE"""),"-")</f>
        <v>-</v>
      </c>
      <c r="AB143" s="1">
        <f>IFERROR(__xludf.DUMMYFUNCTION("""COMPUTED_VALUE"""),0.0)</f>
        <v>0</v>
      </c>
      <c r="AC143" s="1">
        <f>IFERROR(__xludf.DUMMYFUNCTION("""COMPUTED_VALUE"""),0.0)</f>
        <v>0</v>
      </c>
      <c r="AD143" s="1" t="str">
        <f>IFERROR(__xludf.DUMMYFUNCTION("""COMPUTED_VALUE"""),"Stefano Napuri")</f>
        <v>Stefano Napuri</v>
      </c>
      <c r="AE143" s="1" t="str">
        <f>IFERROR(__xludf.DUMMYFUNCTION("""COMPUTED_VALUE"""),"0")</f>
        <v>0</v>
      </c>
      <c r="AF143" s="1">
        <f>IFERROR(__xludf.DUMMYFUNCTION("""COMPUTED_VALUE"""),2024.0)</f>
        <v>2024</v>
      </c>
      <c r="AG143" s="1">
        <f>IFERROR(__xludf.DUMMYFUNCTION("""COMPUTED_VALUE"""),1505684.0)</f>
        <v>1505684</v>
      </c>
      <c r="AH143" s="1">
        <f>IFERROR(__xludf.DUMMYFUNCTION("""COMPUTED_VALUE"""),17.0)</f>
        <v>17</v>
      </c>
      <c r="AI143" s="1" t="str">
        <f>IFERROR(__xludf.DUMMYFUNCTION("""COMPUTED_VALUE"""),"0000397894")</f>
        <v>0000397894</v>
      </c>
      <c r="AJ143" s="1">
        <f>IFERROR(__xludf.DUMMYFUNCTION("""COMPUTED_VALUE"""),6.1058677E7)</f>
        <v>61058677</v>
      </c>
      <c r="AK143" s="1">
        <f>IFERROR(__xludf.DUMMYFUNCTION("""COMPUTED_VALUE"""),9.84647774E8)</f>
        <v>984647774</v>
      </c>
      <c r="AL143" s="1" t="str">
        <f>IFERROR(__xludf.DUMMYFUNCTION("""COMPUTED_VALUE"""),"cesarpastor111@gmail.com")</f>
        <v>cesarpastor111@gmail.com</v>
      </c>
      <c r="AM143" s="1" t="str">
        <f>IFERROR(__xludf.DUMMYFUNCTION("""COMPUTED_VALUE"""),"FEMENINO")</f>
        <v>FEMENINO</v>
      </c>
      <c r="AN143" s="1">
        <f>IFERROR(__xludf.DUMMYFUNCTION("""COMPUTED_VALUE"""),1350.0)</f>
        <v>1350</v>
      </c>
      <c r="AO143" s="1">
        <f>IFERROR(__xludf.DUMMYFUNCTION("""COMPUTED_VALUE"""),0.0)</f>
        <v>0</v>
      </c>
      <c r="AP143" s="1" t="str">
        <f>IFERROR(__xludf.DUMMYFUNCTION("""COMPUTED_VALUE"""),"FORMULARIO")</f>
        <v>FORMULARIO</v>
      </c>
      <c r="AQ143" s="1" t="str">
        <f>IFERROR(__xludf.DUMMYFUNCTION("""COMPUTED_VALUE"""),"SEARCH CARRERA")</f>
        <v>SEARCH CARRERA</v>
      </c>
      <c r="AR143" s="1" t="str">
        <f>IFERROR(__xludf.DUMMYFUNCTION("""COMPUTED_VALUE"""),"NUEVO")</f>
        <v>NUEVO</v>
      </c>
      <c r="AS143" s="1" t="str">
        <f>IFERROR(__xludf.DUMMYFUNCTION("""COMPUTED_VALUE"""),"ucal-pg-performance-sedes-abierta-cpl-2024_1_extensiones_becas_lanzamiento-20240126")</f>
        <v>ucal-pg-performance-sedes-abierta-cpl-2024_1_extensiones_becas_lanzamiento-20240126</v>
      </c>
      <c r="AT143" s="2">
        <f>IFERROR(__xludf.DUMMYFUNCTION("""COMPUTED_VALUE"""),45401.0)</f>
        <v>45401</v>
      </c>
      <c r="AU143" s="1">
        <f>IFERROR(__xludf.DUMMYFUNCTION("""COMPUTED_VALUE"""),1.0)</f>
        <v>1</v>
      </c>
      <c r="AV143" s="1" t="str">
        <f>IFERROR(__xludf.DUMMYFUNCTION("""COMPUTED_VALUE"""),"NUEVO")</f>
        <v>NUEVO</v>
      </c>
      <c r="AW143" s="1" t="str">
        <f>IFERROR(__xludf.DUMMYFUNCTION("""COMPUTED_VALUE"""),"SI")</f>
        <v>SI</v>
      </c>
      <c r="AX143" s="1"/>
      <c r="AY143" s="1" t="str">
        <f>IFERROR(__xludf.DUMMYFUNCTION("""COMPUTED_VALUE"""),"PAGO COMPLETO")</f>
        <v>PAGO COMPLETO</v>
      </c>
      <c r="AZ143" s="5">
        <f>IFERROR(__xludf.DUMMYFUNCTION("""COMPUTED_VALUE"""),45581.0)</f>
        <v>45581</v>
      </c>
      <c r="BA143" s="1">
        <f>IFERROR(__xludf.DUMMYFUNCTION("""COMPUTED_VALUE"""),0.0)</f>
        <v>0</v>
      </c>
      <c r="BB143" s="1">
        <f>IFERROR(__xludf.DUMMYFUNCTION("""COMPUTED_VALUE"""),0.0)</f>
        <v>0</v>
      </c>
      <c r="BC143" s="4">
        <f>IFERROR(__xludf.DUMMYFUNCTION("""COMPUTED_VALUE"""),0.0)</f>
        <v>0</v>
      </c>
      <c r="BD143" s="4">
        <f>IFERROR(__xludf.DUMMYFUNCTION("""COMPUTED_VALUE"""),0.0)</f>
        <v>0</v>
      </c>
      <c r="BE143" s="1">
        <f>IFERROR(__xludf.DUMMYFUNCTION("""COMPUTED_VALUE"""),10.0)</f>
        <v>10</v>
      </c>
      <c r="BF143" s="6">
        <f>IFERROR(__xludf.DUMMYFUNCTION("""COMPUTED_VALUE"""),1.0)</f>
        <v>1</v>
      </c>
      <c r="BG143" s="1">
        <f>IFERROR(__xludf.DUMMYFUNCTION("""COMPUTED_VALUE"""),1.0)</f>
        <v>1</v>
      </c>
      <c r="BH143" s="1" t="str">
        <f>IFERROR(__xludf.DUMMYFUNCTION("""COMPUTED_VALUE"""),"0")</f>
        <v>0</v>
      </c>
      <c r="BI143" s="4">
        <f>IFERROR(__xludf.DUMMYFUNCTION("""COMPUTED_VALUE"""),0.0)</f>
        <v>0</v>
      </c>
      <c r="BJ143" s="1">
        <f>IFERROR(__xludf.DUMMYFUNCTION("""COMPUTED_VALUE"""),0.0)</f>
        <v>0</v>
      </c>
      <c r="BK143" s="4">
        <f>IFERROR(__xludf.DUMMYFUNCTION("""COMPUTED_VALUE"""),0.0)</f>
        <v>0</v>
      </c>
      <c r="BL143" s="1">
        <f>IFERROR(__xludf.DUMMYFUNCTION("""COMPUTED_VALUE"""),900.0)</f>
        <v>900</v>
      </c>
      <c r="BM143" s="1">
        <f>IFERROR(__xludf.DUMMYFUNCTION("""COMPUTED_VALUE"""),42.0)</f>
        <v>42</v>
      </c>
      <c r="BN143" s="2">
        <f>IFERROR(__xludf.DUMMYFUNCTION("""COMPUTED_VALUE"""),45579.0)</f>
        <v>45579</v>
      </c>
      <c r="BO143" s="1">
        <f>IFERROR(__xludf.DUMMYFUNCTION("""COMPUTED_VALUE"""),10.0)</f>
        <v>10</v>
      </c>
      <c r="BP143" s="1">
        <f>IFERROR(__xludf.DUMMYFUNCTION("""COMPUTED_VALUE"""),2024.0)</f>
        <v>2024</v>
      </c>
    </row>
    <row r="144">
      <c r="A144" s="1">
        <f>IFERROR(__xludf.DUMMYFUNCTION("""COMPUTED_VALUE"""),143.0)</f>
        <v>143</v>
      </c>
      <c r="B144" s="1">
        <f>IFERROR(__xludf.DUMMYFUNCTION("""COMPUTED_VALUE"""),4711482.0)</f>
        <v>4711482</v>
      </c>
      <c r="C144" s="1" t="str">
        <f>IFERROR(__xludf.DUMMYFUNCTION("""COMPUTED_VALUE"""),"2025-1")</f>
        <v>2025-1</v>
      </c>
      <c r="D144" s="1" t="str">
        <f>IFERROR(__xludf.DUMMYFUNCTION("""COMPUTED_VALUE"""),"Admisión de Alto Rendimiento")</f>
        <v>Admisión de Alto Rendimiento</v>
      </c>
      <c r="E144" s="2">
        <f>IFERROR(__xludf.DUMMYFUNCTION("""COMPUTED_VALUE"""),45581.0)</f>
        <v>45581</v>
      </c>
      <c r="F144" s="1" t="str">
        <f>IFERROR(__xludf.DUMMYFUNCTION("""COMPUTED_VALUE"""),"TATTIANA AZUL ")</f>
        <v>TATTIANA AZUL </v>
      </c>
      <c r="G144" s="1" t="str">
        <f>IFERROR(__xludf.DUMMYFUNCTION("""COMPUTED_VALUE"""),"BEDREGAL VASQUEZ")</f>
        <v>BEDREGAL VASQUEZ</v>
      </c>
      <c r="H144" s="1" t="str">
        <f>IFERROR(__xludf.DUMMYFUNCTION("""COMPUTED_VALUE"""),"Comunicación Audiovisual y Cine")</f>
        <v>Comunicación Audiovisual y Cine</v>
      </c>
      <c r="I144" s="1" t="str">
        <f>IFERROR(__xludf.DUMMYFUNCTION("""COMPUTED_VALUE"""),"CARGO")</f>
        <v>CARGO</v>
      </c>
      <c r="J144" s="1" t="str">
        <f>IFERROR(__xludf.DUMMYFUNCTION("""COMPUTED_VALUE"""),"Diurno")</f>
        <v>Diurno</v>
      </c>
      <c r="K144" s="1" t="str">
        <f>IFERROR(__xludf.DUMMYFUNCTION("""COMPUTED_VALUE"""),"NUEVO")</f>
        <v>NUEVO</v>
      </c>
      <c r="L144" s="1">
        <f>IFERROR(__xludf.DUMMYFUNCTION("""COMPUTED_VALUE"""),0.0)</f>
        <v>0</v>
      </c>
      <c r="M144" s="1">
        <f>IFERROR(__xludf.DUMMYFUNCTION("""COMPUTED_VALUE"""),0.0)</f>
        <v>0</v>
      </c>
      <c r="N144" s="1" t="str">
        <f>IFERROR(__xludf.DUMMYFUNCTION("""COMPUTED_VALUE"""),"BECA")</f>
        <v>BECA</v>
      </c>
      <c r="O144" s="1" t="str">
        <f>IFERROR(__xludf.DUMMYFUNCTION("""COMPUTED_VALUE"""),"BECA COMETA FEST")</f>
        <v>BECA COMETA FEST</v>
      </c>
      <c r="P144" s="4">
        <f>IFERROR(__xludf.DUMMYFUNCTION("""COMPUTED_VALUE"""),0.0)</f>
        <v>0</v>
      </c>
      <c r="Q144" s="4">
        <f>IFERROR(__xludf.DUMMYFUNCTION("""COMPUTED_VALUE"""),0.0)</f>
        <v>0</v>
      </c>
      <c r="R144" s="4">
        <f>IFERROR(__xludf.DUMMYFUNCTION("""COMPUTED_VALUE"""),1150.0)</f>
        <v>1150</v>
      </c>
      <c r="S144" s="4">
        <f>IFERROR(__xludf.DUMMYFUNCTION("""COMPUTED_VALUE"""),950.0)</f>
        <v>950</v>
      </c>
      <c r="T144" s="1" t="str">
        <f>IFERROR(__xludf.DUMMYFUNCTION("""COMPUTED_VALUE"""),"NINGUNO")</f>
        <v>NINGUNO</v>
      </c>
      <c r="U144" s="1" t="str">
        <f>IFERROR(__xludf.DUMMYFUNCTION("""COMPUTED_VALUE"""),"FABIOLA")</f>
        <v>FABIOLA</v>
      </c>
      <c r="V144" s="1" t="str">
        <f>IFERROR(__xludf.DUMMYFUNCTION("""COMPUTED_VALUE"""),"Ninguno")</f>
        <v>Ninguno</v>
      </c>
      <c r="W144" s="1" t="str">
        <f>IFERROR(__xludf.DUMMYFUNCTION("""COMPUTED_VALUE"""),"Malla curricular")</f>
        <v>Malla curricular</v>
      </c>
      <c r="X144" s="1" t="str">
        <f>IFERROR(__xludf.DUMMYFUNCTION("""COMPUTED_VALUE"""),"-")</f>
        <v>-</v>
      </c>
      <c r="Y144" s="1" t="str">
        <f>IFERROR(__xludf.DUMMYFUNCTION("""COMPUTED_VALUE"""),"PAGO COMPLETO")</f>
        <v>PAGO COMPLETO</v>
      </c>
      <c r="Z144" s="1">
        <f>IFERROR(__xludf.DUMMYFUNCTION("""COMPUTED_VALUE"""),0.0)</f>
        <v>0</v>
      </c>
      <c r="AA144" s="1" t="str">
        <f>IFERROR(__xludf.DUMMYFUNCTION("""COMPUTED_VALUE"""),"-")</f>
        <v>-</v>
      </c>
      <c r="AB144" s="1">
        <f>IFERROR(__xludf.DUMMYFUNCTION("""COMPUTED_VALUE"""),0.0)</f>
        <v>0</v>
      </c>
      <c r="AC144" s="1">
        <f>IFERROR(__xludf.DUMMYFUNCTION("""COMPUTED_VALUE"""),0.0)</f>
        <v>0</v>
      </c>
      <c r="AD144" s="1" t="str">
        <f>IFERROR(__xludf.DUMMYFUNCTION("""COMPUTED_VALUE"""),"Fiorella Lanegra")</f>
        <v>Fiorella Lanegra</v>
      </c>
      <c r="AE144" s="1" t="str">
        <f>IFERROR(__xludf.DUMMYFUNCTION("""COMPUTED_VALUE"""),"0")</f>
        <v>0</v>
      </c>
      <c r="AF144" s="1">
        <f>IFERROR(__xludf.DUMMYFUNCTION("""COMPUTED_VALUE"""),2024.0)</f>
        <v>2024</v>
      </c>
      <c r="AG144" s="1">
        <f>IFERROR(__xludf.DUMMYFUNCTION("""COMPUTED_VALUE"""),1242908.0)</f>
        <v>1242908</v>
      </c>
      <c r="AH144" s="1">
        <f>IFERROR(__xludf.DUMMYFUNCTION("""COMPUTED_VALUE"""),17.0)</f>
        <v>17</v>
      </c>
      <c r="AI144" s="1" t="str">
        <f>IFERROR(__xludf.DUMMYFUNCTION("""COMPUTED_VALUE"""),"0000398076")</f>
        <v>0000398076</v>
      </c>
      <c r="AJ144" s="1">
        <f>IFERROR(__xludf.DUMMYFUNCTION("""COMPUTED_VALUE"""),7.0742264E7)</f>
        <v>70742264</v>
      </c>
      <c r="AK144" s="1">
        <f>IFERROR(__xludf.DUMMYFUNCTION("""COMPUTED_VALUE"""),9.87102309E8)</f>
        <v>987102309</v>
      </c>
      <c r="AL144" s="1" t="str">
        <f>IFERROR(__xludf.DUMMYFUNCTION("""COMPUTED_VALUE"""),"tattianabedregal36@gmail.com")</f>
        <v>tattianabedregal36@gmail.com</v>
      </c>
      <c r="AM144" s="1" t="str">
        <f>IFERROR(__xludf.DUMMYFUNCTION("""COMPUTED_VALUE"""),"FEMENINO")</f>
        <v>FEMENINO</v>
      </c>
      <c r="AN144" s="1">
        <f>IFERROR(__xludf.DUMMYFUNCTION("""COMPUTED_VALUE"""),1350.0)</f>
        <v>1350</v>
      </c>
      <c r="AO144" s="1">
        <f>IFERROR(__xludf.DUMMYFUNCTION("""COMPUTED_VALUE"""),0.0)</f>
        <v>0</v>
      </c>
      <c r="AP144" s="1" t="str">
        <f>IFERROR(__xludf.DUMMYFUNCTION("""COMPUTED_VALUE"""),"COLEGIOS")</f>
        <v>COLEGIOS</v>
      </c>
      <c r="AQ144" s="1" t="str">
        <f>IFERROR(__xludf.DUMMYFUNCTION("""COMPUTED_VALUE"""),"COLEGIOS")</f>
        <v>COLEGIOS</v>
      </c>
      <c r="AR144" s="1" t="str">
        <f>IFERROR(__xludf.DUMMYFUNCTION("""COMPUTED_VALUE"""),"NUEVO")</f>
        <v>NUEVO</v>
      </c>
      <c r="AS144" s="1"/>
      <c r="AT144" s="2">
        <f>IFERROR(__xludf.DUMMYFUNCTION("""COMPUTED_VALUE"""),45470.0)</f>
        <v>45470</v>
      </c>
      <c r="AU144" s="1">
        <f>IFERROR(__xludf.DUMMYFUNCTION("""COMPUTED_VALUE"""),1.0)</f>
        <v>1</v>
      </c>
      <c r="AV144" s="1" t="str">
        <f>IFERROR(__xludf.DUMMYFUNCTION("""COMPUTED_VALUE"""),"NUEVO")</f>
        <v>NUEVO</v>
      </c>
      <c r="AW144" s="1" t="str">
        <f>IFERROR(__xludf.DUMMYFUNCTION("""COMPUTED_VALUE"""),"SI")</f>
        <v>SI</v>
      </c>
      <c r="AX144" s="1"/>
      <c r="AY144" s="1" t="str">
        <f>IFERROR(__xludf.DUMMYFUNCTION("""COMPUTED_VALUE"""),"PAGO COMPLETO")</f>
        <v>PAGO COMPLETO</v>
      </c>
      <c r="AZ144" s="5">
        <f>IFERROR(__xludf.DUMMYFUNCTION("""COMPUTED_VALUE"""),45581.0)</f>
        <v>45581</v>
      </c>
      <c r="BA144" s="1">
        <f>IFERROR(__xludf.DUMMYFUNCTION("""COMPUTED_VALUE"""),0.0)</f>
        <v>0</v>
      </c>
      <c r="BB144" s="1">
        <f>IFERROR(__xludf.DUMMYFUNCTION("""COMPUTED_VALUE"""),0.0)</f>
        <v>0</v>
      </c>
      <c r="BC144" s="4">
        <f>IFERROR(__xludf.DUMMYFUNCTION("""COMPUTED_VALUE"""),0.0)</f>
        <v>0</v>
      </c>
      <c r="BD144" s="4">
        <f>IFERROR(__xludf.DUMMYFUNCTION("""COMPUTED_VALUE"""),0.0)</f>
        <v>0</v>
      </c>
      <c r="BE144" s="1">
        <f>IFERROR(__xludf.DUMMYFUNCTION("""COMPUTED_VALUE"""),10.0)</f>
        <v>10</v>
      </c>
      <c r="BF144" s="6">
        <f>IFERROR(__xludf.DUMMYFUNCTION("""COMPUTED_VALUE"""),1.0)</f>
        <v>1</v>
      </c>
      <c r="BG144" s="1">
        <f>IFERROR(__xludf.DUMMYFUNCTION("""COMPUTED_VALUE"""),1.0)</f>
        <v>1</v>
      </c>
      <c r="BH144" s="1" t="str">
        <f>IFERROR(__xludf.DUMMYFUNCTION("""COMPUTED_VALUE"""),"0")</f>
        <v>0</v>
      </c>
      <c r="BI144" s="4">
        <f>IFERROR(__xludf.DUMMYFUNCTION("""COMPUTED_VALUE"""),0.0)</f>
        <v>0</v>
      </c>
      <c r="BJ144" s="1">
        <f>IFERROR(__xludf.DUMMYFUNCTION("""COMPUTED_VALUE"""),0.0)</f>
        <v>0</v>
      </c>
      <c r="BK144" s="4">
        <f>IFERROR(__xludf.DUMMYFUNCTION("""COMPUTED_VALUE"""),0.0)</f>
        <v>0</v>
      </c>
      <c r="BL144" s="1">
        <f>IFERROR(__xludf.DUMMYFUNCTION("""COMPUTED_VALUE"""),950.0)</f>
        <v>950</v>
      </c>
      <c r="BM144" s="1">
        <f>IFERROR(__xludf.DUMMYFUNCTION("""COMPUTED_VALUE"""),42.0)</f>
        <v>42</v>
      </c>
      <c r="BN144" s="2">
        <f>IFERROR(__xludf.DUMMYFUNCTION("""COMPUTED_VALUE"""),45579.0)</f>
        <v>45579</v>
      </c>
      <c r="BO144" s="1">
        <f>IFERROR(__xludf.DUMMYFUNCTION("""COMPUTED_VALUE"""),10.0)</f>
        <v>10</v>
      </c>
      <c r="BP144" s="1">
        <f>IFERROR(__xludf.DUMMYFUNCTION("""COMPUTED_VALUE"""),2024.0)</f>
        <v>2024</v>
      </c>
    </row>
    <row r="145">
      <c r="A145" s="1">
        <f>IFERROR(__xludf.DUMMYFUNCTION("""COMPUTED_VALUE"""),144.0)</f>
        <v>144</v>
      </c>
      <c r="B145" s="1">
        <f>IFERROR(__xludf.DUMMYFUNCTION("""COMPUTED_VALUE"""),4751588.0)</f>
        <v>4751588</v>
      </c>
      <c r="C145" s="1" t="str">
        <f>IFERROR(__xludf.DUMMYFUNCTION("""COMPUTED_VALUE"""),"2025-1")</f>
        <v>2025-1</v>
      </c>
      <c r="D145" s="1" t="str">
        <f>IFERROR(__xludf.DUMMYFUNCTION("""COMPUTED_VALUE"""),"Admisión Ordinaria")</f>
        <v>Admisión Ordinaria</v>
      </c>
      <c r="E145" s="2">
        <f>IFERROR(__xludf.DUMMYFUNCTION("""COMPUTED_VALUE"""),45583.0)</f>
        <v>45583</v>
      </c>
      <c r="F145" s="1" t="str">
        <f>IFERROR(__xludf.DUMMYFUNCTION("""COMPUTED_VALUE"""),"RUBÍ ALEJANDRA")</f>
        <v>RUBÍ ALEJANDRA</v>
      </c>
      <c r="G145" s="1" t="str">
        <f>IFERROR(__xludf.DUMMYFUNCTION("""COMPUTED_VALUE"""),"RUALES SANCHEZ")</f>
        <v>RUALES SANCHEZ</v>
      </c>
      <c r="H145" s="1" t="str">
        <f>IFERROR(__xludf.DUMMYFUNCTION("""COMPUTED_VALUE"""),"Arquitectura de Interiores")</f>
        <v>Arquitectura de Interiores</v>
      </c>
      <c r="I145" s="1" t="str">
        <f>IFERROR(__xludf.DUMMYFUNCTION("""COMPUTED_VALUE"""),"Pago Link")</f>
        <v>Pago Link</v>
      </c>
      <c r="J145" s="1" t="str">
        <f>IFERROR(__xludf.DUMMYFUNCTION("""COMPUTED_VALUE"""),"Diurno")</f>
        <v>Diurno</v>
      </c>
      <c r="K145" s="1" t="str">
        <f>IFERROR(__xludf.DUMMYFUNCTION("""COMPUTED_VALUE"""),"NUEVO")</f>
        <v>NUEVO</v>
      </c>
      <c r="L145" s="1">
        <f>IFERROR(__xludf.DUMMYFUNCTION("""COMPUTED_VALUE"""),0.0)</f>
        <v>0</v>
      </c>
      <c r="M145" s="1">
        <f>IFERROR(__xludf.DUMMYFUNCTION("""COMPUTED_VALUE"""),0.0)</f>
        <v>0</v>
      </c>
      <c r="N145" s="1" t="str">
        <f>IFERROR(__xludf.DUMMYFUNCTION("""COMPUTED_VALUE"""),"BECA")</f>
        <v>BECA</v>
      </c>
      <c r="O145" s="1" t="str">
        <f>IFERROR(__xludf.DUMMYFUNCTION("""COMPUTED_VALUE"""),"BECA CARRERAS CORE")</f>
        <v>BECA CARRERAS CORE</v>
      </c>
      <c r="P145" s="4">
        <f>IFERROR(__xludf.DUMMYFUNCTION("""COMPUTED_VALUE"""),0.0)</f>
        <v>0</v>
      </c>
      <c r="Q145" s="4">
        <f>IFERROR(__xludf.DUMMYFUNCTION("""COMPUTED_VALUE"""),0.0)</f>
        <v>0</v>
      </c>
      <c r="R145" s="4">
        <f>IFERROR(__xludf.DUMMYFUNCTION("""COMPUTED_VALUE"""),1600.0)</f>
        <v>1600</v>
      </c>
      <c r="S145" s="4">
        <f>IFERROR(__xludf.DUMMYFUNCTION("""COMPUTED_VALUE"""),1280.0)</f>
        <v>1280</v>
      </c>
      <c r="T145" s="1" t="str">
        <f>IFERROR(__xludf.DUMMYFUNCTION("""COMPUTED_VALUE"""),"NINGUNO")</f>
        <v>NINGUNO</v>
      </c>
      <c r="U145" s="1" t="str">
        <f>IFERROR(__xludf.DUMMYFUNCTION("""COMPUTED_VALUE"""),"FABIOLA")</f>
        <v>FABIOLA</v>
      </c>
      <c r="V145" s="1" t="str">
        <f>IFERROR(__xludf.DUMMYFUNCTION("""COMPUTED_VALUE"""),"Ninguno")</f>
        <v>Ninguno</v>
      </c>
      <c r="W145" s="1" t="str">
        <f>IFERROR(__xludf.DUMMYFUNCTION("""COMPUTED_VALUE"""),"Prestigio de la institución")</f>
        <v>Prestigio de la institución</v>
      </c>
      <c r="X145" s="1" t="str">
        <f>IFERROR(__xludf.DUMMYFUNCTION("""COMPUTED_VALUE"""),"-")</f>
        <v>-</v>
      </c>
      <c r="Y145" s="1" t="str">
        <f>IFERROR(__xludf.DUMMYFUNCTION("""COMPUTED_VALUE"""),"PAGO FRACCIONADO")</f>
        <v>PAGO FRACCIONADO</v>
      </c>
      <c r="Z145" s="1">
        <f>IFERROR(__xludf.DUMMYFUNCTION("""COMPUTED_VALUE"""),640.0)</f>
        <v>640</v>
      </c>
      <c r="AA145" s="1" t="str">
        <f>IFERROR(__xludf.DUMMYFUNCTION("""COMPUTED_VALUE"""),"18/10/2024")</f>
        <v>18/10/2024</v>
      </c>
      <c r="AB145" s="1">
        <f>IFERROR(__xludf.DUMMYFUNCTION("""COMPUTED_VALUE"""),0.0)</f>
        <v>0</v>
      </c>
      <c r="AC145" s="1">
        <f>IFERROR(__xludf.DUMMYFUNCTION("""COMPUTED_VALUE"""),0.0)</f>
        <v>0</v>
      </c>
      <c r="AD145" s="1" t="str">
        <f>IFERROR(__xludf.DUMMYFUNCTION("""COMPUTED_VALUE"""),"Ingrid Guillermo Rivera")</f>
        <v>Ingrid Guillermo Rivera</v>
      </c>
      <c r="AE145" s="1" t="str">
        <f>IFERROR(__xludf.DUMMYFUNCTION("""COMPUTED_VALUE"""),"0")</f>
        <v>0</v>
      </c>
      <c r="AF145" s="1">
        <f>IFERROR(__xludf.DUMMYFUNCTION("""COMPUTED_VALUE"""),2020.0)</f>
        <v>2020</v>
      </c>
      <c r="AG145" s="1">
        <f>IFERROR(__xludf.DUMMYFUNCTION("""COMPUTED_VALUE"""),1580208.0)</f>
        <v>1580208</v>
      </c>
      <c r="AH145" s="1">
        <f>IFERROR(__xludf.DUMMYFUNCTION("""COMPUTED_VALUE"""),26.0)</f>
        <v>26</v>
      </c>
      <c r="AI145" s="1" t="str">
        <f>IFERROR(__xludf.DUMMYFUNCTION("""COMPUTED_VALUE"""),"0000398324")</f>
        <v>0000398324</v>
      </c>
      <c r="AJ145" s="1">
        <f>IFERROR(__xludf.DUMMYFUNCTION("""COMPUTED_VALUE"""),7.0105729E7)</f>
        <v>70105729</v>
      </c>
      <c r="AK145" s="1">
        <f>IFERROR(__xludf.DUMMYFUNCTION("""COMPUTED_VALUE"""),9.65140497E8)</f>
        <v>965140497</v>
      </c>
      <c r="AL145" s="1" t="str">
        <f>IFERROR(__xludf.DUMMYFUNCTION("""COMPUTED_VALUE"""),"rubi.ruales.sanchez@gmail.com")</f>
        <v>rubi.ruales.sanchez@gmail.com</v>
      </c>
      <c r="AM145" s="1" t="str">
        <f>IFERROR(__xludf.DUMMYFUNCTION("""COMPUTED_VALUE"""),"FEMENINO")</f>
        <v>FEMENINO</v>
      </c>
      <c r="AN145" s="1">
        <f>IFERROR(__xludf.DUMMYFUNCTION("""COMPUTED_VALUE"""),1600.0)</f>
        <v>1600</v>
      </c>
      <c r="AO145" s="1">
        <f>IFERROR(__xludf.DUMMYFUNCTION("""COMPUTED_VALUE"""),550.0)</f>
        <v>550</v>
      </c>
      <c r="AP145" s="1" t="str">
        <f>IFERROR(__xludf.DUMMYFUNCTION("""COMPUTED_VALUE"""),"BIDIRECCIONAL")</f>
        <v>BIDIRECCIONAL</v>
      </c>
      <c r="AQ145" s="1" t="str">
        <f>IFERROR(__xludf.DUMMYFUNCTION("""COMPUTED_VALUE"""),"SEARCH CARRERA")</f>
        <v>SEARCH CARRERA</v>
      </c>
      <c r="AR145" s="1" t="str">
        <f>IFERROR(__xludf.DUMMYFUNCTION("""COMPUTED_VALUE"""),"NUEVO")</f>
        <v>NUEVO</v>
      </c>
      <c r="AS145" s="1" t="str">
        <f>IFERROR(__xludf.DUMMYFUNCTION("""COMPUTED_VALUE"""),"ucal-pg-performance-sedes-abierta-cpl-search_conversion_mundo_arquitectura_bidi_search_carreras-20240702")</f>
        <v>ucal-pg-performance-sedes-abierta-cpl-search_conversion_mundo_arquitectura_bidi_search_carreras-20240702</v>
      </c>
      <c r="AT145" s="2">
        <f>IFERROR(__xludf.DUMMYFUNCTION("""COMPUTED_VALUE"""),45579.0)</f>
        <v>45579</v>
      </c>
      <c r="AU145" s="1">
        <f>IFERROR(__xludf.DUMMYFUNCTION("""COMPUTED_VALUE"""),1.0)</f>
        <v>1</v>
      </c>
      <c r="AV145" s="1" t="str">
        <f>IFERROR(__xludf.DUMMYFUNCTION("""COMPUTED_VALUE"""),"NUEVO")</f>
        <v>NUEVO</v>
      </c>
      <c r="AW145" s="1" t="str">
        <f>IFERROR(__xludf.DUMMYFUNCTION("""COMPUTED_VALUE"""),"SI")</f>
        <v>SI</v>
      </c>
      <c r="AX145" s="1"/>
      <c r="AY145" s="1" t="str">
        <f>IFERROR(__xludf.DUMMYFUNCTION("""COMPUTED_VALUE"""),"PAGO COMPLETO")</f>
        <v>PAGO COMPLETO</v>
      </c>
      <c r="AZ145" s="5">
        <f>IFERROR(__xludf.DUMMYFUNCTION("""COMPUTED_VALUE"""),45596.0)</f>
        <v>45596</v>
      </c>
      <c r="BA145" s="1">
        <f>IFERROR(__xludf.DUMMYFUNCTION("""COMPUTED_VALUE"""),640.0)</f>
        <v>640</v>
      </c>
      <c r="BB145" s="1">
        <f>IFERROR(__xludf.DUMMYFUNCTION("""COMPUTED_VALUE"""),0.0)</f>
        <v>0</v>
      </c>
      <c r="BC145" s="4">
        <f>IFERROR(__xludf.DUMMYFUNCTION("""COMPUTED_VALUE"""),0.0)</f>
        <v>0</v>
      </c>
      <c r="BD145" s="4">
        <f>IFERROR(__xludf.DUMMYFUNCTION("""COMPUTED_VALUE"""),0.0)</f>
        <v>0</v>
      </c>
      <c r="BE145" s="1">
        <f>IFERROR(__xludf.DUMMYFUNCTION("""COMPUTED_VALUE"""),10.0)</f>
        <v>10</v>
      </c>
      <c r="BF145" s="6">
        <f>IFERROR(__xludf.DUMMYFUNCTION("""COMPUTED_VALUE"""),1.0)</f>
        <v>1</v>
      </c>
      <c r="BG145" s="1">
        <f>IFERROR(__xludf.DUMMYFUNCTION("""COMPUTED_VALUE"""),1.0)</f>
        <v>1</v>
      </c>
      <c r="BH145" s="1" t="str">
        <f>IFERROR(__xludf.DUMMYFUNCTION("""COMPUTED_VALUE"""),"0")</f>
        <v>0</v>
      </c>
      <c r="BI145" s="4">
        <f>IFERROR(__xludf.DUMMYFUNCTION("""COMPUTED_VALUE"""),1280.0)</f>
        <v>1280</v>
      </c>
      <c r="BJ145" s="1">
        <f>IFERROR(__xludf.DUMMYFUNCTION("""COMPUTED_VALUE"""),0.0)</f>
        <v>0</v>
      </c>
      <c r="BK145" s="4">
        <f>IFERROR(__xludf.DUMMYFUNCTION("""COMPUTED_VALUE"""),0.0)</f>
        <v>0</v>
      </c>
      <c r="BL145" s="1">
        <f>IFERROR(__xludf.DUMMYFUNCTION("""COMPUTED_VALUE"""),1280.0)</f>
        <v>1280</v>
      </c>
      <c r="BM145" s="1">
        <f>IFERROR(__xludf.DUMMYFUNCTION("""COMPUTED_VALUE"""),42.0)</f>
        <v>42</v>
      </c>
      <c r="BN145" s="2">
        <f>IFERROR(__xludf.DUMMYFUNCTION("""COMPUTED_VALUE"""),45579.0)</f>
        <v>45579</v>
      </c>
      <c r="BO145" s="1">
        <f>IFERROR(__xludf.DUMMYFUNCTION("""COMPUTED_VALUE"""),10.0)</f>
        <v>10</v>
      </c>
      <c r="BP145" s="1">
        <f>IFERROR(__xludf.DUMMYFUNCTION("""COMPUTED_VALUE"""),2024.0)</f>
        <v>2024</v>
      </c>
    </row>
    <row r="146">
      <c r="A146" s="1">
        <f>IFERROR(__xludf.DUMMYFUNCTION("""COMPUTED_VALUE"""),145.0)</f>
        <v>145</v>
      </c>
      <c r="B146" s="1">
        <f>IFERROR(__xludf.DUMMYFUNCTION("""COMPUTED_VALUE"""),1923931.0)</f>
        <v>1923931</v>
      </c>
      <c r="C146" s="1" t="str">
        <f>IFERROR(__xludf.DUMMYFUNCTION("""COMPUTED_VALUE"""),"2025-1")</f>
        <v>2025-1</v>
      </c>
      <c r="D146" s="1" t="str">
        <f>IFERROR(__xludf.DUMMYFUNCTION("""COMPUTED_VALUE"""),"Admisión Extraordinaria (Traslados)")</f>
        <v>Admisión Extraordinaria (Traslados)</v>
      </c>
      <c r="E146" s="2">
        <f>IFERROR(__xludf.DUMMYFUNCTION("""COMPUTED_VALUE"""),45586.0)</f>
        <v>45586</v>
      </c>
      <c r="F146" s="1" t="str">
        <f>IFERROR(__xludf.DUMMYFUNCTION("""COMPUTED_VALUE"""),"LUIS ALBERTO ")</f>
        <v>LUIS ALBERTO </v>
      </c>
      <c r="G146" s="1" t="str">
        <f>IFERROR(__xludf.DUMMYFUNCTION("""COMPUTED_VALUE"""),"ARMAS BORJA")</f>
        <v>ARMAS BORJA</v>
      </c>
      <c r="H146" s="1" t="str">
        <f>IFERROR(__xludf.DUMMYFUNCTION("""COMPUTED_VALUE"""),"Arquitectura")</f>
        <v>Arquitectura</v>
      </c>
      <c r="I146" s="1" t="str">
        <f>IFERROR(__xludf.DUMMYFUNCTION("""COMPUTED_VALUE"""),"POS")</f>
        <v>POS</v>
      </c>
      <c r="J146" s="1" t="str">
        <f>IFERROR(__xludf.DUMMYFUNCTION("""COMPUTED_VALUE"""),"Diurno")</f>
        <v>Diurno</v>
      </c>
      <c r="K146" s="1" t="str">
        <f>IFERROR(__xludf.DUMMYFUNCTION("""COMPUTED_VALUE"""),"TRASLADO")</f>
        <v>TRASLADO</v>
      </c>
      <c r="L146" s="1">
        <f>IFERROR(__xludf.DUMMYFUNCTION("""COMPUTED_VALUE"""),1.0)</f>
        <v>1</v>
      </c>
      <c r="M146" s="1">
        <f>IFERROR(__xludf.DUMMYFUNCTION("""COMPUTED_VALUE"""),0.0)</f>
        <v>0</v>
      </c>
      <c r="N146" s="1" t="str">
        <f>IFERROR(__xludf.DUMMYFUNCTION("""COMPUTED_VALUE"""),"RECA")</f>
        <v>RECA</v>
      </c>
      <c r="O146" s="1" t="str">
        <f>IFERROR(__xludf.DUMMYFUNCTION("""COMPUTED_VALUE"""),"RECA TRASLADO CON CONVA")</f>
        <v>RECA TRASLADO CON CONVA</v>
      </c>
      <c r="P146" s="4">
        <f>IFERROR(__xludf.DUMMYFUNCTION("""COMPUTED_VALUE"""),0.0)</f>
        <v>0</v>
      </c>
      <c r="Q146" s="4">
        <f>IFERROR(__xludf.DUMMYFUNCTION("""COMPUTED_VALUE"""),0.0)</f>
        <v>0</v>
      </c>
      <c r="R146" s="4">
        <f>IFERROR(__xludf.DUMMYFUNCTION("""COMPUTED_VALUE"""),1350.0)</f>
        <v>1350</v>
      </c>
      <c r="S146" s="4">
        <f>IFERROR(__xludf.DUMMYFUNCTION("""COMPUTED_VALUE"""),900.0)</f>
        <v>900</v>
      </c>
      <c r="T146" s="1" t="str">
        <f>IFERROR(__xludf.DUMMYFUNCTION("""COMPUTED_VALUE"""),"Visita Guiada")</f>
        <v>Visita Guiada</v>
      </c>
      <c r="U146" s="1" t="str">
        <f>IFERROR(__xludf.DUMMYFUNCTION("""COMPUTED_VALUE"""),"FABIOLA")</f>
        <v>FABIOLA</v>
      </c>
      <c r="V146" s="1" t="str">
        <f>IFERROR(__xludf.DUMMYFUNCTION("""COMPUTED_VALUE"""),"Ninguno")</f>
        <v>Ninguno</v>
      </c>
      <c r="W146" s="1" t="str">
        <f>IFERROR(__xludf.DUMMYFUNCTION("""COMPUTED_VALUE"""),"Metodología de enseñanza")</f>
        <v>Metodología de enseñanza</v>
      </c>
      <c r="X146" s="1" t="str">
        <f>IFERROR(__xludf.DUMMYFUNCTION("""COMPUTED_VALUE"""),"le encanto la malla curricular")</f>
        <v>le encanto la malla curricular</v>
      </c>
      <c r="Y146" s="1" t="str">
        <f>IFERROR(__xludf.DUMMYFUNCTION("""COMPUTED_VALUE"""),"PAGO COMPLETO")</f>
        <v>PAGO COMPLETO</v>
      </c>
      <c r="Z146" s="1">
        <f>IFERROR(__xludf.DUMMYFUNCTION("""COMPUTED_VALUE"""),0.0)</f>
        <v>0</v>
      </c>
      <c r="AA146" s="1" t="str">
        <f>IFERROR(__xludf.DUMMYFUNCTION("""COMPUTED_VALUE"""),"-")</f>
        <v>-</v>
      </c>
      <c r="AB146" s="1">
        <f>IFERROR(__xludf.DUMMYFUNCTION("""COMPUTED_VALUE"""),0.0)</f>
        <v>0</v>
      </c>
      <c r="AC146" s="1">
        <f>IFERROR(__xludf.DUMMYFUNCTION("""COMPUTED_VALUE"""),0.0)</f>
        <v>0</v>
      </c>
      <c r="AD146" s="1" t="str">
        <f>IFERROR(__xludf.DUMMYFUNCTION("""COMPUTED_VALUE"""),"Cinthia Mariella Orosco")</f>
        <v>Cinthia Mariella Orosco</v>
      </c>
      <c r="AE146" s="1" t="str">
        <f>IFERROR(__xludf.DUMMYFUNCTION("""COMPUTED_VALUE"""),"Universidad Alas Peruanas")</f>
        <v>Universidad Alas Peruanas</v>
      </c>
      <c r="AF146" s="1">
        <f>IFERROR(__xludf.DUMMYFUNCTION("""COMPUTED_VALUE"""),2020.0)</f>
        <v>2020</v>
      </c>
      <c r="AG146" s="1">
        <f>IFERROR(__xludf.DUMMYFUNCTION("""COMPUTED_VALUE"""),209924.0)</f>
        <v>209924</v>
      </c>
      <c r="AH146" s="1">
        <f>IFERROR(__xludf.DUMMYFUNCTION("""COMPUTED_VALUE"""),43.0)</f>
        <v>43</v>
      </c>
      <c r="AI146" s="1" t="str">
        <f>IFERROR(__xludf.DUMMYFUNCTION("""COMPUTED_VALUE"""),"0000055762")</f>
        <v>0000055762</v>
      </c>
      <c r="AJ146" s="1">
        <f>IFERROR(__xludf.DUMMYFUNCTION("""COMPUTED_VALUE"""),4.0950911E7)</f>
        <v>40950911</v>
      </c>
      <c r="AK146" s="1">
        <f>IFERROR(__xludf.DUMMYFUNCTION("""COMPUTED_VALUE"""),9.50284977E8)</f>
        <v>950284977</v>
      </c>
      <c r="AL146" s="1" t="str">
        <f>IFERROR(__xludf.DUMMYFUNCTION("""COMPUTED_VALUE"""),"alfa_omega_armas@hotmail.com")</f>
        <v>alfa_omega_armas@hotmail.com</v>
      </c>
      <c r="AM146" s="1" t="str">
        <f>IFERROR(__xludf.DUMMYFUNCTION("""COMPUTED_VALUE"""),"MASCULINO")</f>
        <v>MASCULINO</v>
      </c>
      <c r="AN146" s="1">
        <f>IFERROR(__xludf.DUMMYFUNCTION("""COMPUTED_VALUE"""),1350.0)</f>
        <v>1350</v>
      </c>
      <c r="AO146" s="1">
        <f>IFERROR(__xludf.DUMMYFUNCTION("""COMPUTED_VALUE"""),0.0)</f>
        <v>0</v>
      </c>
      <c r="AP146" s="1" t="str">
        <f>IFERROR(__xludf.DUMMYFUNCTION("""COMPUTED_VALUE"""),"BIDIRECCIONAL")</f>
        <v>BIDIRECCIONAL</v>
      </c>
      <c r="AQ146" s="1" t="str">
        <f>IFERROR(__xludf.DUMMYFUNCTION("""COMPUTED_VALUE"""),"ORGANICO")</f>
        <v>ORGANICO</v>
      </c>
      <c r="AR146" s="1" t="str">
        <f>IFERROR(__xludf.DUMMYFUNCTION("""COMPUTED_VALUE"""),"HEREDADO")</f>
        <v>HEREDADO</v>
      </c>
      <c r="AS146" s="1"/>
      <c r="AT146" s="2">
        <f>IFERROR(__xludf.DUMMYFUNCTION("""COMPUTED_VALUE"""),45545.0)</f>
        <v>45545</v>
      </c>
      <c r="AU146" s="1">
        <f>IFERROR(__xludf.DUMMYFUNCTION("""COMPUTED_VALUE"""),1.0)</f>
        <v>1</v>
      </c>
      <c r="AV146" s="1" t="str">
        <f>IFERROR(__xludf.DUMMYFUNCTION("""COMPUTED_VALUE"""),"TRASLADO")</f>
        <v>TRASLADO</v>
      </c>
      <c r="AW146" s="1" t="str">
        <f>IFERROR(__xludf.DUMMYFUNCTION("""COMPUTED_VALUE"""),"SI")</f>
        <v>SI</v>
      </c>
      <c r="AX146" s="1"/>
      <c r="AY146" s="1" t="str">
        <f>IFERROR(__xludf.DUMMYFUNCTION("""COMPUTED_VALUE"""),"PAGO COMPLETO")</f>
        <v>PAGO COMPLETO</v>
      </c>
      <c r="AZ146" s="5">
        <f>IFERROR(__xludf.DUMMYFUNCTION("""COMPUTED_VALUE"""),45586.0)</f>
        <v>45586</v>
      </c>
      <c r="BA146" s="1">
        <f>IFERROR(__xludf.DUMMYFUNCTION("""COMPUTED_VALUE"""),0.0)</f>
        <v>0</v>
      </c>
      <c r="BB146" s="1">
        <f>IFERROR(__xludf.DUMMYFUNCTION("""COMPUTED_VALUE"""),0.0)</f>
        <v>0</v>
      </c>
      <c r="BC146" s="4">
        <f>IFERROR(__xludf.DUMMYFUNCTION("""COMPUTED_VALUE"""),0.0)</f>
        <v>0</v>
      </c>
      <c r="BD146" s="4">
        <f>IFERROR(__xludf.DUMMYFUNCTION("""COMPUTED_VALUE"""),100.0)</f>
        <v>100</v>
      </c>
      <c r="BE146" s="1">
        <f>IFERROR(__xludf.DUMMYFUNCTION("""COMPUTED_VALUE"""),10.0)</f>
        <v>10</v>
      </c>
      <c r="BF146" s="6">
        <f>IFERROR(__xludf.DUMMYFUNCTION("""COMPUTED_VALUE"""),1.0)</f>
        <v>1</v>
      </c>
      <c r="BG146" s="1">
        <f>IFERROR(__xludf.DUMMYFUNCTION("""COMPUTED_VALUE"""),1.0)</f>
        <v>1</v>
      </c>
      <c r="BH146" s="1" t="str">
        <f>IFERROR(__xludf.DUMMYFUNCTION("""COMPUTED_VALUE"""),"1")</f>
        <v>1</v>
      </c>
      <c r="BI146" s="4">
        <f>IFERROR(__xludf.DUMMYFUNCTION("""COMPUTED_VALUE"""),100.0)</f>
        <v>100</v>
      </c>
      <c r="BJ146" s="1">
        <f>IFERROR(__xludf.DUMMYFUNCTION("""COMPUTED_VALUE"""),0.0)</f>
        <v>0</v>
      </c>
      <c r="BK146" s="4">
        <f>IFERROR(__xludf.DUMMYFUNCTION("""COMPUTED_VALUE"""),100.0)</f>
        <v>100</v>
      </c>
      <c r="BL146" s="1">
        <f>IFERROR(__xludf.DUMMYFUNCTION("""COMPUTED_VALUE"""),880.0)</f>
        <v>880</v>
      </c>
      <c r="BM146" s="1">
        <f>IFERROR(__xludf.DUMMYFUNCTION("""COMPUTED_VALUE"""),43.0)</f>
        <v>43</v>
      </c>
      <c r="BN146" s="2">
        <f>IFERROR(__xludf.DUMMYFUNCTION("""COMPUTED_VALUE"""),45586.0)</f>
        <v>45586</v>
      </c>
      <c r="BO146" s="1">
        <f>IFERROR(__xludf.DUMMYFUNCTION("""COMPUTED_VALUE"""),10.0)</f>
        <v>10</v>
      </c>
      <c r="BP146" s="1">
        <f>IFERROR(__xludf.DUMMYFUNCTION("""COMPUTED_VALUE"""),2024.0)</f>
        <v>2024</v>
      </c>
    </row>
    <row r="147">
      <c r="A147" s="1">
        <f>IFERROR(__xludf.DUMMYFUNCTION("""COMPUTED_VALUE"""),146.0)</f>
        <v>146</v>
      </c>
      <c r="B147" s="1">
        <f>IFERROR(__xludf.DUMMYFUNCTION("""COMPUTED_VALUE"""),867692.0)</f>
        <v>867692</v>
      </c>
      <c r="C147" s="1" t="str">
        <f>IFERROR(__xludf.DUMMYFUNCTION("""COMPUTED_VALUE"""),"2025-1")</f>
        <v>2025-1</v>
      </c>
      <c r="D147" s="1" t="str">
        <f>IFERROR(__xludf.DUMMYFUNCTION("""COMPUTED_VALUE"""),"Admisión Ordinaria")</f>
        <v>Admisión Ordinaria</v>
      </c>
      <c r="E147" s="2">
        <f>IFERROR(__xludf.DUMMYFUNCTION("""COMPUTED_VALUE"""),45586.0)</f>
        <v>45586</v>
      </c>
      <c r="F147" s="1" t="str">
        <f>IFERROR(__xludf.DUMMYFUNCTION("""COMPUTED_VALUE"""),"CLAUDIA SOFIA ")</f>
        <v>CLAUDIA SOFIA </v>
      </c>
      <c r="G147" s="1" t="str">
        <f>IFERROR(__xludf.DUMMYFUNCTION("""COMPUTED_VALUE"""),"CHU CUADROS")</f>
        <v>CHU CUADROS</v>
      </c>
      <c r="H147" s="1" t="str">
        <f>IFERROR(__xludf.DUMMYFUNCTION("""COMPUTED_VALUE"""),"Administración y Marketing")</f>
        <v>Administración y Marketing</v>
      </c>
      <c r="I147" s="1" t="str">
        <f>IFERROR(__xludf.DUMMYFUNCTION("""COMPUTED_VALUE"""),"CARGO")</f>
        <v>CARGO</v>
      </c>
      <c r="J147" s="1" t="str">
        <f>IFERROR(__xludf.DUMMYFUNCTION("""COMPUTED_VALUE"""),"Nocturno - A distancia")</f>
        <v>Nocturno - A distancia</v>
      </c>
      <c r="K147" s="1" t="str">
        <f>IFERROR(__xludf.DUMMYFUNCTION("""COMPUTED_VALUE"""),"NUEVO")</f>
        <v>NUEVO</v>
      </c>
      <c r="L147" s="1">
        <f>IFERROR(__xludf.DUMMYFUNCTION("""COMPUTED_VALUE"""),0.0)</f>
        <v>0</v>
      </c>
      <c r="M147" s="1">
        <f>IFERROR(__xludf.DUMMYFUNCTION("""COMPUTED_VALUE"""),0.0)</f>
        <v>0</v>
      </c>
      <c r="N147" s="1" t="str">
        <f>IFERROR(__xludf.DUMMYFUNCTION("""COMPUTED_VALUE"""),"ESCALA DISTANCIA")</f>
        <v>ESCALA DISTANCIA</v>
      </c>
      <c r="O147" s="1" t="str">
        <f>IFERROR(__xludf.DUMMYFUNCTION("""COMPUTED_VALUE"""),"ESCALA DISTANCIA REGULAR")</f>
        <v>ESCALA DISTANCIA REGULAR</v>
      </c>
      <c r="P147" s="4">
        <f>IFERROR(__xludf.DUMMYFUNCTION("""COMPUTED_VALUE"""),0.0)</f>
        <v>0</v>
      </c>
      <c r="Q147" s="4">
        <f>IFERROR(__xludf.DUMMYFUNCTION("""COMPUTED_VALUE"""),0.0)</f>
        <v>0</v>
      </c>
      <c r="R147" s="4">
        <f>IFERROR(__xludf.DUMMYFUNCTION("""COMPUTED_VALUE"""),950.0)</f>
        <v>950</v>
      </c>
      <c r="S147" s="4">
        <f>IFERROR(__xludf.DUMMYFUNCTION("""COMPUTED_VALUE"""),950.0)</f>
        <v>950</v>
      </c>
      <c r="T147" s="1" t="str">
        <f>IFERROR(__xludf.DUMMYFUNCTION("""COMPUTED_VALUE"""),"NINGUNO")</f>
        <v>NINGUNO</v>
      </c>
      <c r="U147" s="1" t="str">
        <f>IFERROR(__xludf.DUMMYFUNCTION("""COMPUTED_VALUE"""),"FABIOLA")</f>
        <v>FABIOLA</v>
      </c>
      <c r="V147" s="1" t="str">
        <f>IFERROR(__xludf.DUMMYFUNCTION("""COMPUTED_VALUE"""),"Ninguno")</f>
        <v>Ninguno</v>
      </c>
      <c r="W147" s="1" t="str">
        <f>IFERROR(__xludf.DUMMYFUNCTION("""COMPUTED_VALUE"""),"Otros")</f>
        <v>Otros</v>
      </c>
      <c r="X147" s="1" t="str">
        <f>IFERROR(__xludf.DUMMYFUNCTION("""COMPUTED_VALUE"""),"MOTIVO DE COMPRA HORARIOS")</f>
        <v>MOTIVO DE COMPRA HORARIOS</v>
      </c>
      <c r="Y147" s="1" t="str">
        <f>IFERROR(__xludf.DUMMYFUNCTION("""COMPUTED_VALUE"""),"PAGO COMPLETO")</f>
        <v>PAGO COMPLETO</v>
      </c>
      <c r="Z147" s="1">
        <f>IFERROR(__xludf.DUMMYFUNCTION("""COMPUTED_VALUE"""),0.0)</f>
        <v>0</v>
      </c>
      <c r="AA147" s="1" t="str">
        <f>IFERROR(__xludf.DUMMYFUNCTION("""COMPUTED_VALUE"""),"-")</f>
        <v>-</v>
      </c>
      <c r="AB147" s="1">
        <f>IFERROR(__xludf.DUMMYFUNCTION("""COMPUTED_VALUE"""),0.0)</f>
        <v>0</v>
      </c>
      <c r="AC147" s="1">
        <f>IFERROR(__xludf.DUMMYFUNCTION("""COMPUTED_VALUE"""),0.0)</f>
        <v>0</v>
      </c>
      <c r="AD147" s="1" t="str">
        <f>IFERROR(__xludf.DUMMYFUNCTION("""COMPUTED_VALUE"""),"Andrea Araujo Antara")</f>
        <v>Andrea Araujo Antara</v>
      </c>
      <c r="AE147" s="1" t="str">
        <f>IFERROR(__xludf.DUMMYFUNCTION("""COMPUTED_VALUE"""),"0")</f>
        <v>0</v>
      </c>
      <c r="AF147" s="1">
        <f>IFERROR(__xludf.DUMMYFUNCTION("""COMPUTED_VALUE"""),2018.0)</f>
        <v>2018</v>
      </c>
      <c r="AG147" s="1">
        <f>IFERROR(__xludf.DUMMYFUNCTION("""COMPUTED_VALUE"""),1478239.0)</f>
        <v>1478239</v>
      </c>
      <c r="AH147" s="1">
        <f>IFERROR(__xludf.DUMMYFUNCTION("""COMPUTED_VALUE"""),22.0)</f>
        <v>22</v>
      </c>
      <c r="AI147" s="1" t="str">
        <f>IFERROR(__xludf.DUMMYFUNCTION("""COMPUTED_VALUE"""),"0000398540")</f>
        <v>0000398540</v>
      </c>
      <c r="AJ147" s="1">
        <f>IFERROR(__xludf.DUMMYFUNCTION("""COMPUTED_VALUE"""),7.1799894E7)</f>
        <v>71799894</v>
      </c>
      <c r="AK147" s="1">
        <f>IFERROR(__xludf.DUMMYFUNCTION("""COMPUTED_VALUE"""),9.8098041E8)</f>
        <v>980980410</v>
      </c>
      <c r="AL147" s="1" t="str">
        <f>IFERROR(__xludf.DUMMYFUNCTION("""COMPUTED_VALUE"""),"CHUCLAUDIA11@gmail.com")</f>
        <v>CHUCLAUDIA11@gmail.com</v>
      </c>
      <c r="AM147" s="1" t="str">
        <f>IFERROR(__xludf.DUMMYFUNCTION("""COMPUTED_VALUE"""),"FEMENINO")</f>
        <v>FEMENINO</v>
      </c>
      <c r="AN147" s="1">
        <f>IFERROR(__xludf.DUMMYFUNCTION("""COMPUTED_VALUE"""),950.0)</f>
        <v>950</v>
      </c>
      <c r="AO147" s="1">
        <f>IFERROR(__xludf.DUMMYFUNCTION("""COMPUTED_VALUE"""),495.0)</f>
        <v>495</v>
      </c>
      <c r="AP147" s="1" t="str">
        <f>IFERROR(__xludf.DUMMYFUNCTION("""COMPUTED_VALUE"""),"FORMULARIO")</f>
        <v>FORMULARIO</v>
      </c>
      <c r="AQ147" s="1" t="str">
        <f>IFERROR(__xludf.DUMMYFUNCTION("""COMPUTED_VALUE"""),"SEARCH CARRERA")</f>
        <v>SEARCH CARRERA</v>
      </c>
      <c r="AR147" s="1" t="str">
        <f>IFERROR(__xludf.DUMMYFUNCTION("""COMPUTED_VALUE"""),"HEREDADO")</f>
        <v>HEREDADO</v>
      </c>
      <c r="AS147" s="1" t="str">
        <f>IFERROR(__xludf.DUMMYFUNCTION("""COMPUTED_VALUE"""),"ucal-pg-performance-sedes-abierta-cpl-search_conversion_mundo_negocios-20240401")</f>
        <v>ucal-pg-performance-sedes-abierta-cpl-search_conversion_mundo_negocios-20240401</v>
      </c>
      <c r="AT147" s="2">
        <f>IFERROR(__xludf.DUMMYFUNCTION("""COMPUTED_VALUE"""),45586.0)</f>
        <v>45586</v>
      </c>
      <c r="AU147" s="1">
        <f>IFERROR(__xludf.DUMMYFUNCTION("""COMPUTED_VALUE"""),1.0)</f>
        <v>1</v>
      </c>
      <c r="AV147" s="1" t="str">
        <f>IFERROR(__xludf.DUMMYFUNCTION("""COMPUTED_VALUE"""),"NUEVO")</f>
        <v>NUEVO</v>
      </c>
      <c r="AW147" s="1" t="str">
        <f>IFERROR(__xludf.DUMMYFUNCTION("""COMPUTED_VALUE"""),"SI")</f>
        <v>SI</v>
      </c>
      <c r="AX147" s="1"/>
      <c r="AY147" s="1" t="str">
        <f>IFERROR(__xludf.DUMMYFUNCTION("""COMPUTED_VALUE"""),"PAGO COMPLETO")</f>
        <v>PAGO COMPLETO</v>
      </c>
      <c r="AZ147" s="5">
        <f>IFERROR(__xludf.DUMMYFUNCTION("""COMPUTED_VALUE"""),45586.0)</f>
        <v>45586</v>
      </c>
      <c r="BA147" s="1">
        <f>IFERROR(__xludf.DUMMYFUNCTION("""COMPUTED_VALUE"""),0.0)</f>
        <v>0</v>
      </c>
      <c r="BB147" s="1">
        <f>IFERROR(__xludf.DUMMYFUNCTION("""COMPUTED_VALUE"""),0.0)</f>
        <v>0</v>
      </c>
      <c r="BC147" s="4">
        <f>IFERROR(__xludf.DUMMYFUNCTION("""COMPUTED_VALUE"""),0.0)</f>
        <v>0</v>
      </c>
      <c r="BD147" s="4">
        <f>IFERROR(__xludf.DUMMYFUNCTION("""COMPUTED_VALUE"""),0.0)</f>
        <v>0</v>
      </c>
      <c r="BE147" s="1">
        <f>IFERROR(__xludf.DUMMYFUNCTION("""COMPUTED_VALUE"""),10.0)</f>
        <v>10</v>
      </c>
      <c r="BF147" s="6">
        <f>IFERROR(__xludf.DUMMYFUNCTION("""COMPUTED_VALUE"""),1.0)</f>
        <v>1</v>
      </c>
      <c r="BG147" s="1">
        <f>IFERROR(__xludf.DUMMYFUNCTION("""COMPUTED_VALUE"""),1.0)</f>
        <v>1</v>
      </c>
      <c r="BH147" s="1" t="str">
        <f>IFERROR(__xludf.DUMMYFUNCTION("""COMPUTED_VALUE"""),"0")</f>
        <v>0</v>
      </c>
      <c r="BI147" s="4">
        <f>IFERROR(__xludf.DUMMYFUNCTION("""COMPUTED_VALUE"""),0.0)</f>
        <v>0</v>
      </c>
      <c r="BJ147" s="1">
        <f>IFERROR(__xludf.DUMMYFUNCTION("""COMPUTED_VALUE"""),0.0)</f>
        <v>0</v>
      </c>
      <c r="BK147" s="4">
        <f>IFERROR(__xludf.DUMMYFUNCTION("""COMPUTED_VALUE"""),0.0)</f>
        <v>0</v>
      </c>
      <c r="BL147" s="1">
        <f>IFERROR(__xludf.DUMMYFUNCTION("""COMPUTED_VALUE"""),950.0)</f>
        <v>950</v>
      </c>
      <c r="BM147" s="1">
        <f>IFERROR(__xludf.DUMMYFUNCTION("""COMPUTED_VALUE"""),43.0)</f>
        <v>43</v>
      </c>
      <c r="BN147" s="2">
        <f>IFERROR(__xludf.DUMMYFUNCTION("""COMPUTED_VALUE"""),45586.0)</f>
        <v>45586</v>
      </c>
      <c r="BO147" s="1">
        <f>IFERROR(__xludf.DUMMYFUNCTION("""COMPUTED_VALUE"""),10.0)</f>
        <v>10</v>
      </c>
      <c r="BP147" s="1">
        <f>IFERROR(__xludf.DUMMYFUNCTION("""COMPUTED_VALUE"""),2024.0)</f>
        <v>2024</v>
      </c>
    </row>
    <row r="148">
      <c r="A148" s="1">
        <f>IFERROR(__xludf.DUMMYFUNCTION("""COMPUTED_VALUE"""),147.0)</f>
        <v>147</v>
      </c>
      <c r="B148" s="1">
        <f>IFERROR(__xludf.DUMMYFUNCTION("""COMPUTED_VALUE"""),4753352.0)</f>
        <v>4753352</v>
      </c>
      <c r="C148" s="1" t="str">
        <f>IFERROR(__xludf.DUMMYFUNCTION("""COMPUTED_VALUE"""),"2025-1")</f>
        <v>2025-1</v>
      </c>
      <c r="D148" s="1" t="str">
        <f>IFERROR(__xludf.DUMMYFUNCTION("""COMPUTED_VALUE"""),"Admisión de Alto Rendimiento")</f>
        <v>Admisión de Alto Rendimiento</v>
      </c>
      <c r="E148" s="2">
        <f>IFERROR(__xludf.DUMMYFUNCTION("""COMPUTED_VALUE"""),45588.0)</f>
        <v>45588</v>
      </c>
      <c r="F148" s="1" t="str">
        <f>IFERROR(__xludf.DUMMYFUNCTION("""COMPUTED_VALUE"""),"NICOL MARIA")</f>
        <v>NICOL MARIA</v>
      </c>
      <c r="G148" s="1" t="str">
        <f>IFERROR(__xludf.DUMMYFUNCTION("""COMPUTED_VALUE"""),"ATENCIO SALVATIERRA")</f>
        <v>ATENCIO SALVATIERRA</v>
      </c>
      <c r="H148" s="1" t="str">
        <f>IFERROR(__xludf.DUMMYFUNCTION("""COMPUTED_VALUE"""),"Marketing e Innovación")</f>
        <v>Marketing e Innovación</v>
      </c>
      <c r="I148" s="1" t="str">
        <f>IFERROR(__xludf.DUMMYFUNCTION("""COMPUTED_VALUE"""),"CARGO")</f>
        <v>CARGO</v>
      </c>
      <c r="J148" s="1" t="str">
        <f>IFERROR(__xludf.DUMMYFUNCTION("""COMPUTED_VALUE"""),"Diurno")</f>
        <v>Diurno</v>
      </c>
      <c r="K148" s="1" t="str">
        <f>IFERROR(__xludf.DUMMYFUNCTION("""COMPUTED_VALUE"""),"NUEVO")</f>
        <v>NUEVO</v>
      </c>
      <c r="L148" s="1">
        <f>IFERROR(__xludf.DUMMYFUNCTION("""COMPUTED_VALUE"""),0.0)</f>
        <v>0</v>
      </c>
      <c r="M148" s="1">
        <f>IFERROR(__xludf.DUMMYFUNCTION("""COMPUTED_VALUE"""),0.0)</f>
        <v>0</v>
      </c>
      <c r="N148" s="1" t="str">
        <f>IFERROR(__xludf.DUMMYFUNCTION("""COMPUTED_VALUE"""),"BECA")</f>
        <v>BECA</v>
      </c>
      <c r="O148" s="1" t="str">
        <f>IFERROR(__xludf.DUMMYFUNCTION("""COMPUTED_VALUE"""),"BECA CARRERAS NUEVAS")</f>
        <v>BECA CARRERAS NUEVAS</v>
      </c>
      <c r="P148" s="4">
        <f>IFERROR(__xludf.DUMMYFUNCTION("""COMPUTED_VALUE"""),0.0)</f>
        <v>0</v>
      </c>
      <c r="Q148" s="4">
        <f>IFERROR(__xludf.DUMMYFUNCTION("""COMPUTED_VALUE"""),0.0)</f>
        <v>0</v>
      </c>
      <c r="R148" s="4">
        <f>IFERROR(__xludf.DUMMYFUNCTION("""COMPUTED_VALUE"""),1350.0)</f>
        <v>1350</v>
      </c>
      <c r="S148" s="4">
        <f>IFERROR(__xludf.DUMMYFUNCTION("""COMPUTED_VALUE"""),1000.0)</f>
        <v>1000</v>
      </c>
      <c r="T148" s="1" t="str">
        <f>IFERROR(__xludf.DUMMYFUNCTION("""COMPUTED_VALUE"""),"NINGUNO")</f>
        <v>NINGUNO</v>
      </c>
      <c r="U148" s="1" t="str">
        <f>IFERROR(__xludf.DUMMYFUNCTION("""COMPUTED_VALUE"""),"FABIOLA")</f>
        <v>FABIOLA</v>
      </c>
      <c r="V148" s="1" t="str">
        <f>IFERROR(__xludf.DUMMYFUNCTION("""COMPUTED_VALUE"""),"Ninguno")</f>
        <v>Ninguno</v>
      </c>
      <c r="W148" s="1" t="str">
        <f>IFERROR(__xludf.DUMMYFUNCTION("""COMPUTED_VALUE"""),"Malla curricular")</f>
        <v>Malla curricular</v>
      </c>
      <c r="X148" s="1" t="str">
        <f>IFERROR(__xludf.DUMMYFUNCTION("""COMPUTED_VALUE"""),"-")</f>
        <v>-</v>
      </c>
      <c r="Y148" s="1" t="str">
        <f>IFERROR(__xludf.DUMMYFUNCTION("""COMPUTED_VALUE"""),"PAGO COMPLETO")</f>
        <v>PAGO COMPLETO</v>
      </c>
      <c r="Z148" s="1">
        <f>IFERROR(__xludf.DUMMYFUNCTION("""COMPUTED_VALUE"""),0.0)</f>
        <v>0</v>
      </c>
      <c r="AA148" s="1" t="str">
        <f>IFERROR(__xludf.DUMMYFUNCTION("""COMPUTED_VALUE"""),"-")</f>
        <v>-</v>
      </c>
      <c r="AB148" s="1">
        <f>IFERROR(__xludf.DUMMYFUNCTION("""COMPUTED_VALUE"""),0.0)</f>
        <v>0</v>
      </c>
      <c r="AC148" s="1">
        <f>IFERROR(__xludf.DUMMYFUNCTION("""COMPUTED_VALUE"""),0.0)</f>
        <v>0</v>
      </c>
      <c r="AD148" s="1" t="str">
        <f>IFERROR(__xludf.DUMMYFUNCTION("""COMPUTED_VALUE"""),"Janira Delgado")</f>
        <v>Janira Delgado</v>
      </c>
      <c r="AE148" s="1" t="str">
        <f>IFERROR(__xludf.DUMMYFUNCTION("""COMPUTED_VALUE"""),"0")</f>
        <v>0</v>
      </c>
      <c r="AF148" s="1">
        <f>IFERROR(__xludf.DUMMYFUNCTION("""COMPUTED_VALUE"""),2024.0)</f>
        <v>2024</v>
      </c>
      <c r="AG148" s="1">
        <f>IFERROR(__xludf.DUMMYFUNCTION("""COMPUTED_VALUE"""),742122.0)</f>
        <v>742122</v>
      </c>
      <c r="AH148" s="1">
        <f>IFERROR(__xludf.DUMMYFUNCTION("""COMPUTED_VALUE"""),17.0)</f>
        <v>17</v>
      </c>
      <c r="AI148" s="1" t="str">
        <f>IFERROR(__xludf.DUMMYFUNCTION("""COMPUTED_VALUE"""),"0000398730")</f>
        <v>0000398730</v>
      </c>
      <c r="AJ148" s="1">
        <f>IFERROR(__xludf.DUMMYFUNCTION("""COMPUTED_VALUE"""),6.1233409E7)</f>
        <v>61233409</v>
      </c>
      <c r="AK148" s="1">
        <f>IFERROR(__xludf.DUMMYFUNCTION("""COMPUTED_VALUE"""),9.34900063E8)</f>
        <v>934900063</v>
      </c>
      <c r="AL148" s="1" t="str">
        <f>IFERROR(__xludf.DUMMYFUNCTION("""COMPUTED_VALUE"""),"nicoleatencio251@gmail.com")</f>
        <v>nicoleatencio251@gmail.com</v>
      </c>
      <c r="AM148" s="1" t="str">
        <f>IFERROR(__xludf.DUMMYFUNCTION("""COMPUTED_VALUE"""),"FEMENINO")</f>
        <v>FEMENINO</v>
      </c>
      <c r="AN148" s="1">
        <f>IFERROR(__xludf.DUMMYFUNCTION("""COMPUTED_VALUE"""),1350.0)</f>
        <v>1350</v>
      </c>
      <c r="AO148" s="1">
        <f>IFERROR(__xludf.DUMMYFUNCTION("""COMPUTED_VALUE"""),0.0)</f>
        <v>0</v>
      </c>
      <c r="AP148" s="1" t="str">
        <f>IFERROR(__xludf.DUMMYFUNCTION("""COMPUTED_VALUE"""),"FORMULARIO")</f>
        <v>FORMULARIO</v>
      </c>
      <c r="AQ148" s="1" t="str">
        <f>IFERROR(__xludf.DUMMYFUNCTION("""COMPUTED_VALUE"""),"ORGANICO")</f>
        <v>ORGANICO</v>
      </c>
      <c r="AR148" s="1" t="str">
        <f>IFERROR(__xludf.DUMMYFUNCTION("""COMPUTED_VALUE"""),"NUEVO")</f>
        <v>NUEVO</v>
      </c>
      <c r="AS148" s="1"/>
      <c r="AT148" s="2">
        <f>IFERROR(__xludf.DUMMYFUNCTION("""COMPUTED_VALUE"""),45573.0)</f>
        <v>45573</v>
      </c>
      <c r="AU148" s="1">
        <f>IFERROR(__xludf.DUMMYFUNCTION("""COMPUTED_VALUE"""),1.0)</f>
        <v>1</v>
      </c>
      <c r="AV148" s="1" t="str">
        <f>IFERROR(__xludf.DUMMYFUNCTION("""COMPUTED_VALUE"""),"NUEVO")</f>
        <v>NUEVO</v>
      </c>
      <c r="AW148" s="1" t="str">
        <f>IFERROR(__xludf.DUMMYFUNCTION("""COMPUTED_VALUE"""),"SI")</f>
        <v>SI</v>
      </c>
      <c r="AX148" s="1"/>
      <c r="AY148" s="1" t="str">
        <f>IFERROR(__xludf.DUMMYFUNCTION("""COMPUTED_VALUE"""),"PAGO COMPLETO")</f>
        <v>PAGO COMPLETO</v>
      </c>
      <c r="AZ148" s="5">
        <f>IFERROR(__xludf.DUMMYFUNCTION("""COMPUTED_VALUE"""),45588.0)</f>
        <v>45588</v>
      </c>
      <c r="BA148" s="1">
        <f>IFERROR(__xludf.DUMMYFUNCTION("""COMPUTED_VALUE"""),0.0)</f>
        <v>0</v>
      </c>
      <c r="BB148" s="1">
        <f>IFERROR(__xludf.DUMMYFUNCTION("""COMPUTED_VALUE"""),0.0)</f>
        <v>0</v>
      </c>
      <c r="BC148" s="4">
        <f>IFERROR(__xludf.DUMMYFUNCTION("""COMPUTED_VALUE"""),0.0)</f>
        <v>0</v>
      </c>
      <c r="BD148" s="4">
        <f>IFERROR(__xludf.DUMMYFUNCTION("""COMPUTED_VALUE"""),0.0)</f>
        <v>0</v>
      </c>
      <c r="BE148" s="1">
        <f>IFERROR(__xludf.DUMMYFUNCTION("""COMPUTED_VALUE"""),10.0)</f>
        <v>10</v>
      </c>
      <c r="BF148" s="6">
        <f>IFERROR(__xludf.DUMMYFUNCTION("""COMPUTED_VALUE"""),1.0)</f>
        <v>1</v>
      </c>
      <c r="BG148" s="1">
        <f>IFERROR(__xludf.DUMMYFUNCTION("""COMPUTED_VALUE"""),1.0)</f>
        <v>1</v>
      </c>
      <c r="BH148" s="1" t="str">
        <f>IFERROR(__xludf.DUMMYFUNCTION("""COMPUTED_VALUE"""),"0")</f>
        <v>0</v>
      </c>
      <c r="BI148" s="4">
        <f>IFERROR(__xludf.DUMMYFUNCTION("""COMPUTED_VALUE"""),0.0)</f>
        <v>0</v>
      </c>
      <c r="BJ148" s="1">
        <f>IFERROR(__xludf.DUMMYFUNCTION("""COMPUTED_VALUE"""),0.0)</f>
        <v>0</v>
      </c>
      <c r="BK148" s="4">
        <f>IFERROR(__xludf.DUMMYFUNCTION("""COMPUTED_VALUE"""),0.0)</f>
        <v>0</v>
      </c>
      <c r="BL148" s="1">
        <f>IFERROR(__xludf.DUMMYFUNCTION("""COMPUTED_VALUE"""),1000.0)</f>
        <v>1000</v>
      </c>
      <c r="BM148" s="1">
        <f>IFERROR(__xludf.DUMMYFUNCTION("""COMPUTED_VALUE"""),43.0)</f>
        <v>43</v>
      </c>
      <c r="BN148" s="2">
        <f>IFERROR(__xludf.DUMMYFUNCTION("""COMPUTED_VALUE"""),45586.0)</f>
        <v>45586</v>
      </c>
      <c r="BO148" s="1">
        <f>IFERROR(__xludf.DUMMYFUNCTION("""COMPUTED_VALUE"""),10.0)</f>
        <v>10</v>
      </c>
      <c r="BP148" s="1">
        <f>IFERROR(__xludf.DUMMYFUNCTION("""COMPUTED_VALUE"""),2024.0)</f>
        <v>2024</v>
      </c>
    </row>
    <row r="149">
      <c r="A149" s="1">
        <f>IFERROR(__xludf.DUMMYFUNCTION("""COMPUTED_VALUE"""),148.0)</f>
        <v>148</v>
      </c>
      <c r="B149" s="1">
        <f>IFERROR(__xludf.DUMMYFUNCTION("""COMPUTED_VALUE"""),4768900.0)</f>
        <v>4768900</v>
      </c>
      <c r="C149" s="1" t="str">
        <f>IFERROR(__xludf.DUMMYFUNCTION("""COMPUTED_VALUE"""),"2025-1")</f>
        <v>2025-1</v>
      </c>
      <c r="D149" s="1" t="str">
        <f>IFERROR(__xludf.DUMMYFUNCTION("""COMPUTED_VALUE"""),"Admisión de Alto Rendimiento")</f>
        <v>Admisión de Alto Rendimiento</v>
      </c>
      <c r="E149" s="2">
        <f>IFERROR(__xludf.DUMMYFUNCTION("""COMPUTED_VALUE"""),45589.0)</f>
        <v>45589</v>
      </c>
      <c r="F149" s="1" t="str">
        <f>IFERROR(__xludf.DUMMYFUNCTION("""COMPUTED_VALUE"""),"PABLO FRANCISCO ")</f>
        <v>PABLO FRANCISCO </v>
      </c>
      <c r="G149" s="1" t="str">
        <f>IFERROR(__xludf.DUMMYFUNCTION("""COMPUTED_VALUE"""),"RODAS CHAMBERGO")</f>
        <v>RODAS CHAMBERGO</v>
      </c>
      <c r="H149" s="1" t="str">
        <f>IFERROR(__xludf.DUMMYFUNCTION("""COMPUTED_VALUE"""),"Comunicación Audiovisual y Cine")</f>
        <v>Comunicación Audiovisual y Cine</v>
      </c>
      <c r="I149" s="1" t="str">
        <f>IFERROR(__xludf.DUMMYFUNCTION("""COMPUTED_VALUE"""),"Pago Link")</f>
        <v>Pago Link</v>
      </c>
      <c r="J149" s="1" t="str">
        <f>IFERROR(__xludf.DUMMYFUNCTION("""COMPUTED_VALUE"""),"Diurno")</f>
        <v>Diurno</v>
      </c>
      <c r="K149" s="1" t="str">
        <f>IFERROR(__xludf.DUMMYFUNCTION("""COMPUTED_VALUE"""),"NUEVO")</f>
        <v>NUEVO</v>
      </c>
      <c r="L149" s="1">
        <f>IFERROR(__xludf.DUMMYFUNCTION("""COMPUTED_VALUE"""),0.0)</f>
        <v>0</v>
      </c>
      <c r="M149" s="1">
        <f>IFERROR(__xludf.DUMMYFUNCTION("""COMPUTED_VALUE"""),0.0)</f>
        <v>0</v>
      </c>
      <c r="N149" s="1" t="str">
        <f>IFERROR(__xludf.DUMMYFUNCTION("""COMPUTED_VALUE"""),"BECA")</f>
        <v>BECA</v>
      </c>
      <c r="O149" s="1" t="str">
        <f>IFERROR(__xludf.DUMMYFUNCTION("""COMPUTED_VALUE"""),"BECA CARRERAS CORE")</f>
        <v>BECA CARRERAS CORE</v>
      </c>
      <c r="P149" s="4">
        <f>IFERROR(__xludf.DUMMYFUNCTION("""COMPUTED_VALUE"""),0.0)</f>
        <v>0</v>
      </c>
      <c r="Q149" s="4">
        <f>IFERROR(__xludf.DUMMYFUNCTION("""COMPUTED_VALUE"""),0.0)</f>
        <v>0</v>
      </c>
      <c r="R149" s="4">
        <f>IFERROR(__xludf.DUMMYFUNCTION("""COMPUTED_VALUE"""),1600.0)</f>
        <v>1600</v>
      </c>
      <c r="S149" s="4">
        <f>IFERROR(__xludf.DUMMYFUNCTION("""COMPUTED_VALUE"""),1280.0)</f>
        <v>1280</v>
      </c>
      <c r="T149" s="1" t="str">
        <f>IFERROR(__xludf.DUMMYFUNCTION("""COMPUTED_VALUE"""),"NINGUNO")</f>
        <v>NINGUNO</v>
      </c>
      <c r="U149" s="1" t="str">
        <f>IFERROR(__xludf.DUMMYFUNCTION("""COMPUTED_VALUE"""),"FABIOLA")</f>
        <v>FABIOLA</v>
      </c>
      <c r="V149" s="1" t="str">
        <f>IFERROR(__xludf.DUMMYFUNCTION("""COMPUTED_VALUE"""),"Ninguno")</f>
        <v>Ninguno</v>
      </c>
      <c r="W149" s="1" t="str">
        <f>IFERROR(__xludf.DUMMYFUNCTION("""COMPUTED_VALUE"""),"Metodología de enseñanza")</f>
        <v>Metodología de enseñanza</v>
      </c>
      <c r="X149" s="1" t="str">
        <f>IFERROR(__xludf.DUMMYFUNCTION("""COMPUTED_VALUE"""),"-")</f>
        <v>-</v>
      </c>
      <c r="Y149" s="1" t="str">
        <f>IFERROR(__xludf.DUMMYFUNCTION("""COMPUTED_VALUE"""),"PAGO FRACCIONADO")</f>
        <v>PAGO FRACCIONADO</v>
      </c>
      <c r="Z149" s="1">
        <f>IFERROR(__xludf.DUMMYFUNCTION("""COMPUTED_VALUE"""),640.0)</f>
        <v>640</v>
      </c>
      <c r="AA149" s="1" t="str">
        <f>IFERROR(__xludf.DUMMYFUNCTION("""COMPUTED_VALUE"""),"31/10/2024")</f>
        <v>31/10/2024</v>
      </c>
      <c r="AB149" s="1">
        <f>IFERROR(__xludf.DUMMYFUNCTION("""COMPUTED_VALUE"""),0.0)</f>
        <v>0</v>
      </c>
      <c r="AC149" s="1">
        <f>IFERROR(__xludf.DUMMYFUNCTION("""COMPUTED_VALUE"""),0.0)</f>
        <v>0</v>
      </c>
      <c r="AD149" s="1" t="str">
        <f>IFERROR(__xludf.DUMMYFUNCTION("""COMPUTED_VALUE"""),"Fiorella Lanegra")</f>
        <v>Fiorella Lanegra</v>
      </c>
      <c r="AE149" s="1" t="str">
        <f>IFERROR(__xludf.DUMMYFUNCTION("""COMPUTED_VALUE"""),"0")</f>
        <v>0</v>
      </c>
      <c r="AF149" s="1">
        <f>IFERROR(__xludf.DUMMYFUNCTION("""COMPUTED_VALUE"""),2024.0)</f>
        <v>2024</v>
      </c>
      <c r="AG149" s="1">
        <f>IFERROR(__xludf.DUMMYFUNCTION("""COMPUTED_VALUE"""),1056886.0)</f>
        <v>1056886</v>
      </c>
      <c r="AH149" s="1">
        <f>IFERROR(__xludf.DUMMYFUNCTION("""COMPUTED_VALUE"""),16.0)</f>
        <v>16</v>
      </c>
      <c r="AI149" s="1" t="str">
        <f>IFERROR(__xludf.DUMMYFUNCTION("""COMPUTED_VALUE"""),"0000398851")</f>
        <v>0000398851</v>
      </c>
      <c r="AJ149" s="1">
        <f>IFERROR(__xludf.DUMMYFUNCTION("""COMPUTED_VALUE"""),7.1361117E7)</f>
        <v>71361117</v>
      </c>
      <c r="AK149" s="1">
        <f>IFERROR(__xludf.DUMMYFUNCTION("""COMPUTED_VALUE"""),9.95412152E8)</f>
        <v>995412152</v>
      </c>
      <c r="AL149" s="1" t="str">
        <f>IFERROR(__xludf.DUMMYFUNCTION("""COMPUTED_VALUE"""),"pablorodas2102@gmail.com")</f>
        <v>pablorodas2102@gmail.com</v>
      </c>
      <c r="AM149" s="1" t="str">
        <f>IFERROR(__xludf.DUMMYFUNCTION("""COMPUTED_VALUE"""),"MASCULINO")</f>
        <v>MASCULINO</v>
      </c>
      <c r="AN149" s="1">
        <f>IFERROR(__xludf.DUMMYFUNCTION("""COMPUTED_VALUE"""),1600.0)</f>
        <v>1600</v>
      </c>
      <c r="AO149" s="1">
        <f>IFERROR(__xludf.DUMMYFUNCTION("""COMPUTED_VALUE"""),700.0)</f>
        <v>700</v>
      </c>
      <c r="AP149" s="1" t="str">
        <f>IFERROR(__xludf.DUMMYFUNCTION("""COMPUTED_VALUE"""),"COLEGIOS")</f>
        <v>COLEGIOS</v>
      </c>
      <c r="AQ149" s="1" t="str">
        <f>IFERROR(__xludf.DUMMYFUNCTION("""COMPUTED_VALUE"""),"COLEGIOS")</f>
        <v>COLEGIOS</v>
      </c>
      <c r="AR149" s="1" t="str">
        <f>IFERROR(__xludf.DUMMYFUNCTION("""COMPUTED_VALUE"""),"NUEVO")</f>
        <v>NUEVO</v>
      </c>
      <c r="AS149" s="1"/>
      <c r="AT149" s="2">
        <f>IFERROR(__xludf.DUMMYFUNCTION("""COMPUTED_VALUE"""),45588.0)</f>
        <v>45588</v>
      </c>
      <c r="AU149" s="1">
        <f>IFERROR(__xludf.DUMMYFUNCTION("""COMPUTED_VALUE"""),1.0)</f>
        <v>1</v>
      </c>
      <c r="AV149" s="1" t="str">
        <f>IFERROR(__xludf.DUMMYFUNCTION("""COMPUTED_VALUE"""),"NUEVO")</f>
        <v>NUEVO</v>
      </c>
      <c r="AW149" s="1" t="str">
        <f>IFERROR(__xludf.DUMMYFUNCTION("""COMPUTED_VALUE"""),"SI")</f>
        <v>SI</v>
      </c>
      <c r="AX149" s="1"/>
      <c r="AY149" s="1" t="str">
        <f>IFERROR(__xludf.DUMMYFUNCTION("""COMPUTED_VALUE"""),"PAGO COMPLETO")</f>
        <v>PAGO COMPLETO</v>
      </c>
      <c r="AZ149" s="5">
        <f>IFERROR(__xludf.DUMMYFUNCTION("""COMPUTED_VALUE"""),45596.0)</f>
        <v>45596</v>
      </c>
      <c r="BA149" s="1">
        <f>IFERROR(__xludf.DUMMYFUNCTION("""COMPUTED_VALUE"""),640.0)</f>
        <v>640</v>
      </c>
      <c r="BB149" s="1">
        <f>IFERROR(__xludf.DUMMYFUNCTION("""COMPUTED_VALUE"""),0.0)</f>
        <v>0</v>
      </c>
      <c r="BC149" s="4">
        <f>IFERROR(__xludf.DUMMYFUNCTION("""COMPUTED_VALUE"""),0.0)</f>
        <v>0</v>
      </c>
      <c r="BD149" s="4">
        <f>IFERROR(__xludf.DUMMYFUNCTION("""COMPUTED_VALUE"""),0.0)</f>
        <v>0</v>
      </c>
      <c r="BE149" s="1">
        <f>IFERROR(__xludf.DUMMYFUNCTION("""COMPUTED_VALUE"""),10.0)</f>
        <v>10</v>
      </c>
      <c r="BF149" s="6">
        <f>IFERROR(__xludf.DUMMYFUNCTION("""COMPUTED_VALUE"""),1.0)</f>
        <v>1</v>
      </c>
      <c r="BG149" s="1">
        <f>IFERROR(__xludf.DUMMYFUNCTION("""COMPUTED_VALUE"""),1.0)</f>
        <v>1</v>
      </c>
      <c r="BH149" s="1" t="str">
        <f>IFERROR(__xludf.DUMMYFUNCTION("""COMPUTED_VALUE"""),"0")</f>
        <v>0</v>
      </c>
      <c r="BI149" s="4">
        <f>IFERROR(__xludf.DUMMYFUNCTION("""COMPUTED_VALUE"""),1280.0)</f>
        <v>1280</v>
      </c>
      <c r="BJ149" s="1">
        <f>IFERROR(__xludf.DUMMYFUNCTION("""COMPUTED_VALUE"""),0.0)</f>
        <v>0</v>
      </c>
      <c r="BK149" s="4">
        <f>IFERROR(__xludf.DUMMYFUNCTION("""COMPUTED_VALUE"""),0.0)</f>
        <v>0</v>
      </c>
      <c r="BL149" s="1">
        <f>IFERROR(__xludf.DUMMYFUNCTION("""COMPUTED_VALUE"""),1280.0)</f>
        <v>1280</v>
      </c>
      <c r="BM149" s="1">
        <f>IFERROR(__xludf.DUMMYFUNCTION("""COMPUTED_VALUE"""),43.0)</f>
        <v>43</v>
      </c>
      <c r="BN149" s="2">
        <f>IFERROR(__xludf.DUMMYFUNCTION("""COMPUTED_VALUE"""),45586.0)</f>
        <v>45586</v>
      </c>
      <c r="BO149" s="1">
        <f>IFERROR(__xludf.DUMMYFUNCTION("""COMPUTED_VALUE"""),10.0)</f>
        <v>10</v>
      </c>
      <c r="BP149" s="1">
        <f>IFERROR(__xludf.DUMMYFUNCTION("""COMPUTED_VALUE"""),2024.0)</f>
        <v>2024</v>
      </c>
    </row>
    <row r="150">
      <c r="A150" s="1">
        <f>IFERROR(__xludf.DUMMYFUNCTION("""COMPUTED_VALUE"""),149.0)</f>
        <v>149</v>
      </c>
      <c r="B150" s="1">
        <f>IFERROR(__xludf.DUMMYFUNCTION("""COMPUTED_VALUE"""),4773619.0)</f>
        <v>4773619</v>
      </c>
      <c r="C150" s="1" t="str">
        <f>IFERROR(__xludf.DUMMYFUNCTION("""COMPUTED_VALUE"""),"2025-1")</f>
        <v>2025-1</v>
      </c>
      <c r="D150" s="1" t="str">
        <f>IFERROR(__xludf.DUMMYFUNCTION("""COMPUTED_VALUE"""),"Admisión de Alto Rendimiento")</f>
        <v>Admisión de Alto Rendimiento</v>
      </c>
      <c r="E150" s="2">
        <f>IFERROR(__xludf.DUMMYFUNCTION("""COMPUTED_VALUE"""),45590.0)</f>
        <v>45590</v>
      </c>
      <c r="F150" s="1" t="str">
        <f>IFERROR(__xludf.DUMMYFUNCTION("""COMPUTED_VALUE"""),"SAMUEL ISAI")</f>
        <v>SAMUEL ISAI</v>
      </c>
      <c r="G150" s="1" t="str">
        <f>IFERROR(__xludf.DUMMYFUNCTION("""COMPUTED_VALUE"""),"FUENTE RODRIGUEZ")</f>
        <v>FUENTE RODRIGUEZ</v>
      </c>
      <c r="H150" s="1" t="str">
        <f>IFERROR(__xludf.DUMMYFUNCTION("""COMPUTED_VALUE"""),"Comunicación y Publicidad Transmedia")</f>
        <v>Comunicación y Publicidad Transmedia</v>
      </c>
      <c r="I150" s="1" t="str">
        <f>IFERROR(__xludf.DUMMYFUNCTION("""COMPUTED_VALUE"""),"POS")</f>
        <v>POS</v>
      </c>
      <c r="J150" s="1" t="str">
        <f>IFERROR(__xludf.DUMMYFUNCTION("""COMPUTED_VALUE"""),"Diurno")</f>
        <v>Diurno</v>
      </c>
      <c r="K150" s="1" t="str">
        <f>IFERROR(__xludf.DUMMYFUNCTION("""COMPUTED_VALUE"""),"NUEVO")</f>
        <v>NUEVO</v>
      </c>
      <c r="L150" s="1">
        <f>IFERROR(__xludf.DUMMYFUNCTION("""COMPUTED_VALUE"""),0.0)</f>
        <v>0</v>
      </c>
      <c r="M150" s="1">
        <f>IFERROR(__xludf.DUMMYFUNCTION("""COMPUTED_VALUE"""),0.0)</f>
        <v>0</v>
      </c>
      <c r="N150" s="1" t="str">
        <f>IFERROR(__xludf.DUMMYFUNCTION("""COMPUTED_VALUE"""),"BECA")</f>
        <v>BECA</v>
      </c>
      <c r="O150" s="1" t="str">
        <f>IFERROR(__xludf.DUMMYFUNCTION("""COMPUTED_VALUE"""),"BECA CARRERAS CORE")</f>
        <v>BECA CARRERAS CORE</v>
      </c>
      <c r="P150" s="4">
        <f>IFERROR(__xludf.DUMMYFUNCTION("""COMPUTED_VALUE"""),0.0)</f>
        <v>0</v>
      </c>
      <c r="Q150" s="4">
        <f>IFERROR(__xludf.DUMMYFUNCTION("""COMPUTED_VALUE"""),0.0)</f>
        <v>0</v>
      </c>
      <c r="R150" s="4">
        <f>IFERROR(__xludf.DUMMYFUNCTION("""COMPUTED_VALUE"""),1600.0)</f>
        <v>1600</v>
      </c>
      <c r="S150" s="4">
        <f>IFERROR(__xludf.DUMMYFUNCTION("""COMPUTED_VALUE"""),1280.0)</f>
        <v>1280</v>
      </c>
      <c r="T150" s="1" t="str">
        <f>IFERROR(__xludf.DUMMYFUNCTION("""COMPUTED_VALUE"""),"Visita Guiada")</f>
        <v>Visita Guiada</v>
      </c>
      <c r="U150" s="1" t="str">
        <f>IFERROR(__xludf.DUMMYFUNCTION("""COMPUTED_VALUE"""),"FABIOLA")</f>
        <v>FABIOLA</v>
      </c>
      <c r="V150" s="1" t="str">
        <f>IFERROR(__xludf.DUMMYFUNCTION("""COMPUTED_VALUE"""),"Ninguno")</f>
        <v>Ninguno</v>
      </c>
      <c r="W150" s="1" t="str">
        <f>IFERROR(__xludf.DUMMYFUNCTION("""COMPUTED_VALUE"""),"Metodología de enseñanza")</f>
        <v>Metodología de enseñanza</v>
      </c>
      <c r="X150" s="1" t="str">
        <f>IFERROR(__xludf.DUMMYFUNCTION("""COMPUTED_VALUE"""),"-")</f>
        <v>-</v>
      </c>
      <c r="Y150" s="1" t="str">
        <f>IFERROR(__xludf.DUMMYFUNCTION("""COMPUTED_VALUE"""),"PAGO FRACCIONADO")</f>
        <v>PAGO FRACCIONADO</v>
      </c>
      <c r="Z150" s="1">
        <f>IFERROR(__xludf.DUMMYFUNCTION("""COMPUTED_VALUE"""),590.0)</f>
        <v>590</v>
      </c>
      <c r="AA150" s="1" t="str">
        <f>IFERROR(__xludf.DUMMYFUNCTION("""COMPUTED_VALUE"""),"30/11/2024")</f>
        <v>30/11/2024</v>
      </c>
      <c r="AB150" s="1">
        <f>IFERROR(__xludf.DUMMYFUNCTION("""COMPUTED_VALUE"""),1.0)</f>
        <v>1</v>
      </c>
      <c r="AC150" s="1">
        <f>IFERROR(__xludf.DUMMYFUNCTION("""COMPUTED_VALUE"""),0.0)</f>
        <v>0</v>
      </c>
      <c r="AD150" s="1" t="str">
        <f>IFERROR(__xludf.DUMMYFUNCTION("""COMPUTED_VALUE"""),"Ingrid Guillermo Rivera")</f>
        <v>Ingrid Guillermo Rivera</v>
      </c>
      <c r="AE150" s="1" t="str">
        <f>IFERROR(__xludf.DUMMYFUNCTION("""COMPUTED_VALUE"""),"0")</f>
        <v>0</v>
      </c>
      <c r="AF150" s="1">
        <f>IFERROR(__xludf.DUMMYFUNCTION("""COMPUTED_VALUE"""),2024.0)</f>
        <v>2024</v>
      </c>
      <c r="AG150" s="1">
        <f>IFERROR(__xludf.DUMMYFUNCTION("""COMPUTED_VALUE"""),1097989.0)</f>
        <v>1097989</v>
      </c>
      <c r="AH150" s="1">
        <f>IFERROR(__xludf.DUMMYFUNCTION("""COMPUTED_VALUE"""),17.0)</f>
        <v>17</v>
      </c>
      <c r="AI150" s="1" t="str">
        <f>IFERROR(__xludf.DUMMYFUNCTION("""COMPUTED_VALUE"""),"0000398993")</f>
        <v>0000398993</v>
      </c>
      <c r="AJ150" s="1">
        <f>IFERROR(__xludf.DUMMYFUNCTION("""COMPUTED_VALUE"""),6.1106546E7)</f>
        <v>61106546</v>
      </c>
      <c r="AK150" s="1">
        <f>IFERROR(__xludf.DUMMYFUNCTION("""COMPUTED_VALUE"""),9.73045707E8)</f>
        <v>973045707</v>
      </c>
      <c r="AL150" s="1" t="str">
        <f>IFERROR(__xludf.DUMMYFUNCTION("""COMPUTED_VALUE"""),"SAMUEL.FUENTE.R@gmail.com")</f>
        <v>SAMUEL.FUENTE.R@gmail.com</v>
      </c>
      <c r="AM150" s="1" t="str">
        <f>IFERROR(__xludf.DUMMYFUNCTION("""COMPUTED_VALUE"""),"MASCULINO")</f>
        <v>MASCULINO</v>
      </c>
      <c r="AN150" s="1">
        <f>IFERROR(__xludf.DUMMYFUNCTION("""COMPUTED_VALUE"""),1600.0)</f>
        <v>1600</v>
      </c>
      <c r="AO150" s="1">
        <f>IFERROR(__xludf.DUMMYFUNCTION("""COMPUTED_VALUE"""),590.0)</f>
        <v>590</v>
      </c>
      <c r="AP150" s="1" t="str">
        <f>IFERROR(__xludf.DUMMYFUNCTION("""COMPUTED_VALUE"""),"OUTBOUND")</f>
        <v>OUTBOUND</v>
      </c>
      <c r="AQ150" s="1" t="str">
        <f>IFERROR(__xludf.DUMMYFUNCTION("""COMPUTED_VALUE"""),"OUTBOUND")</f>
        <v>OUTBOUND</v>
      </c>
      <c r="AR150" s="1" t="str">
        <f>IFERROR(__xludf.DUMMYFUNCTION("""COMPUTED_VALUE"""),"NUEVO")</f>
        <v>NUEVO</v>
      </c>
      <c r="AS150" s="1"/>
      <c r="AT150" s="2">
        <f>IFERROR(__xludf.DUMMYFUNCTION("""COMPUTED_VALUE"""),45590.0)</f>
        <v>45590</v>
      </c>
      <c r="AU150" s="1">
        <f>IFERROR(__xludf.DUMMYFUNCTION("""COMPUTED_VALUE"""),1.0)</f>
        <v>1</v>
      </c>
      <c r="AV150" s="1" t="str">
        <f>IFERROR(__xludf.DUMMYFUNCTION("""COMPUTED_VALUE"""),"NUEVO")</f>
        <v>NUEVO</v>
      </c>
      <c r="AW150" s="1" t="str">
        <f>IFERROR(__xludf.DUMMYFUNCTION("""COMPUTED_VALUE"""),"SI")</f>
        <v>SI</v>
      </c>
      <c r="AX150" s="1"/>
      <c r="AY150" s="1" t="str">
        <f>IFERROR(__xludf.DUMMYFUNCTION("""COMPUTED_VALUE"""),"PAGO FRACCIONADO")</f>
        <v>PAGO FRACCIONADO</v>
      </c>
      <c r="AZ150" s="1"/>
      <c r="BA150" s="1">
        <f>IFERROR(__xludf.DUMMYFUNCTION("""COMPUTED_VALUE"""),0.0)</f>
        <v>0</v>
      </c>
      <c r="BB150" s="1">
        <f>IFERROR(__xludf.DUMMYFUNCTION("""COMPUTED_VALUE"""),0.0)</f>
        <v>0</v>
      </c>
      <c r="BC150" s="4">
        <f>IFERROR(__xludf.DUMMYFUNCTION("""COMPUTED_VALUE"""),590.0)</f>
        <v>590</v>
      </c>
      <c r="BD150" s="4">
        <f>IFERROR(__xludf.DUMMYFUNCTION("""COMPUTED_VALUE"""),100.0)</f>
        <v>100</v>
      </c>
      <c r="BE150" s="1">
        <f>IFERROR(__xludf.DUMMYFUNCTION("""COMPUTED_VALUE"""),10.0)</f>
        <v>10</v>
      </c>
      <c r="BF150" s="6">
        <f>IFERROR(__xludf.DUMMYFUNCTION("""COMPUTED_VALUE"""),0.5)</f>
        <v>0.5</v>
      </c>
      <c r="BG150" s="1">
        <f>IFERROR(__xludf.DUMMYFUNCTION("""COMPUTED_VALUE"""),1.0)</f>
        <v>1</v>
      </c>
      <c r="BH150" s="1" t="str">
        <f>IFERROR(__xludf.DUMMYFUNCTION("""COMPUTED_VALUE"""),"0")</f>
        <v>0</v>
      </c>
      <c r="BI150" s="4">
        <f>IFERROR(__xludf.DUMMYFUNCTION("""COMPUTED_VALUE"""),690.0)</f>
        <v>690</v>
      </c>
      <c r="BJ150" s="1">
        <f>IFERROR(__xludf.DUMMYFUNCTION("""COMPUTED_VALUE"""),0.0)</f>
        <v>0</v>
      </c>
      <c r="BK150" s="4">
        <f>IFERROR(__xludf.DUMMYFUNCTION("""COMPUTED_VALUE"""),100.0)</f>
        <v>100</v>
      </c>
      <c r="BL150" s="1">
        <f>IFERROR(__xludf.DUMMYFUNCTION("""COMPUTED_VALUE"""),1260.0)</f>
        <v>1260</v>
      </c>
      <c r="BM150" s="1">
        <f>IFERROR(__xludf.DUMMYFUNCTION("""COMPUTED_VALUE"""),43.0)</f>
        <v>43</v>
      </c>
      <c r="BN150" s="2">
        <f>IFERROR(__xludf.DUMMYFUNCTION("""COMPUTED_VALUE"""),45586.0)</f>
        <v>45586</v>
      </c>
      <c r="BO150" s="1">
        <f>IFERROR(__xludf.DUMMYFUNCTION("""COMPUTED_VALUE"""),10.0)</f>
        <v>10</v>
      </c>
      <c r="BP150" s="1">
        <f>IFERROR(__xludf.DUMMYFUNCTION("""COMPUTED_VALUE"""),2024.0)</f>
        <v>2024</v>
      </c>
    </row>
    <row r="151">
      <c r="A151" s="1">
        <f>IFERROR(__xludf.DUMMYFUNCTION("""COMPUTED_VALUE"""),150.0)</f>
        <v>150</v>
      </c>
      <c r="B151" s="1">
        <f>IFERROR(__xludf.DUMMYFUNCTION("""COMPUTED_VALUE"""),4763731.0)</f>
        <v>4763731</v>
      </c>
      <c r="C151" s="1" t="str">
        <f>IFERROR(__xludf.DUMMYFUNCTION("""COMPUTED_VALUE"""),"2025-1")</f>
        <v>2025-1</v>
      </c>
      <c r="D151" s="1" t="str">
        <f>IFERROR(__xludf.DUMMYFUNCTION("""COMPUTED_VALUE"""),"Admisión Ordinaria")</f>
        <v>Admisión Ordinaria</v>
      </c>
      <c r="E151" s="2">
        <f>IFERROR(__xludf.DUMMYFUNCTION("""COMPUTED_VALUE"""),45590.0)</f>
        <v>45590</v>
      </c>
      <c r="F151" s="1" t="str">
        <f>IFERROR(__xludf.DUMMYFUNCTION("""COMPUTED_VALUE""")," LUCIANA YANELY ")</f>
        <v> LUCIANA YANELY </v>
      </c>
      <c r="G151" s="1" t="str">
        <f>IFERROR(__xludf.DUMMYFUNCTION("""COMPUTED_VALUE"""),"CAHUINA QUISPE")</f>
        <v>CAHUINA QUISPE</v>
      </c>
      <c r="H151" s="1" t="str">
        <f>IFERROR(__xludf.DUMMYFUNCTION("""COMPUTED_VALUE"""),"Comunicación Audiovisual y Cine")</f>
        <v>Comunicación Audiovisual y Cine</v>
      </c>
      <c r="I151" s="1" t="str">
        <f>IFERROR(__xludf.DUMMYFUNCTION("""COMPUTED_VALUE"""),"CARGO")</f>
        <v>CARGO</v>
      </c>
      <c r="J151" s="1" t="str">
        <f>IFERROR(__xludf.DUMMYFUNCTION("""COMPUTED_VALUE"""),"Diurno")</f>
        <v>Diurno</v>
      </c>
      <c r="K151" s="1" t="str">
        <f>IFERROR(__xludf.DUMMYFUNCTION("""COMPUTED_VALUE"""),"NUEVO")</f>
        <v>NUEVO</v>
      </c>
      <c r="L151" s="1">
        <f>IFERROR(__xludf.DUMMYFUNCTION("""COMPUTED_VALUE"""),0.0)</f>
        <v>0</v>
      </c>
      <c r="M151" s="1">
        <f>IFERROR(__xludf.DUMMYFUNCTION("""COMPUTED_VALUE"""),0.0)</f>
        <v>0</v>
      </c>
      <c r="N151" s="1" t="str">
        <f>IFERROR(__xludf.DUMMYFUNCTION("""COMPUTED_VALUE"""),"BECA")</f>
        <v>BECA</v>
      </c>
      <c r="O151" s="1" t="str">
        <f>IFERROR(__xludf.DUMMYFUNCTION("""COMPUTED_VALUE"""),"BECA CARRERAS CORE")</f>
        <v>BECA CARRERAS CORE</v>
      </c>
      <c r="P151" s="4">
        <f>IFERROR(__xludf.DUMMYFUNCTION("""COMPUTED_VALUE"""),0.0)</f>
        <v>0</v>
      </c>
      <c r="Q151" s="4">
        <f>IFERROR(__xludf.DUMMYFUNCTION("""COMPUTED_VALUE"""),0.0)</f>
        <v>0</v>
      </c>
      <c r="R151" s="4">
        <f>IFERROR(__xludf.DUMMYFUNCTION("""COMPUTED_VALUE"""),1150.0)</f>
        <v>1150</v>
      </c>
      <c r="S151" s="4">
        <f>IFERROR(__xludf.DUMMYFUNCTION("""COMPUTED_VALUE"""),1000.0)</f>
        <v>1000</v>
      </c>
      <c r="T151" s="1" t="str">
        <f>IFERROR(__xludf.DUMMYFUNCTION("""COMPUTED_VALUE"""),"NINGUNO")</f>
        <v>NINGUNO</v>
      </c>
      <c r="U151" s="1" t="str">
        <f>IFERROR(__xludf.DUMMYFUNCTION("""COMPUTED_VALUE"""),"FABIOLA")</f>
        <v>FABIOLA</v>
      </c>
      <c r="V151" s="1" t="str">
        <f>IFERROR(__xludf.DUMMYFUNCTION("""COMPUTED_VALUE"""),"Ninguno")</f>
        <v>Ninguno</v>
      </c>
      <c r="W151" s="1" t="str">
        <f>IFERROR(__xludf.DUMMYFUNCTION("""COMPUTED_VALUE"""),"Prestigio de la institución")</f>
        <v>Prestigio de la institución</v>
      </c>
      <c r="X151" s="1" t="str">
        <f>IFERROR(__xludf.DUMMYFUNCTION("""COMPUTED_VALUE"""),"-")</f>
        <v>-</v>
      </c>
      <c r="Y151" s="1" t="str">
        <f>IFERROR(__xludf.DUMMYFUNCTION("""COMPUTED_VALUE"""),"PAGO COMPLETO")</f>
        <v>PAGO COMPLETO</v>
      </c>
      <c r="Z151" s="1">
        <f>IFERROR(__xludf.DUMMYFUNCTION("""COMPUTED_VALUE"""),0.0)</f>
        <v>0</v>
      </c>
      <c r="AA151" s="1" t="str">
        <f>IFERROR(__xludf.DUMMYFUNCTION("""COMPUTED_VALUE"""),"-")</f>
        <v>-</v>
      </c>
      <c r="AB151" s="1">
        <f>IFERROR(__xludf.DUMMYFUNCTION("""COMPUTED_VALUE"""),0.0)</f>
        <v>0</v>
      </c>
      <c r="AC151" s="1">
        <f>IFERROR(__xludf.DUMMYFUNCTION("""COMPUTED_VALUE"""),0.0)</f>
        <v>0</v>
      </c>
      <c r="AD151" s="1" t="str">
        <f>IFERROR(__xludf.DUMMYFUNCTION("""COMPUTED_VALUE"""),"Andrea Araujo Antara")</f>
        <v>Andrea Araujo Antara</v>
      </c>
      <c r="AE151" s="1" t="str">
        <f>IFERROR(__xludf.DUMMYFUNCTION("""COMPUTED_VALUE"""),"0")</f>
        <v>0</v>
      </c>
      <c r="AF151" s="1">
        <f>IFERROR(__xludf.DUMMYFUNCTION("""COMPUTED_VALUE"""),2022.0)</f>
        <v>2022</v>
      </c>
      <c r="AG151" s="1">
        <f>IFERROR(__xludf.DUMMYFUNCTION("""COMPUTED_VALUE"""),765305.0)</f>
        <v>765305</v>
      </c>
      <c r="AH151" s="1">
        <f>IFERROR(__xludf.DUMMYFUNCTION("""COMPUTED_VALUE"""),18.0)</f>
        <v>18</v>
      </c>
      <c r="AI151" s="1" t="str">
        <f>IFERROR(__xludf.DUMMYFUNCTION("""COMPUTED_VALUE"""),"0000398992")</f>
        <v>0000398992</v>
      </c>
      <c r="AJ151" s="1">
        <f>IFERROR(__xludf.DUMMYFUNCTION("""COMPUTED_VALUE"""),7.7356729E7)</f>
        <v>77356729</v>
      </c>
      <c r="AK151" s="1">
        <f>IFERROR(__xludf.DUMMYFUNCTION("""COMPUTED_VALUE"""),9.64048428E8)</f>
        <v>964048428</v>
      </c>
      <c r="AL151" s="1" t="str">
        <f>IFERROR(__xludf.DUMMYFUNCTION("""COMPUTED_VALUE"""),"lucianayanely20@gmail.com")</f>
        <v>lucianayanely20@gmail.com</v>
      </c>
      <c r="AM151" s="1" t="str">
        <f>IFERROR(__xludf.DUMMYFUNCTION("""COMPUTED_VALUE"""),"FEMENINO")</f>
        <v>FEMENINO</v>
      </c>
      <c r="AN151" s="1">
        <f>IFERROR(__xludf.DUMMYFUNCTION("""COMPUTED_VALUE"""),1150.0)</f>
        <v>1150</v>
      </c>
      <c r="AO151" s="1">
        <f>IFERROR(__xludf.DUMMYFUNCTION("""COMPUTED_VALUE"""),0.0)</f>
        <v>0</v>
      </c>
      <c r="AP151" s="1" t="str">
        <f>IFERROR(__xludf.DUMMYFUNCTION("""COMPUTED_VALUE"""),"BIDIRECCIONAL")</f>
        <v>BIDIRECCIONAL</v>
      </c>
      <c r="AQ151" s="1" t="str">
        <f>IFERROR(__xludf.DUMMYFUNCTION("""COMPUTED_VALUE"""),"ORGANICO")</f>
        <v>ORGANICO</v>
      </c>
      <c r="AR151" s="1" t="str">
        <f>IFERROR(__xludf.DUMMYFUNCTION("""COMPUTED_VALUE"""),"NUEVO")</f>
        <v>NUEVO</v>
      </c>
      <c r="AS151" s="1"/>
      <c r="AT151" s="2">
        <f>IFERROR(__xludf.DUMMYFUNCTION("""COMPUTED_VALUE"""),45586.0)</f>
        <v>45586</v>
      </c>
      <c r="AU151" s="1">
        <f>IFERROR(__xludf.DUMMYFUNCTION("""COMPUTED_VALUE"""),1.0)</f>
        <v>1</v>
      </c>
      <c r="AV151" s="1" t="str">
        <f>IFERROR(__xludf.DUMMYFUNCTION("""COMPUTED_VALUE"""),"NUEVO")</f>
        <v>NUEVO</v>
      </c>
      <c r="AW151" s="1" t="str">
        <f>IFERROR(__xludf.DUMMYFUNCTION("""COMPUTED_VALUE"""),"SI")</f>
        <v>SI</v>
      </c>
      <c r="AX151" s="1"/>
      <c r="AY151" s="1" t="str">
        <f>IFERROR(__xludf.DUMMYFUNCTION("""COMPUTED_VALUE"""),"PAGO COMPLETO")</f>
        <v>PAGO COMPLETO</v>
      </c>
      <c r="AZ151" s="5">
        <f>IFERROR(__xludf.DUMMYFUNCTION("""COMPUTED_VALUE"""),45590.0)</f>
        <v>45590</v>
      </c>
      <c r="BA151" s="1">
        <f>IFERROR(__xludf.DUMMYFUNCTION("""COMPUTED_VALUE"""),0.0)</f>
        <v>0</v>
      </c>
      <c r="BB151" s="1">
        <f>IFERROR(__xludf.DUMMYFUNCTION("""COMPUTED_VALUE"""),0.0)</f>
        <v>0</v>
      </c>
      <c r="BC151" s="4">
        <f>IFERROR(__xludf.DUMMYFUNCTION("""COMPUTED_VALUE"""),0.0)</f>
        <v>0</v>
      </c>
      <c r="BD151" s="4">
        <f>IFERROR(__xludf.DUMMYFUNCTION("""COMPUTED_VALUE"""),0.0)</f>
        <v>0</v>
      </c>
      <c r="BE151" s="1">
        <f>IFERROR(__xludf.DUMMYFUNCTION("""COMPUTED_VALUE"""),10.0)</f>
        <v>10</v>
      </c>
      <c r="BF151" s="6">
        <f>IFERROR(__xludf.DUMMYFUNCTION("""COMPUTED_VALUE"""),1.0)</f>
        <v>1</v>
      </c>
      <c r="BG151" s="1">
        <f>IFERROR(__xludf.DUMMYFUNCTION("""COMPUTED_VALUE"""),1.0)</f>
        <v>1</v>
      </c>
      <c r="BH151" s="1" t="str">
        <f>IFERROR(__xludf.DUMMYFUNCTION("""COMPUTED_VALUE"""),"0")</f>
        <v>0</v>
      </c>
      <c r="BI151" s="4">
        <f>IFERROR(__xludf.DUMMYFUNCTION("""COMPUTED_VALUE"""),0.0)</f>
        <v>0</v>
      </c>
      <c r="BJ151" s="1">
        <f>IFERROR(__xludf.DUMMYFUNCTION("""COMPUTED_VALUE"""),0.0)</f>
        <v>0</v>
      </c>
      <c r="BK151" s="4">
        <f>IFERROR(__xludf.DUMMYFUNCTION("""COMPUTED_VALUE"""),0.0)</f>
        <v>0</v>
      </c>
      <c r="BL151" s="1">
        <f>IFERROR(__xludf.DUMMYFUNCTION("""COMPUTED_VALUE"""),1000.0)</f>
        <v>1000</v>
      </c>
      <c r="BM151" s="1">
        <f>IFERROR(__xludf.DUMMYFUNCTION("""COMPUTED_VALUE"""),43.0)</f>
        <v>43</v>
      </c>
      <c r="BN151" s="2">
        <f>IFERROR(__xludf.DUMMYFUNCTION("""COMPUTED_VALUE"""),45586.0)</f>
        <v>45586</v>
      </c>
      <c r="BO151" s="1">
        <f>IFERROR(__xludf.DUMMYFUNCTION("""COMPUTED_VALUE"""),10.0)</f>
        <v>10</v>
      </c>
      <c r="BP151" s="1">
        <f>IFERROR(__xludf.DUMMYFUNCTION("""COMPUTED_VALUE"""),2024.0)</f>
        <v>2024</v>
      </c>
    </row>
    <row r="152">
      <c r="A152" s="1">
        <f>IFERROR(__xludf.DUMMYFUNCTION("""COMPUTED_VALUE"""),151.0)</f>
        <v>151</v>
      </c>
      <c r="B152" s="1">
        <f>IFERROR(__xludf.DUMMYFUNCTION("""COMPUTED_VALUE"""),4758333.0)</f>
        <v>4758333</v>
      </c>
      <c r="C152" s="1" t="str">
        <f>IFERROR(__xludf.DUMMYFUNCTION("""COMPUTED_VALUE"""),"2025-1")</f>
        <v>2025-1</v>
      </c>
      <c r="D152" s="1" t="str">
        <f>IFERROR(__xludf.DUMMYFUNCTION("""COMPUTED_VALUE"""),"Admisión de Alto Rendimiento")</f>
        <v>Admisión de Alto Rendimiento</v>
      </c>
      <c r="E152" s="2">
        <f>IFERROR(__xludf.DUMMYFUNCTION("""COMPUTED_VALUE"""),45591.0)</f>
        <v>45591</v>
      </c>
      <c r="F152" s="1" t="str">
        <f>IFERROR(__xludf.DUMMYFUNCTION("""COMPUTED_VALUE"""),"ALEJANDRA CIELO")</f>
        <v>ALEJANDRA CIELO</v>
      </c>
      <c r="G152" s="1" t="str">
        <f>IFERROR(__xludf.DUMMYFUNCTION("""COMPUTED_VALUE"""),"HUARI TOCTO")</f>
        <v>HUARI TOCTO</v>
      </c>
      <c r="H152" s="1" t="str">
        <f>IFERROR(__xludf.DUMMYFUNCTION("""COMPUTED_VALUE"""),"Comunicación Audiovisual y Cine")</f>
        <v>Comunicación Audiovisual y Cine</v>
      </c>
      <c r="I152" s="1" t="str">
        <f>IFERROR(__xludf.DUMMYFUNCTION("""COMPUTED_VALUE"""),"Pago Link")</f>
        <v>Pago Link</v>
      </c>
      <c r="J152" s="1" t="str">
        <f>IFERROR(__xludf.DUMMYFUNCTION("""COMPUTED_VALUE"""),"Diurno")</f>
        <v>Diurno</v>
      </c>
      <c r="K152" s="1" t="str">
        <f>IFERROR(__xludf.DUMMYFUNCTION("""COMPUTED_VALUE"""),"NUEVO")</f>
        <v>NUEVO</v>
      </c>
      <c r="L152" s="1">
        <f>IFERROR(__xludf.DUMMYFUNCTION("""COMPUTED_VALUE"""),0.0)</f>
        <v>0</v>
      </c>
      <c r="M152" s="1">
        <f>IFERROR(__xludf.DUMMYFUNCTION("""COMPUTED_VALUE"""),0.0)</f>
        <v>0</v>
      </c>
      <c r="N152" s="1" t="str">
        <f>IFERROR(__xludf.DUMMYFUNCTION("""COMPUTED_VALUE"""),"BECA")</f>
        <v>BECA</v>
      </c>
      <c r="O152" s="1" t="str">
        <f>IFERROR(__xludf.DUMMYFUNCTION("""COMPUTED_VALUE"""),"BECA CARRERAS CORE")</f>
        <v>BECA CARRERAS CORE</v>
      </c>
      <c r="P152" s="4">
        <f>IFERROR(__xludf.DUMMYFUNCTION("""COMPUTED_VALUE"""),0.0)</f>
        <v>0</v>
      </c>
      <c r="Q152" s="4">
        <f>IFERROR(__xludf.DUMMYFUNCTION("""COMPUTED_VALUE"""),0.0)</f>
        <v>0</v>
      </c>
      <c r="R152" s="4">
        <f>IFERROR(__xludf.DUMMYFUNCTION("""COMPUTED_VALUE"""),1150.0)</f>
        <v>1150</v>
      </c>
      <c r="S152" s="4">
        <f>IFERROR(__xludf.DUMMYFUNCTION("""COMPUTED_VALUE"""),1000.0)</f>
        <v>1000</v>
      </c>
      <c r="T152" s="1" t="str">
        <f>IFERROR(__xludf.DUMMYFUNCTION("""COMPUTED_VALUE"""),"NINGUNO")</f>
        <v>NINGUNO</v>
      </c>
      <c r="U152" s="1" t="str">
        <f>IFERROR(__xludf.DUMMYFUNCTION("""COMPUTED_VALUE"""),"FABIOLA")</f>
        <v>FABIOLA</v>
      </c>
      <c r="V152" s="1" t="str">
        <f>IFERROR(__xludf.DUMMYFUNCTION("""COMPUTED_VALUE"""),"Ninguno")</f>
        <v>Ninguno</v>
      </c>
      <c r="W152" s="1" t="str">
        <f>IFERROR(__xludf.DUMMYFUNCTION("""COMPUTED_VALUE"""),"Metodología de enseñanza")</f>
        <v>Metodología de enseñanza</v>
      </c>
      <c r="X152" s="1" t="str">
        <f>IFERROR(__xludf.DUMMYFUNCTION("""COMPUTED_VALUE"""),"-")</f>
        <v>-</v>
      </c>
      <c r="Y152" s="1" t="str">
        <f>IFERROR(__xludf.DUMMYFUNCTION("""COMPUTED_VALUE"""),"PAGO FRACCIONADO")</f>
        <v>PAGO FRACCIONADO</v>
      </c>
      <c r="Z152" s="1">
        <f>IFERROR(__xludf.DUMMYFUNCTION("""COMPUTED_VALUE"""),500.0)</f>
        <v>500</v>
      </c>
      <c r="AA152" s="1" t="str">
        <f>IFERROR(__xludf.DUMMYFUNCTION("""COMPUTED_VALUE"""),"27/11/2024")</f>
        <v>27/11/2024</v>
      </c>
      <c r="AB152" s="1">
        <f>IFERROR(__xludf.DUMMYFUNCTION("""COMPUTED_VALUE"""),0.0)</f>
        <v>0</v>
      </c>
      <c r="AC152" s="1">
        <f>IFERROR(__xludf.DUMMYFUNCTION("""COMPUTED_VALUE"""),0.0)</f>
        <v>0</v>
      </c>
      <c r="AD152" s="1" t="str">
        <f>IFERROR(__xludf.DUMMYFUNCTION("""COMPUTED_VALUE"""),"Ingrid Guillermo Rivera")</f>
        <v>Ingrid Guillermo Rivera</v>
      </c>
      <c r="AE152" s="1" t="str">
        <f>IFERROR(__xludf.DUMMYFUNCTION("""COMPUTED_VALUE"""),"0")</f>
        <v>0</v>
      </c>
      <c r="AF152" s="1">
        <f>IFERROR(__xludf.DUMMYFUNCTION("""COMPUTED_VALUE"""),2024.0)</f>
        <v>2024</v>
      </c>
      <c r="AG152" s="1">
        <f>IFERROR(__xludf.DUMMYFUNCTION("""COMPUTED_VALUE"""),336537.0)</f>
        <v>336537</v>
      </c>
      <c r="AH152" s="1">
        <f>IFERROR(__xludf.DUMMYFUNCTION("""COMPUTED_VALUE"""),17.0)</f>
        <v>17</v>
      </c>
      <c r="AI152" s="1" t="str">
        <f>IFERROR(__xludf.DUMMYFUNCTION("""COMPUTED_VALUE"""),"0000398920")</f>
        <v>0000398920</v>
      </c>
      <c r="AJ152" s="1">
        <f>IFERROR(__xludf.DUMMYFUNCTION("""COMPUTED_VALUE"""),6.1252995E7)</f>
        <v>61252995</v>
      </c>
      <c r="AK152" s="1">
        <f>IFERROR(__xludf.DUMMYFUNCTION("""COMPUTED_VALUE"""),9.04227175E8)</f>
        <v>904227175</v>
      </c>
      <c r="AL152" s="1" t="str">
        <f>IFERROR(__xludf.DUMMYFUNCTION("""COMPUTED_VALUE"""),"Alejandrahuari558@gmail.com")</f>
        <v>Alejandrahuari558@gmail.com</v>
      </c>
      <c r="AM152" s="1" t="str">
        <f>IFERROR(__xludf.DUMMYFUNCTION("""COMPUTED_VALUE"""),"FEMENINO")</f>
        <v>FEMENINO</v>
      </c>
      <c r="AN152" s="1">
        <f>IFERROR(__xludf.DUMMYFUNCTION("""COMPUTED_VALUE"""),1150.0)</f>
        <v>1150</v>
      </c>
      <c r="AO152" s="1">
        <f>IFERROR(__xludf.DUMMYFUNCTION("""COMPUTED_VALUE"""),0.0)</f>
        <v>0</v>
      </c>
      <c r="AP152" s="1" t="str">
        <f>IFERROR(__xludf.DUMMYFUNCTION("""COMPUTED_VALUE"""),"BIDIRECCIONAL")</f>
        <v>BIDIRECCIONAL</v>
      </c>
      <c r="AQ152" s="1" t="str">
        <f>IFERROR(__xludf.DUMMYFUNCTION("""COMPUTED_VALUE"""),"SEARCH MARCA")</f>
        <v>SEARCH MARCA</v>
      </c>
      <c r="AR152" s="1" t="str">
        <f>IFERROR(__xludf.DUMMYFUNCTION("""COMPUTED_VALUE"""),"NUEVO")</f>
        <v>NUEVO</v>
      </c>
      <c r="AS152" s="1" t="str">
        <f>IFERROR(__xludf.DUMMYFUNCTION("""COMPUTED_VALUE"""),"ucal-pg-performance-sedes-abierta-cpl-search_conversion_marca-20240401")</f>
        <v>ucal-pg-performance-sedes-abierta-cpl-search_conversion_marca-20240401</v>
      </c>
      <c r="AT152" s="2">
        <f>IFERROR(__xludf.DUMMYFUNCTION("""COMPUTED_VALUE"""),45577.0)</f>
        <v>45577</v>
      </c>
      <c r="AU152" s="1">
        <f>IFERROR(__xludf.DUMMYFUNCTION("""COMPUTED_VALUE"""),1.0)</f>
        <v>1</v>
      </c>
      <c r="AV152" s="1" t="str">
        <f>IFERROR(__xludf.DUMMYFUNCTION("""COMPUTED_VALUE"""),"NUEVO")</f>
        <v>NUEVO</v>
      </c>
      <c r="AW152" s="1" t="str">
        <f>IFERROR(__xludf.DUMMYFUNCTION("""COMPUTED_VALUE"""),"SI")</f>
        <v>SI</v>
      </c>
      <c r="AX152" s="1"/>
      <c r="AY152" s="1" t="str">
        <f>IFERROR(__xludf.DUMMYFUNCTION("""COMPUTED_VALUE"""),"PAGO COMPLETO")</f>
        <v>PAGO COMPLETO</v>
      </c>
      <c r="AZ152" s="5">
        <f>IFERROR(__xludf.DUMMYFUNCTION("""COMPUTED_VALUE"""),45621.0)</f>
        <v>45621</v>
      </c>
      <c r="BA152" s="1">
        <f>IFERROR(__xludf.DUMMYFUNCTION("""COMPUTED_VALUE"""),500.0)</f>
        <v>500</v>
      </c>
      <c r="BB152" s="1">
        <f>IFERROR(__xludf.DUMMYFUNCTION("""COMPUTED_VALUE"""),0.0)</f>
        <v>0</v>
      </c>
      <c r="BC152" s="4">
        <f>IFERROR(__xludf.DUMMYFUNCTION("""COMPUTED_VALUE"""),0.0)</f>
        <v>0</v>
      </c>
      <c r="BD152" s="4">
        <f>IFERROR(__xludf.DUMMYFUNCTION("""COMPUTED_VALUE"""),0.0)</f>
        <v>0</v>
      </c>
      <c r="BE152" s="1">
        <f>IFERROR(__xludf.DUMMYFUNCTION("""COMPUTED_VALUE"""),10.0)</f>
        <v>10</v>
      </c>
      <c r="BF152" s="6">
        <f>IFERROR(__xludf.DUMMYFUNCTION("""COMPUTED_VALUE"""),1.0)</f>
        <v>1</v>
      </c>
      <c r="BG152" s="1">
        <f>IFERROR(__xludf.DUMMYFUNCTION("""COMPUTED_VALUE"""),1.0)</f>
        <v>1</v>
      </c>
      <c r="BH152" s="1" t="str">
        <f>IFERROR(__xludf.DUMMYFUNCTION("""COMPUTED_VALUE"""),"0")</f>
        <v>0</v>
      </c>
      <c r="BI152" s="4">
        <f>IFERROR(__xludf.DUMMYFUNCTION("""COMPUTED_VALUE"""),1000.0)</f>
        <v>1000</v>
      </c>
      <c r="BJ152" s="1">
        <f>IFERROR(__xludf.DUMMYFUNCTION("""COMPUTED_VALUE"""),0.0)</f>
        <v>0</v>
      </c>
      <c r="BK152" s="4">
        <f>IFERROR(__xludf.DUMMYFUNCTION("""COMPUTED_VALUE"""),0.0)</f>
        <v>0</v>
      </c>
      <c r="BL152" s="1">
        <f>IFERROR(__xludf.DUMMYFUNCTION("""COMPUTED_VALUE"""),1000.0)</f>
        <v>1000</v>
      </c>
      <c r="BM152" s="1">
        <f>IFERROR(__xludf.DUMMYFUNCTION("""COMPUTED_VALUE"""),43.0)</f>
        <v>43</v>
      </c>
      <c r="BN152" s="2">
        <f>IFERROR(__xludf.DUMMYFUNCTION("""COMPUTED_VALUE"""),45586.0)</f>
        <v>45586</v>
      </c>
      <c r="BO152" s="1">
        <f>IFERROR(__xludf.DUMMYFUNCTION("""COMPUTED_VALUE"""),10.0)</f>
        <v>10</v>
      </c>
      <c r="BP152" s="1">
        <f>IFERROR(__xludf.DUMMYFUNCTION("""COMPUTED_VALUE"""),2024.0)</f>
        <v>2024</v>
      </c>
    </row>
    <row r="153">
      <c r="A153" s="1">
        <f>IFERROR(__xludf.DUMMYFUNCTION("""COMPUTED_VALUE"""),152.0)</f>
        <v>152</v>
      </c>
      <c r="B153" s="1">
        <f>IFERROR(__xludf.DUMMYFUNCTION("""COMPUTED_VALUE"""),4776218.0)</f>
        <v>4776218</v>
      </c>
      <c r="C153" s="1" t="str">
        <f>IFERROR(__xludf.DUMMYFUNCTION("""COMPUTED_VALUE"""),"2025-1")</f>
        <v>2025-1</v>
      </c>
      <c r="D153" s="1" t="str">
        <f>IFERROR(__xludf.DUMMYFUNCTION("""COMPUTED_VALUE"""),"Admisión Extraordinaria (Traslados)")</f>
        <v>Admisión Extraordinaria (Traslados)</v>
      </c>
      <c r="E153" s="2">
        <f>IFERROR(__xludf.DUMMYFUNCTION("""COMPUTED_VALUE"""),45593.0)</f>
        <v>45593</v>
      </c>
      <c r="F153" s="1" t="str">
        <f>IFERROR(__xludf.DUMMYFUNCTION("""COMPUTED_VALUE"""),"KARINA")</f>
        <v>KARINA</v>
      </c>
      <c r="G153" s="1" t="str">
        <f>IFERROR(__xludf.DUMMYFUNCTION("""COMPUTED_VALUE"""),"AYALA HUARANCCA")</f>
        <v>AYALA HUARANCCA</v>
      </c>
      <c r="H153" s="1" t="str">
        <f>IFERROR(__xludf.DUMMYFUNCTION("""COMPUTED_VALUE"""),"Arquitectura")</f>
        <v>Arquitectura</v>
      </c>
      <c r="I153" s="1" t="str">
        <f>IFERROR(__xludf.DUMMYFUNCTION("""COMPUTED_VALUE"""),"Pago Link")</f>
        <v>Pago Link</v>
      </c>
      <c r="J153" s="1" t="str">
        <f>IFERROR(__xludf.DUMMYFUNCTION("""COMPUTED_VALUE"""),"Diurno")</f>
        <v>Diurno</v>
      </c>
      <c r="K153" s="1" t="str">
        <f>IFERROR(__xludf.DUMMYFUNCTION("""COMPUTED_VALUE"""),"TRASLADO")</f>
        <v>TRASLADO</v>
      </c>
      <c r="L153" s="1">
        <f>IFERROR(__xludf.DUMMYFUNCTION("""COMPUTED_VALUE"""),1.0)</f>
        <v>1</v>
      </c>
      <c r="M153" s="1">
        <f>IFERROR(__xludf.DUMMYFUNCTION("""COMPUTED_VALUE"""),0.0)</f>
        <v>0</v>
      </c>
      <c r="N153" s="1" t="str">
        <f>IFERROR(__xludf.DUMMYFUNCTION("""COMPUTED_VALUE"""),"RECA")</f>
        <v>RECA</v>
      </c>
      <c r="O153" s="1" t="str">
        <f>IFERROR(__xludf.DUMMYFUNCTION("""COMPUTED_VALUE"""),"RECA TRASLADO CON CONVA")</f>
        <v>RECA TRASLADO CON CONVA</v>
      </c>
      <c r="P153" s="4">
        <f>IFERROR(__xludf.DUMMYFUNCTION("""COMPUTED_VALUE"""),0.0)</f>
        <v>0</v>
      </c>
      <c r="Q153" s="4">
        <f>IFERROR(__xludf.DUMMYFUNCTION("""COMPUTED_VALUE"""),0.0)</f>
        <v>0</v>
      </c>
      <c r="R153" s="4">
        <f>IFERROR(__xludf.DUMMYFUNCTION("""COMPUTED_VALUE"""),1350.0)</f>
        <v>1350</v>
      </c>
      <c r="S153" s="4">
        <f>IFERROR(__xludf.DUMMYFUNCTION("""COMPUTED_VALUE"""),900.0)</f>
        <v>900</v>
      </c>
      <c r="T153" s="1" t="str">
        <f>IFERROR(__xludf.DUMMYFUNCTION("""COMPUTED_VALUE"""),"Visita Guiada")</f>
        <v>Visita Guiada</v>
      </c>
      <c r="U153" s="1" t="str">
        <f>IFERROR(__xludf.DUMMYFUNCTION("""COMPUTED_VALUE"""),"FABIOLA")</f>
        <v>FABIOLA</v>
      </c>
      <c r="V153" s="1" t="str">
        <f>IFERROR(__xludf.DUMMYFUNCTION("""COMPUTED_VALUE"""),"Ninguno")</f>
        <v>Ninguno</v>
      </c>
      <c r="W153" s="1" t="str">
        <f>IFERROR(__xludf.DUMMYFUNCTION("""COMPUTED_VALUE"""),"Metodología de enseñanza")</f>
        <v>Metodología de enseñanza</v>
      </c>
      <c r="X153" s="1" t="str">
        <f>IFERROR(__xludf.DUMMYFUNCTION("""COMPUTED_VALUE"""),"metodologia")</f>
        <v>metodologia</v>
      </c>
      <c r="Y153" s="1" t="str">
        <f>IFERROR(__xludf.DUMMYFUNCTION("""COMPUTED_VALUE"""),"PAGO COMPLETO")</f>
        <v>PAGO COMPLETO</v>
      </c>
      <c r="Z153" s="1">
        <f>IFERROR(__xludf.DUMMYFUNCTION("""COMPUTED_VALUE"""),0.0)</f>
        <v>0</v>
      </c>
      <c r="AA153" s="1" t="str">
        <f>IFERROR(__xludf.DUMMYFUNCTION("""COMPUTED_VALUE"""),"-")</f>
        <v>-</v>
      </c>
      <c r="AB153" s="1">
        <f>IFERROR(__xludf.DUMMYFUNCTION("""COMPUTED_VALUE"""),0.0)</f>
        <v>0</v>
      </c>
      <c r="AC153" s="1">
        <f>IFERROR(__xludf.DUMMYFUNCTION("""COMPUTED_VALUE"""),0.0)</f>
        <v>0</v>
      </c>
      <c r="AD153" s="1" t="str">
        <f>IFERROR(__xludf.DUMMYFUNCTION("""COMPUTED_VALUE"""),"Cinthia Mariella Orosco")</f>
        <v>Cinthia Mariella Orosco</v>
      </c>
      <c r="AE153" s="1" t="str">
        <f>IFERROR(__xludf.DUMMYFUNCTION("""COMPUTED_VALUE"""),"Universidad Alas Peruanas")</f>
        <v>Universidad Alas Peruanas</v>
      </c>
      <c r="AF153" s="1">
        <f>IFERROR(__xludf.DUMMYFUNCTION("""COMPUTED_VALUE"""),2000.0)</f>
        <v>2000</v>
      </c>
      <c r="AG153" s="1">
        <f>IFERROR(__xludf.DUMMYFUNCTION("""COMPUTED_VALUE"""),340430.0)</f>
        <v>340430</v>
      </c>
      <c r="AH153" s="1">
        <f>IFERROR(__xludf.DUMMYFUNCTION("""COMPUTED_VALUE"""),41.0)</f>
        <v>41</v>
      </c>
      <c r="AI153" s="1" t="str">
        <f>IFERROR(__xludf.DUMMYFUNCTION("""COMPUTED_VALUE"""),"0000399106")</f>
        <v>0000399106</v>
      </c>
      <c r="AJ153" s="1">
        <f>IFERROR(__xludf.DUMMYFUNCTION("""COMPUTED_VALUE"""),4.2158889E7)</f>
        <v>42158889</v>
      </c>
      <c r="AK153" s="1">
        <f>IFERROR(__xludf.DUMMYFUNCTION("""COMPUTED_VALUE"""),9.56949969E8)</f>
        <v>956949969</v>
      </c>
      <c r="AL153" s="1" t="str">
        <f>IFERROR(__xludf.DUMMYFUNCTION("""COMPUTED_VALUE"""),"Karina.ayala.015@gmail.com")</f>
        <v>Karina.ayala.015@gmail.com</v>
      </c>
      <c r="AM153" s="1" t="str">
        <f>IFERROR(__xludf.DUMMYFUNCTION("""COMPUTED_VALUE"""),"FEMENINO")</f>
        <v>FEMENINO</v>
      </c>
      <c r="AN153" s="1">
        <f>IFERROR(__xludf.DUMMYFUNCTION("""COMPUTED_VALUE"""),1350.0)</f>
        <v>1350</v>
      </c>
      <c r="AO153" s="1">
        <f>IFERROR(__xludf.DUMMYFUNCTION("""COMPUTED_VALUE"""),0.0)</f>
        <v>0</v>
      </c>
      <c r="AP153" s="1" t="str">
        <f>IFERROR(__xludf.DUMMYFUNCTION("""COMPUTED_VALUE"""),"OUTBOUND")</f>
        <v>OUTBOUND</v>
      </c>
      <c r="AQ153" s="1" t="str">
        <f>IFERROR(__xludf.DUMMYFUNCTION("""COMPUTED_VALUE"""),"OUTBOUND")</f>
        <v>OUTBOUND</v>
      </c>
      <c r="AR153" s="1" t="str">
        <f>IFERROR(__xludf.DUMMYFUNCTION("""COMPUTED_VALUE"""),"NUEVO")</f>
        <v>NUEVO</v>
      </c>
      <c r="AS153" s="1"/>
      <c r="AT153" s="2">
        <f>IFERROR(__xludf.DUMMYFUNCTION("""COMPUTED_VALUE"""),45593.0)</f>
        <v>45593</v>
      </c>
      <c r="AU153" s="1">
        <f>IFERROR(__xludf.DUMMYFUNCTION("""COMPUTED_VALUE"""),1.0)</f>
        <v>1</v>
      </c>
      <c r="AV153" s="1" t="str">
        <f>IFERROR(__xludf.DUMMYFUNCTION("""COMPUTED_VALUE"""),"TRASLADO")</f>
        <v>TRASLADO</v>
      </c>
      <c r="AW153" s="1" t="str">
        <f>IFERROR(__xludf.DUMMYFUNCTION("""COMPUTED_VALUE"""),"SI")</f>
        <v>SI</v>
      </c>
      <c r="AX153" s="1"/>
      <c r="AY153" s="1" t="str">
        <f>IFERROR(__xludf.DUMMYFUNCTION("""COMPUTED_VALUE"""),"PAGO COMPLETO")</f>
        <v>PAGO COMPLETO</v>
      </c>
      <c r="AZ153" s="5">
        <f>IFERROR(__xludf.DUMMYFUNCTION("""COMPUTED_VALUE"""),45593.0)</f>
        <v>45593</v>
      </c>
      <c r="BA153" s="1">
        <f>IFERROR(__xludf.DUMMYFUNCTION("""COMPUTED_VALUE"""),0.0)</f>
        <v>0</v>
      </c>
      <c r="BB153" s="1">
        <f>IFERROR(__xludf.DUMMYFUNCTION("""COMPUTED_VALUE"""),0.0)</f>
        <v>0</v>
      </c>
      <c r="BC153" s="4">
        <f>IFERROR(__xludf.DUMMYFUNCTION("""COMPUTED_VALUE"""),0.0)</f>
        <v>0</v>
      </c>
      <c r="BD153" s="4">
        <f>IFERROR(__xludf.DUMMYFUNCTION("""COMPUTED_VALUE"""),100.0)</f>
        <v>100</v>
      </c>
      <c r="BE153" s="1">
        <f>IFERROR(__xludf.DUMMYFUNCTION("""COMPUTED_VALUE"""),10.0)</f>
        <v>10</v>
      </c>
      <c r="BF153" s="6">
        <f>IFERROR(__xludf.DUMMYFUNCTION("""COMPUTED_VALUE"""),1.0)</f>
        <v>1</v>
      </c>
      <c r="BG153" s="1">
        <f>IFERROR(__xludf.DUMMYFUNCTION("""COMPUTED_VALUE"""),1.0)</f>
        <v>1</v>
      </c>
      <c r="BH153" s="1" t="str">
        <f>IFERROR(__xludf.DUMMYFUNCTION("""COMPUTED_VALUE"""),"1")</f>
        <v>1</v>
      </c>
      <c r="BI153" s="4">
        <f>IFERROR(__xludf.DUMMYFUNCTION("""COMPUTED_VALUE"""),100.0)</f>
        <v>100</v>
      </c>
      <c r="BJ153" s="1">
        <f>IFERROR(__xludf.DUMMYFUNCTION("""COMPUTED_VALUE"""),0.0)</f>
        <v>0</v>
      </c>
      <c r="BK153" s="4">
        <f>IFERROR(__xludf.DUMMYFUNCTION("""COMPUTED_VALUE"""),100.0)</f>
        <v>100</v>
      </c>
      <c r="BL153" s="1">
        <f>IFERROR(__xludf.DUMMYFUNCTION("""COMPUTED_VALUE"""),880.0)</f>
        <v>880</v>
      </c>
      <c r="BM153" s="1">
        <f>IFERROR(__xludf.DUMMYFUNCTION("""COMPUTED_VALUE"""),44.0)</f>
        <v>44</v>
      </c>
      <c r="BN153" s="2">
        <f>IFERROR(__xludf.DUMMYFUNCTION("""COMPUTED_VALUE"""),45593.0)</f>
        <v>45593</v>
      </c>
      <c r="BO153" s="1">
        <f>IFERROR(__xludf.DUMMYFUNCTION("""COMPUTED_VALUE"""),10.0)</f>
        <v>10</v>
      </c>
      <c r="BP153" s="1">
        <f>IFERROR(__xludf.DUMMYFUNCTION("""COMPUTED_VALUE"""),2024.0)</f>
        <v>2024</v>
      </c>
    </row>
    <row r="154">
      <c r="A154" s="1">
        <f>IFERROR(__xludf.DUMMYFUNCTION("""COMPUTED_VALUE"""),153.0)</f>
        <v>153</v>
      </c>
      <c r="B154" s="1">
        <f>IFERROR(__xludf.DUMMYFUNCTION("""COMPUTED_VALUE"""),4759252.0)</f>
        <v>4759252</v>
      </c>
      <c r="C154" s="1" t="str">
        <f>IFERROR(__xludf.DUMMYFUNCTION("""COMPUTED_VALUE"""),"2025-1")</f>
        <v>2025-1</v>
      </c>
      <c r="D154" s="1" t="str">
        <f>IFERROR(__xludf.DUMMYFUNCTION("""COMPUTED_VALUE"""),"Admisión de Alto Rendimiento")</f>
        <v>Admisión de Alto Rendimiento</v>
      </c>
      <c r="E154" s="2">
        <f>IFERROR(__xludf.DUMMYFUNCTION("""COMPUTED_VALUE"""),45593.0)</f>
        <v>45593</v>
      </c>
      <c r="F154" s="1" t="str">
        <f>IFERROR(__xludf.DUMMYFUNCTION("""COMPUTED_VALUE"""),"MATHIAS ISMAEL")</f>
        <v>MATHIAS ISMAEL</v>
      </c>
      <c r="G154" s="1" t="str">
        <f>IFERROR(__xludf.DUMMYFUNCTION("""COMPUTED_VALUE"""),"ESTEBAN QUISPE")</f>
        <v>ESTEBAN QUISPE</v>
      </c>
      <c r="H154" s="1" t="str">
        <f>IFERROR(__xludf.DUMMYFUNCTION("""COMPUTED_VALUE"""),"Comunicación Audiovisual y Cine")</f>
        <v>Comunicación Audiovisual y Cine</v>
      </c>
      <c r="I154" s="1" t="str">
        <f>IFERROR(__xludf.DUMMYFUNCTION("""COMPUTED_VALUE"""),"Pago Link")</f>
        <v>Pago Link</v>
      </c>
      <c r="J154" s="1" t="str">
        <f>IFERROR(__xludf.DUMMYFUNCTION("""COMPUTED_VALUE"""),"Diurno")</f>
        <v>Diurno</v>
      </c>
      <c r="K154" s="1" t="str">
        <f>IFERROR(__xludf.DUMMYFUNCTION("""COMPUTED_VALUE"""),"NUEVO")</f>
        <v>NUEVO</v>
      </c>
      <c r="L154" s="1">
        <f>IFERROR(__xludf.DUMMYFUNCTION("""COMPUTED_VALUE"""),0.0)</f>
        <v>0</v>
      </c>
      <c r="M154" s="1">
        <f>IFERROR(__xludf.DUMMYFUNCTION("""COMPUTED_VALUE"""),0.0)</f>
        <v>0</v>
      </c>
      <c r="N154" s="1" t="str">
        <f>IFERROR(__xludf.DUMMYFUNCTION("""COMPUTED_VALUE"""),"BECA")</f>
        <v>BECA</v>
      </c>
      <c r="O154" s="1" t="str">
        <f>IFERROR(__xludf.DUMMYFUNCTION("""COMPUTED_VALUE"""),"BECA CADENA COLEGIOS")</f>
        <v>BECA CADENA COLEGIOS</v>
      </c>
      <c r="P154" s="4">
        <f>IFERROR(__xludf.DUMMYFUNCTION("""COMPUTED_VALUE"""),0.0)</f>
        <v>0</v>
      </c>
      <c r="Q154" s="4">
        <f>IFERROR(__xludf.DUMMYFUNCTION("""COMPUTED_VALUE"""),0.0)</f>
        <v>0</v>
      </c>
      <c r="R154" s="4">
        <f>IFERROR(__xludf.DUMMYFUNCTION("""COMPUTED_VALUE"""),1600.0)</f>
        <v>1600</v>
      </c>
      <c r="S154" s="4">
        <f>IFERROR(__xludf.DUMMYFUNCTION("""COMPUTED_VALUE"""),1200.0)</f>
        <v>1200</v>
      </c>
      <c r="T154" s="1" t="str">
        <f>IFERROR(__xludf.DUMMYFUNCTION("""COMPUTED_VALUE"""),"Referido")</f>
        <v>Referido</v>
      </c>
      <c r="U154" s="1" t="str">
        <f>IFERROR(__xludf.DUMMYFUNCTION("""COMPUTED_VALUE"""),"FABIOLA")</f>
        <v>FABIOLA</v>
      </c>
      <c r="V154" s="1" t="str">
        <f>IFERROR(__xludf.DUMMYFUNCTION("""COMPUTED_VALUE"""),"Ninguno")</f>
        <v>Ninguno</v>
      </c>
      <c r="W154" s="1" t="str">
        <f>IFERROR(__xludf.DUMMYFUNCTION("""COMPUTED_VALUE"""),"Metodología de enseñanza")</f>
        <v>Metodología de enseñanza</v>
      </c>
      <c r="X154" s="1" t="str">
        <f>IFERROR(__xludf.DUMMYFUNCTION("""COMPUTED_VALUE"""),"ES REFERIDO DEL ALUMNO : Angel andres enriquez carmona // 72251786")</f>
        <v>ES REFERIDO DEL ALUMNO : Angel andres enriquez carmona // 72251786</v>
      </c>
      <c r="Y154" s="1" t="str">
        <f>IFERROR(__xludf.DUMMYFUNCTION("""COMPUTED_VALUE"""),"PAGO COMPLETO")</f>
        <v>PAGO COMPLETO</v>
      </c>
      <c r="Z154" s="1">
        <f>IFERROR(__xludf.DUMMYFUNCTION("""COMPUTED_VALUE"""),0.0)</f>
        <v>0</v>
      </c>
      <c r="AA154" s="1" t="str">
        <f>IFERROR(__xludf.DUMMYFUNCTION("""COMPUTED_VALUE"""),"-")</f>
        <v>-</v>
      </c>
      <c r="AB154" s="1">
        <f>IFERROR(__xludf.DUMMYFUNCTION("""COMPUTED_VALUE"""),0.0)</f>
        <v>0</v>
      </c>
      <c r="AC154" s="1">
        <f>IFERROR(__xludf.DUMMYFUNCTION("""COMPUTED_VALUE"""),0.0)</f>
        <v>0</v>
      </c>
      <c r="AD154" s="1" t="str">
        <f>IFERROR(__xludf.DUMMYFUNCTION("""COMPUTED_VALUE"""),"Ingrid Guillermo Rivera")</f>
        <v>Ingrid Guillermo Rivera</v>
      </c>
      <c r="AE154" s="1" t="str">
        <f>IFERROR(__xludf.DUMMYFUNCTION("""COMPUTED_VALUE"""),"0")</f>
        <v>0</v>
      </c>
      <c r="AF154" s="1">
        <f>IFERROR(__xludf.DUMMYFUNCTION("""COMPUTED_VALUE"""),2024.0)</f>
        <v>2024</v>
      </c>
      <c r="AG154" s="1">
        <f>IFERROR(__xludf.DUMMYFUNCTION("""COMPUTED_VALUE"""),1541911.0)</f>
        <v>1541911</v>
      </c>
      <c r="AH154" s="1">
        <f>IFERROR(__xludf.DUMMYFUNCTION("""COMPUTED_VALUE"""),17.0)</f>
        <v>17</v>
      </c>
      <c r="AI154" s="1" t="str">
        <f>IFERROR(__xludf.DUMMYFUNCTION("""COMPUTED_VALUE"""),"0000399155")</f>
        <v>0000399155</v>
      </c>
      <c r="AJ154" s="1">
        <f>IFERROR(__xludf.DUMMYFUNCTION("""COMPUTED_VALUE"""),6.1251445E7)</f>
        <v>61251445</v>
      </c>
      <c r="AK154" s="1">
        <f>IFERROR(__xludf.DUMMYFUNCTION("""COMPUTED_VALUE"""),9.58576955E8)</f>
        <v>958576955</v>
      </c>
      <c r="AL154" s="1" t="str">
        <f>IFERROR(__xludf.DUMMYFUNCTION("""COMPUTED_VALUE"""),"gerardovelasquez.ib@gmail.com")</f>
        <v>gerardovelasquez.ib@gmail.com</v>
      </c>
      <c r="AM154" s="1" t="str">
        <f>IFERROR(__xludf.DUMMYFUNCTION("""COMPUTED_VALUE"""),"MASCULINO")</f>
        <v>MASCULINO</v>
      </c>
      <c r="AN154" s="1">
        <f>IFERROR(__xludf.DUMMYFUNCTION("""COMPUTED_VALUE"""),1600.0)</f>
        <v>1600</v>
      </c>
      <c r="AO154" s="1">
        <f>IFERROR(__xludf.DUMMYFUNCTION("""COMPUTED_VALUE"""),810.0)</f>
        <v>810</v>
      </c>
      <c r="AP154" s="1" t="str">
        <f>IFERROR(__xludf.DUMMYFUNCTION("""COMPUTED_VALUE"""),"COLEGIOS")</f>
        <v>COLEGIOS</v>
      </c>
      <c r="AQ154" s="1" t="str">
        <f>IFERROR(__xludf.DUMMYFUNCTION("""COMPUTED_VALUE"""),"COLEGIOS")</f>
        <v>COLEGIOS</v>
      </c>
      <c r="AR154" s="1" t="str">
        <f>IFERROR(__xludf.DUMMYFUNCTION("""COMPUTED_VALUE"""),"NUEVO")</f>
        <v>NUEVO</v>
      </c>
      <c r="AS154" s="1"/>
      <c r="AT154" s="2">
        <f>IFERROR(__xludf.DUMMYFUNCTION("""COMPUTED_VALUE"""),45443.0)</f>
        <v>45443</v>
      </c>
      <c r="AU154" s="1">
        <f>IFERROR(__xludf.DUMMYFUNCTION("""COMPUTED_VALUE"""),1.0)</f>
        <v>1</v>
      </c>
      <c r="AV154" s="1" t="str">
        <f>IFERROR(__xludf.DUMMYFUNCTION("""COMPUTED_VALUE"""),"NUEVO")</f>
        <v>NUEVO</v>
      </c>
      <c r="AW154" s="1" t="str">
        <f>IFERROR(__xludf.DUMMYFUNCTION("""COMPUTED_VALUE"""),"SI")</f>
        <v>SI</v>
      </c>
      <c r="AX154" s="1"/>
      <c r="AY154" s="1" t="str">
        <f>IFERROR(__xludf.DUMMYFUNCTION("""COMPUTED_VALUE"""),"PAGO COMPLETO")</f>
        <v>PAGO COMPLETO</v>
      </c>
      <c r="AZ154" s="5">
        <f>IFERROR(__xludf.DUMMYFUNCTION("""COMPUTED_VALUE"""),45593.0)</f>
        <v>45593</v>
      </c>
      <c r="BA154" s="1">
        <f>IFERROR(__xludf.DUMMYFUNCTION("""COMPUTED_VALUE"""),0.0)</f>
        <v>0</v>
      </c>
      <c r="BB154" s="1">
        <f>IFERROR(__xludf.DUMMYFUNCTION("""COMPUTED_VALUE"""),0.0)</f>
        <v>0</v>
      </c>
      <c r="BC154" s="4">
        <f>IFERROR(__xludf.DUMMYFUNCTION("""COMPUTED_VALUE"""),0.0)</f>
        <v>0</v>
      </c>
      <c r="BD154" s="4">
        <f>IFERROR(__xludf.DUMMYFUNCTION("""COMPUTED_VALUE"""),0.0)</f>
        <v>0</v>
      </c>
      <c r="BE154" s="1">
        <f>IFERROR(__xludf.DUMMYFUNCTION("""COMPUTED_VALUE"""),10.0)</f>
        <v>10</v>
      </c>
      <c r="BF154" s="6">
        <f>IFERROR(__xludf.DUMMYFUNCTION("""COMPUTED_VALUE"""),1.0)</f>
        <v>1</v>
      </c>
      <c r="BG154" s="1">
        <f>IFERROR(__xludf.DUMMYFUNCTION("""COMPUTED_VALUE"""),1.0)</f>
        <v>1</v>
      </c>
      <c r="BH154" s="1" t="str">
        <f>IFERROR(__xludf.DUMMYFUNCTION("""COMPUTED_VALUE"""),"0")</f>
        <v>0</v>
      </c>
      <c r="BI154" s="4">
        <f>IFERROR(__xludf.DUMMYFUNCTION("""COMPUTED_VALUE"""),0.0)</f>
        <v>0</v>
      </c>
      <c r="BJ154" s="1">
        <f>IFERROR(__xludf.DUMMYFUNCTION("""COMPUTED_VALUE"""),0.0)</f>
        <v>0</v>
      </c>
      <c r="BK154" s="4">
        <f>IFERROR(__xludf.DUMMYFUNCTION("""COMPUTED_VALUE"""),600.0)</f>
        <v>600</v>
      </c>
      <c r="BL154" s="1">
        <f>IFERROR(__xludf.DUMMYFUNCTION("""COMPUTED_VALUE"""),1080.0)</f>
        <v>1080</v>
      </c>
      <c r="BM154" s="1">
        <f>IFERROR(__xludf.DUMMYFUNCTION("""COMPUTED_VALUE"""),44.0)</f>
        <v>44</v>
      </c>
      <c r="BN154" s="2">
        <f>IFERROR(__xludf.DUMMYFUNCTION("""COMPUTED_VALUE"""),45593.0)</f>
        <v>45593</v>
      </c>
      <c r="BO154" s="1">
        <f>IFERROR(__xludf.DUMMYFUNCTION("""COMPUTED_VALUE"""),10.0)</f>
        <v>10</v>
      </c>
      <c r="BP154" s="1">
        <f>IFERROR(__xludf.DUMMYFUNCTION("""COMPUTED_VALUE"""),2024.0)</f>
        <v>2024</v>
      </c>
    </row>
    <row r="155">
      <c r="A155" s="1">
        <f>IFERROR(__xludf.DUMMYFUNCTION("""COMPUTED_VALUE"""),154.0)</f>
        <v>154</v>
      </c>
      <c r="B155" s="1">
        <f>IFERROR(__xludf.DUMMYFUNCTION("""COMPUTED_VALUE"""),4711567.0)</f>
        <v>4711567</v>
      </c>
      <c r="C155" s="1" t="str">
        <f>IFERROR(__xludf.DUMMYFUNCTION("""COMPUTED_VALUE"""),"2025-1")</f>
        <v>2025-1</v>
      </c>
      <c r="D155" s="1" t="str">
        <f>IFERROR(__xludf.DUMMYFUNCTION("""COMPUTED_VALUE"""),"Admisión Extraordinaria (Traslados)")</f>
        <v>Admisión Extraordinaria (Traslados)</v>
      </c>
      <c r="E155" s="2">
        <f>IFERROR(__xludf.DUMMYFUNCTION("""COMPUTED_VALUE"""),45594.0)</f>
        <v>45594</v>
      </c>
      <c r="F155" s="1" t="str">
        <f>IFERROR(__xludf.DUMMYFUNCTION("""COMPUTED_VALUE""")," MELANIE VERENA ")</f>
        <v> MELANIE VERENA </v>
      </c>
      <c r="G155" s="1" t="str">
        <f>IFERROR(__xludf.DUMMYFUNCTION("""COMPUTED_VALUE"""),"MAGALLANES BUSTAMANTE")</f>
        <v>MAGALLANES BUSTAMANTE</v>
      </c>
      <c r="H155" s="1" t="str">
        <f>IFERROR(__xludf.DUMMYFUNCTION("""COMPUTED_VALUE"""),"Diseño Gráfico Publicitario")</f>
        <v>Diseño Gráfico Publicitario</v>
      </c>
      <c r="I155" s="1" t="str">
        <f>IFERROR(__xludf.DUMMYFUNCTION("""COMPUTED_VALUE"""),"Pago Link")</f>
        <v>Pago Link</v>
      </c>
      <c r="J155" s="1" t="str">
        <f>IFERROR(__xludf.DUMMYFUNCTION("""COMPUTED_VALUE"""),"Diurno")</f>
        <v>Diurno</v>
      </c>
      <c r="K155" s="1" t="str">
        <f>IFERROR(__xludf.DUMMYFUNCTION("""COMPUTED_VALUE"""),"TRASLADO")</f>
        <v>TRASLADO</v>
      </c>
      <c r="L155" s="1">
        <f>IFERROR(__xludf.DUMMYFUNCTION("""COMPUTED_VALUE"""),1.0)</f>
        <v>1</v>
      </c>
      <c r="M155" s="1">
        <f>IFERROR(__xludf.DUMMYFUNCTION("""COMPUTED_VALUE"""),0.0)</f>
        <v>0</v>
      </c>
      <c r="N155" s="1" t="str">
        <f>IFERROR(__xludf.DUMMYFUNCTION("""COMPUTED_VALUE"""),"RECA")</f>
        <v>RECA</v>
      </c>
      <c r="O155" s="1" t="str">
        <f>IFERROR(__xludf.DUMMYFUNCTION("""COMPUTED_VALUE"""),"RECA TRASLADO CON CONVA")</f>
        <v>RECA TRASLADO CON CONVA</v>
      </c>
      <c r="P155" s="4">
        <f>IFERROR(__xludf.DUMMYFUNCTION("""COMPUTED_VALUE"""),0.0)</f>
        <v>0</v>
      </c>
      <c r="Q155" s="4">
        <f>IFERROR(__xludf.DUMMYFUNCTION("""COMPUTED_VALUE"""),0.0)</f>
        <v>0</v>
      </c>
      <c r="R155" s="4">
        <f>IFERROR(__xludf.DUMMYFUNCTION("""COMPUTED_VALUE"""),1600.0)</f>
        <v>1600</v>
      </c>
      <c r="S155" s="4">
        <f>IFERROR(__xludf.DUMMYFUNCTION("""COMPUTED_VALUE"""),1150.0)</f>
        <v>1150</v>
      </c>
      <c r="T155" s="1" t="str">
        <f>IFERROR(__xludf.DUMMYFUNCTION("""COMPUTED_VALUE"""),"NINGUNO")</f>
        <v>NINGUNO</v>
      </c>
      <c r="U155" s="1" t="str">
        <f>IFERROR(__xludf.DUMMYFUNCTION("""COMPUTED_VALUE"""),"FABIOLA")</f>
        <v>FABIOLA</v>
      </c>
      <c r="V155" s="1" t="str">
        <f>IFERROR(__xludf.DUMMYFUNCTION("""COMPUTED_VALUE"""),"Ninguno")</f>
        <v>Ninguno</v>
      </c>
      <c r="W155" s="1" t="str">
        <f>IFERROR(__xludf.DUMMYFUNCTION("""COMPUTED_VALUE"""),"Metodología de enseñanza")</f>
        <v>Metodología de enseñanza</v>
      </c>
      <c r="X155" s="1" t="str">
        <f>IFERROR(__xludf.DUMMYFUNCTION("""COMPUTED_VALUE"""),"La alumna pago 300 soles el 5/10 y luego hizo el pago de 850 el 29/10; por ende entro al master en esa fecha ")</f>
        <v>La alumna pago 300 soles el 5/10 y luego hizo el pago de 850 el 29/10; por ende entro al master en esa fecha </v>
      </c>
      <c r="Y155" s="1" t="str">
        <f>IFERROR(__xludf.DUMMYFUNCTION("""COMPUTED_VALUE"""),"PAGO FRACCIONADO")</f>
        <v>PAGO FRACCIONADO</v>
      </c>
      <c r="Z155" s="1">
        <f>IFERROR(__xludf.DUMMYFUNCTION("""COMPUTED_VALUE"""),300.0)</f>
        <v>300</v>
      </c>
      <c r="AA155" s="1" t="str">
        <f>IFERROR(__xludf.DUMMYFUNCTION("""COMPUTED_VALUE"""),"28/10/2024")</f>
        <v>28/10/2024</v>
      </c>
      <c r="AB155" s="1">
        <f>IFERROR(__xludf.DUMMYFUNCTION("""COMPUTED_VALUE"""),0.0)</f>
        <v>0</v>
      </c>
      <c r="AC155" s="1">
        <f>IFERROR(__xludf.DUMMYFUNCTION("""COMPUTED_VALUE"""),0.0)</f>
        <v>0</v>
      </c>
      <c r="AD155" s="1" t="str">
        <f>IFERROR(__xludf.DUMMYFUNCTION("""COMPUTED_VALUE"""),"Andrea Araujo Antara")</f>
        <v>Andrea Araujo Antara</v>
      </c>
      <c r="AE155" s="1" t="str">
        <f>IFERROR(__xludf.DUMMYFUNCTION("""COMPUTED_VALUE"""),"Instituto de Educación Superior Tecnológico Privado Toulouse Lautrec")</f>
        <v>Instituto de Educación Superior Tecnológico Privado Toulouse Lautrec</v>
      </c>
      <c r="AF155" s="1">
        <f>IFERROR(__xludf.DUMMYFUNCTION("""COMPUTED_VALUE"""),2021.0)</f>
        <v>2021</v>
      </c>
      <c r="AG155" s="1">
        <f>IFERROR(__xludf.DUMMYFUNCTION("""COMPUTED_VALUE"""),582965.0)</f>
        <v>582965</v>
      </c>
      <c r="AH155" s="1">
        <f>IFERROR(__xludf.DUMMYFUNCTION("""COMPUTED_VALUE"""),20.0)</f>
        <v>20</v>
      </c>
      <c r="AI155" s="1" t="str">
        <f>IFERROR(__xludf.DUMMYFUNCTION("""COMPUTED_VALUE"""),"0000020671")</f>
        <v>0000020671</v>
      </c>
      <c r="AJ155" s="1">
        <f>IFERROR(__xludf.DUMMYFUNCTION("""COMPUTED_VALUE"""),7.0906486E7)</f>
        <v>70906486</v>
      </c>
      <c r="AK155" s="1">
        <f>IFERROR(__xludf.DUMMYFUNCTION("""COMPUTED_VALUE"""),9.82375407E8)</f>
        <v>982375407</v>
      </c>
      <c r="AL155" s="1" t="str">
        <f>IFERROR(__xludf.DUMMYFUNCTION("""COMPUTED_VALUE"""),"melmaga30@gmail.com")</f>
        <v>melmaga30@gmail.com</v>
      </c>
      <c r="AM155" s="1" t="str">
        <f>IFERROR(__xludf.DUMMYFUNCTION("""COMPUTED_VALUE"""),"FEMENINO")</f>
        <v>FEMENINO</v>
      </c>
      <c r="AN155" s="1">
        <f>IFERROR(__xludf.DUMMYFUNCTION("""COMPUTED_VALUE"""),1600.0)</f>
        <v>1600</v>
      </c>
      <c r="AO155" s="1">
        <f>IFERROR(__xludf.DUMMYFUNCTION("""COMPUTED_VALUE"""),240.0)</f>
        <v>240</v>
      </c>
      <c r="AP155" s="1" t="str">
        <f>IFERROR(__xludf.DUMMYFUNCTION("""COMPUTED_VALUE"""),"FORMULARIO")</f>
        <v>FORMULARIO</v>
      </c>
      <c r="AQ155" s="1" t="str">
        <f>IFERROR(__xludf.DUMMYFUNCTION("""COMPUTED_VALUE"""),"ORGANICO")</f>
        <v>ORGANICO</v>
      </c>
      <c r="AR155" s="1" t="str">
        <f>IFERROR(__xludf.DUMMYFUNCTION("""COMPUTED_VALUE"""),"HEREDADO")</f>
        <v>HEREDADO</v>
      </c>
      <c r="AS155" s="1"/>
      <c r="AT155" s="2">
        <f>IFERROR(__xludf.DUMMYFUNCTION("""COMPUTED_VALUE"""),45568.0)</f>
        <v>45568</v>
      </c>
      <c r="AU155" s="1">
        <f>IFERROR(__xludf.DUMMYFUNCTION("""COMPUTED_VALUE"""),1.0)</f>
        <v>1</v>
      </c>
      <c r="AV155" s="1" t="str">
        <f>IFERROR(__xludf.DUMMYFUNCTION("""COMPUTED_VALUE"""),"TRASLADO")</f>
        <v>TRASLADO</v>
      </c>
      <c r="AW155" s="1" t="str">
        <f>IFERROR(__xludf.DUMMYFUNCTION("""COMPUTED_VALUE"""),"SI")</f>
        <v>SI</v>
      </c>
      <c r="AX155" s="1"/>
      <c r="AY155" s="1" t="str">
        <f>IFERROR(__xludf.DUMMYFUNCTION("""COMPUTED_VALUE"""),"PAGO COMPLETO")</f>
        <v>PAGO COMPLETO</v>
      </c>
      <c r="AZ155" s="5">
        <f>IFERROR(__xludf.DUMMYFUNCTION("""COMPUTED_VALUE"""),45594.0)</f>
        <v>45594</v>
      </c>
      <c r="BA155" s="1">
        <f>IFERROR(__xludf.DUMMYFUNCTION("""COMPUTED_VALUE"""),850.0)</f>
        <v>850</v>
      </c>
      <c r="BB155" s="1">
        <f>IFERROR(__xludf.DUMMYFUNCTION("""COMPUTED_VALUE"""),0.0)</f>
        <v>0</v>
      </c>
      <c r="BC155" s="4">
        <f>IFERROR(__xludf.DUMMYFUNCTION("""COMPUTED_VALUE"""),0.0)</f>
        <v>0</v>
      </c>
      <c r="BD155" s="4">
        <f>IFERROR(__xludf.DUMMYFUNCTION("""COMPUTED_VALUE"""),0.0)</f>
        <v>0</v>
      </c>
      <c r="BE155" s="1">
        <f>IFERROR(__xludf.DUMMYFUNCTION("""COMPUTED_VALUE"""),10.0)</f>
        <v>10</v>
      </c>
      <c r="BF155" s="6">
        <f>IFERROR(__xludf.DUMMYFUNCTION("""COMPUTED_VALUE"""),1.0)</f>
        <v>1</v>
      </c>
      <c r="BG155" s="1">
        <f>IFERROR(__xludf.DUMMYFUNCTION("""COMPUTED_VALUE"""),0.0)</f>
        <v>0</v>
      </c>
      <c r="BH155" s="1" t="str">
        <f>IFERROR(__xludf.DUMMYFUNCTION("""COMPUTED_VALUE"""),"1")</f>
        <v>1</v>
      </c>
      <c r="BI155" s="4">
        <f>IFERROR(__xludf.DUMMYFUNCTION("""COMPUTED_VALUE"""),1150.0)</f>
        <v>1150</v>
      </c>
      <c r="BJ155" s="1">
        <f>IFERROR(__xludf.DUMMYFUNCTION("""COMPUTED_VALUE"""),0.0)</f>
        <v>0</v>
      </c>
      <c r="BK155" s="4">
        <f>IFERROR(__xludf.DUMMYFUNCTION("""COMPUTED_VALUE"""),0.0)</f>
        <v>0</v>
      </c>
      <c r="BL155" s="1">
        <f>IFERROR(__xludf.DUMMYFUNCTION("""COMPUTED_VALUE"""),1150.0)</f>
        <v>1150</v>
      </c>
      <c r="BM155" s="1">
        <f>IFERROR(__xludf.DUMMYFUNCTION("""COMPUTED_VALUE"""),44.0)</f>
        <v>44</v>
      </c>
      <c r="BN155" s="2">
        <f>IFERROR(__xludf.DUMMYFUNCTION("""COMPUTED_VALUE"""),45593.0)</f>
        <v>45593</v>
      </c>
      <c r="BO155" s="1">
        <f>IFERROR(__xludf.DUMMYFUNCTION("""COMPUTED_VALUE"""),10.0)</f>
        <v>10</v>
      </c>
      <c r="BP155" s="1">
        <f>IFERROR(__xludf.DUMMYFUNCTION("""COMPUTED_VALUE"""),2024.0)</f>
        <v>2024</v>
      </c>
    </row>
    <row r="156">
      <c r="A156" s="1">
        <f>IFERROR(__xludf.DUMMYFUNCTION("""COMPUTED_VALUE"""),155.0)</f>
        <v>155</v>
      </c>
      <c r="B156" s="1">
        <f>IFERROR(__xludf.DUMMYFUNCTION("""COMPUTED_VALUE"""),4619326.0)</f>
        <v>4619326</v>
      </c>
      <c r="C156" s="1" t="str">
        <f>IFERROR(__xludf.DUMMYFUNCTION("""COMPUTED_VALUE"""),"2025-1")</f>
        <v>2025-1</v>
      </c>
      <c r="D156" s="1" t="str">
        <f>IFERROR(__xludf.DUMMYFUNCTION("""COMPUTED_VALUE"""),"Admisión de Alto Rendimiento")</f>
        <v>Admisión de Alto Rendimiento</v>
      </c>
      <c r="E156" s="2">
        <f>IFERROR(__xludf.DUMMYFUNCTION("""COMPUTED_VALUE"""),45594.0)</f>
        <v>45594</v>
      </c>
      <c r="F156" s="1" t="str">
        <f>IFERROR(__xludf.DUMMYFUNCTION("""COMPUTED_VALUE"""),"ALEXIS FABRIZIO ")</f>
        <v>ALEXIS FABRIZIO </v>
      </c>
      <c r="G156" s="1" t="str">
        <f>IFERROR(__xludf.DUMMYFUNCTION("""COMPUTED_VALUE"""),"COSME YIP")</f>
        <v>COSME YIP</v>
      </c>
      <c r="H156" s="1" t="str">
        <f>IFERROR(__xludf.DUMMYFUNCTION("""COMPUTED_VALUE"""),"Psicología")</f>
        <v>Psicología</v>
      </c>
      <c r="I156" s="1" t="str">
        <f>IFERROR(__xludf.DUMMYFUNCTION("""COMPUTED_VALUE"""),"POS")</f>
        <v>POS</v>
      </c>
      <c r="J156" s="1" t="str">
        <f>IFERROR(__xludf.DUMMYFUNCTION("""COMPUTED_VALUE"""),"Diurno")</f>
        <v>Diurno</v>
      </c>
      <c r="K156" s="1" t="str">
        <f>IFERROR(__xludf.DUMMYFUNCTION("""COMPUTED_VALUE"""),"NUEVO")</f>
        <v>NUEVO</v>
      </c>
      <c r="L156" s="1">
        <f>IFERROR(__xludf.DUMMYFUNCTION("""COMPUTED_VALUE"""),0.0)</f>
        <v>0</v>
      </c>
      <c r="M156" s="1">
        <f>IFERROR(__xludf.DUMMYFUNCTION("""COMPUTED_VALUE"""),0.0)</f>
        <v>0</v>
      </c>
      <c r="N156" s="1" t="str">
        <f>IFERROR(__xludf.DUMMYFUNCTION("""COMPUTED_VALUE"""),"BECA")</f>
        <v>BECA</v>
      </c>
      <c r="O156" s="1" t="str">
        <f>IFERROR(__xludf.DUMMYFUNCTION("""COMPUTED_VALUE"""),"BECA CARRERAS NUEVAS")</f>
        <v>BECA CARRERAS NUEVAS</v>
      </c>
      <c r="P156" s="4">
        <f>IFERROR(__xludf.DUMMYFUNCTION("""COMPUTED_VALUE"""),0.0)</f>
        <v>0</v>
      </c>
      <c r="Q156" s="4">
        <f>IFERROR(__xludf.DUMMYFUNCTION("""COMPUTED_VALUE"""),0.0)</f>
        <v>0</v>
      </c>
      <c r="R156" s="4">
        <f>IFERROR(__xludf.DUMMYFUNCTION("""COMPUTED_VALUE"""),1150.0)</f>
        <v>1150</v>
      </c>
      <c r="S156" s="4">
        <f>IFERROR(__xludf.DUMMYFUNCTION("""COMPUTED_VALUE"""),1000.0)</f>
        <v>1000</v>
      </c>
      <c r="T156" s="1" t="str">
        <f>IFERROR(__xludf.DUMMYFUNCTION("""COMPUTED_VALUE"""),"NINGUNO")</f>
        <v>NINGUNO</v>
      </c>
      <c r="U156" s="1" t="str">
        <f>IFERROR(__xludf.DUMMYFUNCTION("""COMPUTED_VALUE"""),"FABIOLA")</f>
        <v>FABIOLA</v>
      </c>
      <c r="V156" s="1" t="str">
        <f>IFERROR(__xludf.DUMMYFUNCTION("""COMPUTED_VALUE"""),"Ninguno")</f>
        <v>Ninguno</v>
      </c>
      <c r="W156" s="1" t="str">
        <f>IFERROR(__xludf.DUMMYFUNCTION("""COMPUTED_VALUE"""),"Metodología de enseñanza")</f>
        <v>Metodología de enseñanza</v>
      </c>
      <c r="X156" s="1" t="str">
        <f>IFERROR(__xludf.DUMMYFUNCTION("""COMPUTED_VALUE"""),"metodología de enseñanza ")</f>
        <v>metodología de enseñanza </v>
      </c>
      <c r="Y156" s="1" t="str">
        <f>IFERROR(__xludf.DUMMYFUNCTION("""COMPUTED_VALUE"""),"PAGO FRACCIONADO")</f>
        <v>PAGO FRACCIONADO</v>
      </c>
      <c r="Z156" s="1">
        <f>IFERROR(__xludf.DUMMYFUNCTION("""COMPUTED_VALUE"""),500.0)</f>
        <v>500</v>
      </c>
      <c r="AA156" s="1" t="str">
        <f>IFERROR(__xludf.DUMMYFUNCTION("""COMPUTED_VALUE"""),"29/10/2024")</f>
        <v>29/10/2024</v>
      </c>
      <c r="AB156" s="1">
        <f>IFERROR(__xludf.DUMMYFUNCTION("""COMPUTED_VALUE"""),0.0)</f>
        <v>0</v>
      </c>
      <c r="AC156" s="1">
        <f>IFERROR(__xludf.DUMMYFUNCTION("""COMPUTED_VALUE"""),0.0)</f>
        <v>0</v>
      </c>
      <c r="AD156" s="1" t="str">
        <f>IFERROR(__xludf.DUMMYFUNCTION("""COMPUTED_VALUE"""),"Cinthia Mariella Orosco")</f>
        <v>Cinthia Mariella Orosco</v>
      </c>
      <c r="AE156" s="1" t="str">
        <f>IFERROR(__xludf.DUMMYFUNCTION("""COMPUTED_VALUE"""),"0")</f>
        <v>0</v>
      </c>
      <c r="AF156" s="1">
        <f>IFERROR(__xludf.DUMMYFUNCTION("""COMPUTED_VALUE"""),2022.0)</f>
        <v>2022</v>
      </c>
      <c r="AG156" s="1">
        <f>IFERROR(__xludf.DUMMYFUNCTION("""COMPUTED_VALUE"""),551242.0)</f>
        <v>551242</v>
      </c>
      <c r="AH156" s="1">
        <f>IFERROR(__xludf.DUMMYFUNCTION("""COMPUTED_VALUE"""),18.0)</f>
        <v>18</v>
      </c>
      <c r="AI156" s="1" t="str">
        <f>IFERROR(__xludf.DUMMYFUNCTION("""COMPUTED_VALUE"""),"0000399279")</f>
        <v>0000399279</v>
      </c>
      <c r="AJ156" s="1">
        <f>IFERROR(__xludf.DUMMYFUNCTION("""COMPUTED_VALUE"""),6.0861803E7)</f>
        <v>60861803</v>
      </c>
      <c r="AK156" s="1">
        <f>IFERROR(__xludf.DUMMYFUNCTION("""COMPUTED_VALUE"""),9.24047055E8)</f>
        <v>924047055</v>
      </c>
      <c r="AL156" s="1" t="str">
        <f>IFERROR(__xludf.DUMMYFUNCTION("""COMPUTED_VALUE"""),"fabriziocosmeyip@gmail.com")</f>
        <v>fabriziocosmeyip@gmail.com</v>
      </c>
      <c r="AM156" s="1" t="str">
        <f>IFERROR(__xludf.DUMMYFUNCTION("""COMPUTED_VALUE"""),"MASCULINO")</f>
        <v>MASCULINO</v>
      </c>
      <c r="AN156" s="1">
        <f>IFERROR(__xludf.DUMMYFUNCTION("""COMPUTED_VALUE"""),1350.0)</f>
        <v>1350</v>
      </c>
      <c r="AO156" s="1">
        <f>IFERROR(__xludf.DUMMYFUNCTION("""COMPUTED_VALUE"""),0.0)</f>
        <v>0</v>
      </c>
      <c r="AP156" s="1" t="str">
        <f>IFERROR(__xludf.DUMMYFUNCTION("""COMPUTED_VALUE"""),"FORMULARIO")</f>
        <v>FORMULARIO</v>
      </c>
      <c r="AQ156" s="1" t="str">
        <f>IFERROR(__xludf.DUMMYFUNCTION("""COMPUTED_VALUE"""),"SEARCH CARRERA")</f>
        <v>SEARCH CARRERA</v>
      </c>
      <c r="AR156" s="1" t="str">
        <f>IFERROR(__xludf.DUMMYFUNCTION("""COMPUTED_VALUE"""),"NUEVO")</f>
        <v>NUEVO</v>
      </c>
      <c r="AS156" s="1" t="str">
        <f>IFERROR(__xludf.DUMMYFUNCTION("""COMPUTED_VALUE"""),"ucal-pg-performance-sedes-abierta-cpl-search_conversion_mundo_diseno-20240401")</f>
        <v>ucal-pg-performance-sedes-abierta-cpl-search_conversion_mundo_diseno-20240401</v>
      </c>
      <c r="AT156" s="2">
        <f>IFERROR(__xludf.DUMMYFUNCTION("""COMPUTED_VALUE"""),45560.0)</f>
        <v>45560</v>
      </c>
      <c r="AU156" s="1">
        <f>IFERROR(__xludf.DUMMYFUNCTION("""COMPUTED_VALUE"""),1.0)</f>
        <v>1</v>
      </c>
      <c r="AV156" s="1" t="str">
        <f>IFERROR(__xludf.DUMMYFUNCTION("""COMPUTED_VALUE"""),"NUEVO")</f>
        <v>NUEVO</v>
      </c>
      <c r="AW156" s="1" t="str">
        <f>IFERROR(__xludf.DUMMYFUNCTION("""COMPUTED_VALUE"""),"SI")</f>
        <v>SI</v>
      </c>
      <c r="AX156" s="1"/>
      <c r="AY156" s="1" t="str">
        <f>IFERROR(__xludf.DUMMYFUNCTION("""COMPUTED_VALUE"""),"PAGO COMPLETO")</f>
        <v>PAGO COMPLETO</v>
      </c>
      <c r="AZ156" s="5">
        <f>IFERROR(__xludf.DUMMYFUNCTION("""COMPUTED_VALUE"""),45595.0)</f>
        <v>45595</v>
      </c>
      <c r="BA156" s="1">
        <f>IFERROR(__xludf.DUMMYFUNCTION("""COMPUTED_VALUE"""),500.0)</f>
        <v>500</v>
      </c>
      <c r="BB156" s="1">
        <f>IFERROR(__xludf.DUMMYFUNCTION("""COMPUTED_VALUE"""),0.0)</f>
        <v>0</v>
      </c>
      <c r="BC156" s="4">
        <f>IFERROR(__xludf.DUMMYFUNCTION("""COMPUTED_VALUE"""),0.0)</f>
        <v>0</v>
      </c>
      <c r="BD156" s="4">
        <f>IFERROR(__xludf.DUMMYFUNCTION("""COMPUTED_VALUE"""),0.0)</f>
        <v>0</v>
      </c>
      <c r="BE156" s="1">
        <f>IFERROR(__xludf.DUMMYFUNCTION("""COMPUTED_VALUE"""),10.0)</f>
        <v>10</v>
      </c>
      <c r="BF156" s="6">
        <f>IFERROR(__xludf.DUMMYFUNCTION("""COMPUTED_VALUE"""),1.0)</f>
        <v>1</v>
      </c>
      <c r="BG156" s="1">
        <f>IFERROR(__xludf.DUMMYFUNCTION("""COMPUTED_VALUE"""),1.0)</f>
        <v>1</v>
      </c>
      <c r="BH156" s="1" t="str">
        <f>IFERROR(__xludf.DUMMYFUNCTION("""COMPUTED_VALUE"""),"0")</f>
        <v>0</v>
      </c>
      <c r="BI156" s="4">
        <f>IFERROR(__xludf.DUMMYFUNCTION("""COMPUTED_VALUE"""),1000.0)</f>
        <v>1000</v>
      </c>
      <c r="BJ156" s="1">
        <f>IFERROR(__xludf.DUMMYFUNCTION("""COMPUTED_VALUE"""),0.0)</f>
        <v>0</v>
      </c>
      <c r="BK156" s="4">
        <f>IFERROR(__xludf.DUMMYFUNCTION("""COMPUTED_VALUE"""),0.0)</f>
        <v>0</v>
      </c>
      <c r="BL156" s="1">
        <f>IFERROR(__xludf.DUMMYFUNCTION("""COMPUTED_VALUE"""),1000.0)</f>
        <v>1000</v>
      </c>
      <c r="BM156" s="1">
        <f>IFERROR(__xludf.DUMMYFUNCTION("""COMPUTED_VALUE"""),44.0)</f>
        <v>44</v>
      </c>
      <c r="BN156" s="2">
        <f>IFERROR(__xludf.DUMMYFUNCTION("""COMPUTED_VALUE"""),45593.0)</f>
        <v>45593</v>
      </c>
      <c r="BO156" s="1">
        <f>IFERROR(__xludf.DUMMYFUNCTION("""COMPUTED_VALUE"""),10.0)</f>
        <v>10</v>
      </c>
      <c r="BP156" s="1">
        <f>IFERROR(__xludf.DUMMYFUNCTION("""COMPUTED_VALUE"""),2024.0)</f>
        <v>2024</v>
      </c>
    </row>
    <row r="157">
      <c r="A157" s="1">
        <f>IFERROR(__xludf.DUMMYFUNCTION("""COMPUTED_VALUE"""),156.0)</f>
        <v>156</v>
      </c>
      <c r="B157" s="1">
        <f>IFERROR(__xludf.DUMMYFUNCTION("""COMPUTED_VALUE"""),537271.0)</f>
        <v>537271</v>
      </c>
      <c r="C157" s="1" t="str">
        <f>IFERROR(__xludf.DUMMYFUNCTION("""COMPUTED_VALUE"""),"2025-1")</f>
        <v>2025-1</v>
      </c>
      <c r="D157" s="1" t="str">
        <f>IFERROR(__xludf.DUMMYFUNCTION("""COMPUTED_VALUE"""),"Admisión Extraordinaria (Traslados)")</f>
        <v>Admisión Extraordinaria (Traslados)</v>
      </c>
      <c r="E157" s="2">
        <f>IFERROR(__xludf.DUMMYFUNCTION("""COMPUTED_VALUE"""),45595.0)</f>
        <v>45595</v>
      </c>
      <c r="F157" s="1" t="str">
        <f>IFERROR(__xludf.DUMMYFUNCTION("""COMPUTED_VALUE"""),"GERALDYN FRANSHESCA")</f>
        <v>GERALDYN FRANSHESCA</v>
      </c>
      <c r="G157" s="1" t="str">
        <f>IFERROR(__xludf.DUMMYFUNCTION("""COMPUTED_VALUE"""),"BLANCAS MAURICIO")</f>
        <v>BLANCAS MAURICIO</v>
      </c>
      <c r="H157" s="1" t="str">
        <f>IFERROR(__xludf.DUMMYFUNCTION("""COMPUTED_VALUE"""),"Diseño Gráfico Publicitario")</f>
        <v>Diseño Gráfico Publicitario</v>
      </c>
      <c r="I157" s="1" t="str">
        <f>IFERROR(__xludf.DUMMYFUNCTION("""COMPUTED_VALUE"""),"Pago Link")</f>
        <v>Pago Link</v>
      </c>
      <c r="J157" s="1" t="str">
        <f>IFERROR(__xludf.DUMMYFUNCTION("""COMPUTED_VALUE"""),"Diurno")</f>
        <v>Diurno</v>
      </c>
      <c r="K157" s="1" t="str">
        <f>IFERROR(__xludf.DUMMYFUNCTION("""COMPUTED_VALUE"""),"TRASLADO")</f>
        <v>TRASLADO</v>
      </c>
      <c r="L157" s="1">
        <f>IFERROR(__xludf.DUMMYFUNCTION("""COMPUTED_VALUE"""),1.0)</f>
        <v>1</v>
      </c>
      <c r="M157" s="1">
        <f>IFERROR(__xludf.DUMMYFUNCTION("""COMPUTED_VALUE"""),0.0)</f>
        <v>0</v>
      </c>
      <c r="N157" s="1" t="str">
        <f>IFERROR(__xludf.DUMMYFUNCTION("""COMPUTED_VALUE"""),"RECA")</f>
        <v>RECA</v>
      </c>
      <c r="O157" s="1" t="str">
        <f>IFERROR(__xludf.DUMMYFUNCTION("""COMPUTED_VALUE"""),"RECA TRASLADO CON CONVA")</f>
        <v>RECA TRASLADO CON CONVA</v>
      </c>
      <c r="P157" s="4">
        <f>IFERROR(__xludf.DUMMYFUNCTION("""COMPUTED_VALUE"""),0.0)</f>
        <v>0</v>
      </c>
      <c r="Q157" s="4">
        <f>IFERROR(__xludf.DUMMYFUNCTION("""COMPUTED_VALUE"""),0.0)</f>
        <v>0</v>
      </c>
      <c r="R157" s="4">
        <f>IFERROR(__xludf.DUMMYFUNCTION("""COMPUTED_VALUE"""),1350.0)</f>
        <v>1350</v>
      </c>
      <c r="S157" s="4">
        <f>IFERROR(__xludf.DUMMYFUNCTION("""COMPUTED_VALUE"""),900.0)</f>
        <v>900</v>
      </c>
      <c r="T157" s="1" t="str">
        <f>IFERROR(__xludf.DUMMYFUNCTION("""COMPUTED_VALUE"""),"NINGUNO")</f>
        <v>NINGUNO</v>
      </c>
      <c r="U157" s="1" t="str">
        <f>IFERROR(__xludf.DUMMYFUNCTION("""COMPUTED_VALUE"""),"STEVEN")</f>
        <v>STEVEN</v>
      </c>
      <c r="V157" s="1" t="str">
        <f>IFERROR(__xludf.DUMMYFUNCTION("""COMPUTED_VALUE"""),"Ninguno")</f>
        <v>Ninguno</v>
      </c>
      <c r="W157" s="1" t="str">
        <f>IFERROR(__xludf.DUMMYFUNCTION("""COMPUTED_VALUE"""),"Malla curricular")</f>
        <v>Malla curricular</v>
      </c>
      <c r="X157" s="1" t="str">
        <f>IFERROR(__xludf.DUMMYFUNCTION("""COMPUTED_VALUE"""),"-")</f>
        <v>-</v>
      </c>
      <c r="Y157" s="1" t="str">
        <f>IFERROR(__xludf.DUMMYFUNCTION("""COMPUTED_VALUE"""),"PAGO FRACCIONADO")</f>
        <v>PAGO FRACCIONADO</v>
      </c>
      <c r="Z157" s="1">
        <f>IFERROR(__xludf.DUMMYFUNCTION("""COMPUTED_VALUE"""),450.0)</f>
        <v>450</v>
      </c>
      <c r="AA157" s="1" t="str">
        <f>IFERROR(__xludf.DUMMYFUNCTION("""COMPUTED_VALUE"""),"30/11/2024")</f>
        <v>30/11/2024</v>
      </c>
      <c r="AB157" s="1">
        <f>IFERROR(__xludf.DUMMYFUNCTION("""COMPUTED_VALUE"""),1.0)</f>
        <v>1</v>
      </c>
      <c r="AC157" s="1">
        <f>IFERROR(__xludf.DUMMYFUNCTION("""COMPUTED_VALUE"""),1.0)</f>
        <v>1</v>
      </c>
      <c r="AD157" s="1" t="str">
        <f>IFERROR(__xludf.DUMMYFUNCTION("""COMPUTED_VALUE"""),"Janira Delgado")</f>
        <v>Janira Delgado</v>
      </c>
      <c r="AE157" s="1" t="str">
        <f>IFERROR(__xludf.DUMMYFUNCTION("""COMPUTED_VALUE"""),"Universidad Privada del Norte(UPN)")</f>
        <v>Universidad Privada del Norte(UPN)</v>
      </c>
      <c r="AF157" s="1">
        <f>IFERROR(__xludf.DUMMYFUNCTION("""COMPUTED_VALUE"""),2020.0)</f>
        <v>2020</v>
      </c>
      <c r="AG157" s="1">
        <f>IFERROR(__xludf.DUMMYFUNCTION("""COMPUTED_VALUE"""),245688.0)</f>
        <v>245688</v>
      </c>
      <c r="AH157" s="1">
        <f>IFERROR(__xludf.DUMMYFUNCTION("""COMPUTED_VALUE"""),26.0)</f>
        <v>26</v>
      </c>
      <c r="AI157" s="1" t="str">
        <f>IFERROR(__xludf.DUMMYFUNCTION("""COMPUTED_VALUE"""),"0000399308")</f>
        <v>0000399308</v>
      </c>
      <c r="AJ157" s="1">
        <f>IFERROR(__xludf.DUMMYFUNCTION("""COMPUTED_VALUE"""),7.2920569E7)</f>
        <v>72920569</v>
      </c>
      <c r="AK157" s="1">
        <f>IFERROR(__xludf.DUMMYFUNCTION("""COMPUTED_VALUE"""),9.92535486E8)</f>
        <v>992535486</v>
      </c>
      <c r="AL157" s="1" t="str">
        <f>IFERROR(__xludf.DUMMYFUNCTION("""COMPUTED_VALUE"""),"geraldynblancas0@gmail.com")</f>
        <v>geraldynblancas0@gmail.com</v>
      </c>
      <c r="AM157" s="1" t="str">
        <f>IFERROR(__xludf.DUMMYFUNCTION("""COMPUTED_VALUE"""),"FEMENINO")</f>
        <v>FEMENINO</v>
      </c>
      <c r="AN157" s="1">
        <f>IFERROR(__xludf.DUMMYFUNCTION("""COMPUTED_VALUE"""),1350.0)</f>
        <v>1350</v>
      </c>
      <c r="AO157" s="1">
        <f>IFERROR(__xludf.DUMMYFUNCTION("""COMPUTED_VALUE"""),0.0)</f>
        <v>0</v>
      </c>
      <c r="AP157" s="1" t="str">
        <f>IFERROR(__xludf.DUMMYFUNCTION("""COMPUTED_VALUE"""),"BIDIRECCIONAL")</f>
        <v>BIDIRECCIONAL</v>
      </c>
      <c r="AQ157" s="1" t="str">
        <f>IFERROR(__xludf.DUMMYFUNCTION("""COMPUTED_VALUE"""),"SEARCH CARRERA")</f>
        <v>SEARCH CARRERA</v>
      </c>
      <c r="AR157" s="1" t="str">
        <f>IFERROR(__xludf.DUMMYFUNCTION("""COMPUTED_VALUE"""),"NUEVO")</f>
        <v>NUEVO</v>
      </c>
      <c r="AS157" s="1" t="str">
        <f>IFERROR(__xludf.DUMMYFUNCTION("""COMPUTED_VALUE"""),"ucal-pg-performance-sedes-abierta-cpl-search_conversion_mundo_diseno_bidi_search_carreras-20240702")</f>
        <v>ucal-pg-performance-sedes-abierta-cpl-search_conversion_mundo_diseno_bidi_search_carreras-20240702</v>
      </c>
      <c r="AT157" s="2">
        <f>IFERROR(__xludf.DUMMYFUNCTION("""COMPUTED_VALUE"""),45577.0)</f>
        <v>45577</v>
      </c>
      <c r="AU157" s="1">
        <f>IFERROR(__xludf.DUMMYFUNCTION("""COMPUTED_VALUE"""),1.0)</f>
        <v>1</v>
      </c>
      <c r="AV157" s="1" t="str">
        <f>IFERROR(__xludf.DUMMYFUNCTION("""COMPUTED_VALUE"""),"TRASLADO")</f>
        <v>TRASLADO</v>
      </c>
      <c r="AW157" s="1" t="str">
        <f>IFERROR(__xludf.DUMMYFUNCTION("""COMPUTED_VALUE"""),"SI")</f>
        <v>SI</v>
      </c>
      <c r="AX157" s="1"/>
      <c r="AY157" s="1" t="str">
        <f>IFERROR(__xludf.DUMMYFUNCTION("""COMPUTED_VALUE"""),"PAGO COMPLETO")</f>
        <v>PAGO COMPLETO</v>
      </c>
      <c r="AZ157" s="5">
        <f>IFERROR(__xludf.DUMMYFUNCTION("""COMPUTED_VALUE"""),45626.0)</f>
        <v>45626</v>
      </c>
      <c r="BA157" s="1">
        <f>IFERROR(__xludf.DUMMYFUNCTION("""COMPUTED_VALUE"""),450.0)</f>
        <v>450</v>
      </c>
      <c r="BB157" s="1">
        <f>IFERROR(__xludf.DUMMYFUNCTION("""COMPUTED_VALUE"""),0.0)</f>
        <v>0</v>
      </c>
      <c r="BC157" s="4">
        <f>IFERROR(__xludf.DUMMYFUNCTION("""COMPUTED_VALUE"""),0.0)</f>
        <v>0</v>
      </c>
      <c r="BD157" s="4">
        <f>IFERROR(__xludf.DUMMYFUNCTION("""COMPUTED_VALUE"""),0.0)</f>
        <v>0</v>
      </c>
      <c r="BE157" s="1">
        <f>IFERROR(__xludf.DUMMYFUNCTION("""COMPUTED_VALUE"""),10.0)</f>
        <v>10</v>
      </c>
      <c r="BF157" s="6">
        <f>IFERROR(__xludf.DUMMYFUNCTION("""COMPUTED_VALUE"""),1.0)</f>
        <v>1</v>
      </c>
      <c r="BG157" s="1">
        <f>IFERROR(__xludf.DUMMYFUNCTION("""COMPUTED_VALUE"""),1.0)</f>
        <v>1</v>
      </c>
      <c r="BH157" s="1" t="str">
        <f>IFERROR(__xludf.DUMMYFUNCTION("""COMPUTED_VALUE"""),"1")</f>
        <v>1</v>
      </c>
      <c r="BI157" s="4">
        <f>IFERROR(__xludf.DUMMYFUNCTION("""COMPUTED_VALUE"""),900.0)</f>
        <v>900</v>
      </c>
      <c r="BJ157" s="1">
        <f>IFERROR(__xludf.DUMMYFUNCTION("""COMPUTED_VALUE"""),0.0)</f>
        <v>0</v>
      </c>
      <c r="BK157" s="4">
        <f>IFERROR(__xludf.DUMMYFUNCTION("""COMPUTED_VALUE"""),0.0)</f>
        <v>0</v>
      </c>
      <c r="BL157" s="1">
        <f>IFERROR(__xludf.DUMMYFUNCTION("""COMPUTED_VALUE"""),900.0)</f>
        <v>900</v>
      </c>
      <c r="BM157" s="1">
        <f>IFERROR(__xludf.DUMMYFUNCTION("""COMPUTED_VALUE"""),44.0)</f>
        <v>44</v>
      </c>
      <c r="BN157" s="2">
        <f>IFERROR(__xludf.DUMMYFUNCTION("""COMPUTED_VALUE"""),45593.0)</f>
        <v>45593</v>
      </c>
      <c r="BO157" s="1">
        <f>IFERROR(__xludf.DUMMYFUNCTION("""COMPUTED_VALUE"""),10.0)</f>
        <v>10</v>
      </c>
      <c r="BP157" s="1">
        <f>IFERROR(__xludf.DUMMYFUNCTION("""COMPUTED_VALUE"""),2024.0)</f>
        <v>2024</v>
      </c>
    </row>
    <row r="158">
      <c r="A158" s="1">
        <f>IFERROR(__xludf.DUMMYFUNCTION("""COMPUTED_VALUE"""),157.0)</f>
        <v>157</v>
      </c>
      <c r="B158" s="1">
        <f>IFERROR(__xludf.DUMMYFUNCTION("""COMPUTED_VALUE"""),3123682.0)</f>
        <v>3123682</v>
      </c>
      <c r="C158" s="1" t="str">
        <f>IFERROR(__xludf.DUMMYFUNCTION("""COMPUTED_VALUE"""),"2025-1")</f>
        <v>2025-1</v>
      </c>
      <c r="D158" s="1" t="str">
        <f>IFERROR(__xludf.DUMMYFUNCTION("""COMPUTED_VALUE"""),"Admisión de Alto Rendimiento")</f>
        <v>Admisión de Alto Rendimiento</v>
      </c>
      <c r="E158" s="2">
        <f>IFERROR(__xludf.DUMMYFUNCTION("""COMPUTED_VALUE"""),45596.0)</f>
        <v>45596</v>
      </c>
      <c r="F158" s="1" t="str">
        <f>IFERROR(__xludf.DUMMYFUNCTION("""COMPUTED_VALUE"""),"ANA CAMILA ")</f>
        <v>ANA CAMILA </v>
      </c>
      <c r="G158" s="1" t="str">
        <f>IFERROR(__xludf.DUMMYFUNCTION("""COMPUTED_VALUE"""),"SAENZ LEZAMETA")</f>
        <v>SAENZ LEZAMETA</v>
      </c>
      <c r="H158" s="1" t="str">
        <f>IFERROR(__xludf.DUMMYFUNCTION("""COMPUTED_VALUE"""),"Comunicación Audiovisual y Cine")</f>
        <v>Comunicación Audiovisual y Cine</v>
      </c>
      <c r="I158" s="1" t="str">
        <f>IFERROR(__xludf.DUMMYFUNCTION("""COMPUTED_VALUE"""),"CARGO")</f>
        <v>CARGO</v>
      </c>
      <c r="J158" s="1" t="str">
        <f>IFERROR(__xludf.DUMMYFUNCTION("""COMPUTED_VALUE"""),"Diurno")</f>
        <v>Diurno</v>
      </c>
      <c r="K158" s="1" t="str">
        <f>IFERROR(__xludf.DUMMYFUNCTION("""COMPUTED_VALUE"""),"NUEVO")</f>
        <v>NUEVO</v>
      </c>
      <c r="L158" s="1">
        <f>IFERROR(__xludf.DUMMYFUNCTION("""COMPUTED_VALUE"""),0.0)</f>
        <v>0</v>
      </c>
      <c r="M158" s="1">
        <f>IFERROR(__xludf.DUMMYFUNCTION("""COMPUTED_VALUE"""),0.0)</f>
        <v>0</v>
      </c>
      <c r="N158" s="1" t="str">
        <f>IFERROR(__xludf.DUMMYFUNCTION("""COMPUTED_VALUE"""),"BECA")</f>
        <v>BECA</v>
      </c>
      <c r="O158" s="1" t="str">
        <f>IFERROR(__xludf.DUMMYFUNCTION("""COMPUTED_VALUE"""),"BECA CADENA COLEGIOS")</f>
        <v>BECA CADENA COLEGIOS</v>
      </c>
      <c r="P158" s="4">
        <f>IFERROR(__xludf.DUMMYFUNCTION("""COMPUTED_VALUE"""),0.0)</f>
        <v>0</v>
      </c>
      <c r="Q158" s="4">
        <f>IFERROR(__xludf.DUMMYFUNCTION("""COMPUTED_VALUE"""),0.0)</f>
        <v>0</v>
      </c>
      <c r="R158" s="4">
        <f>IFERROR(__xludf.DUMMYFUNCTION("""COMPUTED_VALUE"""),1600.0)</f>
        <v>1600</v>
      </c>
      <c r="S158" s="4">
        <f>IFERROR(__xludf.DUMMYFUNCTION("""COMPUTED_VALUE"""),1200.0)</f>
        <v>1200</v>
      </c>
      <c r="T158" s="1" t="str">
        <f>IFERROR(__xludf.DUMMYFUNCTION("""COMPUTED_VALUE"""),"NINGUNO")</f>
        <v>NINGUNO</v>
      </c>
      <c r="U158" s="1" t="str">
        <f>IFERROR(__xludf.DUMMYFUNCTION("""COMPUTED_VALUE"""),"FABIOLA")</f>
        <v>FABIOLA</v>
      </c>
      <c r="V158" s="1" t="str">
        <f>IFERROR(__xludf.DUMMYFUNCTION("""COMPUTED_VALUE"""),"Ninguno")</f>
        <v>Ninguno</v>
      </c>
      <c r="W158" s="1" t="str">
        <f>IFERROR(__xludf.DUMMYFUNCTION("""COMPUTED_VALUE"""),"Equipos e instalaciones")</f>
        <v>Equipos e instalaciones</v>
      </c>
      <c r="X158" s="1" t="str">
        <f>IFERROR(__xludf.DUMMYFUNCTION("""COMPUTED_VALUE"""),"-")</f>
        <v>-</v>
      </c>
      <c r="Y158" s="1" t="str">
        <f>IFERROR(__xludf.DUMMYFUNCTION("""COMPUTED_VALUE"""),"PAGO COMPLETO")</f>
        <v>PAGO COMPLETO</v>
      </c>
      <c r="Z158" s="1">
        <f>IFERROR(__xludf.DUMMYFUNCTION("""COMPUTED_VALUE"""),0.0)</f>
        <v>0</v>
      </c>
      <c r="AA158" s="1" t="str">
        <f>IFERROR(__xludf.DUMMYFUNCTION("""COMPUTED_VALUE"""),"-")</f>
        <v>-</v>
      </c>
      <c r="AB158" s="1">
        <f>IFERROR(__xludf.DUMMYFUNCTION("""COMPUTED_VALUE"""),0.0)</f>
        <v>0</v>
      </c>
      <c r="AC158" s="1">
        <f>IFERROR(__xludf.DUMMYFUNCTION("""COMPUTED_VALUE"""),0.0)</f>
        <v>0</v>
      </c>
      <c r="AD158" s="1" t="str">
        <f>IFERROR(__xludf.DUMMYFUNCTION("""COMPUTED_VALUE"""),"Fiorella Lanegra")</f>
        <v>Fiorella Lanegra</v>
      </c>
      <c r="AE158" s="1" t="str">
        <f>IFERROR(__xludf.DUMMYFUNCTION("""COMPUTED_VALUE"""),"0")</f>
        <v>0</v>
      </c>
      <c r="AF158" s="1">
        <f>IFERROR(__xludf.DUMMYFUNCTION("""COMPUTED_VALUE"""),2024.0)</f>
        <v>2024</v>
      </c>
      <c r="AG158" s="1">
        <f>IFERROR(__xludf.DUMMYFUNCTION("""COMPUTED_VALUE"""),1040435.0)</f>
        <v>1040435</v>
      </c>
      <c r="AH158" s="1">
        <f>IFERROR(__xludf.DUMMYFUNCTION("""COMPUTED_VALUE"""),17.0)</f>
        <v>17</v>
      </c>
      <c r="AI158" s="1" t="str">
        <f>IFERROR(__xludf.DUMMYFUNCTION("""COMPUTED_VALUE"""),"0000399391")</f>
        <v>0000399391</v>
      </c>
      <c r="AJ158" s="1">
        <f>IFERROR(__xludf.DUMMYFUNCTION("""COMPUTED_VALUE"""),7.0732278E7)</f>
        <v>70732278</v>
      </c>
      <c r="AK158" s="1">
        <f>IFERROR(__xludf.DUMMYFUNCTION("""COMPUTED_VALUE"""),9.8191097E8)</f>
        <v>981910970</v>
      </c>
      <c r="AL158" s="1" t="str">
        <f>IFERROR(__xludf.DUMMYFUNCTION("""COMPUTED_VALUE"""),"analezameta33camila@gmail.com")</f>
        <v>analezameta33camila@gmail.com</v>
      </c>
      <c r="AM158" s="1" t="str">
        <f>IFERROR(__xludf.DUMMYFUNCTION("""COMPUTED_VALUE"""),"FEMENINO")</f>
        <v>FEMENINO</v>
      </c>
      <c r="AN158" s="1">
        <f>IFERROR(__xludf.DUMMYFUNCTION("""COMPUTED_VALUE"""),1850.0)</f>
        <v>1850</v>
      </c>
      <c r="AO158" s="1">
        <f>IFERROR(__xludf.DUMMYFUNCTION("""COMPUTED_VALUE"""),635.0)</f>
        <v>635</v>
      </c>
      <c r="AP158" s="1" t="str">
        <f>IFERROR(__xludf.DUMMYFUNCTION("""COMPUTED_VALUE"""),"COLEGIOS")</f>
        <v>COLEGIOS</v>
      </c>
      <c r="AQ158" s="1" t="str">
        <f>IFERROR(__xludf.DUMMYFUNCTION("""COMPUTED_VALUE"""),"COLEGIOS")</f>
        <v>COLEGIOS</v>
      </c>
      <c r="AR158" s="1" t="str">
        <f>IFERROR(__xludf.DUMMYFUNCTION("""COMPUTED_VALUE"""),"NUEVO")</f>
        <v>NUEVO</v>
      </c>
      <c r="AS158" s="1"/>
      <c r="AT158" s="2">
        <f>IFERROR(__xludf.DUMMYFUNCTION("""COMPUTED_VALUE"""),45593.0)</f>
        <v>45593</v>
      </c>
      <c r="AU158" s="1">
        <f>IFERROR(__xludf.DUMMYFUNCTION("""COMPUTED_VALUE"""),1.0)</f>
        <v>1</v>
      </c>
      <c r="AV158" s="1" t="str">
        <f>IFERROR(__xludf.DUMMYFUNCTION("""COMPUTED_VALUE"""),"NUEVO")</f>
        <v>NUEVO</v>
      </c>
      <c r="AW158" s="1" t="str">
        <f>IFERROR(__xludf.DUMMYFUNCTION("""COMPUTED_VALUE"""),"SI")</f>
        <v>SI</v>
      </c>
      <c r="AX158" s="1"/>
      <c r="AY158" s="1" t="str">
        <f>IFERROR(__xludf.DUMMYFUNCTION("""COMPUTED_VALUE"""),"PAGO COMPLETO")</f>
        <v>PAGO COMPLETO</v>
      </c>
      <c r="AZ158" s="5">
        <f>IFERROR(__xludf.DUMMYFUNCTION("""COMPUTED_VALUE"""),45596.0)</f>
        <v>45596</v>
      </c>
      <c r="BA158" s="1">
        <f>IFERROR(__xludf.DUMMYFUNCTION("""COMPUTED_VALUE"""),0.0)</f>
        <v>0</v>
      </c>
      <c r="BB158" s="1">
        <f>IFERROR(__xludf.DUMMYFUNCTION("""COMPUTED_VALUE"""),0.0)</f>
        <v>0</v>
      </c>
      <c r="BC158" s="4">
        <f>IFERROR(__xludf.DUMMYFUNCTION("""COMPUTED_VALUE"""),0.0)</f>
        <v>0</v>
      </c>
      <c r="BD158" s="4">
        <f>IFERROR(__xludf.DUMMYFUNCTION("""COMPUTED_VALUE"""),0.0)</f>
        <v>0</v>
      </c>
      <c r="BE158" s="1">
        <f>IFERROR(__xludf.DUMMYFUNCTION("""COMPUTED_VALUE"""),10.0)</f>
        <v>10</v>
      </c>
      <c r="BF158" s="6">
        <f>IFERROR(__xludf.DUMMYFUNCTION("""COMPUTED_VALUE"""),1.0)</f>
        <v>1</v>
      </c>
      <c r="BG158" s="1">
        <f>IFERROR(__xludf.DUMMYFUNCTION("""COMPUTED_VALUE"""),1.0)</f>
        <v>1</v>
      </c>
      <c r="BH158" s="1" t="str">
        <f>IFERROR(__xludf.DUMMYFUNCTION("""COMPUTED_VALUE"""),"0")</f>
        <v>0</v>
      </c>
      <c r="BI158" s="4">
        <f>IFERROR(__xludf.DUMMYFUNCTION("""COMPUTED_VALUE"""),0.0)</f>
        <v>0</v>
      </c>
      <c r="BJ158" s="1">
        <f>IFERROR(__xludf.DUMMYFUNCTION("""COMPUTED_VALUE"""),0.0)</f>
        <v>0</v>
      </c>
      <c r="BK158" s="4">
        <f>IFERROR(__xludf.DUMMYFUNCTION("""COMPUTED_VALUE"""),0.0)</f>
        <v>0</v>
      </c>
      <c r="BL158" s="1">
        <f>IFERROR(__xludf.DUMMYFUNCTION("""COMPUTED_VALUE"""),1200.0)</f>
        <v>1200</v>
      </c>
      <c r="BM158" s="1">
        <f>IFERROR(__xludf.DUMMYFUNCTION("""COMPUTED_VALUE"""),44.0)</f>
        <v>44</v>
      </c>
      <c r="BN158" s="2">
        <f>IFERROR(__xludf.DUMMYFUNCTION("""COMPUTED_VALUE"""),45593.0)</f>
        <v>45593</v>
      </c>
      <c r="BO158" s="1">
        <f>IFERROR(__xludf.DUMMYFUNCTION("""COMPUTED_VALUE"""),10.0)</f>
        <v>10</v>
      </c>
      <c r="BP158" s="1">
        <f>IFERROR(__xludf.DUMMYFUNCTION("""COMPUTED_VALUE"""),2024.0)</f>
        <v>2024</v>
      </c>
    </row>
    <row r="159">
      <c r="A159" s="1">
        <f>IFERROR(__xludf.DUMMYFUNCTION("""COMPUTED_VALUE"""),158.0)</f>
        <v>158</v>
      </c>
      <c r="B159" s="1">
        <f>IFERROR(__xludf.DUMMYFUNCTION("""COMPUTED_VALUE"""),3251235.0)</f>
        <v>3251235</v>
      </c>
      <c r="C159" s="1" t="str">
        <f>IFERROR(__xludf.DUMMYFUNCTION("""COMPUTED_VALUE"""),"2025-1")</f>
        <v>2025-1</v>
      </c>
      <c r="D159" s="1" t="str">
        <f>IFERROR(__xludf.DUMMYFUNCTION("""COMPUTED_VALUE"""),"Admisión Ordinaria")</f>
        <v>Admisión Ordinaria</v>
      </c>
      <c r="E159" s="2">
        <f>IFERROR(__xludf.DUMMYFUNCTION("""COMPUTED_VALUE"""),45596.0)</f>
        <v>45596</v>
      </c>
      <c r="F159" s="1" t="str">
        <f>IFERROR(__xludf.DUMMYFUNCTION("""COMPUTED_VALUE"""),"JAVIER TOMAS ")</f>
        <v>JAVIER TOMAS </v>
      </c>
      <c r="G159" s="1" t="str">
        <f>IFERROR(__xludf.DUMMYFUNCTION("""COMPUTED_VALUE"""),"SINTI MARIN")</f>
        <v>SINTI MARIN</v>
      </c>
      <c r="H159" s="1" t="str">
        <f>IFERROR(__xludf.DUMMYFUNCTION("""COMPUTED_VALUE"""),"Comunicación Audiovisual y Cine")</f>
        <v>Comunicación Audiovisual y Cine</v>
      </c>
      <c r="I159" s="1" t="str">
        <f>IFERROR(__xludf.DUMMYFUNCTION("""COMPUTED_VALUE"""),"POS")</f>
        <v>POS</v>
      </c>
      <c r="J159" s="1" t="str">
        <f>IFERROR(__xludf.DUMMYFUNCTION("""COMPUTED_VALUE"""),"Diurno")</f>
        <v>Diurno</v>
      </c>
      <c r="K159" s="1" t="str">
        <f>IFERROR(__xludf.DUMMYFUNCTION("""COMPUTED_VALUE"""),"NUEVO")</f>
        <v>NUEVO</v>
      </c>
      <c r="L159" s="1">
        <f>IFERROR(__xludf.DUMMYFUNCTION("""COMPUTED_VALUE"""),0.0)</f>
        <v>0</v>
      </c>
      <c r="M159" s="1">
        <f>IFERROR(__xludf.DUMMYFUNCTION("""COMPUTED_VALUE"""),0.0)</f>
        <v>0</v>
      </c>
      <c r="N159" s="1" t="str">
        <f>IFERROR(__xludf.DUMMYFUNCTION("""COMPUTED_VALUE"""),"BECA")</f>
        <v>BECA</v>
      </c>
      <c r="O159" s="1" t="str">
        <f>IFERROR(__xludf.DUMMYFUNCTION("""COMPUTED_VALUE"""),"BECA CARRERAS CORE")</f>
        <v>BECA CARRERAS CORE</v>
      </c>
      <c r="P159" s="4">
        <f>IFERROR(__xludf.DUMMYFUNCTION("""COMPUTED_VALUE"""),0.0)</f>
        <v>0</v>
      </c>
      <c r="Q159" s="4">
        <f>IFERROR(__xludf.DUMMYFUNCTION("""COMPUTED_VALUE"""),0.0)</f>
        <v>0</v>
      </c>
      <c r="R159" s="4">
        <f>IFERROR(__xludf.DUMMYFUNCTION("""COMPUTED_VALUE"""),1150.0)</f>
        <v>1150</v>
      </c>
      <c r="S159" s="4">
        <f>IFERROR(__xludf.DUMMYFUNCTION("""COMPUTED_VALUE"""),1000.0)</f>
        <v>1000</v>
      </c>
      <c r="T159" s="1" t="str">
        <f>IFERROR(__xludf.DUMMYFUNCTION("""COMPUTED_VALUE"""),"NINGUNO")</f>
        <v>NINGUNO</v>
      </c>
      <c r="U159" s="1" t="str">
        <f>IFERROR(__xludf.DUMMYFUNCTION("""COMPUTED_VALUE"""),"FABIOLA")</f>
        <v>FABIOLA</v>
      </c>
      <c r="V159" s="1" t="str">
        <f>IFERROR(__xludf.DUMMYFUNCTION("""COMPUTED_VALUE"""),"-")</f>
        <v>-</v>
      </c>
      <c r="W159" s="1" t="str">
        <f>IFERROR(__xludf.DUMMYFUNCTION("""COMPUTED_VALUE"""),"Malla curricular")</f>
        <v>Malla curricular</v>
      </c>
      <c r="X159" s="1" t="str">
        <f>IFERROR(__xludf.DUMMYFUNCTION("""COMPUTED_VALUE"""),"-")</f>
        <v>-</v>
      </c>
      <c r="Y159" s="1" t="str">
        <f>IFERROR(__xludf.DUMMYFUNCTION("""COMPUTED_VALUE"""),"PAGO FRACCIONADO")</f>
        <v>PAGO FRACCIONADO</v>
      </c>
      <c r="Z159" s="1">
        <f>IFERROR(__xludf.DUMMYFUNCTION("""COMPUTED_VALUE"""),550.0)</f>
        <v>550</v>
      </c>
      <c r="AA159" s="1" t="str">
        <f>IFERROR(__xludf.DUMMYFUNCTION("""COMPUTED_VALUE"""),"2/11/2024")</f>
        <v>2/11/2024</v>
      </c>
      <c r="AB159" s="1">
        <f>IFERROR(__xludf.DUMMYFUNCTION("""COMPUTED_VALUE"""),1.0)</f>
        <v>1</v>
      </c>
      <c r="AC159" s="1">
        <f>IFERROR(__xludf.DUMMYFUNCTION("""COMPUTED_VALUE"""),0.0)</f>
        <v>0</v>
      </c>
      <c r="AD159" s="1" t="str">
        <f>IFERROR(__xludf.DUMMYFUNCTION("""COMPUTED_VALUE"""),"Stefano Napuri")</f>
        <v>Stefano Napuri</v>
      </c>
      <c r="AE159" s="1" t="str">
        <f>IFERROR(__xludf.DUMMYFUNCTION("""COMPUTED_VALUE"""),"0")</f>
        <v>0</v>
      </c>
      <c r="AF159" s="1">
        <f>IFERROR(__xludf.DUMMYFUNCTION("""COMPUTED_VALUE"""),2020.0)</f>
        <v>2020</v>
      </c>
      <c r="AG159" s="1">
        <f>IFERROR(__xludf.DUMMYFUNCTION("""COMPUTED_VALUE"""),1390798.0)</f>
        <v>1390798</v>
      </c>
      <c r="AH159" s="1">
        <f>IFERROR(__xludf.DUMMYFUNCTION("""COMPUTED_VALUE"""),31.0)</f>
        <v>31</v>
      </c>
      <c r="AI159" s="1" t="str">
        <f>IFERROR(__xludf.DUMMYFUNCTION("""COMPUTED_VALUE"""),"0000379672")</f>
        <v>0000379672</v>
      </c>
      <c r="AJ159" s="1">
        <f>IFERROR(__xludf.DUMMYFUNCTION("""COMPUTED_VALUE"""),4.804919E7)</f>
        <v>48049190</v>
      </c>
      <c r="AK159" s="1">
        <f>IFERROR(__xludf.DUMMYFUNCTION("""COMPUTED_VALUE"""),9.44395409E8)</f>
        <v>944395409</v>
      </c>
      <c r="AL159" s="1" t="str">
        <f>IFERROR(__xludf.DUMMYFUNCTION("""COMPUTED_VALUE"""),"javiersinti751@gmail.com")</f>
        <v>javiersinti751@gmail.com</v>
      </c>
      <c r="AM159" s="1" t="str">
        <f>IFERROR(__xludf.DUMMYFUNCTION("""COMPUTED_VALUE"""),"MASCULINO")</f>
        <v>MASCULINO</v>
      </c>
      <c r="AN159" s="1">
        <f>IFERROR(__xludf.DUMMYFUNCTION("""COMPUTED_VALUE"""),1350.0)</f>
        <v>1350</v>
      </c>
      <c r="AO159" s="1">
        <f>IFERROR(__xludf.DUMMYFUNCTION("""COMPUTED_VALUE"""),0.0)</f>
        <v>0</v>
      </c>
      <c r="AP159" s="1" t="str">
        <f>IFERROR(__xludf.DUMMYFUNCTION("""COMPUTED_VALUE"""),"BIDIRECCIONAL")</f>
        <v>BIDIRECCIONAL</v>
      </c>
      <c r="AQ159" s="1" t="str">
        <f>IFERROR(__xludf.DUMMYFUNCTION("""COMPUTED_VALUE"""),"ORGANICO")</f>
        <v>ORGANICO</v>
      </c>
      <c r="AR159" s="1" t="str">
        <f>IFERROR(__xludf.DUMMYFUNCTION("""COMPUTED_VALUE"""),"NUEVO")</f>
        <v>NUEVO</v>
      </c>
      <c r="AS159" s="1"/>
      <c r="AT159" s="2">
        <f>IFERROR(__xludf.DUMMYFUNCTION("""COMPUTED_VALUE"""),45592.0)</f>
        <v>45592</v>
      </c>
      <c r="AU159" s="1">
        <f>IFERROR(__xludf.DUMMYFUNCTION("""COMPUTED_VALUE"""),1.0)</f>
        <v>1</v>
      </c>
      <c r="AV159" s="1" t="str">
        <f>IFERROR(__xludf.DUMMYFUNCTION("""COMPUTED_VALUE"""),"NUEVO")</f>
        <v>NUEVO</v>
      </c>
      <c r="AW159" s="1" t="str">
        <f>IFERROR(__xludf.DUMMYFUNCTION("""COMPUTED_VALUE"""),"SI")</f>
        <v>SI</v>
      </c>
      <c r="AX159" s="1"/>
      <c r="AY159" s="1" t="str">
        <f>IFERROR(__xludf.DUMMYFUNCTION("""COMPUTED_VALUE"""),"PAGO COMPLETO")</f>
        <v>PAGO COMPLETO</v>
      </c>
      <c r="AZ159" s="5">
        <f>IFERROR(__xludf.DUMMYFUNCTION("""COMPUTED_VALUE"""),45598.0)</f>
        <v>45598</v>
      </c>
      <c r="BA159" s="1">
        <f>IFERROR(__xludf.DUMMYFUNCTION("""COMPUTED_VALUE"""),450.0)</f>
        <v>450</v>
      </c>
      <c r="BB159" s="1">
        <f>IFERROR(__xludf.DUMMYFUNCTION("""COMPUTED_VALUE"""),0.0)</f>
        <v>0</v>
      </c>
      <c r="BC159" s="4">
        <f>IFERROR(__xludf.DUMMYFUNCTION("""COMPUTED_VALUE"""),0.0)</f>
        <v>0</v>
      </c>
      <c r="BD159" s="4">
        <f>IFERROR(__xludf.DUMMYFUNCTION("""COMPUTED_VALUE"""),0.0)</f>
        <v>0</v>
      </c>
      <c r="BE159" s="1">
        <f>IFERROR(__xludf.DUMMYFUNCTION("""COMPUTED_VALUE"""),10.0)</f>
        <v>10</v>
      </c>
      <c r="BF159" s="6">
        <f>IFERROR(__xludf.DUMMYFUNCTION("""COMPUTED_VALUE"""),1.0)</f>
        <v>1</v>
      </c>
      <c r="BG159" s="1">
        <f>IFERROR(__xludf.DUMMYFUNCTION("""COMPUTED_VALUE"""),1.0)</f>
        <v>1</v>
      </c>
      <c r="BH159" s="1" t="str">
        <f>IFERROR(__xludf.DUMMYFUNCTION("""COMPUTED_VALUE"""),"0")</f>
        <v>0</v>
      </c>
      <c r="BI159" s="4">
        <f>IFERROR(__xludf.DUMMYFUNCTION("""COMPUTED_VALUE"""),1000.0)</f>
        <v>1000</v>
      </c>
      <c r="BJ159" s="1">
        <f>IFERROR(__xludf.DUMMYFUNCTION("""COMPUTED_VALUE"""),0.0)</f>
        <v>0</v>
      </c>
      <c r="BK159" s="4">
        <f>IFERROR(__xludf.DUMMYFUNCTION("""COMPUTED_VALUE"""),0.0)</f>
        <v>0</v>
      </c>
      <c r="BL159" s="1">
        <f>IFERROR(__xludf.DUMMYFUNCTION("""COMPUTED_VALUE"""),1000.0)</f>
        <v>1000</v>
      </c>
      <c r="BM159" s="1">
        <f>IFERROR(__xludf.DUMMYFUNCTION("""COMPUTED_VALUE"""),44.0)</f>
        <v>44</v>
      </c>
      <c r="BN159" s="2">
        <f>IFERROR(__xludf.DUMMYFUNCTION("""COMPUTED_VALUE"""),45593.0)</f>
        <v>45593</v>
      </c>
      <c r="BO159" s="1">
        <f>IFERROR(__xludf.DUMMYFUNCTION("""COMPUTED_VALUE"""),10.0)</f>
        <v>10</v>
      </c>
      <c r="BP159" s="1">
        <f>IFERROR(__xludf.DUMMYFUNCTION("""COMPUTED_VALUE"""),2024.0)</f>
        <v>2024</v>
      </c>
    </row>
    <row r="160">
      <c r="A160" s="1">
        <f>IFERROR(__xludf.DUMMYFUNCTION("""COMPUTED_VALUE"""),159.0)</f>
        <v>159</v>
      </c>
      <c r="B160" s="1">
        <f>IFERROR(__xludf.DUMMYFUNCTION("""COMPUTED_VALUE"""),3102809.0)</f>
        <v>3102809</v>
      </c>
      <c r="C160" s="1" t="str">
        <f>IFERROR(__xludf.DUMMYFUNCTION("""COMPUTED_VALUE"""),"2025-1")</f>
        <v>2025-1</v>
      </c>
      <c r="D160" s="1" t="str">
        <f>IFERROR(__xludf.DUMMYFUNCTION("""COMPUTED_VALUE"""),"Admisión de Alto Rendimiento")</f>
        <v>Admisión de Alto Rendimiento</v>
      </c>
      <c r="E160" s="2">
        <f>IFERROR(__xludf.DUMMYFUNCTION("""COMPUTED_VALUE"""),45596.0)</f>
        <v>45596</v>
      </c>
      <c r="F160" s="1" t="str">
        <f>IFERROR(__xludf.DUMMYFUNCTION("""COMPUTED_VALUE"""),"ALMENDRA")</f>
        <v>ALMENDRA</v>
      </c>
      <c r="G160" s="1" t="str">
        <f>IFERROR(__xludf.DUMMYFUNCTION("""COMPUTED_VALUE"""),"MIRANDA VERA")</f>
        <v>MIRANDA VERA</v>
      </c>
      <c r="H160" s="1" t="str">
        <f>IFERROR(__xludf.DUMMYFUNCTION("""COMPUTED_VALUE"""),"Diseño Gráfico Publicitario")</f>
        <v>Diseño Gráfico Publicitario</v>
      </c>
      <c r="I160" s="1" t="str">
        <f>IFERROR(__xludf.DUMMYFUNCTION("""COMPUTED_VALUE"""),"Pago Link")</f>
        <v>Pago Link</v>
      </c>
      <c r="J160" s="1" t="str">
        <f>IFERROR(__xludf.DUMMYFUNCTION("""COMPUTED_VALUE"""),"Diurno")</f>
        <v>Diurno</v>
      </c>
      <c r="K160" s="1" t="str">
        <f>IFERROR(__xludf.DUMMYFUNCTION("""COMPUTED_VALUE"""),"NUEVO")</f>
        <v>NUEVO</v>
      </c>
      <c r="L160" s="1">
        <f>IFERROR(__xludf.DUMMYFUNCTION("""COMPUTED_VALUE"""),0.0)</f>
        <v>0</v>
      </c>
      <c r="M160" s="1">
        <f>IFERROR(__xludf.DUMMYFUNCTION("""COMPUTED_VALUE"""),0.0)</f>
        <v>0</v>
      </c>
      <c r="N160" s="1" t="str">
        <f>IFERROR(__xludf.DUMMYFUNCTION("""COMPUTED_VALUE"""),"BECA")</f>
        <v>BECA</v>
      </c>
      <c r="O160" s="1" t="str">
        <f>IFERROR(__xludf.DUMMYFUNCTION("""COMPUTED_VALUE"""),"BECA CARRERAS CORE")</f>
        <v>BECA CARRERAS CORE</v>
      </c>
      <c r="P160" s="4">
        <f>IFERROR(__xludf.DUMMYFUNCTION("""COMPUTED_VALUE"""),0.0)</f>
        <v>0</v>
      </c>
      <c r="Q160" s="4">
        <f>IFERROR(__xludf.DUMMYFUNCTION("""COMPUTED_VALUE"""),0.0)</f>
        <v>0</v>
      </c>
      <c r="R160" s="4">
        <f>IFERROR(__xludf.DUMMYFUNCTION("""COMPUTED_VALUE"""),1600.0)</f>
        <v>1600</v>
      </c>
      <c r="S160" s="4">
        <f>IFERROR(__xludf.DUMMYFUNCTION("""COMPUTED_VALUE"""),1280.0)</f>
        <v>1280</v>
      </c>
      <c r="T160" s="1" t="str">
        <f>IFERROR(__xludf.DUMMYFUNCTION("""COMPUTED_VALUE"""),"NINGUNO")</f>
        <v>NINGUNO</v>
      </c>
      <c r="U160" s="1" t="str">
        <f>IFERROR(__xludf.DUMMYFUNCTION("""COMPUTED_VALUE"""),"FABIOLA")</f>
        <v>FABIOLA</v>
      </c>
      <c r="V160" s="1" t="str">
        <f>IFERROR(__xludf.DUMMYFUNCTION("""COMPUTED_VALUE"""),"Ninguno")</f>
        <v>Ninguno</v>
      </c>
      <c r="W160" s="1" t="str">
        <f>IFERROR(__xludf.DUMMYFUNCTION("""COMPUTED_VALUE"""),"Metodología de enseñanza")</f>
        <v>Metodología de enseñanza</v>
      </c>
      <c r="X160" s="1" t="str">
        <f>IFERROR(__xludf.DUMMYFUNCTION("""COMPUTED_VALUE"""),"-")</f>
        <v>-</v>
      </c>
      <c r="Y160" s="1" t="str">
        <f>IFERROR(__xludf.DUMMYFUNCTION("""COMPUTED_VALUE"""),"PAGO FRACCIONADO")</f>
        <v>PAGO FRACCIONADO</v>
      </c>
      <c r="Z160" s="1">
        <f>IFERROR(__xludf.DUMMYFUNCTION("""COMPUTED_VALUE"""),640.0)</f>
        <v>640</v>
      </c>
      <c r="AA160" s="1" t="str">
        <f>IFERROR(__xludf.DUMMYFUNCTION("""COMPUTED_VALUE"""),"28/11/2024")</f>
        <v>28/11/2024</v>
      </c>
      <c r="AB160" s="1">
        <f>IFERROR(__xludf.DUMMYFUNCTION("""COMPUTED_VALUE"""),0.0)</f>
        <v>0</v>
      </c>
      <c r="AC160" s="1">
        <f>IFERROR(__xludf.DUMMYFUNCTION("""COMPUTED_VALUE"""),0.0)</f>
        <v>0</v>
      </c>
      <c r="AD160" s="1" t="str">
        <f>IFERROR(__xludf.DUMMYFUNCTION("""COMPUTED_VALUE"""),"Ingrid Guillermo Rivera")</f>
        <v>Ingrid Guillermo Rivera</v>
      </c>
      <c r="AE160" s="1" t="str">
        <f>IFERROR(__xludf.DUMMYFUNCTION("""COMPUTED_VALUE"""),"0")</f>
        <v>0</v>
      </c>
      <c r="AF160" s="1">
        <f>IFERROR(__xludf.DUMMYFUNCTION("""COMPUTED_VALUE"""),2024.0)</f>
        <v>2024</v>
      </c>
      <c r="AG160" s="1">
        <f>IFERROR(__xludf.DUMMYFUNCTION("""COMPUTED_VALUE"""),1041730.0)</f>
        <v>1041730</v>
      </c>
      <c r="AH160" s="1">
        <f>IFERROR(__xludf.DUMMYFUNCTION("""COMPUTED_VALUE"""),17.0)</f>
        <v>17</v>
      </c>
      <c r="AI160" s="1" t="str">
        <f>IFERROR(__xludf.DUMMYFUNCTION("""COMPUTED_VALUE"""),"0000399483")</f>
        <v>0000399483</v>
      </c>
      <c r="AJ160" s="1">
        <f>IFERROR(__xludf.DUMMYFUNCTION("""COMPUTED_VALUE"""),7.1144123E7)</f>
        <v>71144123</v>
      </c>
      <c r="AK160" s="1">
        <f>IFERROR(__xludf.DUMMYFUNCTION("""COMPUTED_VALUE"""),9.23526988E8)</f>
        <v>923526988</v>
      </c>
      <c r="AL160" s="1" t="str">
        <f>IFERROR(__xludf.DUMMYFUNCTION("""COMPUTED_VALUE"""),"Nairvera@hotmail.com")</f>
        <v>Nairvera@hotmail.com</v>
      </c>
      <c r="AM160" s="1" t="str">
        <f>IFERROR(__xludf.DUMMYFUNCTION("""COMPUTED_VALUE"""),"FEMENINO")</f>
        <v>FEMENINO</v>
      </c>
      <c r="AN160" s="1">
        <f>IFERROR(__xludf.DUMMYFUNCTION("""COMPUTED_VALUE"""),1600.0)</f>
        <v>1600</v>
      </c>
      <c r="AO160" s="1">
        <f>IFERROR(__xludf.DUMMYFUNCTION("""COMPUTED_VALUE"""),1960.0)</f>
        <v>1960</v>
      </c>
      <c r="AP160" s="1" t="str">
        <f>IFERROR(__xludf.DUMMYFUNCTION("""COMPUTED_VALUE"""),"COLEGIOS")</f>
        <v>COLEGIOS</v>
      </c>
      <c r="AQ160" s="1" t="str">
        <f>IFERROR(__xludf.DUMMYFUNCTION("""COMPUTED_VALUE"""),"COLEGIOS")</f>
        <v>COLEGIOS</v>
      </c>
      <c r="AR160" s="1" t="str">
        <f>IFERROR(__xludf.DUMMYFUNCTION("""COMPUTED_VALUE"""),"NUEVO")</f>
        <v>NUEVO</v>
      </c>
      <c r="AS160" s="1"/>
      <c r="AT160" s="2">
        <f>IFERROR(__xludf.DUMMYFUNCTION("""COMPUTED_VALUE"""),45411.0)</f>
        <v>45411</v>
      </c>
      <c r="AU160" s="1">
        <f>IFERROR(__xludf.DUMMYFUNCTION("""COMPUTED_VALUE"""),1.0)</f>
        <v>1</v>
      </c>
      <c r="AV160" s="1" t="str">
        <f>IFERROR(__xludf.DUMMYFUNCTION("""COMPUTED_VALUE"""),"NUEVO")</f>
        <v>NUEVO</v>
      </c>
      <c r="AW160" s="1" t="str">
        <f>IFERROR(__xludf.DUMMYFUNCTION("""COMPUTED_VALUE"""),"SI")</f>
        <v>SI</v>
      </c>
      <c r="AX160" s="1"/>
      <c r="AY160" s="1" t="str">
        <f>IFERROR(__xludf.DUMMYFUNCTION("""COMPUTED_VALUE"""),"PAGO COMPLETO")</f>
        <v>PAGO COMPLETO</v>
      </c>
      <c r="AZ160" s="5">
        <f>IFERROR(__xludf.DUMMYFUNCTION("""COMPUTED_VALUE"""),45626.0)</f>
        <v>45626</v>
      </c>
      <c r="BA160" s="1">
        <f>IFERROR(__xludf.DUMMYFUNCTION("""COMPUTED_VALUE"""),640.0)</f>
        <v>640</v>
      </c>
      <c r="BB160" s="1">
        <f>IFERROR(__xludf.DUMMYFUNCTION("""COMPUTED_VALUE"""),0.0)</f>
        <v>0</v>
      </c>
      <c r="BC160" s="4">
        <f>IFERROR(__xludf.DUMMYFUNCTION("""COMPUTED_VALUE"""),0.0)</f>
        <v>0</v>
      </c>
      <c r="BD160" s="4">
        <f>IFERROR(__xludf.DUMMYFUNCTION("""COMPUTED_VALUE"""),0.0)</f>
        <v>0</v>
      </c>
      <c r="BE160" s="1">
        <f>IFERROR(__xludf.DUMMYFUNCTION("""COMPUTED_VALUE"""),10.0)</f>
        <v>10</v>
      </c>
      <c r="BF160" s="6">
        <f>IFERROR(__xludf.DUMMYFUNCTION("""COMPUTED_VALUE"""),1.0)</f>
        <v>1</v>
      </c>
      <c r="BG160" s="1">
        <f>IFERROR(__xludf.DUMMYFUNCTION("""COMPUTED_VALUE"""),1.0)</f>
        <v>1</v>
      </c>
      <c r="BH160" s="1" t="str">
        <f>IFERROR(__xludf.DUMMYFUNCTION("""COMPUTED_VALUE"""),"0")</f>
        <v>0</v>
      </c>
      <c r="BI160" s="4">
        <f>IFERROR(__xludf.DUMMYFUNCTION("""COMPUTED_VALUE"""),1280.0)</f>
        <v>1280</v>
      </c>
      <c r="BJ160" s="1">
        <f>IFERROR(__xludf.DUMMYFUNCTION("""COMPUTED_VALUE"""),0.0)</f>
        <v>0</v>
      </c>
      <c r="BK160" s="4">
        <f>IFERROR(__xludf.DUMMYFUNCTION("""COMPUTED_VALUE"""),0.0)</f>
        <v>0</v>
      </c>
      <c r="BL160" s="1">
        <f>IFERROR(__xludf.DUMMYFUNCTION("""COMPUTED_VALUE"""),1280.0)</f>
        <v>1280</v>
      </c>
      <c r="BM160" s="1">
        <f>IFERROR(__xludf.DUMMYFUNCTION("""COMPUTED_VALUE"""),44.0)</f>
        <v>44</v>
      </c>
      <c r="BN160" s="2">
        <f>IFERROR(__xludf.DUMMYFUNCTION("""COMPUTED_VALUE"""),45593.0)</f>
        <v>45593</v>
      </c>
      <c r="BO160" s="1">
        <f>IFERROR(__xludf.DUMMYFUNCTION("""COMPUTED_VALUE"""),10.0)</f>
        <v>10</v>
      </c>
      <c r="BP160" s="1">
        <f>IFERROR(__xludf.DUMMYFUNCTION("""COMPUTED_VALUE"""),2024.0)</f>
        <v>2024</v>
      </c>
    </row>
    <row r="161">
      <c r="A161" s="1">
        <f>IFERROR(__xludf.DUMMYFUNCTION("""COMPUTED_VALUE"""),160.0)</f>
        <v>160</v>
      </c>
      <c r="B161" s="1">
        <f>IFERROR(__xludf.DUMMYFUNCTION("""COMPUTED_VALUE"""),3305018.0)</f>
        <v>3305018</v>
      </c>
      <c r="C161" s="1" t="str">
        <f>IFERROR(__xludf.DUMMYFUNCTION("""COMPUTED_VALUE"""),"2025-1")</f>
        <v>2025-1</v>
      </c>
      <c r="D161" s="1" t="str">
        <f>IFERROR(__xludf.DUMMYFUNCTION("""COMPUTED_VALUE"""),"Admisión de Alto Rendimiento")</f>
        <v>Admisión de Alto Rendimiento</v>
      </c>
      <c r="E161" s="2">
        <f>IFERROR(__xludf.DUMMYFUNCTION("""COMPUTED_VALUE"""),45596.0)</f>
        <v>45596</v>
      </c>
      <c r="F161" s="1" t="str">
        <f>IFERROR(__xludf.DUMMYFUNCTION("""COMPUTED_VALUE"""),"LUCIEN BJORN ")</f>
        <v>LUCIEN BJORN </v>
      </c>
      <c r="G161" s="1" t="str">
        <f>IFERROR(__xludf.DUMMYFUNCTION("""COMPUTED_VALUE"""),"GOPPERT MONTEAGUDO")</f>
        <v>GOPPERT MONTEAGUDO</v>
      </c>
      <c r="H161" s="1" t="str">
        <f>IFERROR(__xludf.DUMMYFUNCTION("""COMPUTED_VALUE"""),"Arquitectura")</f>
        <v>Arquitectura</v>
      </c>
      <c r="I161" s="1" t="str">
        <f>IFERROR(__xludf.DUMMYFUNCTION("""COMPUTED_VALUE"""),"CARGO")</f>
        <v>CARGO</v>
      </c>
      <c r="J161" s="1" t="str">
        <f>IFERROR(__xludf.DUMMYFUNCTION("""COMPUTED_VALUE"""),"Diurno")</f>
        <v>Diurno</v>
      </c>
      <c r="K161" s="1" t="str">
        <f>IFERROR(__xludf.DUMMYFUNCTION("""COMPUTED_VALUE"""),"NUEVO")</f>
        <v>NUEVO</v>
      </c>
      <c r="L161" s="1">
        <f>IFERROR(__xludf.DUMMYFUNCTION("""COMPUTED_VALUE"""),0.0)</f>
        <v>0</v>
      </c>
      <c r="M161" s="1">
        <f>IFERROR(__xludf.DUMMYFUNCTION("""COMPUTED_VALUE"""),0.0)</f>
        <v>0</v>
      </c>
      <c r="N161" s="1" t="str">
        <f>IFERROR(__xludf.DUMMYFUNCTION("""COMPUTED_VALUE"""),"BECA")</f>
        <v>BECA</v>
      </c>
      <c r="O161" s="1" t="str">
        <f>IFERROR(__xludf.DUMMYFUNCTION("""COMPUTED_VALUE"""),"BECA CARRERAS CORE")</f>
        <v>BECA CARRERAS CORE</v>
      </c>
      <c r="P161" s="4">
        <f>IFERROR(__xludf.DUMMYFUNCTION("""COMPUTED_VALUE"""),0.0)</f>
        <v>0</v>
      </c>
      <c r="Q161" s="4">
        <f>IFERROR(__xludf.DUMMYFUNCTION("""COMPUTED_VALUE"""),0.0)</f>
        <v>0</v>
      </c>
      <c r="R161" s="4">
        <f>IFERROR(__xludf.DUMMYFUNCTION("""COMPUTED_VALUE"""),1600.0)</f>
        <v>1600</v>
      </c>
      <c r="S161" s="4">
        <f>IFERROR(__xludf.DUMMYFUNCTION("""COMPUTED_VALUE"""),1280.0)</f>
        <v>1280</v>
      </c>
      <c r="T161" s="1" t="str">
        <f>IFERROR(__xludf.DUMMYFUNCTION("""COMPUTED_VALUE"""),"NINGUNO")</f>
        <v>NINGUNO</v>
      </c>
      <c r="U161" s="1" t="str">
        <f>IFERROR(__xludf.DUMMYFUNCTION("""COMPUTED_VALUE"""),"FABIOLA")</f>
        <v>FABIOLA</v>
      </c>
      <c r="V161" s="1" t="str">
        <f>IFERROR(__xludf.DUMMYFUNCTION("""COMPUTED_VALUE"""),"Ninguno")</f>
        <v>Ninguno</v>
      </c>
      <c r="W161" s="1" t="str">
        <f>IFERROR(__xludf.DUMMYFUNCTION("""COMPUTED_VALUE"""),"Convenios internacionales")</f>
        <v>Convenios internacionales</v>
      </c>
      <c r="X161" s="1" t="str">
        <f>IFERROR(__xludf.DUMMYFUNCTION("""COMPUTED_VALUE"""),"-")</f>
        <v>-</v>
      </c>
      <c r="Y161" s="1" t="str">
        <f>IFERROR(__xludf.DUMMYFUNCTION("""COMPUTED_VALUE"""),"PAGO COMPLETO")</f>
        <v>PAGO COMPLETO</v>
      </c>
      <c r="Z161" s="1">
        <f>IFERROR(__xludf.DUMMYFUNCTION("""COMPUTED_VALUE"""),0.0)</f>
        <v>0</v>
      </c>
      <c r="AA161" s="1" t="str">
        <f>IFERROR(__xludf.DUMMYFUNCTION("""COMPUTED_VALUE"""),"-")</f>
        <v>-</v>
      </c>
      <c r="AB161" s="1">
        <f>IFERROR(__xludf.DUMMYFUNCTION("""COMPUTED_VALUE"""),1.0)</f>
        <v>1</v>
      </c>
      <c r="AC161" s="1">
        <f>IFERROR(__xludf.DUMMYFUNCTION("""COMPUTED_VALUE"""),0.0)</f>
        <v>0</v>
      </c>
      <c r="AD161" s="1" t="str">
        <f>IFERROR(__xludf.DUMMYFUNCTION("""COMPUTED_VALUE"""),"Andrea Araujo Antara")</f>
        <v>Andrea Araujo Antara</v>
      </c>
      <c r="AE161" s="1" t="str">
        <f>IFERROR(__xludf.DUMMYFUNCTION("""COMPUTED_VALUE"""),"0")</f>
        <v>0</v>
      </c>
      <c r="AF161" s="1">
        <f>IFERROR(__xludf.DUMMYFUNCTION("""COMPUTED_VALUE"""),2024.0)</f>
        <v>2024</v>
      </c>
      <c r="AG161" s="1">
        <f>IFERROR(__xludf.DUMMYFUNCTION("""COMPUTED_VALUE"""),1762186.0)</f>
        <v>1762186</v>
      </c>
      <c r="AH161" s="1">
        <f>IFERROR(__xludf.DUMMYFUNCTION("""COMPUTED_VALUE"""),17.0)</f>
        <v>17</v>
      </c>
      <c r="AI161" s="1" t="str">
        <f>IFERROR(__xludf.DUMMYFUNCTION("""COMPUTED_VALUE"""),"0000399541")</f>
        <v>0000399541</v>
      </c>
      <c r="AJ161" s="1">
        <f>IFERROR(__xludf.DUMMYFUNCTION("""COMPUTED_VALUE"""),6.2629504E7)</f>
        <v>62629504</v>
      </c>
      <c r="AK161" s="1">
        <f>IFERROR(__xludf.DUMMYFUNCTION("""COMPUTED_VALUE"""),9.2661524E8)</f>
        <v>926615240</v>
      </c>
      <c r="AL161" s="1" t="str">
        <f>IFERROR(__xludf.DUMMYFUNCTION("""COMPUTED_VALUE"""),"lucien62629504@gmail.com")</f>
        <v>lucien62629504@gmail.com</v>
      </c>
      <c r="AM161" s="1" t="str">
        <f>IFERROR(__xludf.DUMMYFUNCTION("""COMPUTED_VALUE"""),"MASCULINO")</f>
        <v>MASCULINO</v>
      </c>
      <c r="AN161" s="1">
        <f>IFERROR(__xludf.DUMMYFUNCTION("""COMPUTED_VALUE"""),1600.0)</f>
        <v>1600</v>
      </c>
      <c r="AO161" s="1">
        <f>IFERROR(__xludf.DUMMYFUNCTION("""COMPUTED_VALUE"""),670.0)</f>
        <v>670</v>
      </c>
      <c r="AP161" s="1" t="str">
        <f>IFERROR(__xludf.DUMMYFUNCTION("""COMPUTED_VALUE"""),"OUTBOUND")</f>
        <v>OUTBOUND</v>
      </c>
      <c r="AQ161" s="1" t="str">
        <f>IFERROR(__xludf.DUMMYFUNCTION("""COMPUTED_VALUE"""),"OUTBOUND")</f>
        <v>OUTBOUND</v>
      </c>
      <c r="AR161" s="1" t="str">
        <f>IFERROR(__xludf.DUMMYFUNCTION("""COMPUTED_VALUE"""),"NUEVO")</f>
        <v>NUEVO</v>
      </c>
      <c r="AS161" s="1"/>
      <c r="AT161" s="2">
        <f>IFERROR(__xludf.DUMMYFUNCTION("""COMPUTED_VALUE"""),45546.0)</f>
        <v>45546</v>
      </c>
      <c r="AU161" s="1">
        <f>IFERROR(__xludf.DUMMYFUNCTION("""COMPUTED_VALUE"""),1.0)</f>
        <v>1</v>
      </c>
      <c r="AV161" s="1" t="str">
        <f>IFERROR(__xludf.DUMMYFUNCTION("""COMPUTED_VALUE"""),"NUEVO")</f>
        <v>NUEVO</v>
      </c>
      <c r="AW161" s="1" t="str">
        <f>IFERROR(__xludf.DUMMYFUNCTION("""COMPUTED_VALUE"""),"SI")</f>
        <v>SI</v>
      </c>
      <c r="AX161" s="1"/>
      <c r="AY161" s="1" t="str">
        <f>IFERROR(__xludf.DUMMYFUNCTION("""COMPUTED_VALUE"""),"PAGO COMPLETO")</f>
        <v>PAGO COMPLETO</v>
      </c>
      <c r="AZ161" s="5">
        <f>IFERROR(__xludf.DUMMYFUNCTION("""COMPUTED_VALUE"""),45596.0)</f>
        <v>45596</v>
      </c>
      <c r="BA161" s="1">
        <f>IFERROR(__xludf.DUMMYFUNCTION("""COMPUTED_VALUE"""),0.0)</f>
        <v>0</v>
      </c>
      <c r="BB161" s="1">
        <f>IFERROR(__xludf.DUMMYFUNCTION("""COMPUTED_VALUE"""),0.0)</f>
        <v>0</v>
      </c>
      <c r="BC161" s="4">
        <f>IFERROR(__xludf.DUMMYFUNCTION("""COMPUTED_VALUE"""),0.0)</f>
        <v>0</v>
      </c>
      <c r="BD161" s="4">
        <f>IFERROR(__xludf.DUMMYFUNCTION("""COMPUTED_VALUE"""),0.0)</f>
        <v>0</v>
      </c>
      <c r="BE161" s="1">
        <f>IFERROR(__xludf.DUMMYFUNCTION("""COMPUTED_VALUE"""),10.0)</f>
        <v>10</v>
      </c>
      <c r="BF161" s="6">
        <f>IFERROR(__xludf.DUMMYFUNCTION("""COMPUTED_VALUE"""),1.0)</f>
        <v>1</v>
      </c>
      <c r="BG161" s="1">
        <f>IFERROR(__xludf.DUMMYFUNCTION("""COMPUTED_VALUE"""),1.0)</f>
        <v>1</v>
      </c>
      <c r="BH161" s="1" t="str">
        <f>IFERROR(__xludf.DUMMYFUNCTION("""COMPUTED_VALUE"""),"0")</f>
        <v>0</v>
      </c>
      <c r="BI161" s="4">
        <f>IFERROR(__xludf.DUMMYFUNCTION("""COMPUTED_VALUE"""),0.0)</f>
        <v>0</v>
      </c>
      <c r="BJ161" s="1">
        <f>IFERROR(__xludf.DUMMYFUNCTION("""COMPUTED_VALUE"""),0.0)</f>
        <v>0</v>
      </c>
      <c r="BK161" s="4">
        <f>IFERROR(__xludf.DUMMYFUNCTION("""COMPUTED_VALUE"""),0.0)</f>
        <v>0</v>
      </c>
      <c r="BL161" s="1">
        <f>IFERROR(__xludf.DUMMYFUNCTION("""COMPUTED_VALUE"""),1280.0)</f>
        <v>1280</v>
      </c>
      <c r="BM161" s="1">
        <f>IFERROR(__xludf.DUMMYFUNCTION("""COMPUTED_VALUE"""),44.0)</f>
        <v>44</v>
      </c>
      <c r="BN161" s="2">
        <f>IFERROR(__xludf.DUMMYFUNCTION("""COMPUTED_VALUE"""),45593.0)</f>
        <v>45593</v>
      </c>
      <c r="BO161" s="1">
        <f>IFERROR(__xludf.DUMMYFUNCTION("""COMPUTED_VALUE"""),10.0)</f>
        <v>10</v>
      </c>
      <c r="BP161" s="1">
        <f>IFERROR(__xludf.DUMMYFUNCTION("""COMPUTED_VALUE"""),2024.0)</f>
        <v>2024</v>
      </c>
    </row>
    <row r="162">
      <c r="A162" s="1">
        <f>IFERROR(__xludf.DUMMYFUNCTION("""COMPUTED_VALUE"""),161.0)</f>
        <v>161</v>
      </c>
      <c r="B162" s="1">
        <f>IFERROR(__xludf.DUMMYFUNCTION("""COMPUTED_VALUE"""),1834098.0)</f>
        <v>1834098</v>
      </c>
      <c r="C162" s="1" t="str">
        <f>IFERROR(__xludf.DUMMYFUNCTION("""COMPUTED_VALUE"""),"2025-1")</f>
        <v>2025-1</v>
      </c>
      <c r="D162" s="1" t="str">
        <f>IFERROR(__xludf.DUMMYFUNCTION("""COMPUTED_VALUE"""),"Admisión Extraordinaria (Traslados)")</f>
        <v>Admisión Extraordinaria (Traslados)</v>
      </c>
      <c r="E162" s="2">
        <f>IFERROR(__xludf.DUMMYFUNCTION("""COMPUTED_VALUE"""),45597.0)</f>
        <v>45597</v>
      </c>
      <c r="F162" s="1" t="str">
        <f>IFERROR(__xludf.DUMMYFUNCTION("""COMPUTED_VALUE"""),"MARIA FERNANDA ")</f>
        <v>MARIA FERNANDA </v>
      </c>
      <c r="G162" s="1" t="str">
        <f>IFERROR(__xludf.DUMMYFUNCTION("""COMPUTED_VALUE"""),"BRAVO ADRIANZEN")</f>
        <v>BRAVO ADRIANZEN</v>
      </c>
      <c r="H162" s="1" t="str">
        <f>IFERROR(__xludf.DUMMYFUNCTION("""COMPUTED_VALUE"""),"Arquitectura de Interiores")</f>
        <v>Arquitectura de Interiores</v>
      </c>
      <c r="I162" s="1" t="str">
        <f>IFERROR(__xludf.DUMMYFUNCTION("""COMPUTED_VALUE"""),"Pago Link")</f>
        <v>Pago Link</v>
      </c>
      <c r="J162" s="1" t="str">
        <f>IFERROR(__xludf.DUMMYFUNCTION("""COMPUTED_VALUE"""),"Diurno")</f>
        <v>Diurno</v>
      </c>
      <c r="K162" s="1" t="str">
        <f>IFERROR(__xludf.DUMMYFUNCTION("""COMPUTED_VALUE"""),"TRASLADO")</f>
        <v>TRASLADO</v>
      </c>
      <c r="L162" s="1">
        <f>IFERROR(__xludf.DUMMYFUNCTION("""COMPUTED_VALUE"""),1.0)</f>
        <v>1</v>
      </c>
      <c r="M162" s="1">
        <f>IFERROR(__xludf.DUMMYFUNCTION("""COMPUTED_VALUE"""),0.0)</f>
        <v>0</v>
      </c>
      <c r="N162" s="1" t="str">
        <f>IFERROR(__xludf.DUMMYFUNCTION("""COMPUTED_VALUE"""),"RECA")</f>
        <v>RECA</v>
      </c>
      <c r="O162" s="1" t="str">
        <f>IFERROR(__xludf.DUMMYFUNCTION("""COMPUTED_VALUE"""),"RECA TRASLADO CON CONVA")</f>
        <v>RECA TRASLADO CON CONVA</v>
      </c>
      <c r="P162" s="4">
        <f>IFERROR(__xludf.DUMMYFUNCTION("""COMPUTED_VALUE"""),0.0)</f>
        <v>0</v>
      </c>
      <c r="Q162" s="4">
        <f>IFERROR(__xludf.DUMMYFUNCTION("""COMPUTED_VALUE"""),0.0)</f>
        <v>0</v>
      </c>
      <c r="R162" s="4">
        <f>IFERROR(__xludf.DUMMYFUNCTION("""COMPUTED_VALUE"""),1600.0)</f>
        <v>1600</v>
      </c>
      <c r="S162" s="4">
        <f>IFERROR(__xludf.DUMMYFUNCTION("""COMPUTED_VALUE"""),900.0)</f>
        <v>900</v>
      </c>
      <c r="T162" s="1" t="str">
        <f>IFERROR(__xludf.DUMMYFUNCTION("""COMPUTED_VALUE"""),"PALANCA 500")</f>
        <v>PALANCA 500</v>
      </c>
      <c r="U162" s="1" t="str">
        <f>IFERROR(__xludf.DUMMYFUNCTION("""COMPUTED_VALUE"""),"FABIOLA")</f>
        <v>FABIOLA</v>
      </c>
      <c r="V162" s="1" t="str">
        <f>IFERROR(__xludf.DUMMYFUNCTION("""COMPUTED_VALUE"""),"-")</f>
        <v>-</v>
      </c>
      <c r="W162" s="1" t="str">
        <f>IFERROR(__xludf.DUMMYFUNCTION("""COMPUTED_VALUE"""),"Prestigio de la institución")</f>
        <v>Prestigio de la institución</v>
      </c>
      <c r="X162" s="1" t="str">
        <f>IFERROR(__xludf.DUMMYFUNCTION("""COMPUTED_VALUE"""),"-")</f>
        <v>-</v>
      </c>
      <c r="Y162" s="1" t="str">
        <f>IFERROR(__xludf.DUMMYFUNCTION("""COMPUTED_VALUE"""),"PAGO COMPLETO")</f>
        <v>PAGO COMPLETO</v>
      </c>
      <c r="Z162" s="1">
        <f>IFERROR(__xludf.DUMMYFUNCTION("""COMPUTED_VALUE"""),0.0)</f>
        <v>0</v>
      </c>
      <c r="AA162" s="1" t="str">
        <f>IFERROR(__xludf.DUMMYFUNCTION("""COMPUTED_VALUE"""),"-")</f>
        <v>-</v>
      </c>
      <c r="AB162" s="1">
        <f>IFERROR(__xludf.DUMMYFUNCTION("""COMPUTED_VALUE"""),0.0)</f>
        <v>0</v>
      </c>
      <c r="AC162" s="1">
        <f>IFERROR(__xludf.DUMMYFUNCTION("""COMPUTED_VALUE"""),0.0)</f>
        <v>0</v>
      </c>
      <c r="AD162" s="1" t="str">
        <f>IFERROR(__xludf.DUMMYFUNCTION("""COMPUTED_VALUE"""),"Andrea Araujo Antara")</f>
        <v>Andrea Araujo Antara</v>
      </c>
      <c r="AE162" s="1" t="str">
        <f>IFERROR(__xludf.DUMMYFUNCTION("""COMPUTED_VALUE"""),"Instituto de Educación Superior Tecnológico Privado Toulouse Lautrec")</f>
        <v>Instituto de Educación Superior Tecnológico Privado Toulouse Lautrec</v>
      </c>
      <c r="AF162" s="1">
        <f>IFERROR(__xludf.DUMMYFUNCTION("""COMPUTED_VALUE"""),2022.0)</f>
        <v>2022</v>
      </c>
      <c r="AG162" s="1">
        <f>IFERROR(__xludf.DUMMYFUNCTION("""COMPUTED_VALUE"""),1560465.0)</f>
        <v>1560465</v>
      </c>
      <c r="AH162" s="1">
        <f>IFERROR(__xludf.DUMMYFUNCTION("""COMPUTED_VALUE"""),18.0)</f>
        <v>18</v>
      </c>
      <c r="AI162" s="1" t="str">
        <f>IFERROR(__xludf.DUMMYFUNCTION("""COMPUTED_VALUE"""),"0000038667")</f>
        <v>0000038667</v>
      </c>
      <c r="AJ162" s="1">
        <f>IFERROR(__xludf.DUMMYFUNCTION("""COMPUTED_VALUE"""),7.6787683E7)</f>
        <v>76787683</v>
      </c>
      <c r="AK162" s="1">
        <f>IFERROR(__xludf.DUMMYFUNCTION("""COMPUTED_VALUE"""),9.35315149E8)</f>
        <v>935315149</v>
      </c>
      <c r="AL162" s="1" t="str">
        <f>IFERROR(__xludf.DUMMYFUNCTION("""COMPUTED_VALUE"""),"fernandabravoad@gmail.com")</f>
        <v>fernandabravoad@gmail.com</v>
      </c>
      <c r="AM162" s="1" t="str">
        <f>IFERROR(__xludf.DUMMYFUNCTION("""COMPUTED_VALUE"""),"FEMENINO")</f>
        <v>FEMENINO</v>
      </c>
      <c r="AN162" s="1">
        <f>IFERROR(__xludf.DUMMYFUNCTION("""COMPUTED_VALUE"""),1600.0)</f>
        <v>1600</v>
      </c>
      <c r="AO162" s="1">
        <f>IFERROR(__xludf.DUMMYFUNCTION("""COMPUTED_VALUE"""),350.0)</f>
        <v>350</v>
      </c>
      <c r="AP162" s="1" t="str">
        <f>IFERROR(__xludf.DUMMYFUNCTION("""COMPUTED_VALUE"""),"BIDIRECCIONAL")</f>
        <v>BIDIRECCIONAL</v>
      </c>
      <c r="AQ162" s="1" t="str">
        <f>IFERROR(__xludf.DUMMYFUNCTION("""COMPUTED_VALUE"""),"ORGANICO")</f>
        <v>ORGANICO</v>
      </c>
      <c r="AR162" s="1" t="str">
        <f>IFERROR(__xludf.DUMMYFUNCTION("""COMPUTED_VALUE"""),"NUEVO")</f>
        <v>NUEVO</v>
      </c>
      <c r="AS162" s="1"/>
      <c r="AT162" s="2">
        <f>IFERROR(__xludf.DUMMYFUNCTION("""COMPUTED_VALUE"""),45558.0)</f>
        <v>45558</v>
      </c>
      <c r="AU162" s="1">
        <f>IFERROR(__xludf.DUMMYFUNCTION("""COMPUTED_VALUE"""),1.0)</f>
        <v>1</v>
      </c>
      <c r="AV162" s="1" t="str">
        <f>IFERROR(__xludf.DUMMYFUNCTION("""COMPUTED_VALUE"""),"TRASLADO")</f>
        <v>TRASLADO</v>
      </c>
      <c r="AW162" s="1" t="str">
        <f>IFERROR(__xludf.DUMMYFUNCTION("""COMPUTED_VALUE"""),"SI")</f>
        <v>SI</v>
      </c>
      <c r="AX162" s="1"/>
      <c r="AY162" s="1" t="str">
        <f>IFERROR(__xludf.DUMMYFUNCTION("""COMPUTED_VALUE"""),"PAGO COMPLETO")</f>
        <v>PAGO COMPLETO</v>
      </c>
      <c r="AZ162" s="5">
        <f>IFERROR(__xludf.DUMMYFUNCTION("""COMPUTED_VALUE"""),45597.0)</f>
        <v>45597</v>
      </c>
      <c r="BA162" s="1">
        <f>IFERROR(__xludf.DUMMYFUNCTION("""COMPUTED_VALUE"""),0.0)</f>
        <v>0</v>
      </c>
      <c r="BB162" s="1">
        <f>IFERROR(__xludf.DUMMYFUNCTION("""COMPUTED_VALUE"""),0.0)</f>
        <v>0</v>
      </c>
      <c r="BC162" s="4">
        <f>IFERROR(__xludf.DUMMYFUNCTION("""COMPUTED_VALUE"""),0.0)</f>
        <v>0</v>
      </c>
      <c r="BD162" s="4">
        <f>IFERROR(__xludf.DUMMYFUNCTION("""COMPUTED_VALUE"""),400.0)</f>
        <v>400</v>
      </c>
      <c r="BE162" s="1">
        <f>IFERROR(__xludf.DUMMYFUNCTION("""COMPUTED_VALUE"""),11.0)</f>
        <v>11</v>
      </c>
      <c r="BF162" s="6">
        <f>IFERROR(__xludf.DUMMYFUNCTION("""COMPUTED_VALUE"""),1.0)</f>
        <v>1</v>
      </c>
      <c r="BG162" s="1">
        <f>IFERROR(__xludf.DUMMYFUNCTION("""COMPUTED_VALUE"""),1.0)</f>
        <v>1</v>
      </c>
      <c r="BH162" s="1" t="str">
        <f>IFERROR(__xludf.DUMMYFUNCTION("""COMPUTED_VALUE"""),"1")</f>
        <v>1</v>
      </c>
      <c r="BI162" s="4">
        <f>IFERROR(__xludf.DUMMYFUNCTION("""COMPUTED_VALUE"""),400.0)</f>
        <v>400</v>
      </c>
      <c r="BJ162" s="1">
        <f>IFERROR(__xludf.DUMMYFUNCTION("""COMPUTED_VALUE"""),0.0)</f>
        <v>0</v>
      </c>
      <c r="BK162" s="4">
        <f>IFERROR(__xludf.DUMMYFUNCTION("""COMPUTED_VALUE"""),400.0)</f>
        <v>400</v>
      </c>
      <c r="BL162" s="1">
        <f>IFERROR(__xludf.DUMMYFUNCTION("""COMPUTED_VALUE"""),820.0)</f>
        <v>820</v>
      </c>
      <c r="BM162" s="1">
        <f>IFERROR(__xludf.DUMMYFUNCTION("""COMPUTED_VALUE"""),44.0)</f>
        <v>44</v>
      </c>
      <c r="BN162" s="2">
        <f>IFERROR(__xludf.DUMMYFUNCTION("""COMPUTED_VALUE"""),45593.0)</f>
        <v>45593</v>
      </c>
      <c r="BO162" s="1">
        <f>IFERROR(__xludf.DUMMYFUNCTION("""COMPUTED_VALUE"""),11.0)</f>
        <v>11</v>
      </c>
      <c r="BP162" s="1">
        <f>IFERROR(__xludf.DUMMYFUNCTION("""COMPUTED_VALUE"""),2024.0)</f>
        <v>2024</v>
      </c>
    </row>
    <row r="163">
      <c r="A163" s="1">
        <f>IFERROR(__xludf.DUMMYFUNCTION("""COMPUTED_VALUE"""),162.0)</f>
        <v>162</v>
      </c>
      <c r="B163" s="1">
        <f>IFERROR(__xludf.DUMMYFUNCTION("""COMPUTED_VALUE"""),1222312.0)</f>
        <v>1222312</v>
      </c>
      <c r="C163" s="1" t="str">
        <f>IFERROR(__xludf.DUMMYFUNCTION("""COMPUTED_VALUE"""),"2025-1")</f>
        <v>2025-1</v>
      </c>
      <c r="D163" s="1" t="str">
        <f>IFERROR(__xludf.DUMMYFUNCTION("""COMPUTED_VALUE"""),"Admisión Extraordinaria (Traslados)")</f>
        <v>Admisión Extraordinaria (Traslados)</v>
      </c>
      <c r="E163" s="2">
        <f>IFERROR(__xludf.DUMMYFUNCTION("""COMPUTED_VALUE"""),45600.0)</f>
        <v>45600</v>
      </c>
      <c r="F163" s="1" t="str">
        <f>IFERROR(__xludf.DUMMYFUNCTION("""COMPUTED_VALUE"""),"STEFANO SEBASTIEN ")</f>
        <v>STEFANO SEBASTIEN </v>
      </c>
      <c r="G163" s="1" t="str">
        <f>IFERROR(__xludf.DUMMYFUNCTION("""COMPUTED_VALUE"""),"CAVERO CABRERA")</f>
        <v>CAVERO CABRERA</v>
      </c>
      <c r="H163" s="1" t="str">
        <f>IFERROR(__xludf.DUMMYFUNCTION("""COMPUTED_VALUE"""),"Diseño Gráfico Publicitario")</f>
        <v>Diseño Gráfico Publicitario</v>
      </c>
      <c r="I163" s="1" t="str">
        <f>IFERROR(__xludf.DUMMYFUNCTION("""COMPUTED_VALUE"""),"POS")</f>
        <v>POS</v>
      </c>
      <c r="J163" s="1" t="str">
        <f>IFERROR(__xludf.DUMMYFUNCTION("""COMPUTED_VALUE"""),"Diurno")</f>
        <v>Diurno</v>
      </c>
      <c r="K163" s="1" t="str">
        <f>IFERROR(__xludf.DUMMYFUNCTION("""COMPUTED_VALUE"""),"TRASLADO")</f>
        <v>TRASLADO</v>
      </c>
      <c r="L163" s="1">
        <f>IFERROR(__xludf.DUMMYFUNCTION("""COMPUTED_VALUE"""),0.0)</f>
        <v>0</v>
      </c>
      <c r="M163" s="1">
        <f>IFERROR(__xludf.DUMMYFUNCTION("""COMPUTED_VALUE"""),0.0)</f>
        <v>0</v>
      </c>
      <c r="N163" s="1" t="str">
        <f>IFERROR(__xludf.DUMMYFUNCTION("""COMPUTED_VALUE"""),"BECA")</f>
        <v>BECA</v>
      </c>
      <c r="O163" s="1" t="str">
        <f>IFERROR(__xludf.DUMMYFUNCTION("""COMPUTED_VALUE"""),"BECA CARRERAS CORE-TRASLADOS SIN CONVA")</f>
        <v>BECA CARRERAS CORE-TRASLADOS SIN CONVA</v>
      </c>
      <c r="P163" s="4">
        <f>IFERROR(__xludf.DUMMYFUNCTION("""COMPUTED_VALUE"""),0.0)</f>
        <v>0</v>
      </c>
      <c r="Q163" s="4">
        <f>IFERROR(__xludf.DUMMYFUNCTION("""COMPUTED_VALUE"""),0.0)</f>
        <v>0</v>
      </c>
      <c r="R163" s="4">
        <f>IFERROR(__xludf.DUMMYFUNCTION("""COMPUTED_VALUE"""),1600.0)</f>
        <v>1600</v>
      </c>
      <c r="S163" s="4">
        <f>IFERROR(__xludf.DUMMYFUNCTION("""COMPUTED_VALUE"""),1280.0)</f>
        <v>1280</v>
      </c>
      <c r="T163" s="1" t="str">
        <f>IFERROR(__xludf.DUMMYFUNCTION("""COMPUTED_VALUE"""),"NINGUNO")</f>
        <v>NINGUNO</v>
      </c>
      <c r="U163" s="1" t="str">
        <f>IFERROR(__xludf.DUMMYFUNCTION("""COMPUTED_VALUE"""),"FABIOLA")</f>
        <v>FABIOLA</v>
      </c>
      <c r="V163" s="1" t="str">
        <f>IFERROR(__xludf.DUMMYFUNCTION("""COMPUTED_VALUE"""),"Ninguno")</f>
        <v>Ninguno</v>
      </c>
      <c r="W163" s="1" t="str">
        <f>IFERROR(__xludf.DUMMYFUNCTION("""COMPUTED_VALUE"""),"Metodología de enseñanza")</f>
        <v>Metodología de enseñanza</v>
      </c>
      <c r="X163" s="1" t="str">
        <f>IFERROR(__xludf.DUMMYFUNCTION("""COMPUTED_VALUE"""),"-")</f>
        <v>-</v>
      </c>
      <c r="Y163" s="1" t="str">
        <f>IFERROR(__xludf.DUMMYFUNCTION("""COMPUTED_VALUE"""),"PAGO COMPLETO")</f>
        <v>PAGO COMPLETO</v>
      </c>
      <c r="Z163" s="1">
        <f>IFERROR(__xludf.DUMMYFUNCTION("""COMPUTED_VALUE"""),0.0)</f>
        <v>0</v>
      </c>
      <c r="AA163" s="1" t="str">
        <f>IFERROR(__xludf.DUMMYFUNCTION("""COMPUTED_VALUE"""),"-")</f>
        <v>-</v>
      </c>
      <c r="AB163" s="1">
        <f>IFERROR(__xludf.DUMMYFUNCTION("""COMPUTED_VALUE"""),0.0)</f>
        <v>0</v>
      </c>
      <c r="AC163" s="1">
        <f>IFERROR(__xludf.DUMMYFUNCTION("""COMPUTED_VALUE"""),0.0)</f>
        <v>0</v>
      </c>
      <c r="AD163" s="1" t="str">
        <f>IFERROR(__xludf.DUMMYFUNCTION("""COMPUTED_VALUE"""),"Ingrid Guillermo Rivera")</f>
        <v>Ingrid Guillermo Rivera</v>
      </c>
      <c r="AE163" s="1" t="str">
        <f>IFERROR(__xludf.DUMMYFUNCTION("""COMPUTED_VALUE"""),"UPC")</f>
        <v>UPC</v>
      </c>
      <c r="AF163" s="1">
        <f>IFERROR(__xludf.DUMMYFUNCTION("""COMPUTED_VALUE"""),2020.0)</f>
        <v>2020</v>
      </c>
      <c r="AG163" s="1">
        <f>IFERROR(__xludf.DUMMYFUNCTION("""COMPUTED_VALUE"""),1640671.0)</f>
        <v>1640671</v>
      </c>
      <c r="AH163" s="1">
        <f>IFERROR(__xludf.DUMMYFUNCTION("""COMPUTED_VALUE"""),21.0)</f>
        <v>21</v>
      </c>
      <c r="AI163" s="1" t="str">
        <f>IFERROR(__xludf.DUMMYFUNCTION("""COMPUTED_VALUE"""),"0000399696")</f>
        <v>0000399696</v>
      </c>
      <c r="AJ163" s="1">
        <f>IFERROR(__xludf.DUMMYFUNCTION("""COMPUTED_VALUE"""),7.4067148E7)</f>
        <v>74067148</v>
      </c>
      <c r="AK163" s="1">
        <f>IFERROR(__xludf.DUMMYFUNCTION("""COMPUTED_VALUE"""),9.91249315E8)</f>
        <v>991249315</v>
      </c>
      <c r="AL163" s="1" t="str">
        <f>IFERROR(__xludf.DUMMYFUNCTION("""COMPUTED_VALUE"""),"stickmord72@gmail.com")</f>
        <v>stickmord72@gmail.com</v>
      </c>
      <c r="AM163" s="1" t="str">
        <f>IFERROR(__xludf.DUMMYFUNCTION("""COMPUTED_VALUE"""),"MASCULINO")</f>
        <v>MASCULINO</v>
      </c>
      <c r="AN163" s="1">
        <f>IFERROR(__xludf.DUMMYFUNCTION("""COMPUTED_VALUE"""),1600.0)</f>
        <v>1600</v>
      </c>
      <c r="AO163" s="1">
        <f>IFERROR(__xludf.DUMMYFUNCTION("""COMPUTED_VALUE"""),755.0)</f>
        <v>755</v>
      </c>
      <c r="AP163" s="1" t="str">
        <f>IFERROR(__xludf.DUMMYFUNCTION("""COMPUTED_VALUE"""),"FORMULARIO")</f>
        <v>FORMULARIO</v>
      </c>
      <c r="AQ163" s="1" t="str">
        <f>IFERROR(__xludf.DUMMYFUNCTION("""COMPUTED_VALUE"""),"ORGANICO")</f>
        <v>ORGANICO</v>
      </c>
      <c r="AR163" s="1" t="str">
        <f>IFERROR(__xludf.DUMMYFUNCTION("""COMPUTED_VALUE"""),"HEREDADO")</f>
        <v>HEREDADO</v>
      </c>
      <c r="AS163" s="1"/>
      <c r="AT163" s="2">
        <f>IFERROR(__xludf.DUMMYFUNCTION("""COMPUTED_VALUE"""),45598.0)</f>
        <v>45598</v>
      </c>
      <c r="AU163" s="1">
        <f>IFERROR(__xludf.DUMMYFUNCTION("""COMPUTED_VALUE"""),1.0)</f>
        <v>1</v>
      </c>
      <c r="AV163" s="1" t="str">
        <f>IFERROR(__xludf.DUMMYFUNCTION("""COMPUTED_VALUE"""),"NUEVO")</f>
        <v>NUEVO</v>
      </c>
      <c r="AW163" s="1" t="str">
        <f>IFERROR(__xludf.DUMMYFUNCTION("""COMPUTED_VALUE"""),"SI")</f>
        <v>SI</v>
      </c>
      <c r="AX163" s="1"/>
      <c r="AY163" s="1" t="str">
        <f>IFERROR(__xludf.DUMMYFUNCTION("""COMPUTED_VALUE"""),"PAGO COMPLETO")</f>
        <v>PAGO COMPLETO</v>
      </c>
      <c r="AZ163" s="5">
        <f>IFERROR(__xludf.DUMMYFUNCTION("""COMPUTED_VALUE"""),45600.0)</f>
        <v>45600</v>
      </c>
      <c r="BA163" s="1">
        <f>IFERROR(__xludf.DUMMYFUNCTION("""COMPUTED_VALUE"""),0.0)</f>
        <v>0</v>
      </c>
      <c r="BB163" s="1">
        <f>IFERROR(__xludf.DUMMYFUNCTION("""COMPUTED_VALUE"""),0.0)</f>
        <v>0</v>
      </c>
      <c r="BC163" s="4">
        <f>IFERROR(__xludf.DUMMYFUNCTION("""COMPUTED_VALUE"""),0.0)</f>
        <v>0</v>
      </c>
      <c r="BD163" s="4">
        <f>IFERROR(__xludf.DUMMYFUNCTION("""COMPUTED_VALUE"""),0.0)</f>
        <v>0</v>
      </c>
      <c r="BE163" s="1">
        <f>IFERROR(__xludf.DUMMYFUNCTION("""COMPUTED_VALUE"""),11.0)</f>
        <v>11</v>
      </c>
      <c r="BF163" s="6">
        <f>IFERROR(__xludf.DUMMYFUNCTION("""COMPUTED_VALUE"""),1.0)</f>
        <v>1</v>
      </c>
      <c r="BG163" s="1">
        <f>IFERROR(__xludf.DUMMYFUNCTION("""COMPUTED_VALUE"""),1.0)</f>
        <v>1</v>
      </c>
      <c r="BH163" s="1" t="str">
        <f>IFERROR(__xludf.DUMMYFUNCTION("""COMPUTED_VALUE"""),"0")</f>
        <v>0</v>
      </c>
      <c r="BI163" s="4">
        <f>IFERROR(__xludf.DUMMYFUNCTION("""COMPUTED_VALUE"""),0.0)</f>
        <v>0</v>
      </c>
      <c r="BJ163" s="1">
        <f>IFERROR(__xludf.DUMMYFUNCTION("""COMPUTED_VALUE"""),0.0)</f>
        <v>0</v>
      </c>
      <c r="BK163" s="4">
        <f>IFERROR(__xludf.DUMMYFUNCTION("""COMPUTED_VALUE"""),0.0)</f>
        <v>0</v>
      </c>
      <c r="BL163" s="1">
        <f>IFERROR(__xludf.DUMMYFUNCTION("""COMPUTED_VALUE"""),1280.0)</f>
        <v>1280</v>
      </c>
      <c r="BM163" s="1">
        <f>IFERROR(__xludf.DUMMYFUNCTION("""COMPUTED_VALUE"""),45.0)</f>
        <v>45</v>
      </c>
      <c r="BN163" s="2">
        <f>IFERROR(__xludf.DUMMYFUNCTION("""COMPUTED_VALUE"""),45600.0)</f>
        <v>45600</v>
      </c>
      <c r="BO163" s="1">
        <f>IFERROR(__xludf.DUMMYFUNCTION("""COMPUTED_VALUE"""),11.0)</f>
        <v>11</v>
      </c>
      <c r="BP163" s="1">
        <f>IFERROR(__xludf.DUMMYFUNCTION("""COMPUTED_VALUE"""),2024.0)</f>
        <v>2024</v>
      </c>
    </row>
    <row r="164">
      <c r="A164" s="1">
        <f>IFERROR(__xludf.DUMMYFUNCTION("""COMPUTED_VALUE"""),163.0)</f>
        <v>163</v>
      </c>
      <c r="B164" s="1">
        <f>IFERROR(__xludf.DUMMYFUNCTION("""COMPUTED_VALUE"""),4775122.0)</f>
        <v>4775122</v>
      </c>
      <c r="C164" s="1" t="str">
        <f>IFERROR(__xludf.DUMMYFUNCTION("""COMPUTED_VALUE"""),"2025-1")</f>
        <v>2025-1</v>
      </c>
      <c r="D164" s="1" t="str">
        <f>IFERROR(__xludf.DUMMYFUNCTION("""COMPUTED_VALUE"""),"Admisión de Alto Rendimiento")</f>
        <v>Admisión de Alto Rendimiento</v>
      </c>
      <c r="E164" s="2">
        <f>IFERROR(__xludf.DUMMYFUNCTION("""COMPUTED_VALUE"""),45601.0)</f>
        <v>45601</v>
      </c>
      <c r="F164" s="1" t="str">
        <f>IFERROR(__xludf.DUMMYFUNCTION("""COMPUTED_VALUE"""),"ANGIE LIZET")</f>
        <v>ANGIE LIZET</v>
      </c>
      <c r="G164" s="1" t="str">
        <f>IFERROR(__xludf.DUMMYFUNCTION("""COMPUTED_VALUE"""),"HUANCA LIMACHI")</f>
        <v>HUANCA LIMACHI</v>
      </c>
      <c r="H164" s="1" t="str">
        <f>IFERROR(__xludf.DUMMYFUNCTION("""COMPUTED_VALUE"""),"Comunicación Audiovisual y Cine")</f>
        <v>Comunicación Audiovisual y Cine</v>
      </c>
      <c r="I164" s="1" t="str">
        <f>IFERROR(__xludf.DUMMYFUNCTION("""COMPUTED_VALUE"""),"POS")</f>
        <v>POS</v>
      </c>
      <c r="J164" s="1" t="str">
        <f>IFERROR(__xludf.DUMMYFUNCTION("""COMPUTED_VALUE"""),"Diurno")</f>
        <v>Diurno</v>
      </c>
      <c r="K164" s="1" t="str">
        <f>IFERROR(__xludf.DUMMYFUNCTION("""COMPUTED_VALUE"""),"NUEVO")</f>
        <v>NUEVO</v>
      </c>
      <c r="L164" s="1">
        <f>IFERROR(__xludf.DUMMYFUNCTION("""COMPUTED_VALUE"""),0.0)</f>
        <v>0</v>
      </c>
      <c r="M164" s="1">
        <f>IFERROR(__xludf.DUMMYFUNCTION("""COMPUTED_VALUE"""),0.0)</f>
        <v>0</v>
      </c>
      <c r="N164" s="1" t="str">
        <f>IFERROR(__xludf.DUMMYFUNCTION("""COMPUTED_VALUE"""),"RECA-BECA")</f>
        <v>RECA-BECA</v>
      </c>
      <c r="O164" s="1" t="str">
        <f>IFERROR(__xludf.DUMMYFUNCTION("""COMPUTED_VALUE"""),"BECA CARRERAS CORE")</f>
        <v>BECA CARRERAS CORE</v>
      </c>
      <c r="P164" s="4">
        <f>IFERROR(__xludf.DUMMYFUNCTION("""COMPUTED_VALUE"""),0.0)</f>
        <v>0</v>
      </c>
      <c r="Q164" s="4">
        <f>IFERROR(__xludf.DUMMYFUNCTION("""COMPUTED_VALUE"""),0.0)</f>
        <v>0</v>
      </c>
      <c r="R164" s="4">
        <f>IFERROR(__xludf.DUMMYFUNCTION("""COMPUTED_VALUE"""),1415.0)</f>
        <v>1415</v>
      </c>
      <c r="S164" s="4">
        <f>IFERROR(__xludf.DUMMYFUNCTION("""COMPUTED_VALUE"""),1150.0)</f>
        <v>1150</v>
      </c>
      <c r="T164" s="1" t="str">
        <f>IFERROR(__xludf.DUMMYFUNCTION("""COMPUTED_VALUE"""),"NINGUNO")</f>
        <v>NINGUNO</v>
      </c>
      <c r="U164" s="1" t="str">
        <f>IFERROR(__xludf.DUMMYFUNCTION("""COMPUTED_VALUE"""),"FABIOLA")</f>
        <v>FABIOLA</v>
      </c>
      <c r="V164" s="1" t="str">
        <f>IFERROR(__xludf.DUMMYFUNCTION("""COMPUTED_VALUE"""),"Ninguno")</f>
        <v>Ninguno</v>
      </c>
      <c r="W164" s="1" t="str">
        <f>IFERROR(__xludf.DUMMYFUNCTION("""COMPUTED_VALUE"""),"Prestigio de la institución")</f>
        <v>Prestigio de la institución</v>
      </c>
      <c r="X164" s="1" t="str">
        <f>IFERROR(__xludf.DUMMYFUNCTION("""COMPUTED_VALUE"""),"Fue aprobado por rodrigo")</f>
        <v>Fue aprobado por rodrigo</v>
      </c>
      <c r="Y164" s="1" t="str">
        <f>IFERROR(__xludf.DUMMYFUNCTION("""COMPUTED_VALUE"""),"PAGO FRACCIONADO")</f>
        <v>PAGO FRACCIONADO</v>
      </c>
      <c r="Z164" s="1">
        <f>IFERROR(__xludf.DUMMYFUNCTION("""COMPUTED_VALUE"""),575.0)</f>
        <v>575</v>
      </c>
      <c r="AA164" s="1" t="str">
        <f>IFERROR(__xludf.DUMMYFUNCTION("""COMPUTED_VALUE"""),"28/11/2024")</f>
        <v>28/11/2024</v>
      </c>
      <c r="AB164" s="1">
        <f>IFERROR(__xludf.DUMMYFUNCTION("""COMPUTED_VALUE"""),0.0)</f>
        <v>0</v>
      </c>
      <c r="AC164" s="1">
        <f>IFERROR(__xludf.DUMMYFUNCTION("""COMPUTED_VALUE"""),0.0)</f>
        <v>0</v>
      </c>
      <c r="AD164" s="1" t="str">
        <f>IFERROR(__xludf.DUMMYFUNCTION("""COMPUTED_VALUE"""),"Ingrid Guillermo Rivera")</f>
        <v>Ingrid Guillermo Rivera</v>
      </c>
      <c r="AE164" s="1" t="str">
        <f>IFERROR(__xludf.DUMMYFUNCTION("""COMPUTED_VALUE"""),"0")</f>
        <v>0</v>
      </c>
      <c r="AF164" s="1">
        <f>IFERROR(__xludf.DUMMYFUNCTION("""COMPUTED_VALUE"""),2024.0)</f>
        <v>2024</v>
      </c>
      <c r="AG164" s="1">
        <f>IFERROR(__xludf.DUMMYFUNCTION("""COMPUTED_VALUE"""),1508118.0)</f>
        <v>1508118</v>
      </c>
      <c r="AH164" s="1">
        <f>IFERROR(__xludf.DUMMYFUNCTION("""COMPUTED_VALUE"""),16.0)</f>
        <v>16</v>
      </c>
      <c r="AI164" s="1" t="str">
        <f>IFERROR(__xludf.DUMMYFUNCTION("""COMPUTED_VALUE"""),"0000399855")</f>
        <v>0000399855</v>
      </c>
      <c r="AJ164" s="1">
        <f>IFERROR(__xludf.DUMMYFUNCTION("""COMPUTED_VALUE"""),7.116744E7)</f>
        <v>71167440</v>
      </c>
      <c r="AK164" s="1">
        <f>IFERROR(__xludf.DUMMYFUNCTION("""COMPUTED_VALUE"""),9.10788941E8)</f>
        <v>910788941</v>
      </c>
      <c r="AL164" s="1" t="str">
        <f>IFERROR(__xludf.DUMMYFUNCTION("""COMPUTED_VALUE"""),"angie.huanca45@gmail.com")</f>
        <v>angie.huanca45@gmail.com</v>
      </c>
      <c r="AM164" s="1" t="str">
        <f>IFERROR(__xludf.DUMMYFUNCTION("""COMPUTED_VALUE"""),"FEMENINO")</f>
        <v>FEMENINO</v>
      </c>
      <c r="AN164" s="1">
        <f>IFERROR(__xludf.DUMMYFUNCTION("""COMPUTED_VALUE"""),1415.0)</f>
        <v>1415</v>
      </c>
      <c r="AO164" s="1">
        <f>IFERROR(__xludf.DUMMYFUNCTION("""COMPUTED_VALUE"""),475.0)</f>
        <v>475</v>
      </c>
      <c r="AP164" s="1" t="str">
        <f>IFERROR(__xludf.DUMMYFUNCTION("""COMPUTED_VALUE"""),"FORMULARIO")</f>
        <v>FORMULARIO</v>
      </c>
      <c r="AQ164" s="1" t="str">
        <f>IFERROR(__xludf.DUMMYFUNCTION("""COMPUTED_VALUE"""),"SEARCH CARRERA")</f>
        <v>SEARCH CARRERA</v>
      </c>
      <c r="AR164" s="1" t="str">
        <f>IFERROR(__xludf.DUMMYFUNCTION("""COMPUTED_VALUE"""),"NUEVO")</f>
        <v>NUEVO</v>
      </c>
      <c r="AS164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164" s="2">
        <f>IFERROR(__xludf.DUMMYFUNCTION("""COMPUTED_VALUE"""),45592.0)</f>
        <v>45592</v>
      </c>
      <c r="AU164" s="1">
        <f>IFERROR(__xludf.DUMMYFUNCTION("""COMPUTED_VALUE"""),1.0)</f>
        <v>1</v>
      </c>
      <c r="AV164" s="1" t="str">
        <f>IFERROR(__xludf.DUMMYFUNCTION("""COMPUTED_VALUE"""),"NUEVO")</f>
        <v>NUEVO</v>
      </c>
      <c r="AW164" s="1" t="str">
        <f>IFERROR(__xludf.DUMMYFUNCTION("""COMPUTED_VALUE"""),"SI")</f>
        <v>SI</v>
      </c>
      <c r="AX164" s="1"/>
      <c r="AY164" s="1" t="str">
        <f>IFERROR(__xludf.DUMMYFUNCTION("""COMPUTED_VALUE"""),"PAGO COMPLETO")</f>
        <v>PAGO COMPLETO</v>
      </c>
      <c r="AZ164" s="5">
        <f>IFERROR(__xludf.DUMMYFUNCTION("""COMPUTED_VALUE"""),45625.0)</f>
        <v>45625</v>
      </c>
      <c r="BA164" s="1">
        <f>IFERROR(__xludf.DUMMYFUNCTION("""COMPUTED_VALUE"""),575.0)</f>
        <v>575</v>
      </c>
      <c r="BB164" s="1">
        <f>IFERROR(__xludf.DUMMYFUNCTION("""COMPUTED_VALUE"""),0.0)</f>
        <v>0</v>
      </c>
      <c r="BC164" s="4">
        <f>IFERROR(__xludf.DUMMYFUNCTION("""COMPUTED_VALUE"""),0.0)</f>
        <v>0</v>
      </c>
      <c r="BD164" s="4">
        <f>IFERROR(__xludf.DUMMYFUNCTION("""COMPUTED_VALUE"""),0.0)</f>
        <v>0</v>
      </c>
      <c r="BE164" s="1">
        <f>IFERROR(__xludf.DUMMYFUNCTION("""COMPUTED_VALUE"""),11.0)</f>
        <v>11</v>
      </c>
      <c r="BF164" s="6">
        <f>IFERROR(__xludf.DUMMYFUNCTION("""COMPUTED_VALUE"""),1.0)</f>
        <v>1</v>
      </c>
      <c r="BG164" s="1">
        <f>IFERROR(__xludf.DUMMYFUNCTION("""COMPUTED_VALUE"""),1.0)</f>
        <v>1</v>
      </c>
      <c r="BH164" s="1" t="str">
        <f>IFERROR(__xludf.DUMMYFUNCTION("""COMPUTED_VALUE"""),"0")</f>
        <v>0</v>
      </c>
      <c r="BI164" s="4">
        <f>IFERROR(__xludf.DUMMYFUNCTION("""COMPUTED_VALUE"""),1150.0)</f>
        <v>1150</v>
      </c>
      <c r="BJ164" s="1">
        <f>IFERROR(__xludf.DUMMYFUNCTION("""COMPUTED_VALUE"""),0.0)</f>
        <v>0</v>
      </c>
      <c r="BK164" s="4">
        <f>IFERROR(__xludf.DUMMYFUNCTION("""COMPUTED_VALUE"""),0.0)</f>
        <v>0</v>
      </c>
      <c r="BL164" s="1">
        <f>IFERROR(__xludf.DUMMYFUNCTION("""COMPUTED_VALUE"""),1150.0)</f>
        <v>1150</v>
      </c>
      <c r="BM164" s="1">
        <f>IFERROR(__xludf.DUMMYFUNCTION("""COMPUTED_VALUE"""),45.0)</f>
        <v>45</v>
      </c>
      <c r="BN164" s="2">
        <f>IFERROR(__xludf.DUMMYFUNCTION("""COMPUTED_VALUE"""),45600.0)</f>
        <v>45600</v>
      </c>
      <c r="BO164" s="1">
        <f>IFERROR(__xludf.DUMMYFUNCTION("""COMPUTED_VALUE"""),11.0)</f>
        <v>11</v>
      </c>
      <c r="BP164" s="1">
        <f>IFERROR(__xludf.DUMMYFUNCTION("""COMPUTED_VALUE"""),2024.0)</f>
        <v>2024</v>
      </c>
    </row>
    <row r="165">
      <c r="A165" s="1">
        <f>IFERROR(__xludf.DUMMYFUNCTION("""COMPUTED_VALUE"""),164.0)</f>
        <v>164</v>
      </c>
      <c r="B165" s="1">
        <f>IFERROR(__xludf.DUMMYFUNCTION("""COMPUTED_VALUE"""),4477510.0)</f>
        <v>4477510</v>
      </c>
      <c r="C165" s="1" t="str">
        <f>IFERROR(__xludf.DUMMYFUNCTION("""COMPUTED_VALUE"""),"2025-1")</f>
        <v>2025-1</v>
      </c>
      <c r="D165" s="1" t="str">
        <f>IFERROR(__xludf.DUMMYFUNCTION("""COMPUTED_VALUE"""),"Admisión Ordinaria")</f>
        <v>Admisión Ordinaria</v>
      </c>
      <c r="E165" s="2">
        <f>IFERROR(__xludf.DUMMYFUNCTION("""COMPUTED_VALUE"""),45604.0)</f>
        <v>45604</v>
      </c>
      <c r="F165" s="1" t="str">
        <f>IFERROR(__xludf.DUMMYFUNCTION("""COMPUTED_VALUE"""),"PAMELA ALEXANDRA")</f>
        <v>PAMELA ALEXANDRA</v>
      </c>
      <c r="G165" s="1" t="str">
        <f>IFERROR(__xludf.DUMMYFUNCTION("""COMPUTED_VALUE"""),"DEL AGUILA GONZALES")</f>
        <v>DEL AGUILA GONZALES</v>
      </c>
      <c r="H165" s="1" t="str">
        <f>IFERROR(__xludf.DUMMYFUNCTION("""COMPUTED_VALUE"""),"Psicología")</f>
        <v>Psicología</v>
      </c>
      <c r="I165" s="1" t="str">
        <f>IFERROR(__xludf.DUMMYFUNCTION("""COMPUTED_VALUE"""),"POS")</f>
        <v>POS</v>
      </c>
      <c r="J165" s="1" t="str">
        <f>IFERROR(__xludf.DUMMYFUNCTION("""COMPUTED_VALUE"""),"Diurno")</f>
        <v>Diurno</v>
      </c>
      <c r="K165" s="1" t="str">
        <f>IFERROR(__xludf.DUMMYFUNCTION("""COMPUTED_VALUE"""),"NUEVO")</f>
        <v>NUEVO</v>
      </c>
      <c r="L165" s="1">
        <f>IFERROR(__xludf.DUMMYFUNCTION("""COMPUTED_VALUE"""),0.0)</f>
        <v>0</v>
      </c>
      <c r="M165" s="1">
        <f>IFERROR(__xludf.DUMMYFUNCTION("""COMPUTED_VALUE"""),0.0)</f>
        <v>0</v>
      </c>
      <c r="N165" s="1" t="str">
        <f>IFERROR(__xludf.DUMMYFUNCTION("""COMPUTED_VALUE"""),"BECA")</f>
        <v>BECA</v>
      </c>
      <c r="O165" s="1" t="str">
        <f>IFERROR(__xludf.DUMMYFUNCTION("""COMPUTED_VALUE"""),"BECA CARRERAS NUEVAS")</f>
        <v>BECA CARRERAS NUEVAS</v>
      </c>
      <c r="P165" s="4">
        <f>IFERROR(__xludf.DUMMYFUNCTION("""COMPUTED_VALUE"""),0.0)</f>
        <v>0</v>
      </c>
      <c r="Q165" s="4">
        <f>IFERROR(__xludf.DUMMYFUNCTION("""COMPUTED_VALUE"""),0.0)</f>
        <v>0</v>
      </c>
      <c r="R165" s="4">
        <f>IFERROR(__xludf.DUMMYFUNCTION("""COMPUTED_VALUE"""),1050.0)</f>
        <v>1050</v>
      </c>
      <c r="S165" s="4">
        <f>IFERROR(__xludf.DUMMYFUNCTION("""COMPUTED_VALUE"""),850.0)</f>
        <v>850</v>
      </c>
      <c r="T165" s="1" t="str">
        <f>IFERROR(__xludf.DUMMYFUNCTION("""COMPUTED_VALUE"""),"NINGUNO")</f>
        <v>NINGUNO</v>
      </c>
      <c r="U165" s="1" t="str">
        <f>IFERROR(__xludf.DUMMYFUNCTION("""COMPUTED_VALUE"""),"FABIOLA")</f>
        <v>FABIOLA</v>
      </c>
      <c r="V165" s="1" t="str">
        <f>IFERROR(__xludf.DUMMYFUNCTION("""COMPUTED_VALUE"""),"Ninguno")</f>
        <v>Ninguno</v>
      </c>
      <c r="W165" s="1" t="str">
        <f>IFERROR(__xludf.DUMMYFUNCTION("""COMPUTED_VALUE"""),"Malla curricular")</f>
        <v>Malla curricular</v>
      </c>
      <c r="X165" s="1" t="str">
        <f>IFERROR(__xludf.DUMMYFUNCTION("""COMPUTED_VALUE"""),"-")</f>
        <v>-</v>
      </c>
      <c r="Y165" s="1" t="str">
        <f>IFERROR(__xludf.DUMMYFUNCTION("""COMPUTED_VALUE"""),"PAGO COMPLETO")</f>
        <v>PAGO COMPLETO</v>
      </c>
      <c r="Z165" s="1">
        <f>IFERROR(__xludf.DUMMYFUNCTION("""COMPUTED_VALUE"""),0.0)</f>
        <v>0</v>
      </c>
      <c r="AA165" s="1" t="str">
        <f>IFERROR(__xludf.DUMMYFUNCTION("""COMPUTED_VALUE"""),"-")</f>
        <v>-</v>
      </c>
      <c r="AB165" s="1">
        <f>IFERROR(__xludf.DUMMYFUNCTION("""COMPUTED_VALUE"""),0.0)</f>
        <v>0</v>
      </c>
      <c r="AC165" s="1">
        <f>IFERROR(__xludf.DUMMYFUNCTION("""COMPUTED_VALUE"""),0.0)</f>
        <v>0</v>
      </c>
      <c r="AD165" s="1" t="str">
        <f>IFERROR(__xludf.DUMMYFUNCTION("""COMPUTED_VALUE"""),"Angelica Iparraguirre")</f>
        <v>Angelica Iparraguirre</v>
      </c>
      <c r="AE165" s="1" t="str">
        <f>IFERROR(__xludf.DUMMYFUNCTION("""COMPUTED_VALUE"""),"0")</f>
        <v>0</v>
      </c>
      <c r="AF165" s="1">
        <f>IFERROR(__xludf.DUMMYFUNCTION("""COMPUTED_VALUE"""),2021.0)</f>
        <v>2021</v>
      </c>
      <c r="AG165" s="1">
        <f>IFERROR(__xludf.DUMMYFUNCTION("""COMPUTED_VALUE"""),765305.0)</f>
        <v>765305</v>
      </c>
      <c r="AH165" s="1">
        <f>IFERROR(__xludf.DUMMYFUNCTION("""COMPUTED_VALUE"""),19.0)</f>
        <v>19</v>
      </c>
      <c r="AI165" s="1" t="str">
        <f>IFERROR(__xludf.DUMMYFUNCTION("""COMPUTED_VALUE"""),"0000400225")</f>
        <v>0000400225</v>
      </c>
      <c r="AJ165" s="1">
        <f>IFERROR(__xludf.DUMMYFUNCTION("""COMPUTED_VALUE"""),7.3873377E7)</f>
        <v>73873377</v>
      </c>
      <c r="AK165" s="1">
        <f>IFERROR(__xludf.DUMMYFUNCTION("""COMPUTED_VALUE"""),9.26625135E8)</f>
        <v>926625135</v>
      </c>
      <c r="AL165" s="1" t="str">
        <f>IFERROR(__xludf.DUMMYFUNCTION("""COMPUTED_VALUE"""),"delaguilagonzalespamela@gmail.com")</f>
        <v>delaguilagonzalespamela@gmail.com</v>
      </c>
      <c r="AM165" s="1" t="str">
        <f>IFERROR(__xludf.DUMMYFUNCTION("""COMPUTED_VALUE"""),"FEMENINO")</f>
        <v>FEMENINO</v>
      </c>
      <c r="AN165" s="1">
        <f>IFERROR(__xludf.DUMMYFUNCTION("""COMPUTED_VALUE"""),1050.0)</f>
        <v>1050</v>
      </c>
      <c r="AO165" s="1">
        <f>IFERROR(__xludf.DUMMYFUNCTION("""COMPUTED_VALUE"""),0.0)</f>
        <v>0</v>
      </c>
      <c r="AP165" s="1" t="str">
        <f>IFERROR(__xludf.DUMMYFUNCTION("""COMPUTED_VALUE"""),"OUTBOUND")</f>
        <v>OUTBOUND</v>
      </c>
      <c r="AQ165" s="1" t="str">
        <f>IFERROR(__xludf.DUMMYFUNCTION("""COMPUTED_VALUE"""),"OUTBOUND")</f>
        <v>OUTBOUND</v>
      </c>
      <c r="AR165" s="1" t="str">
        <f>IFERROR(__xludf.DUMMYFUNCTION("""COMPUTED_VALUE"""),"NUEVO")</f>
        <v>NUEVO</v>
      </c>
      <c r="AS165" s="1"/>
      <c r="AT165" s="2">
        <f>IFERROR(__xludf.DUMMYFUNCTION("""COMPUTED_VALUE"""),45549.0)</f>
        <v>45549</v>
      </c>
      <c r="AU165" s="1">
        <f>IFERROR(__xludf.DUMMYFUNCTION("""COMPUTED_VALUE"""),1.0)</f>
        <v>1</v>
      </c>
      <c r="AV165" s="1" t="str">
        <f>IFERROR(__xludf.DUMMYFUNCTION("""COMPUTED_VALUE"""),"NUEVO")</f>
        <v>NUEVO</v>
      </c>
      <c r="AW165" s="1" t="str">
        <f>IFERROR(__xludf.DUMMYFUNCTION("""COMPUTED_VALUE"""),"SI")</f>
        <v>SI</v>
      </c>
      <c r="AX165" s="1"/>
      <c r="AY165" s="1" t="str">
        <f>IFERROR(__xludf.DUMMYFUNCTION("""COMPUTED_VALUE"""),"PAGO COMPLETO")</f>
        <v>PAGO COMPLETO</v>
      </c>
      <c r="AZ165" s="5">
        <f>IFERROR(__xludf.DUMMYFUNCTION("""COMPUTED_VALUE"""),45604.0)</f>
        <v>45604</v>
      </c>
      <c r="BA165" s="1">
        <f>IFERROR(__xludf.DUMMYFUNCTION("""COMPUTED_VALUE"""),0.0)</f>
        <v>0</v>
      </c>
      <c r="BB165" s="1">
        <f>IFERROR(__xludf.DUMMYFUNCTION("""COMPUTED_VALUE"""),0.0)</f>
        <v>0</v>
      </c>
      <c r="BC165" s="4">
        <f>IFERROR(__xludf.DUMMYFUNCTION("""COMPUTED_VALUE"""),0.0)</f>
        <v>0</v>
      </c>
      <c r="BD165" s="4">
        <f>IFERROR(__xludf.DUMMYFUNCTION("""COMPUTED_VALUE"""),0.0)</f>
        <v>0</v>
      </c>
      <c r="BE165" s="1">
        <f>IFERROR(__xludf.DUMMYFUNCTION("""COMPUTED_VALUE"""),11.0)</f>
        <v>11</v>
      </c>
      <c r="BF165" s="6">
        <f>IFERROR(__xludf.DUMMYFUNCTION("""COMPUTED_VALUE"""),1.0)</f>
        <v>1</v>
      </c>
      <c r="BG165" s="1">
        <f>IFERROR(__xludf.DUMMYFUNCTION("""COMPUTED_VALUE"""),1.0)</f>
        <v>1</v>
      </c>
      <c r="BH165" s="1" t="str">
        <f>IFERROR(__xludf.DUMMYFUNCTION("""COMPUTED_VALUE"""),"0")</f>
        <v>0</v>
      </c>
      <c r="BI165" s="4">
        <f>IFERROR(__xludf.DUMMYFUNCTION("""COMPUTED_VALUE"""),0.0)</f>
        <v>0</v>
      </c>
      <c r="BJ165" s="1">
        <f>IFERROR(__xludf.DUMMYFUNCTION("""COMPUTED_VALUE"""),0.0)</f>
        <v>0</v>
      </c>
      <c r="BK165" s="4">
        <f>IFERROR(__xludf.DUMMYFUNCTION("""COMPUTED_VALUE"""),0.0)</f>
        <v>0</v>
      </c>
      <c r="BL165" s="1">
        <f>IFERROR(__xludf.DUMMYFUNCTION("""COMPUTED_VALUE"""),850.0)</f>
        <v>850</v>
      </c>
      <c r="BM165" s="1">
        <f>IFERROR(__xludf.DUMMYFUNCTION("""COMPUTED_VALUE"""),45.0)</f>
        <v>45</v>
      </c>
      <c r="BN165" s="2">
        <f>IFERROR(__xludf.DUMMYFUNCTION("""COMPUTED_VALUE"""),45600.0)</f>
        <v>45600</v>
      </c>
      <c r="BO165" s="1">
        <f>IFERROR(__xludf.DUMMYFUNCTION("""COMPUTED_VALUE"""),11.0)</f>
        <v>11</v>
      </c>
      <c r="BP165" s="1">
        <f>IFERROR(__xludf.DUMMYFUNCTION("""COMPUTED_VALUE"""),2024.0)</f>
        <v>2024</v>
      </c>
    </row>
    <row r="166">
      <c r="A166" s="1">
        <f>IFERROR(__xludf.DUMMYFUNCTION("""COMPUTED_VALUE"""),165.0)</f>
        <v>165</v>
      </c>
      <c r="B166" s="1">
        <f>IFERROR(__xludf.DUMMYFUNCTION("""COMPUTED_VALUE"""),4781921.0)</f>
        <v>4781921</v>
      </c>
      <c r="C166" s="1" t="str">
        <f>IFERROR(__xludf.DUMMYFUNCTION("""COMPUTED_VALUE"""),"2025-1")</f>
        <v>2025-1</v>
      </c>
      <c r="D166" s="1" t="str">
        <f>IFERROR(__xludf.DUMMYFUNCTION("""COMPUTED_VALUE"""),"Admisión Extraordinaria (Traslados)")</f>
        <v>Admisión Extraordinaria (Traslados)</v>
      </c>
      <c r="E166" s="2">
        <f>IFERROR(__xludf.DUMMYFUNCTION("""COMPUTED_VALUE"""),45605.0)</f>
        <v>45605</v>
      </c>
      <c r="F166" s="1" t="str">
        <f>IFERROR(__xludf.DUMMYFUNCTION("""COMPUTED_VALUE"""),"JUSTIN HATNIEL ")</f>
        <v>JUSTIN HATNIEL </v>
      </c>
      <c r="G166" s="1" t="str">
        <f>IFERROR(__xludf.DUMMYFUNCTION("""COMPUTED_VALUE"""),"VALLE PENADILLO")</f>
        <v>VALLE PENADILLO</v>
      </c>
      <c r="H166" s="1" t="str">
        <f>IFERROR(__xludf.DUMMYFUNCTION("""COMPUTED_VALUE"""),"Comunicación Audiovisual y Cine")</f>
        <v>Comunicación Audiovisual y Cine</v>
      </c>
      <c r="I166" s="1" t="str">
        <f>IFERROR(__xludf.DUMMYFUNCTION("""COMPUTED_VALUE"""),"POS")</f>
        <v>POS</v>
      </c>
      <c r="J166" s="1" t="str">
        <f>IFERROR(__xludf.DUMMYFUNCTION("""COMPUTED_VALUE"""),"Diurno")</f>
        <v>Diurno</v>
      </c>
      <c r="K166" s="1" t="str">
        <f>IFERROR(__xludf.DUMMYFUNCTION("""COMPUTED_VALUE"""),"TRASLADO")</f>
        <v>TRASLADO</v>
      </c>
      <c r="L166" s="1">
        <f>IFERROR(__xludf.DUMMYFUNCTION("""COMPUTED_VALUE"""),0.0)</f>
        <v>0</v>
      </c>
      <c r="M166" s="1">
        <f>IFERROR(__xludf.DUMMYFUNCTION("""COMPUTED_VALUE"""),0.0)</f>
        <v>0</v>
      </c>
      <c r="N166" s="1" t="str">
        <f>IFERROR(__xludf.DUMMYFUNCTION("""COMPUTED_VALUE"""),"BECA")</f>
        <v>BECA</v>
      </c>
      <c r="O166" s="1" t="str">
        <f>IFERROR(__xludf.DUMMYFUNCTION("""COMPUTED_VALUE"""),"BECA CARRERAS CORE-TRASLADOS SIN CONVA")</f>
        <v>BECA CARRERAS CORE-TRASLADOS SIN CONVA</v>
      </c>
      <c r="P166" s="4">
        <f>IFERROR(__xludf.DUMMYFUNCTION("""COMPUTED_VALUE"""),0.0)</f>
        <v>0</v>
      </c>
      <c r="Q166" s="4">
        <f>IFERROR(__xludf.DUMMYFUNCTION("""COMPUTED_VALUE"""),0.0)</f>
        <v>0</v>
      </c>
      <c r="R166" s="4">
        <f>IFERROR(__xludf.DUMMYFUNCTION("""COMPUTED_VALUE"""),1525.0)</f>
        <v>1525</v>
      </c>
      <c r="S166" s="4">
        <f>IFERROR(__xludf.DUMMYFUNCTION("""COMPUTED_VALUE"""),1250.0)</f>
        <v>1250</v>
      </c>
      <c r="T166" s="1" t="str">
        <f>IFERROR(__xludf.DUMMYFUNCTION("""COMPUTED_VALUE"""),"Visita Guiada")</f>
        <v>Visita Guiada</v>
      </c>
      <c r="U166" s="1" t="str">
        <f>IFERROR(__xludf.DUMMYFUNCTION("""COMPUTED_VALUE"""),"FABIOLA")</f>
        <v>FABIOLA</v>
      </c>
      <c r="V166" s="1" t="str">
        <f>IFERROR(__xludf.DUMMYFUNCTION("""COMPUTED_VALUE"""),"Ninguno")</f>
        <v>Ninguno</v>
      </c>
      <c r="W166" s="1" t="str">
        <f>IFERROR(__xludf.DUMMYFUNCTION("""COMPUTED_VALUE"""),"Metodología de enseñanza")</f>
        <v>Metodología de enseñanza</v>
      </c>
      <c r="X166" s="1" t="str">
        <f>IFERROR(__xludf.DUMMYFUNCTION("""COMPUTED_VALUE"""),"-")</f>
        <v>-</v>
      </c>
      <c r="Y166" s="1" t="str">
        <f>IFERROR(__xludf.DUMMYFUNCTION("""COMPUTED_VALUE"""),"PAGO FRACCIONADO")</f>
        <v>PAGO FRACCIONADO</v>
      </c>
      <c r="Z166" s="1">
        <f>IFERROR(__xludf.DUMMYFUNCTION("""COMPUTED_VALUE"""),600.0)</f>
        <v>600</v>
      </c>
      <c r="AA166" s="1" t="str">
        <f>IFERROR(__xludf.DUMMYFUNCTION("""COMPUTED_VALUE"""),"29/11/2024")</f>
        <v>29/11/2024</v>
      </c>
      <c r="AB166" s="1">
        <f>IFERROR(__xludf.DUMMYFUNCTION("""COMPUTED_VALUE"""),0.0)</f>
        <v>0</v>
      </c>
      <c r="AC166" s="1">
        <f>IFERROR(__xludf.DUMMYFUNCTION("""COMPUTED_VALUE"""),0.0)</f>
        <v>0</v>
      </c>
      <c r="AD166" s="1" t="str">
        <f>IFERROR(__xludf.DUMMYFUNCTION("""COMPUTED_VALUE"""),"Ingrid Guillermo Rivera")</f>
        <v>Ingrid Guillermo Rivera</v>
      </c>
      <c r="AE166" s="1" t="str">
        <f>IFERROR(__xludf.DUMMYFUNCTION("""COMPUTED_VALUE"""),"ISIL")</f>
        <v>ISIL</v>
      </c>
      <c r="AF166" s="1">
        <f>IFERROR(__xludf.DUMMYFUNCTION("""COMPUTED_VALUE"""),2023.0)</f>
        <v>2023</v>
      </c>
      <c r="AG166" s="1">
        <f>IFERROR(__xludf.DUMMYFUNCTION("""COMPUTED_VALUE"""),1482439.0)</f>
        <v>1482439</v>
      </c>
      <c r="AH166" s="1">
        <f>IFERROR(__xludf.DUMMYFUNCTION("""COMPUTED_VALUE"""),17.0)</f>
        <v>17</v>
      </c>
      <c r="AI166" s="1" t="str">
        <f>IFERROR(__xludf.DUMMYFUNCTION("""COMPUTED_VALUE"""),"0000400279")</f>
        <v>0000400279</v>
      </c>
      <c r="AJ166" s="1">
        <f>IFERROR(__xludf.DUMMYFUNCTION("""COMPUTED_VALUE"""),6.1045543E7)</f>
        <v>61045543</v>
      </c>
      <c r="AK166" s="1">
        <f>IFERROR(__xludf.DUMMYFUNCTION("""COMPUTED_VALUE"""),9.27973236E8)</f>
        <v>927973236</v>
      </c>
      <c r="AL166" s="1" t="str">
        <f>IFERROR(__xludf.DUMMYFUNCTION("""COMPUTED_VALUE"""),"jostinhatniel@gmail.com")</f>
        <v>jostinhatniel@gmail.com</v>
      </c>
      <c r="AM166" s="1" t="str">
        <f>IFERROR(__xludf.DUMMYFUNCTION("""COMPUTED_VALUE"""),"MASCULINO")</f>
        <v>MASCULINO</v>
      </c>
      <c r="AN166" s="1">
        <f>IFERROR(__xludf.DUMMYFUNCTION("""COMPUTED_VALUE"""),1525.0)</f>
        <v>1525</v>
      </c>
      <c r="AO166" s="1">
        <f>IFERROR(__xludf.DUMMYFUNCTION("""COMPUTED_VALUE"""),200.0)</f>
        <v>200</v>
      </c>
      <c r="AP166" s="1" t="str">
        <f>IFERROR(__xludf.DUMMYFUNCTION("""COMPUTED_VALUE"""),"FORMULARIO")</f>
        <v>FORMULARIO</v>
      </c>
      <c r="AQ166" s="1" t="str">
        <f>IFERROR(__xludf.DUMMYFUNCTION("""COMPUTED_VALUE"""),"ORGANICO")</f>
        <v>ORGANICO</v>
      </c>
      <c r="AR166" s="1" t="str">
        <f>IFERROR(__xludf.DUMMYFUNCTION("""COMPUTED_VALUE"""),"NUEVO")</f>
        <v>NUEVO</v>
      </c>
      <c r="AS166" s="1"/>
      <c r="AT166" s="2">
        <f>IFERROR(__xludf.DUMMYFUNCTION("""COMPUTED_VALUE"""),45597.0)</f>
        <v>45597</v>
      </c>
      <c r="AU166" s="1">
        <f>IFERROR(__xludf.DUMMYFUNCTION("""COMPUTED_VALUE"""),1.0)</f>
        <v>1</v>
      </c>
      <c r="AV166" s="1" t="str">
        <f>IFERROR(__xludf.DUMMYFUNCTION("""COMPUTED_VALUE"""),"NUEVO")</f>
        <v>NUEVO</v>
      </c>
      <c r="AW166" s="1" t="str">
        <f>IFERROR(__xludf.DUMMYFUNCTION("""COMPUTED_VALUE"""),"SI")</f>
        <v>SI</v>
      </c>
      <c r="AX166" s="1"/>
      <c r="AY166" s="1" t="str">
        <f>IFERROR(__xludf.DUMMYFUNCTION("""COMPUTED_VALUE"""),"PAGO COMPLETO")</f>
        <v>PAGO COMPLETO</v>
      </c>
      <c r="AZ166" s="5">
        <f>IFERROR(__xludf.DUMMYFUNCTION("""COMPUTED_VALUE"""),45615.0)</f>
        <v>45615</v>
      </c>
      <c r="BA166" s="1">
        <f>IFERROR(__xludf.DUMMYFUNCTION("""COMPUTED_VALUE"""),550.0)</f>
        <v>550</v>
      </c>
      <c r="BB166" s="1">
        <f>IFERROR(__xludf.DUMMYFUNCTION("""COMPUTED_VALUE"""),0.0)</f>
        <v>0</v>
      </c>
      <c r="BC166" s="4">
        <f>IFERROR(__xludf.DUMMYFUNCTION("""COMPUTED_VALUE"""),0.0)</f>
        <v>0</v>
      </c>
      <c r="BD166" s="4">
        <f>IFERROR(__xludf.DUMMYFUNCTION("""COMPUTED_VALUE"""),100.0)</f>
        <v>100</v>
      </c>
      <c r="BE166" s="1">
        <f>IFERROR(__xludf.DUMMYFUNCTION("""COMPUTED_VALUE"""),11.0)</f>
        <v>11</v>
      </c>
      <c r="BF166" s="6">
        <f>IFERROR(__xludf.DUMMYFUNCTION("""COMPUTED_VALUE"""),1.0)</f>
        <v>1</v>
      </c>
      <c r="BG166" s="1">
        <f>IFERROR(__xludf.DUMMYFUNCTION("""COMPUTED_VALUE"""),1.0)</f>
        <v>1</v>
      </c>
      <c r="BH166" s="1" t="str">
        <f>IFERROR(__xludf.DUMMYFUNCTION("""COMPUTED_VALUE"""),"0")</f>
        <v>0</v>
      </c>
      <c r="BI166" s="4">
        <f>IFERROR(__xludf.DUMMYFUNCTION("""COMPUTED_VALUE"""),1250.0)</f>
        <v>1250</v>
      </c>
      <c r="BJ166" s="1">
        <f>IFERROR(__xludf.DUMMYFUNCTION("""COMPUTED_VALUE"""),0.0)</f>
        <v>0</v>
      </c>
      <c r="BK166" s="4">
        <f>IFERROR(__xludf.DUMMYFUNCTION("""COMPUTED_VALUE"""),100.0)</f>
        <v>100</v>
      </c>
      <c r="BL166" s="1">
        <f>IFERROR(__xludf.DUMMYFUNCTION("""COMPUTED_VALUE"""),1230.0)</f>
        <v>1230</v>
      </c>
      <c r="BM166" s="1">
        <f>IFERROR(__xludf.DUMMYFUNCTION("""COMPUTED_VALUE"""),45.0)</f>
        <v>45</v>
      </c>
      <c r="BN166" s="2">
        <f>IFERROR(__xludf.DUMMYFUNCTION("""COMPUTED_VALUE"""),45600.0)</f>
        <v>45600</v>
      </c>
      <c r="BO166" s="1">
        <f>IFERROR(__xludf.DUMMYFUNCTION("""COMPUTED_VALUE"""),11.0)</f>
        <v>11</v>
      </c>
      <c r="BP166" s="1">
        <f>IFERROR(__xludf.DUMMYFUNCTION("""COMPUTED_VALUE"""),2024.0)</f>
        <v>2024</v>
      </c>
    </row>
    <row r="167">
      <c r="A167" s="1">
        <f>IFERROR(__xludf.DUMMYFUNCTION("""COMPUTED_VALUE"""),166.0)</f>
        <v>166</v>
      </c>
      <c r="B167" s="1">
        <f>IFERROR(__xludf.DUMMYFUNCTION("""COMPUTED_VALUE"""),1570913.0)</f>
        <v>1570913</v>
      </c>
      <c r="C167" s="1" t="str">
        <f>IFERROR(__xludf.DUMMYFUNCTION("""COMPUTED_VALUE"""),"2025-1")</f>
        <v>2025-1</v>
      </c>
      <c r="D167" s="1" t="str">
        <f>IFERROR(__xludf.DUMMYFUNCTION("""COMPUTED_VALUE"""),"Admisión Ordinaria")</f>
        <v>Admisión Ordinaria</v>
      </c>
      <c r="E167" s="2">
        <f>IFERROR(__xludf.DUMMYFUNCTION("""COMPUTED_VALUE"""),45605.0)</f>
        <v>45605</v>
      </c>
      <c r="F167" s="1" t="str">
        <f>IFERROR(__xludf.DUMMYFUNCTION("""COMPUTED_VALUE"""),"XIOMARA TATIANA")</f>
        <v>XIOMARA TATIANA</v>
      </c>
      <c r="G167" s="1" t="str">
        <f>IFERROR(__xludf.DUMMYFUNCTION("""COMPUTED_VALUE""")," CASTILLA VILLA")</f>
        <v> CASTILLA VILLA</v>
      </c>
      <c r="H167" s="1" t="str">
        <f>IFERROR(__xludf.DUMMYFUNCTION("""COMPUTED_VALUE"""),"Diseño Gráfico Publicitario")</f>
        <v>Diseño Gráfico Publicitario</v>
      </c>
      <c r="I167" s="1" t="str">
        <f>IFERROR(__xludf.DUMMYFUNCTION("""COMPUTED_VALUE"""),"Pago Link")</f>
        <v>Pago Link</v>
      </c>
      <c r="J167" s="1" t="str">
        <f>IFERROR(__xludf.DUMMYFUNCTION("""COMPUTED_VALUE"""),"Diurno")</f>
        <v>Diurno</v>
      </c>
      <c r="K167" s="1" t="str">
        <f>IFERROR(__xludf.DUMMYFUNCTION("""COMPUTED_VALUE"""),"NUEVO")</f>
        <v>NUEVO</v>
      </c>
      <c r="L167" s="1">
        <f>IFERROR(__xludf.DUMMYFUNCTION("""COMPUTED_VALUE"""),0.0)</f>
        <v>0</v>
      </c>
      <c r="M167" s="1">
        <f>IFERROR(__xludf.DUMMYFUNCTION("""COMPUTED_VALUE"""),0.0)</f>
        <v>0</v>
      </c>
      <c r="N167" s="1" t="str">
        <f>IFERROR(__xludf.DUMMYFUNCTION("""COMPUTED_VALUE"""),"BECA")</f>
        <v>BECA</v>
      </c>
      <c r="O167" s="1" t="str">
        <f>IFERROR(__xludf.DUMMYFUNCTION("""COMPUTED_VALUE"""),"BECA CARRERAS CORE")</f>
        <v>BECA CARRERAS CORE</v>
      </c>
      <c r="P167" s="4">
        <f>IFERROR(__xludf.DUMMYFUNCTION("""COMPUTED_VALUE"""),0.0)</f>
        <v>0</v>
      </c>
      <c r="Q167" s="4">
        <f>IFERROR(__xludf.DUMMYFUNCTION("""COMPUTED_VALUE"""),0.0)</f>
        <v>0</v>
      </c>
      <c r="R167" s="4">
        <f>IFERROR(__xludf.DUMMYFUNCTION("""COMPUTED_VALUE"""),1050.0)</f>
        <v>1050</v>
      </c>
      <c r="S167" s="4">
        <f>IFERROR(__xludf.DUMMYFUNCTION("""COMPUTED_VALUE"""),850.0)</f>
        <v>850</v>
      </c>
      <c r="T167" s="1" t="str">
        <f>IFERROR(__xludf.DUMMYFUNCTION("""COMPUTED_VALUE"""),"NINGUNO")</f>
        <v>NINGUNO</v>
      </c>
      <c r="U167" s="1" t="str">
        <f>IFERROR(__xludf.DUMMYFUNCTION("""COMPUTED_VALUE"""),"FABIOLA")</f>
        <v>FABIOLA</v>
      </c>
      <c r="V167" s="1" t="str">
        <f>IFERROR(__xludf.DUMMYFUNCTION("""COMPUTED_VALUE"""),"Ninguno")</f>
        <v>Ninguno</v>
      </c>
      <c r="W167" s="1" t="str">
        <f>IFERROR(__xludf.DUMMYFUNCTION("""COMPUTED_VALUE"""),"Metodología de enseñanza")</f>
        <v>Metodología de enseñanza</v>
      </c>
      <c r="X167" s="1" t="str">
        <f>IFERROR(__xludf.DUMMYFUNCTION("""COMPUTED_VALUE"""),"-")</f>
        <v>-</v>
      </c>
      <c r="Y167" s="1" t="str">
        <f>IFERROR(__xludf.DUMMYFUNCTION("""COMPUTED_VALUE"""),"PAGO FRACCIONADO")</f>
        <v>PAGO FRACCIONADO</v>
      </c>
      <c r="Z167" s="1">
        <f>IFERROR(__xludf.DUMMYFUNCTION("""COMPUTED_VALUE"""),500.0)</f>
        <v>500</v>
      </c>
      <c r="AA167" s="1" t="str">
        <f>IFERROR(__xludf.DUMMYFUNCTION("""COMPUTED_VALUE"""),"29/11/2024")</f>
        <v>29/11/2024</v>
      </c>
      <c r="AB167" s="1">
        <f>IFERROR(__xludf.DUMMYFUNCTION("""COMPUTED_VALUE"""),0.0)</f>
        <v>0</v>
      </c>
      <c r="AC167" s="1">
        <f>IFERROR(__xludf.DUMMYFUNCTION("""COMPUTED_VALUE"""),0.0)</f>
        <v>0</v>
      </c>
      <c r="AD167" s="1" t="str">
        <f>IFERROR(__xludf.DUMMYFUNCTION("""COMPUTED_VALUE"""),"Ingrid Guillermo Rivera")</f>
        <v>Ingrid Guillermo Rivera</v>
      </c>
      <c r="AE167" s="1" t="str">
        <f>IFERROR(__xludf.DUMMYFUNCTION("""COMPUTED_VALUE"""),"0")</f>
        <v>0</v>
      </c>
      <c r="AF167" s="1">
        <f>IFERROR(__xludf.DUMMYFUNCTION("""COMPUTED_VALUE"""),2022.0)</f>
        <v>2022</v>
      </c>
      <c r="AG167" s="1">
        <f>IFERROR(__xludf.DUMMYFUNCTION("""COMPUTED_VALUE"""),1189612.0)</f>
        <v>1189612</v>
      </c>
      <c r="AH167" s="1">
        <f>IFERROR(__xludf.DUMMYFUNCTION("""COMPUTED_VALUE"""),16.0)</f>
        <v>16</v>
      </c>
      <c r="AI167" s="1" t="str">
        <f>IFERROR(__xludf.DUMMYFUNCTION("""COMPUTED_VALUE"""),"0000024647")</f>
        <v>0000024647</v>
      </c>
      <c r="AJ167" s="1">
        <f>IFERROR(__xludf.DUMMYFUNCTION("""COMPUTED_VALUE"""),6.1298332E7)</f>
        <v>61298332</v>
      </c>
      <c r="AK167" s="1">
        <f>IFERROR(__xludf.DUMMYFUNCTION("""COMPUTED_VALUE"""),9.60585885E8)</f>
        <v>960585885</v>
      </c>
      <c r="AL167" s="1" t="str">
        <f>IFERROR(__xludf.DUMMYFUNCTION("""COMPUTED_VALUE"""),"castillatatiana515@gmail.com")</f>
        <v>castillatatiana515@gmail.com</v>
      </c>
      <c r="AM167" s="1" t="str">
        <f>IFERROR(__xludf.DUMMYFUNCTION("""COMPUTED_VALUE"""),"FEMENINO")</f>
        <v>FEMENINO</v>
      </c>
      <c r="AN167" s="1">
        <f>IFERROR(__xludf.DUMMYFUNCTION("""COMPUTED_VALUE"""),1050.0)</f>
        <v>1050</v>
      </c>
      <c r="AO167" s="1">
        <f>IFERROR(__xludf.DUMMYFUNCTION("""COMPUTED_VALUE"""),0.0)</f>
        <v>0</v>
      </c>
      <c r="AP167" s="1" t="str">
        <f>IFERROR(__xludf.DUMMYFUNCTION("""COMPUTED_VALUE"""),"VISITA")</f>
        <v>VISITA</v>
      </c>
      <c r="AQ167" s="1" t="str">
        <f>IFERROR(__xludf.DUMMYFUNCTION("""COMPUTED_VALUE"""),"VISITA")</f>
        <v>VISITA</v>
      </c>
      <c r="AR167" s="1" t="str">
        <f>IFERROR(__xludf.DUMMYFUNCTION("""COMPUTED_VALUE"""),"HEREDADO")</f>
        <v>HEREDADO</v>
      </c>
      <c r="AS167" s="1"/>
      <c r="AT167" s="2">
        <f>IFERROR(__xludf.DUMMYFUNCTION("""COMPUTED_VALUE"""),45604.0)</f>
        <v>45604</v>
      </c>
      <c r="AU167" s="1">
        <f>IFERROR(__xludf.DUMMYFUNCTION("""COMPUTED_VALUE"""),1.0)</f>
        <v>1</v>
      </c>
      <c r="AV167" s="1" t="str">
        <f>IFERROR(__xludf.DUMMYFUNCTION("""COMPUTED_VALUE"""),"NUEVO")</f>
        <v>NUEVO</v>
      </c>
      <c r="AW167" s="1" t="str">
        <f>IFERROR(__xludf.DUMMYFUNCTION("""COMPUTED_VALUE"""),"SI")</f>
        <v>SI</v>
      </c>
      <c r="AX167" s="1"/>
      <c r="AY167" s="1" t="str">
        <f>IFERROR(__xludf.DUMMYFUNCTION("""COMPUTED_VALUE"""),"PAGO COMPLETO")</f>
        <v>PAGO COMPLETO</v>
      </c>
      <c r="AZ167" s="5">
        <f>IFERROR(__xludf.DUMMYFUNCTION("""COMPUTED_VALUE"""),45621.0)</f>
        <v>45621</v>
      </c>
      <c r="BA167" s="1">
        <f>IFERROR(__xludf.DUMMYFUNCTION("""COMPUTED_VALUE"""),350.0)</f>
        <v>350</v>
      </c>
      <c r="BB167" s="1">
        <f>IFERROR(__xludf.DUMMYFUNCTION("""COMPUTED_VALUE"""),0.0)</f>
        <v>0</v>
      </c>
      <c r="BC167" s="4">
        <f>IFERROR(__xludf.DUMMYFUNCTION("""COMPUTED_VALUE"""),0.0)</f>
        <v>0</v>
      </c>
      <c r="BD167" s="4">
        <f>IFERROR(__xludf.DUMMYFUNCTION("""COMPUTED_VALUE"""),0.0)</f>
        <v>0</v>
      </c>
      <c r="BE167" s="1">
        <f>IFERROR(__xludf.DUMMYFUNCTION("""COMPUTED_VALUE"""),11.0)</f>
        <v>11</v>
      </c>
      <c r="BF167" s="6">
        <f>IFERROR(__xludf.DUMMYFUNCTION("""COMPUTED_VALUE"""),1.0)</f>
        <v>1</v>
      </c>
      <c r="BG167" s="1">
        <f>IFERROR(__xludf.DUMMYFUNCTION("""COMPUTED_VALUE"""),1.0)</f>
        <v>1</v>
      </c>
      <c r="BH167" s="1" t="str">
        <f>IFERROR(__xludf.DUMMYFUNCTION("""COMPUTED_VALUE"""),"0")</f>
        <v>0</v>
      </c>
      <c r="BI167" s="4">
        <f>IFERROR(__xludf.DUMMYFUNCTION("""COMPUTED_VALUE"""),850.0)</f>
        <v>850</v>
      </c>
      <c r="BJ167" s="1">
        <f>IFERROR(__xludf.DUMMYFUNCTION("""COMPUTED_VALUE"""),0.0)</f>
        <v>0</v>
      </c>
      <c r="BK167" s="4">
        <f>IFERROR(__xludf.DUMMYFUNCTION("""COMPUTED_VALUE"""),0.0)</f>
        <v>0</v>
      </c>
      <c r="BL167" s="1">
        <f>IFERROR(__xludf.DUMMYFUNCTION("""COMPUTED_VALUE"""),850.0)</f>
        <v>850</v>
      </c>
      <c r="BM167" s="1">
        <f>IFERROR(__xludf.DUMMYFUNCTION("""COMPUTED_VALUE"""),45.0)</f>
        <v>45</v>
      </c>
      <c r="BN167" s="2">
        <f>IFERROR(__xludf.DUMMYFUNCTION("""COMPUTED_VALUE"""),45600.0)</f>
        <v>45600</v>
      </c>
      <c r="BO167" s="1">
        <f>IFERROR(__xludf.DUMMYFUNCTION("""COMPUTED_VALUE"""),11.0)</f>
        <v>11</v>
      </c>
      <c r="BP167" s="1">
        <f>IFERROR(__xludf.DUMMYFUNCTION("""COMPUTED_VALUE"""),2024.0)</f>
        <v>2024</v>
      </c>
    </row>
    <row r="168">
      <c r="A168" s="1">
        <f>IFERROR(__xludf.DUMMYFUNCTION("""COMPUTED_VALUE"""),167.0)</f>
        <v>167</v>
      </c>
      <c r="B168" s="1">
        <f>IFERROR(__xludf.DUMMYFUNCTION("""COMPUTED_VALUE"""),4764932.0)</f>
        <v>4764932</v>
      </c>
      <c r="C168" s="1" t="str">
        <f>IFERROR(__xludf.DUMMYFUNCTION("""COMPUTED_VALUE"""),"2025-1")</f>
        <v>2025-1</v>
      </c>
      <c r="D168" s="1" t="str">
        <f>IFERROR(__xludf.DUMMYFUNCTION("""COMPUTED_VALUE"""),"Admisión Extraordinaria (Traslados)")</f>
        <v>Admisión Extraordinaria (Traslados)</v>
      </c>
      <c r="E168" s="2">
        <f>IFERROR(__xludf.DUMMYFUNCTION("""COMPUTED_VALUE"""),45605.0)</f>
        <v>45605</v>
      </c>
      <c r="F168" s="1" t="str">
        <f>IFERROR(__xludf.DUMMYFUNCTION("""COMPUTED_VALUE"""),"MARICIELO YARITZA ")</f>
        <v>MARICIELO YARITZA </v>
      </c>
      <c r="G168" s="1" t="str">
        <f>IFERROR(__xludf.DUMMYFUNCTION("""COMPUTED_VALUE"""),"ROJAS NARRO")</f>
        <v>ROJAS NARRO</v>
      </c>
      <c r="H168" s="1" t="str">
        <f>IFERROR(__xludf.DUMMYFUNCTION("""COMPUTED_VALUE"""),"Arquitectura de Interiores")</f>
        <v>Arquitectura de Interiores</v>
      </c>
      <c r="I168" s="1" t="str">
        <f>IFERROR(__xludf.DUMMYFUNCTION("""COMPUTED_VALUE"""),"POS")</f>
        <v>POS</v>
      </c>
      <c r="J168" s="1" t="str">
        <f>IFERROR(__xludf.DUMMYFUNCTION("""COMPUTED_VALUE"""),"Diurno")</f>
        <v>Diurno</v>
      </c>
      <c r="K168" s="1" t="str">
        <f>IFERROR(__xludf.DUMMYFUNCTION("""COMPUTED_VALUE"""),"TRASLADO")</f>
        <v>TRASLADO</v>
      </c>
      <c r="L168" s="1">
        <f>IFERROR(__xludf.DUMMYFUNCTION("""COMPUTED_VALUE"""),1.0)</f>
        <v>1</v>
      </c>
      <c r="M168" s="1">
        <f>IFERROR(__xludf.DUMMYFUNCTION("""COMPUTED_VALUE"""),0.0)</f>
        <v>0</v>
      </c>
      <c r="N168" s="1" t="str">
        <f>IFERROR(__xludf.DUMMYFUNCTION("""COMPUTED_VALUE"""),"RECA")</f>
        <v>RECA</v>
      </c>
      <c r="O168" s="1" t="str">
        <f>IFERROR(__xludf.DUMMYFUNCTION("""COMPUTED_VALUE"""),"RECA TRASLADO CON CONVA")</f>
        <v>RECA TRASLADO CON CONVA</v>
      </c>
      <c r="P168" s="4">
        <f>IFERROR(__xludf.DUMMYFUNCTION("""COMPUTED_VALUE"""),0.0)</f>
        <v>0</v>
      </c>
      <c r="Q168" s="4">
        <f>IFERROR(__xludf.DUMMYFUNCTION("""COMPUTED_VALUE"""),0.0)</f>
        <v>0</v>
      </c>
      <c r="R168" s="4">
        <f>IFERROR(__xludf.DUMMYFUNCTION("""COMPUTED_VALUE"""),1150.0)</f>
        <v>1150</v>
      </c>
      <c r="S168" s="4">
        <f>IFERROR(__xludf.DUMMYFUNCTION("""COMPUTED_VALUE"""),900.0)</f>
        <v>900</v>
      </c>
      <c r="T168" s="1" t="str">
        <f>IFERROR(__xludf.DUMMYFUNCTION("""COMPUTED_VALUE"""),"NINGUNO")</f>
        <v>NINGUNO</v>
      </c>
      <c r="U168" s="1" t="str">
        <f>IFERROR(__xludf.DUMMYFUNCTION("""COMPUTED_VALUE"""),"FABIOLA")</f>
        <v>FABIOLA</v>
      </c>
      <c r="V168" s="1" t="str">
        <f>IFERROR(__xludf.DUMMYFUNCTION("""COMPUTED_VALUE"""),"Ninguno")</f>
        <v>Ninguno</v>
      </c>
      <c r="W168" s="1" t="str">
        <f>IFERROR(__xludf.DUMMYFUNCTION("""COMPUTED_VALUE"""),"Precio accesible")</f>
        <v>Precio accesible</v>
      </c>
      <c r="X168" s="1" t="str">
        <f>IFERROR(__xludf.DUMMYFUNCTION("""COMPUTED_VALUE"""),"-")</f>
        <v>-</v>
      </c>
      <c r="Y168" s="1" t="str">
        <f>IFERROR(__xludf.DUMMYFUNCTION("""COMPUTED_VALUE"""),"PAGO FRACCIONADO")</f>
        <v>PAGO FRACCIONADO</v>
      </c>
      <c r="Z168" s="1">
        <f>IFERROR(__xludf.DUMMYFUNCTION("""COMPUTED_VALUE"""),300.0)</f>
        <v>300</v>
      </c>
      <c r="AA168" s="1" t="str">
        <f>IFERROR(__xludf.DUMMYFUNCTION("""COMPUTED_VALUE"""),"30/11/2024")</f>
        <v>30/11/2024</v>
      </c>
      <c r="AB168" s="1">
        <f>IFERROR(__xludf.DUMMYFUNCTION("""COMPUTED_VALUE"""),0.0)</f>
        <v>0</v>
      </c>
      <c r="AC168" s="1">
        <f>IFERROR(__xludf.DUMMYFUNCTION("""COMPUTED_VALUE"""),0.0)</f>
        <v>0</v>
      </c>
      <c r="AD168" s="1" t="str">
        <f>IFERROR(__xludf.DUMMYFUNCTION("""COMPUTED_VALUE"""),"Angelica Iparraguirre")</f>
        <v>Angelica Iparraguirre</v>
      </c>
      <c r="AE168" s="1" t="str">
        <f>IFERROR(__xludf.DUMMYFUNCTION("""COMPUTED_VALUE"""),"IDAT")</f>
        <v>IDAT</v>
      </c>
      <c r="AF168" s="1">
        <f>IFERROR(__xludf.DUMMYFUNCTION("""COMPUTED_VALUE"""),2020.0)</f>
        <v>2020</v>
      </c>
      <c r="AG168" s="1">
        <f>IFERROR(__xludf.DUMMYFUNCTION("""COMPUTED_VALUE"""),325464.0)</f>
        <v>325464</v>
      </c>
      <c r="AH168" s="1">
        <f>IFERROR(__xludf.DUMMYFUNCTION("""COMPUTED_VALUE"""),21.0)</f>
        <v>21</v>
      </c>
      <c r="AI168" s="1" t="str">
        <f>IFERROR(__xludf.DUMMYFUNCTION("""COMPUTED_VALUE"""),"0000400310")</f>
        <v>0000400310</v>
      </c>
      <c r="AJ168" s="1">
        <f>IFERROR(__xludf.DUMMYFUNCTION("""COMPUTED_VALUE"""),7.3226497E7)</f>
        <v>73226497</v>
      </c>
      <c r="AK168" s="1">
        <f>IFERROR(__xludf.DUMMYFUNCTION("""COMPUTED_VALUE"""),9.2487307E8)</f>
        <v>924873070</v>
      </c>
      <c r="AL168" s="1" t="str">
        <f>IFERROR(__xludf.DUMMYFUNCTION("""COMPUTED_VALUE"""),"maricieloyaritza@gmail.com")</f>
        <v>maricieloyaritza@gmail.com</v>
      </c>
      <c r="AM168" s="1" t="str">
        <f>IFERROR(__xludf.DUMMYFUNCTION("""COMPUTED_VALUE"""),"FEMENINO")</f>
        <v>FEMENINO</v>
      </c>
      <c r="AN168" s="1">
        <f>IFERROR(__xludf.DUMMYFUNCTION("""COMPUTED_VALUE"""),1150.0)</f>
        <v>1150</v>
      </c>
      <c r="AO168" s="1">
        <f>IFERROR(__xludf.DUMMYFUNCTION("""COMPUTED_VALUE"""),0.0)</f>
        <v>0</v>
      </c>
      <c r="AP168" s="1" t="str">
        <f>IFERROR(__xludf.DUMMYFUNCTION("""COMPUTED_VALUE"""),"FORMULARIO")</f>
        <v>FORMULARIO</v>
      </c>
      <c r="AQ168" s="1" t="str">
        <f>IFERROR(__xludf.DUMMYFUNCTION("""COMPUTED_VALUE"""),"SEARCH MARCA")</f>
        <v>SEARCH MARCA</v>
      </c>
      <c r="AR168" s="1" t="str">
        <f>IFERROR(__xludf.DUMMYFUNCTION("""COMPUTED_VALUE"""),"NUEVO")</f>
        <v>NUEVO</v>
      </c>
      <c r="AS168" s="1" t="str">
        <f>IFERROR(__xludf.DUMMYFUNCTION("""COMPUTED_VALUE"""),"ucal-pg-performance-sedes-abierta-cpl-search_conversion_marca_carreras-20240702")</f>
        <v>ucal-pg-performance-sedes-abierta-cpl-search_conversion_marca_carreras-20240702</v>
      </c>
      <c r="AT168" s="2">
        <f>IFERROR(__xludf.DUMMYFUNCTION("""COMPUTED_VALUE"""),45586.0)</f>
        <v>45586</v>
      </c>
      <c r="AU168" s="1">
        <f>IFERROR(__xludf.DUMMYFUNCTION("""COMPUTED_VALUE"""),1.0)</f>
        <v>1</v>
      </c>
      <c r="AV168" s="1" t="str">
        <f>IFERROR(__xludf.DUMMYFUNCTION("""COMPUTED_VALUE"""),"TRASLADO")</f>
        <v>TRASLADO</v>
      </c>
      <c r="AW168" s="1" t="str">
        <f>IFERROR(__xludf.DUMMYFUNCTION("""COMPUTED_VALUE"""),"SI")</f>
        <v>SI</v>
      </c>
      <c r="AX168" s="1"/>
      <c r="AY168" s="1" t="str">
        <f>IFERROR(__xludf.DUMMYFUNCTION("""COMPUTED_VALUE"""),"PAGO COMPLETO")</f>
        <v>PAGO COMPLETO</v>
      </c>
      <c r="AZ168" s="5">
        <f>IFERROR(__xludf.DUMMYFUNCTION("""COMPUTED_VALUE"""),45618.0)</f>
        <v>45618</v>
      </c>
      <c r="BA168" s="1">
        <f>IFERROR(__xludf.DUMMYFUNCTION("""COMPUTED_VALUE"""),600.0)</f>
        <v>600</v>
      </c>
      <c r="BB168" s="1">
        <f>IFERROR(__xludf.DUMMYFUNCTION("""COMPUTED_VALUE"""),0.0)</f>
        <v>0</v>
      </c>
      <c r="BC168" s="4">
        <f>IFERROR(__xludf.DUMMYFUNCTION("""COMPUTED_VALUE"""),0.0)</f>
        <v>0</v>
      </c>
      <c r="BD168" s="4">
        <f>IFERROR(__xludf.DUMMYFUNCTION("""COMPUTED_VALUE"""),0.0)</f>
        <v>0</v>
      </c>
      <c r="BE168" s="1">
        <f>IFERROR(__xludf.DUMMYFUNCTION("""COMPUTED_VALUE"""),11.0)</f>
        <v>11</v>
      </c>
      <c r="BF168" s="6">
        <f>IFERROR(__xludf.DUMMYFUNCTION("""COMPUTED_VALUE"""),1.0)</f>
        <v>1</v>
      </c>
      <c r="BG168" s="1">
        <f>IFERROR(__xludf.DUMMYFUNCTION("""COMPUTED_VALUE"""),0.0)</f>
        <v>0</v>
      </c>
      <c r="BH168" s="1" t="str">
        <f>IFERROR(__xludf.DUMMYFUNCTION("""COMPUTED_VALUE"""),"1")</f>
        <v>1</v>
      </c>
      <c r="BI168" s="4">
        <f>IFERROR(__xludf.DUMMYFUNCTION("""COMPUTED_VALUE"""),900.0)</f>
        <v>900</v>
      </c>
      <c r="BJ168" s="1">
        <f>IFERROR(__xludf.DUMMYFUNCTION("""COMPUTED_VALUE"""),0.0)</f>
        <v>0</v>
      </c>
      <c r="BK168" s="4">
        <f>IFERROR(__xludf.DUMMYFUNCTION("""COMPUTED_VALUE"""),0.0)</f>
        <v>0</v>
      </c>
      <c r="BL168" s="1">
        <f>IFERROR(__xludf.DUMMYFUNCTION("""COMPUTED_VALUE"""),900.0)</f>
        <v>900</v>
      </c>
      <c r="BM168" s="1">
        <f>IFERROR(__xludf.DUMMYFUNCTION("""COMPUTED_VALUE"""),45.0)</f>
        <v>45</v>
      </c>
      <c r="BN168" s="2">
        <f>IFERROR(__xludf.DUMMYFUNCTION("""COMPUTED_VALUE"""),45600.0)</f>
        <v>45600</v>
      </c>
      <c r="BO168" s="1">
        <f>IFERROR(__xludf.DUMMYFUNCTION("""COMPUTED_VALUE"""),11.0)</f>
        <v>11</v>
      </c>
      <c r="BP168" s="1">
        <f>IFERROR(__xludf.DUMMYFUNCTION("""COMPUTED_VALUE"""),2024.0)</f>
        <v>2024</v>
      </c>
    </row>
    <row r="169">
      <c r="A169" s="1">
        <f>IFERROR(__xludf.DUMMYFUNCTION("""COMPUTED_VALUE"""),168.0)</f>
        <v>168</v>
      </c>
      <c r="B169" s="1">
        <f>IFERROR(__xludf.DUMMYFUNCTION("""COMPUTED_VALUE"""),973136.0)</f>
        <v>973136</v>
      </c>
      <c r="C169" s="1" t="str">
        <f>IFERROR(__xludf.DUMMYFUNCTION("""COMPUTED_VALUE"""),"2025-1")</f>
        <v>2025-1</v>
      </c>
      <c r="D169" s="1" t="str">
        <f>IFERROR(__xludf.DUMMYFUNCTION("""COMPUTED_VALUE"""),"Admisión de Alto Rendimiento")</f>
        <v>Admisión de Alto Rendimiento</v>
      </c>
      <c r="E169" s="2">
        <f>IFERROR(__xludf.DUMMYFUNCTION("""COMPUTED_VALUE"""),45606.0)</f>
        <v>45606</v>
      </c>
      <c r="F169" s="1" t="str">
        <f>IFERROR(__xludf.DUMMYFUNCTION("""COMPUTED_VALUE"""),"SOFIA MARILYN ")</f>
        <v>SOFIA MARILYN </v>
      </c>
      <c r="G169" s="1" t="str">
        <f>IFERROR(__xludf.DUMMYFUNCTION("""COMPUTED_VALUE"""),"VARGAS ELESCANO")</f>
        <v>VARGAS ELESCANO</v>
      </c>
      <c r="H169" s="1" t="str">
        <f>IFERROR(__xludf.DUMMYFUNCTION("""COMPUTED_VALUE"""),"Diseño Gráfico Publicitario")</f>
        <v>Diseño Gráfico Publicitario</v>
      </c>
      <c r="I169" s="1" t="str">
        <f>IFERROR(__xludf.DUMMYFUNCTION("""COMPUTED_VALUE"""),"Pago Link")</f>
        <v>Pago Link</v>
      </c>
      <c r="J169" s="1" t="str">
        <f>IFERROR(__xludf.DUMMYFUNCTION("""COMPUTED_VALUE"""),"Diurno")</f>
        <v>Diurno</v>
      </c>
      <c r="K169" s="1" t="str">
        <f>IFERROR(__xludf.DUMMYFUNCTION("""COMPUTED_VALUE"""),"NUEVO")</f>
        <v>NUEVO</v>
      </c>
      <c r="L169" s="1">
        <f>IFERROR(__xludf.DUMMYFUNCTION("""COMPUTED_VALUE"""),0.0)</f>
        <v>0</v>
      </c>
      <c r="M169" s="1">
        <f>IFERROR(__xludf.DUMMYFUNCTION("""COMPUTED_VALUE"""),0.0)</f>
        <v>0</v>
      </c>
      <c r="N169" s="1" t="str">
        <f>IFERROR(__xludf.DUMMYFUNCTION("""COMPUTED_VALUE"""),"BECA")</f>
        <v>BECA</v>
      </c>
      <c r="O169" s="1" t="str">
        <f>IFERROR(__xludf.DUMMYFUNCTION("""COMPUTED_VALUE"""),"BECA DGP")</f>
        <v>BECA DGP</v>
      </c>
      <c r="P169" s="4">
        <f>IFERROR(__xludf.DUMMYFUNCTION("""COMPUTED_VALUE"""),0.0)</f>
        <v>0</v>
      </c>
      <c r="Q169" s="4">
        <f>IFERROR(__xludf.DUMMYFUNCTION("""COMPUTED_VALUE"""),0.0)</f>
        <v>0</v>
      </c>
      <c r="R169" s="4">
        <f>IFERROR(__xludf.DUMMYFUNCTION("""COMPUTED_VALUE"""),1050.0)</f>
        <v>1050</v>
      </c>
      <c r="S169" s="4">
        <f>IFERROR(__xludf.DUMMYFUNCTION("""COMPUTED_VALUE"""),850.0)</f>
        <v>850</v>
      </c>
      <c r="T169" s="1" t="str">
        <f>IFERROR(__xludf.DUMMYFUNCTION("""COMPUTED_VALUE"""),"NINGUNO")</f>
        <v>NINGUNO</v>
      </c>
      <c r="U169" s="1" t="str">
        <f>IFERROR(__xludf.DUMMYFUNCTION("""COMPUTED_VALUE"""),"FABIOLA")</f>
        <v>FABIOLA</v>
      </c>
      <c r="V169" s="1" t="str">
        <f>IFERROR(__xludf.DUMMYFUNCTION("""COMPUTED_VALUE"""),"Ninguno")</f>
        <v>Ninguno</v>
      </c>
      <c r="W169" s="1" t="str">
        <f>IFERROR(__xludf.DUMMYFUNCTION("""COMPUTED_VALUE"""),"Metodología de enseñanza")</f>
        <v>Metodología de enseñanza</v>
      </c>
      <c r="X169" s="1" t="str">
        <f>IFERROR(__xludf.DUMMYFUNCTION("""COMPUTED_VALUE"""),"le encanto la metodología ")</f>
        <v>le encanto la metodología </v>
      </c>
      <c r="Y169" s="1" t="str">
        <f>IFERROR(__xludf.DUMMYFUNCTION("""COMPUTED_VALUE"""),"PAGO FRACCIONADO")</f>
        <v>PAGO FRACCIONADO</v>
      </c>
      <c r="Z169" s="1">
        <f>IFERROR(__xludf.DUMMYFUNCTION("""COMPUTED_VALUE"""),450.0)</f>
        <v>450</v>
      </c>
      <c r="AA169" s="1" t="str">
        <f>IFERROR(__xludf.DUMMYFUNCTION("""COMPUTED_VALUE"""),"29/11/2024")</f>
        <v>29/11/2024</v>
      </c>
      <c r="AB169" s="1">
        <f>IFERROR(__xludf.DUMMYFUNCTION("""COMPUTED_VALUE"""),0.0)</f>
        <v>0</v>
      </c>
      <c r="AC169" s="1">
        <f>IFERROR(__xludf.DUMMYFUNCTION("""COMPUTED_VALUE"""),0.0)</f>
        <v>0</v>
      </c>
      <c r="AD169" s="1" t="str">
        <f>IFERROR(__xludf.DUMMYFUNCTION("""COMPUTED_VALUE"""),"Cinthia Mariella Orosco")</f>
        <v>Cinthia Mariella Orosco</v>
      </c>
      <c r="AE169" s="1" t="str">
        <f>IFERROR(__xludf.DUMMYFUNCTION("""COMPUTED_VALUE"""),"0")</f>
        <v>0</v>
      </c>
      <c r="AF169" s="1">
        <f>IFERROR(__xludf.DUMMYFUNCTION("""COMPUTED_VALUE"""),2016.0)</f>
        <v>2016</v>
      </c>
      <c r="AG169" s="1">
        <f>IFERROR(__xludf.DUMMYFUNCTION("""COMPUTED_VALUE"""),336628.0)</f>
        <v>336628</v>
      </c>
      <c r="AH169" s="1">
        <f>IFERROR(__xludf.DUMMYFUNCTION("""COMPUTED_VALUE"""),24.0)</f>
        <v>24</v>
      </c>
      <c r="AI169" s="1" t="str">
        <f>IFERROR(__xludf.DUMMYFUNCTION("""COMPUTED_VALUE"""),"0000400343")</f>
        <v>0000400343</v>
      </c>
      <c r="AJ169" s="1">
        <f>IFERROR(__xludf.DUMMYFUNCTION("""COMPUTED_VALUE"""),7.7158586E7)</f>
        <v>77158586</v>
      </c>
      <c r="AK169" s="1">
        <f>IFERROR(__xludf.DUMMYFUNCTION("""COMPUTED_VALUE"""),9.65731825E8)</f>
        <v>965731825</v>
      </c>
      <c r="AL169" s="1" t="str">
        <f>IFERROR(__xludf.DUMMYFUNCTION("""COMPUTED_VALUE"""),"Vargassofia317@gmail.com")</f>
        <v>Vargassofia317@gmail.com</v>
      </c>
      <c r="AM169" s="1" t="str">
        <f>IFERROR(__xludf.DUMMYFUNCTION("""COMPUTED_VALUE"""),"FEMENINO")</f>
        <v>FEMENINO</v>
      </c>
      <c r="AN169" s="1">
        <f>IFERROR(__xludf.DUMMYFUNCTION("""COMPUTED_VALUE"""),1050.0)</f>
        <v>1050</v>
      </c>
      <c r="AO169" s="1">
        <f>IFERROR(__xludf.DUMMYFUNCTION("""COMPUTED_VALUE"""),0.0)</f>
        <v>0</v>
      </c>
      <c r="AP169" s="1" t="str">
        <f>IFERROR(__xludf.DUMMYFUNCTION("""COMPUTED_VALUE"""),"OUTBOUND")</f>
        <v>OUTBOUND</v>
      </c>
      <c r="AQ169" s="1" t="str">
        <f>IFERROR(__xludf.DUMMYFUNCTION("""COMPUTED_VALUE"""),"OUTBOUND")</f>
        <v>OUTBOUND</v>
      </c>
      <c r="AR169" s="1" t="str">
        <f>IFERROR(__xludf.DUMMYFUNCTION("""COMPUTED_VALUE"""),"NUEVO")</f>
        <v>NUEVO</v>
      </c>
      <c r="AS169" s="1"/>
      <c r="AT169" s="2">
        <f>IFERROR(__xludf.DUMMYFUNCTION("""COMPUTED_VALUE"""),45604.0)</f>
        <v>45604</v>
      </c>
      <c r="AU169" s="1">
        <f>IFERROR(__xludf.DUMMYFUNCTION("""COMPUTED_VALUE"""),1.0)</f>
        <v>1</v>
      </c>
      <c r="AV169" s="1" t="str">
        <f>IFERROR(__xludf.DUMMYFUNCTION("""COMPUTED_VALUE"""),"NUEVO")</f>
        <v>NUEVO</v>
      </c>
      <c r="AW169" s="1" t="str">
        <f>IFERROR(__xludf.DUMMYFUNCTION("""COMPUTED_VALUE"""),"SI")</f>
        <v>SI</v>
      </c>
      <c r="AX169" s="1"/>
      <c r="AY169" s="1" t="str">
        <f>IFERROR(__xludf.DUMMYFUNCTION("""COMPUTED_VALUE"""),"PAGO COMPLETO")</f>
        <v>PAGO COMPLETO</v>
      </c>
      <c r="AZ169" s="5">
        <f>IFERROR(__xludf.DUMMYFUNCTION("""COMPUTED_VALUE"""),45624.0)</f>
        <v>45624</v>
      </c>
      <c r="BA169" s="1">
        <f>IFERROR(__xludf.DUMMYFUNCTION("""COMPUTED_VALUE"""),400.0)</f>
        <v>400</v>
      </c>
      <c r="BB169" s="1">
        <f>IFERROR(__xludf.DUMMYFUNCTION("""COMPUTED_VALUE"""),0.0)</f>
        <v>0</v>
      </c>
      <c r="BC169" s="4">
        <f>IFERROR(__xludf.DUMMYFUNCTION("""COMPUTED_VALUE"""),0.0)</f>
        <v>0</v>
      </c>
      <c r="BD169" s="4">
        <f>IFERROR(__xludf.DUMMYFUNCTION("""COMPUTED_VALUE"""),0.0)</f>
        <v>0</v>
      </c>
      <c r="BE169" s="1">
        <f>IFERROR(__xludf.DUMMYFUNCTION("""COMPUTED_VALUE"""),11.0)</f>
        <v>11</v>
      </c>
      <c r="BF169" s="6">
        <f>IFERROR(__xludf.DUMMYFUNCTION("""COMPUTED_VALUE"""),1.0)</f>
        <v>1</v>
      </c>
      <c r="BG169" s="1">
        <f>IFERROR(__xludf.DUMMYFUNCTION("""COMPUTED_VALUE"""),1.0)</f>
        <v>1</v>
      </c>
      <c r="BH169" s="1" t="str">
        <f>IFERROR(__xludf.DUMMYFUNCTION("""COMPUTED_VALUE"""),"0")</f>
        <v>0</v>
      </c>
      <c r="BI169" s="4">
        <f>IFERROR(__xludf.DUMMYFUNCTION("""COMPUTED_VALUE"""),850.0)</f>
        <v>850</v>
      </c>
      <c r="BJ169" s="1">
        <f>IFERROR(__xludf.DUMMYFUNCTION("""COMPUTED_VALUE"""),0.0)</f>
        <v>0</v>
      </c>
      <c r="BK169" s="4">
        <f>IFERROR(__xludf.DUMMYFUNCTION("""COMPUTED_VALUE"""),0.0)</f>
        <v>0</v>
      </c>
      <c r="BL169" s="1">
        <f>IFERROR(__xludf.DUMMYFUNCTION("""COMPUTED_VALUE"""),850.0)</f>
        <v>850</v>
      </c>
      <c r="BM169" s="1">
        <f>IFERROR(__xludf.DUMMYFUNCTION("""COMPUTED_VALUE"""),45.0)</f>
        <v>45</v>
      </c>
      <c r="BN169" s="2">
        <f>IFERROR(__xludf.DUMMYFUNCTION("""COMPUTED_VALUE"""),45600.0)</f>
        <v>45600</v>
      </c>
      <c r="BO169" s="1">
        <f>IFERROR(__xludf.DUMMYFUNCTION("""COMPUTED_VALUE"""),11.0)</f>
        <v>11</v>
      </c>
      <c r="BP169" s="1">
        <f>IFERROR(__xludf.DUMMYFUNCTION("""COMPUTED_VALUE"""),2024.0)</f>
        <v>2024</v>
      </c>
    </row>
    <row r="170">
      <c r="A170" s="1">
        <f>IFERROR(__xludf.DUMMYFUNCTION("""COMPUTED_VALUE"""),169.0)</f>
        <v>169</v>
      </c>
      <c r="B170" s="1">
        <f>IFERROR(__xludf.DUMMYFUNCTION("""COMPUTED_VALUE"""),4796703.0)</f>
        <v>4796703</v>
      </c>
      <c r="C170" s="1" t="str">
        <f>IFERROR(__xludf.DUMMYFUNCTION("""COMPUTED_VALUE"""),"2025-1")</f>
        <v>2025-1</v>
      </c>
      <c r="D170" s="1" t="str">
        <f>IFERROR(__xludf.DUMMYFUNCTION("""COMPUTED_VALUE"""),"Admisión Ordinaria")</f>
        <v>Admisión Ordinaria</v>
      </c>
      <c r="E170" s="2">
        <f>IFERROR(__xludf.DUMMYFUNCTION("""COMPUTED_VALUE"""),45608.0)</f>
        <v>45608</v>
      </c>
      <c r="F170" s="1" t="str">
        <f>IFERROR(__xludf.DUMMYFUNCTION("""COMPUTED_VALUE"""),"KIARA")</f>
        <v>KIARA</v>
      </c>
      <c r="G170" s="1" t="str">
        <f>IFERROR(__xludf.DUMMYFUNCTION("""COMPUTED_VALUE"""),"SACCACO PAUCAR")</f>
        <v>SACCACO PAUCAR</v>
      </c>
      <c r="H170" s="1" t="str">
        <f>IFERROR(__xludf.DUMMYFUNCTION("""COMPUTED_VALUE"""),"Arquitectura de Interiores")</f>
        <v>Arquitectura de Interiores</v>
      </c>
      <c r="I170" s="1" t="str">
        <f>IFERROR(__xludf.DUMMYFUNCTION("""COMPUTED_VALUE"""),"POS")</f>
        <v>POS</v>
      </c>
      <c r="J170" s="1" t="str">
        <f>IFERROR(__xludf.DUMMYFUNCTION("""COMPUTED_VALUE"""),"Diurno")</f>
        <v>Diurno</v>
      </c>
      <c r="K170" s="1" t="str">
        <f>IFERROR(__xludf.DUMMYFUNCTION("""COMPUTED_VALUE"""),"NUEVO")</f>
        <v>NUEVO</v>
      </c>
      <c r="L170" s="1">
        <f>IFERROR(__xludf.DUMMYFUNCTION("""COMPUTED_VALUE"""),0.0)</f>
        <v>0</v>
      </c>
      <c r="M170" s="1">
        <f>IFERROR(__xludf.DUMMYFUNCTION("""COMPUTED_VALUE"""),0.0)</f>
        <v>0</v>
      </c>
      <c r="N170" s="1" t="str">
        <f>IFERROR(__xludf.DUMMYFUNCTION("""COMPUTED_VALUE"""),"BECA")</f>
        <v>BECA</v>
      </c>
      <c r="O170" s="1" t="str">
        <f>IFERROR(__xludf.DUMMYFUNCTION("""COMPUTED_VALUE"""),"BECA CARRERAS CORE")</f>
        <v>BECA CARRERAS CORE</v>
      </c>
      <c r="P170" s="4">
        <f>IFERROR(__xludf.DUMMYFUNCTION("""COMPUTED_VALUE"""),0.0)</f>
        <v>0</v>
      </c>
      <c r="Q170" s="4">
        <f>IFERROR(__xludf.DUMMYFUNCTION("""COMPUTED_VALUE"""),0.0)</f>
        <v>0</v>
      </c>
      <c r="R170" s="4">
        <f>IFERROR(__xludf.DUMMYFUNCTION("""COMPUTED_VALUE"""),1150.0)</f>
        <v>1150</v>
      </c>
      <c r="S170" s="4">
        <f>IFERROR(__xludf.DUMMYFUNCTION("""COMPUTED_VALUE"""),950.0)</f>
        <v>950</v>
      </c>
      <c r="T170" s="1" t="str">
        <f>IFERROR(__xludf.DUMMYFUNCTION("""COMPUTED_VALUE"""),"NINGUNO")</f>
        <v>NINGUNO</v>
      </c>
      <c r="U170" s="1" t="str">
        <f>IFERROR(__xludf.DUMMYFUNCTION("""COMPUTED_VALUE"""),"FABIOLA")</f>
        <v>FABIOLA</v>
      </c>
      <c r="V170" s="1" t="str">
        <f>IFERROR(__xludf.DUMMYFUNCTION("""COMPUTED_VALUE"""),"Ninguno")</f>
        <v>Ninguno</v>
      </c>
      <c r="W170" s="1" t="str">
        <f>IFERROR(__xludf.DUMMYFUNCTION("""COMPUTED_VALUE"""),"Metodología de enseñanza")</f>
        <v>Metodología de enseñanza</v>
      </c>
      <c r="X170" s="1" t="str">
        <f>IFERROR(__xludf.DUMMYFUNCTION("""COMPUTED_VALUE"""),"-")</f>
        <v>-</v>
      </c>
      <c r="Y170" s="1" t="str">
        <f>IFERROR(__xludf.DUMMYFUNCTION("""COMPUTED_VALUE"""),"PAGO COMPLETO")</f>
        <v>PAGO COMPLETO</v>
      </c>
      <c r="Z170" s="1">
        <f>IFERROR(__xludf.DUMMYFUNCTION("""COMPUTED_VALUE"""),0.0)</f>
        <v>0</v>
      </c>
      <c r="AA170" s="1" t="str">
        <f>IFERROR(__xludf.DUMMYFUNCTION("""COMPUTED_VALUE"""),"-")</f>
        <v>-</v>
      </c>
      <c r="AB170" s="1">
        <f>IFERROR(__xludf.DUMMYFUNCTION("""COMPUTED_VALUE"""),0.0)</f>
        <v>0</v>
      </c>
      <c r="AC170" s="1">
        <f>IFERROR(__xludf.DUMMYFUNCTION("""COMPUTED_VALUE"""),0.0)</f>
        <v>0</v>
      </c>
      <c r="AD170" s="1" t="str">
        <f>IFERROR(__xludf.DUMMYFUNCTION("""COMPUTED_VALUE"""),"Angelica Iparraguirre")</f>
        <v>Angelica Iparraguirre</v>
      </c>
      <c r="AE170" s="1" t="str">
        <f>IFERROR(__xludf.DUMMYFUNCTION("""COMPUTED_VALUE"""),"0")</f>
        <v>0</v>
      </c>
      <c r="AF170" s="1">
        <f>IFERROR(__xludf.DUMMYFUNCTION("""COMPUTED_VALUE"""),2022.0)</f>
        <v>2022</v>
      </c>
      <c r="AG170" s="1">
        <f>IFERROR(__xludf.DUMMYFUNCTION("""COMPUTED_VALUE"""),690008.0)</f>
        <v>690008</v>
      </c>
      <c r="AH170" s="1">
        <f>IFERROR(__xludf.DUMMYFUNCTION("""COMPUTED_VALUE"""),20.0)</f>
        <v>20</v>
      </c>
      <c r="AI170" s="1" t="str">
        <f>IFERROR(__xludf.DUMMYFUNCTION("""COMPUTED_VALUE"""),"0000400478")</f>
        <v>0000400478</v>
      </c>
      <c r="AJ170" s="1">
        <f>IFERROR(__xludf.DUMMYFUNCTION("""COMPUTED_VALUE"""),7.7009601E7)</f>
        <v>77009601</v>
      </c>
      <c r="AK170" s="1">
        <f>IFERROR(__xludf.DUMMYFUNCTION("""COMPUTED_VALUE"""),9.83557212E8)</f>
        <v>983557212</v>
      </c>
      <c r="AL170" s="1" t="str">
        <f>IFERROR(__xludf.DUMMYFUNCTION("""COMPUTED_VALUE"""),"kiarasaccaco@gmail.com")</f>
        <v>kiarasaccaco@gmail.com</v>
      </c>
      <c r="AM170" s="1" t="str">
        <f>IFERROR(__xludf.DUMMYFUNCTION("""COMPUTED_VALUE"""),"FEMENINO")</f>
        <v>FEMENINO</v>
      </c>
      <c r="AN170" s="1">
        <f>IFERROR(__xludf.DUMMYFUNCTION("""COMPUTED_VALUE"""),1350.0)</f>
        <v>1350</v>
      </c>
      <c r="AO170" s="1">
        <f>IFERROR(__xludf.DUMMYFUNCTION("""COMPUTED_VALUE"""),0.0)</f>
        <v>0</v>
      </c>
      <c r="AP170" s="1" t="str">
        <f>IFERROR(__xludf.DUMMYFUNCTION("""COMPUTED_VALUE"""),"FORMULARIO")</f>
        <v>FORMULARIO</v>
      </c>
      <c r="AQ170" s="1" t="str">
        <f>IFERROR(__xludf.DUMMYFUNCTION("""COMPUTED_VALUE"""),"ORGANICO")</f>
        <v>ORGANICO</v>
      </c>
      <c r="AR170" s="1" t="str">
        <f>IFERROR(__xludf.DUMMYFUNCTION("""COMPUTED_VALUE"""),"NUEVO")</f>
        <v>NUEVO</v>
      </c>
      <c r="AS170" s="1"/>
      <c r="AT170" s="2">
        <f>IFERROR(__xludf.DUMMYFUNCTION("""COMPUTED_VALUE"""),45604.0)</f>
        <v>45604</v>
      </c>
      <c r="AU170" s="1">
        <f>IFERROR(__xludf.DUMMYFUNCTION("""COMPUTED_VALUE"""),1.0)</f>
        <v>1</v>
      </c>
      <c r="AV170" s="1" t="str">
        <f>IFERROR(__xludf.DUMMYFUNCTION("""COMPUTED_VALUE"""),"NUEVO")</f>
        <v>NUEVO</v>
      </c>
      <c r="AW170" s="1" t="str">
        <f>IFERROR(__xludf.DUMMYFUNCTION("""COMPUTED_VALUE"""),"SI")</f>
        <v>SI</v>
      </c>
      <c r="AX170" s="1"/>
      <c r="AY170" s="1" t="str">
        <f>IFERROR(__xludf.DUMMYFUNCTION("""COMPUTED_VALUE"""),"PAGO COMPLETO")</f>
        <v>PAGO COMPLETO</v>
      </c>
      <c r="AZ170" s="5">
        <f>IFERROR(__xludf.DUMMYFUNCTION("""COMPUTED_VALUE"""),45608.0)</f>
        <v>45608</v>
      </c>
      <c r="BA170" s="1">
        <f>IFERROR(__xludf.DUMMYFUNCTION("""COMPUTED_VALUE"""),0.0)</f>
        <v>0</v>
      </c>
      <c r="BB170" s="1">
        <f>IFERROR(__xludf.DUMMYFUNCTION("""COMPUTED_VALUE"""),0.0)</f>
        <v>0</v>
      </c>
      <c r="BC170" s="4">
        <f>IFERROR(__xludf.DUMMYFUNCTION("""COMPUTED_VALUE"""),0.0)</f>
        <v>0</v>
      </c>
      <c r="BD170" s="4">
        <f>IFERROR(__xludf.DUMMYFUNCTION("""COMPUTED_VALUE"""),0.0)</f>
        <v>0</v>
      </c>
      <c r="BE170" s="1">
        <f>IFERROR(__xludf.DUMMYFUNCTION("""COMPUTED_VALUE"""),11.0)</f>
        <v>11</v>
      </c>
      <c r="BF170" s="6">
        <f>IFERROR(__xludf.DUMMYFUNCTION("""COMPUTED_VALUE"""),1.0)</f>
        <v>1</v>
      </c>
      <c r="BG170" s="1">
        <f>IFERROR(__xludf.DUMMYFUNCTION("""COMPUTED_VALUE"""),1.0)</f>
        <v>1</v>
      </c>
      <c r="BH170" s="1" t="str">
        <f>IFERROR(__xludf.DUMMYFUNCTION("""COMPUTED_VALUE"""),"0")</f>
        <v>0</v>
      </c>
      <c r="BI170" s="4">
        <f>IFERROR(__xludf.DUMMYFUNCTION("""COMPUTED_VALUE"""),0.0)</f>
        <v>0</v>
      </c>
      <c r="BJ170" s="1">
        <f>IFERROR(__xludf.DUMMYFUNCTION("""COMPUTED_VALUE"""),0.0)</f>
        <v>0</v>
      </c>
      <c r="BK170" s="4">
        <f>IFERROR(__xludf.DUMMYFUNCTION("""COMPUTED_VALUE"""),0.0)</f>
        <v>0</v>
      </c>
      <c r="BL170" s="1">
        <f>IFERROR(__xludf.DUMMYFUNCTION("""COMPUTED_VALUE"""),950.0)</f>
        <v>950</v>
      </c>
      <c r="BM170" s="1">
        <f>IFERROR(__xludf.DUMMYFUNCTION("""COMPUTED_VALUE"""),46.0)</f>
        <v>46</v>
      </c>
      <c r="BN170" s="2">
        <f>IFERROR(__xludf.DUMMYFUNCTION("""COMPUTED_VALUE"""),45607.0)</f>
        <v>45607</v>
      </c>
      <c r="BO170" s="1">
        <f>IFERROR(__xludf.DUMMYFUNCTION("""COMPUTED_VALUE"""),11.0)</f>
        <v>11</v>
      </c>
      <c r="BP170" s="1">
        <f>IFERROR(__xludf.DUMMYFUNCTION("""COMPUTED_VALUE"""),2024.0)</f>
        <v>2024</v>
      </c>
    </row>
    <row r="171">
      <c r="A171" s="1">
        <f>IFERROR(__xludf.DUMMYFUNCTION("""COMPUTED_VALUE"""),170.0)</f>
        <v>170</v>
      </c>
      <c r="B171" s="1">
        <f>IFERROR(__xludf.DUMMYFUNCTION("""COMPUTED_VALUE"""),4798600.0)</f>
        <v>4798600</v>
      </c>
      <c r="C171" s="1" t="str">
        <f>IFERROR(__xludf.DUMMYFUNCTION("""COMPUTED_VALUE"""),"2025-1")</f>
        <v>2025-1</v>
      </c>
      <c r="D171" s="1" t="str">
        <f>IFERROR(__xludf.DUMMYFUNCTION("""COMPUTED_VALUE"""),"Admisión de Alto Rendimiento")</f>
        <v>Admisión de Alto Rendimiento</v>
      </c>
      <c r="E171" s="2">
        <f>IFERROR(__xludf.DUMMYFUNCTION("""COMPUTED_VALUE"""),45608.0)</f>
        <v>45608</v>
      </c>
      <c r="F171" s="1" t="str">
        <f>IFERROR(__xludf.DUMMYFUNCTION("""COMPUTED_VALUE"""),"FABIOLA DEL PILAR ")</f>
        <v>FABIOLA DEL PILAR </v>
      </c>
      <c r="G171" s="1" t="str">
        <f>IFERROR(__xludf.DUMMYFUNCTION("""COMPUTED_VALUE"""),"DONAYRE GARCIA")</f>
        <v>DONAYRE GARCIA</v>
      </c>
      <c r="H171" s="1" t="str">
        <f>IFERROR(__xludf.DUMMYFUNCTION("""COMPUTED_VALUE"""),"Comunicación Audiovisual y Cine")</f>
        <v>Comunicación Audiovisual y Cine</v>
      </c>
      <c r="I171" s="1" t="str">
        <f>IFERROR(__xludf.DUMMYFUNCTION("""COMPUTED_VALUE"""),"POS")</f>
        <v>POS</v>
      </c>
      <c r="J171" s="1" t="str">
        <f>IFERROR(__xludf.DUMMYFUNCTION("""COMPUTED_VALUE"""),"Diurno")</f>
        <v>Diurno</v>
      </c>
      <c r="K171" s="1" t="str">
        <f>IFERROR(__xludf.DUMMYFUNCTION("""COMPUTED_VALUE"""),"NUEVO")</f>
        <v>NUEVO</v>
      </c>
      <c r="L171" s="1">
        <f>IFERROR(__xludf.DUMMYFUNCTION("""COMPUTED_VALUE"""),0.0)</f>
        <v>0</v>
      </c>
      <c r="M171" s="1">
        <f>IFERROR(__xludf.DUMMYFUNCTION("""COMPUTED_VALUE"""),0.0)</f>
        <v>0</v>
      </c>
      <c r="N171" s="1" t="str">
        <f>IFERROR(__xludf.DUMMYFUNCTION("""COMPUTED_VALUE"""),"BECA")</f>
        <v>BECA</v>
      </c>
      <c r="O171" s="1" t="str">
        <f>IFERROR(__xludf.DUMMYFUNCTION("""COMPUTED_VALUE"""),"BECA CARRERAS CORE")</f>
        <v>BECA CARRERAS CORE</v>
      </c>
      <c r="P171" s="4">
        <f>IFERROR(__xludf.DUMMYFUNCTION("""COMPUTED_VALUE"""),0.0)</f>
        <v>0</v>
      </c>
      <c r="Q171" s="4">
        <f>IFERROR(__xludf.DUMMYFUNCTION("""COMPUTED_VALUE"""),0.0)</f>
        <v>0</v>
      </c>
      <c r="R171" s="4">
        <f>IFERROR(__xludf.DUMMYFUNCTION("""COMPUTED_VALUE"""),1600.0)</f>
        <v>1600</v>
      </c>
      <c r="S171" s="4">
        <f>IFERROR(__xludf.DUMMYFUNCTION("""COMPUTED_VALUE"""),1280.0)</f>
        <v>1280</v>
      </c>
      <c r="T171" s="1" t="str">
        <f>IFERROR(__xludf.DUMMYFUNCTION("""COMPUTED_VALUE"""),"Visita Guiada")</f>
        <v>Visita Guiada</v>
      </c>
      <c r="U171" s="1" t="str">
        <f>IFERROR(__xludf.DUMMYFUNCTION("""COMPUTED_VALUE"""),"FABIOLA")</f>
        <v>FABIOLA</v>
      </c>
      <c r="V171" s="1" t="str">
        <f>IFERROR(__xludf.DUMMYFUNCTION("""COMPUTED_VALUE"""),"Ninguno")</f>
        <v>Ninguno</v>
      </c>
      <c r="W171" s="1" t="str">
        <f>IFERROR(__xludf.DUMMYFUNCTION("""COMPUTED_VALUE"""),"Metodología de enseñanza")</f>
        <v>Metodología de enseñanza</v>
      </c>
      <c r="X171" s="1" t="str">
        <f>IFERROR(__xludf.DUMMYFUNCTION("""COMPUTED_VALUE"""),"le encanta la metodología ")</f>
        <v>le encanta la metodología </v>
      </c>
      <c r="Y171" s="1" t="str">
        <f>IFERROR(__xludf.DUMMYFUNCTION("""COMPUTED_VALUE"""),"PAGO FRACCIONADO")</f>
        <v>PAGO FRACCIONADO</v>
      </c>
      <c r="Z171" s="1">
        <f>IFERROR(__xludf.DUMMYFUNCTION("""COMPUTED_VALUE"""),590.0)</f>
        <v>590</v>
      </c>
      <c r="AA171" s="1" t="str">
        <f>IFERROR(__xludf.DUMMYFUNCTION("""COMPUTED_VALUE"""),"29/11/2024")</f>
        <v>29/11/2024</v>
      </c>
      <c r="AB171" s="1">
        <f>IFERROR(__xludf.DUMMYFUNCTION("""COMPUTED_VALUE"""),0.0)</f>
        <v>0</v>
      </c>
      <c r="AC171" s="1">
        <f>IFERROR(__xludf.DUMMYFUNCTION("""COMPUTED_VALUE"""),0.0)</f>
        <v>0</v>
      </c>
      <c r="AD171" s="1" t="str">
        <f>IFERROR(__xludf.DUMMYFUNCTION("""COMPUTED_VALUE"""),"Cinthia Mariella Orosco")</f>
        <v>Cinthia Mariella Orosco</v>
      </c>
      <c r="AE171" s="1" t="str">
        <f>IFERROR(__xludf.DUMMYFUNCTION("""COMPUTED_VALUE"""),"0")</f>
        <v>0</v>
      </c>
      <c r="AF171" s="1">
        <f>IFERROR(__xludf.DUMMYFUNCTION("""COMPUTED_VALUE"""),2024.0)</f>
        <v>2024</v>
      </c>
      <c r="AG171" s="1">
        <f>IFERROR(__xludf.DUMMYFUNCTION("""COMPUTED_VALUE"""),649186.0)</f>
        <v>649186</v>
      </c>
      <c r="AH171" s="1">
        <f>IFERROR(__xludf.DUMMYFUNCTION("""COMPUTED_VALUE"""),17.0)</f>
        <v>17</v>
      </c>
      <c r="AI171" s="1" t="str">
        <f>IFERROR(__xludf.DUMMYFUNCTION("""COMPUTED_VALUE"""),"0000400508")</f>
        <v>0000400508</v>
      </c>
      <c r="AJ171" s="1">
        <f>IFERROR(__xludf.DUMMYFUNCTION("""COMPUTED_VALUE"""),6.1213575E7)</f>
        <v>61213575</v>
      </c>
      <c r="AK171" s="1">
        <f>IFERROR(__xludf.DUMMYFUNCTION("""COMPUTED_VALUE"""),9.63492849E8)</f>
        <v>963492849</v>
      </c>
      <c r="AL171" s="1" t="str">
        <f>IFERROR(__xludf.DUMMYFUNCTION("""COMPUTED_VALUE"""),"fabiola.donayre.g@gmail.com")</f>
        <v>fabiola.donayre.g@gmail.com</v>
      </c>
      <c r="AM171" s="1" t="str">
        <f>IFERROR(__xludf.DUMMYFUNCTION("""COMPUTED_VALUE"""),"FEMENINO")</f>
        <v>FEMENINO</v>
      </c>
      <c r="AN171" s="1">
        <f>IFERROR(__xludf.DUMMYFUNCTION("""COMPUTED_VALUE"""),1600.0)</f>
        <v>1600</v>
      </c>
      <c r="AO171" s="1">
        <f>IFERROR(__xludf.DUMMYFUNCTION("""COMPUTED_VALUE"""),530.0)</f>
        <v>530</v>
      </c>
      <c r="AP171" s="1" t="str">
        <f>IFERROR(__xludf.DUMMYFUNCTION("""COMPUTED_VALUE"""),"BIDIRECCIONAL")</f>
        <v>BIDIRECCIONAL</v>
      </c>
      <c r="AQ171" s="1" t="str">
        <f>IFERROR(__xludf.DUMMYFUNCTION("""COMPUTED_VALUE"""),"SEARCH MARCA")</f>
        <v>SEARCH MARCA</v>
      </c>
      <c r="AR171" s="1" t="str">
        <f>IFERROR(__xludf.DUMMYFUNCTION("""COMPUTED_VALUE"""),"NUEVO")</f>
        <v>NUEVO</v>
      </c>
      <c r="AS171" s="1" t="str">
        <f>IFERROR(__xludf.DUMMYFUNCTION("""COMPUTED_VALUE"""),"ucal-pg-performance-sedes-abierta-cpl-search_conversion_marca-20240401")</f>
        <v>ucal-pg-performance-sedes-abierta-cpl-search_conversion_marca-20240401</v>
      </c>
      <c r="AT171" s="2">
        <f>IFERROR(__xludf.DUMMYFUNCTION("""COMPUTED_VALUE"""),45446.0)</f>
        <v>45446</v>
      </c>
      <c r="AU171" s="1">
        <f>IFERROR(__xludf.DUMMYFUNCTION("""COMPUTED_VALUE"""),1.0)</f>
        <v>1</v>
      </c>
      <c r="AV171" s="1" t="str">
        <f>IFERROR(__xludf.DUMMYFUNCTION("""COMPUTED_VALUE"""),"NUEVO")</f>
        <v>NUEVO</v>
      </c>
      <c r="AW171" s="1" t="str">
        <f>IFERROR(__xludf.DUMMYFUNCTION("""COMPUTED_VALUE"""),"SI")</f>
        <v>SI</v>
      </c>
      <c r="AX171" s="1"/>
      <c r="AY171" s="1" t="str">
        <f>IFERROR(__xludf.DUMMYFUNCTION("""COMPUTED_VALUE"""),"PAGO COMPLETO")</f>
        <v>PAGO COMPLETO</v>
      </c>
      <c r="AZ171" s="5">
        <f>IFERROR(__xludf.DUMMYFUNCTION("""COMPUTED_VALUE"""),45614.0)</f>
        <v>45614</v>
      </c>
      <c r="BA171" s="1">
        <f>IFERROR(__xludf.DUMMYFUNCTION("""COMPUTED_VALUE"""),590.0)</f>
        <v>590</v>
      </c>
      <c r="BB171" s="1">
        <f>IFERROR(__xludf.DUMMYFUNCTION("""COMPUTED_VALUE"""),0.0)</f>
        <v>0</v>
      </c>
      <c r="BC171" s="4">
        <f>IFERROR(__xludf.DUMMYFUNCTION("""COMPUTED_VALUE"""),0.0)</f>
        <v>0</v>
      </c>
      <c r="BD171" s="4">
        <f>IFERROR(__xludf.DUMMYFUNCTION("""COMPUTED_VALUE"""),100.0)</f>
        <v>100</v>
      </c>
      <c r="BE171" s="1">
        <f>IFERROR(__xludf.DUMMYFUNCTION("""COMPUTED_VALUE"""),11.0)</f>
        <v>11</v>
      </c>
      <c r="BF171" s="6">
        <f>IFERROR(__xludf.DUMMYFUNCTION("""COMPUTED_VALUE"""),1.0)</f>
        <v>1</v>
      </c>
      <c r="BG171" s="1">
        <f>IFERROR(__xludf.DUMMYFUNCTION("""COMPUTED_VALUE"""),1.0)</f>
        <v>1</v>
      </c>
      <c r="BH171" s="1" t="str">
        <f>IFERROR(__xludf.DUMMYFUNCTION("""COMPUTED_VALUE"""),"0")</f>
        <v>0</v>
      </c>
      <c r="BI171" s="4">
        <f>IFERROR(__xludf.DUMMYFUNCTION("""COMPUTED_VALUE"""),1280.0)</f>
        <v>1280</v>
      </c>
      <c r="BJ171" s="1">
        <f>IFERROR(__xludf.DUMMYFUNCTION("""COMPUTED_VALUE"""),0.0)</f>
        <v>0</v>
      </c>
      <c r="BK171" s="4">
        <f>IFERROR(__xludf.DUMMYFUNCTION("""COMPUTED_VALUE"""),100.0)</f>
        <v>100</v>
      </c>
      <c r="BL171" s="1">
        <f>IFERROR(__xludf.DUMMYFUNCTION("""COMPUTED_VALUE"""),1260.0)</f>
        <v>1260</v>
      </c>
      <c r="BM171" s="1">
        <f>IFERROR(__xludf.DUMMYFUNCTION("""COMPUTED_VALUE"""),46.0)</f>
        <v>46</v>
      </c>
      <c r="BN171" s="2">
        <f>IFERROR(__xludf.DUMMYFUNCTION("""COMPUTED_VALUE"""),45607.0)</f>
        <v>45607</v>
      </c>
      <c r="BO171" s="1">
        <f>IFERROR(__xludf.DUMMYFUNCTION("""COMPUTED_VALUE"""),11.0)</f>
        <v>11</v>
      </c>
      <c r="BP171" s="1">
        <f>IFERROR(__xludf.DUMMYFUNCTION("""COMPUTED_VALUE"""),2024.0)</f>
        <v>2024</v>
      </c>
    </row>
    <row r="172">
      <c r="A172" s="1">
        <f>IFERROR(__xludf.DUMMYFUNCTION("""COMPUTED_VALUE"""),171.0)</f>
        <v>171</v>
      </c>
      <c r="B172" s="1">
        <f>IFERROR(__xludf.DUMMYFUNCTION("""COMPUTED_VALUE"""),4798800.0)</f>
        <v>4798800</v>
      </c>
      <c r="C172" s="1" t="str">
        <f>IFERROR(__xludf.DUMMYFUNCTION("""COMPUTED_VALUE"""),"2025-1")</f>
        <v>2025-1</v>
      </c>
      <c r="D172" s="1" t="str">
        <f>IFERROR(__xludf.DUMMYFUNCTION("""COMPUTED_VALUE"""),"Admisión Ordinaria")</f>
        <v>Admisión Ordinaria</v>
      </c>
      <c r="E172" s="2">
        <f>IFERROR(__xludf.DUMMYFUNCTION("""COMPUTED_VALUE"""),45608.0)</f>
        <v>45608</v>
      </c>
      <c r="F172" s="1" t="str">
        <f>IFERROR(__xludf.DUMMYFUNCTION("""COMPUTED_VALUE"""),"CARLOS JESUS ")</f>
        <v>CARLOS JESUS </v>
      </c>
      <c r="G172" s="1" t="str">
        <f>IFERROR(__xludf.DUMMYFUNCTION("""COMPUTED_VALUE"""),"KISIJARA VELASQUEZ")</f>
        <v>KISIJARA VELASQUEZ</v>
      </c>
      <c r="H172" s="1" t="str">
        <f>IFERROR(__xludf.DUMMYFUNCTION("""COMPUTED_VALUE"""),"Arquitectura")</f>
        <v>Arquitectura</v>
      </c>
      <c r="I172" s="1" t="str">
        <f>IFERROR(__xludf.DUMMYFUNCTION("""COMPUTED_VALUE"""),"CARGO")</f>
        <v>CARGO</v>
      </c>
      <c r="J172" s="1" t="str">
        <f>IFERROR(__xludf.DUMMYFUNCTION("""COMPUTED_VALUE"""),"Diurno")</f>
        <v>Diurno</v>
      </c>
      <c r="K172" s="1" t="str">
        <f>IFERROR(__xludf.DUMMYFUNCTION("""COMPUTED_VALUE"""),"NUEVO")</f>
        <v>NUEVO</v>
      </c>
      <c r="L172" s="1">
        <f>IFERROR(__xludf.DUMMYFUNCTION("""COMPUTED_VALUE"""),0.0)</f>
        <v>0</v>
      </c>
      <c r="M172" s="1">
        <f>IFERROR(__xludf.DUMMYFUNCTION("""COMPUTED_VALUE"""),0.0)</f>
        <v>0</v>
      </c>
      <c r="N172" s="1" t="str">
        <f>IFERROR(__xludf.DUMMYFUNCTION("""COMPUTED_VALUE"""),"BECA")</f>
        <v>BECA</v>
      </c>
      <c r="O172" s="1" t="str">
        <f>IFERROR(__xludf.DUMMYFUNCTION("""COMPUTED_VALUE"""),"BECA CARRERAS CORE")</f>
        <v>BECA CARRERAS CORE</v>
      </c>
      <c r="P172" s="4">
        <f>IFERROR(__xludf.DUMMYFUNCTION("""COMPUTED_VALUE"""),0.0)</f>
        <v>0</v>
      </c>
      <c r="Q172" s="4">
        <f>IFERROR(__xludf.DUMMYFUNCTION("""COMPUTED_VALUE"""),0.0)</f>
        <v>0</v>
      </c>
      <c r="R172" s="4">
        <f>IFERROR(__xludf.DUMMYFUNCTION("""COMPUTED_VALUE"""),1150.0)</f>
        <v>1150</v>
      </c>
      <c r="S172" s="4">
        <f>IFERROR(__xludf.DUMMYFUNCTION("""COMPUTED_VALUE"""),950.0)</f>
        <v>950</v>
      </c>
      <c r="T172" s="1" t="str">
        <f>IFERROR(__xludf.DUMMYFUNCTION("""COMPUTED_VALUE"""),"NINGUNO")</f>
        <v>NINGUNO</v>
      </c>
      <c r="U172" s="1" t="str">
        <f>IFERROR(__xludf.DUMMYFUNCTION("""COMPUTED_VALUE"""),"FABIOLA")</f>
        <v>FABIOLA</v>
      </c>
      <c r="V172" s="1" t="str">
        <f>IFERROR(__xludf.DUMMYFUNCTION("""COMPUTED_VALUE"""),"Ninguno")</f>
        <v>Ninguno</v>
      </c>
      <c r="W172" s="1" t="str">
        <f>IFERROR(__xludf.DUMMYFUNCTION("""COMPUTED_VALUE"""),"Metodología de enseñanza")</f>
        <v>Metodología de enseñanza</v>
      </c>
      <c r="X172" s="1" t="str">
        <f>IFERROR(__xludf.DUMMYFUNCTION("""COMPUTED_VALUE"""),"le gusto la universidad y metodologia ")</f>
        <v>le gusto la universidad y metodologia </v>
      </c>
      <c r="Y172" s="1" t="str">
        <f>IFERROR(__xludf.DUMMYFUNCTION("""COMPUTED_VALUE"""),"PAGO COMPLETO")</f>
        <v>PAGO COMPLETO</v>
      </c>
      <c r="Z172" s="1">
        <f>IFERROR(__xludf.DUMMYFUNCTION("""COMPUTED_VALUE"""),0.0)</f>
        <v>0</v>
      </c>
      <c r="AA172" s="1" t="str">
        <f>IFERROR(__xludf.DUMMYFUNCTION("""COMPUTED_VALUE"""),"-")</f>
        <v>-</v>
      </c>
      <c r="AB172" s="1">
        <f>IFERROR(__xludf.DUMMYFUNCTION("""COMPUTED_VALUE"""),0.0)</f>
        <v>0</v>
      </c>
      <c r="AC172" s="1">
        <f>IFERROR(__xludf.DUMMYFUNCTION("""COMPUTED_VALUE"""),0.0)</f>
        <v>0</v>
      </c>
      <c r="AD172" s="1" t="str">
        <f>IFERROR(__xludf.DUMMYFUNCTION("""COMPUTED_VALUE"""),"Rosa Ugarte")</f>
        <v>Rosa Ugarte</v>
      </c>
      <c r="AE172" s="1" t="str">
        <f>IFERROR(__xludf.DUMMYFUNCTION("""COMPUTED_VALUE"""),"0")</f>
        <v>0</v>
      </c>
      <c r="AF172" s="1">
        <f>IFERROR(__xludf.DUMMYFUNCTION("""COMPUTED_VALUE"""),2017.0)</f>
        <v>2017</v>
      </c>
      <c r="AG172" s="1">
        <f>IFERROR(__xludf.DUMMYFUNCTION("""COMPUTED_VALUE"""),437418.0)</f>
        <v>437418</v>
      </c>
      <c r="AH172" s="1">
        <f>IFERROR(__xludf.DUMMYFUNCTION("""COMPUTED_VALUE"""),42.0)</f>
        <v>42</v>
      </c>
      <c r="AI172" s="1" t="str">
        <f>IFERROR(__xludf.DUMMYFUNCTION("""COMPUTED_VALUE"""),"0000018170")</f>
        <v>0000018170</v>
      </c>
      <c r="AJ172" s="1">
        <f>IFERROR(__xludf.DUMMYFUNCTION("""COMPUTED_VALUE"""),4.1356544E7)</f>
        <v>41356544</v>
      </c>
      <c r="AK172" s="1">
        <f>IFERROR(__xludf.DUMMYFUNCTION("""COMPUTED_VALUE"""),9.24076804E8)</f>
        <v>924076804</v>
      </c>
      <c r="AL172" s="1" t="str">
        <f>IFERROR(__xludf.DUMMYFUNCTION("""COMPUTED_VALUE"""),"kishiharavelasquez@gmail.com")</f>
        <v>kishiharavelasquez@gmail.com</v>
      </c>
      <c r="AM172" s="1" t="str">
        <f>IFERROR(__xludf.DUMMYFUNCTION("""COMPUTED_VALUE"""),"MASCULINO")</f>
        <v>MASCULINO</v>
      </c>
      <c r="AN172" s="1">
        <f>IFERROR(__xludf.DUMMYFUNCTION("""COMPUTED_VALUE"""),1350.0)</f>
        <v>1350</v>
      </c>
      <c r="AO172" s="1">
        <f>IFERROR(__xludf.DUMMYFUNCTION("""COMPUTED_VALUE"""),0.0)</f>
        <v>0</v>
      </c>
      <c r="AP172" s="1" t="str">
        <f>IFERROR(__xludf.DUMMYFUNCTION("""COMPUTED_VALUE"""),"BIDIRECCIONAL")</f>
        <v>BIDIRECCIONAL</v>
      </c>
      <c r="AQ172" s="1" t="str">
        <f>IFERROR(__xludf.DUMMYFUNCTION("""COMPUTED_VALUE"""),"SEARCH CARRERA")</f>
        <v>SEARCH CARRERA</v>
      </c>
      <c r="AR172" s="1" t="str">
        <f>IFERROR(__xludf.DUMMYFUNCTION("""COMPUTED_VALUE"""),"NUEVO")</f>
        <v>NUEVO</v>
      </c>
      <c r="AS172" s="1" t="str">
        <f>IFERROR(__xludf.DUMMYFUNCTION("""COMPUTED_VALUE"""),"ucal-pg-performance-sedes-abierta-cpl-extensiones_desde_950_psi-20241010")</f>
        <v>ucal-pg-performance-sedes-abierta-cpl-extensiones_desde_950_psi-20241010</v>
      </c>
      <c r="AT172" s="2">
        <f>IFERROR(__xludf.DUMMYFUNCTION("""COMPUTED_VALUE"""),45606.0)</f>
        <v>45606</v>
      </c>
      <c r="AU172" s="1">
        <f>IFERROR(__xludf.DUMMYFUNCTION("""COMPUTED_VALUE"""),1.0)</f>
        <v>1</v>
      </c>
      <c r="AV172" s="1" t="str">
        <f>IFERROR(__xludf.DUMMYFUNCTION("""COMPUTED_VALUE"""),"NUEVO")</f>
        <v>NUEVO</v>
      </c>
      <c r="AW172" s="1" t="str">
        <f>IFERROR(__xludf.DUMMYFUNCTION("""COMPUTED_VALUE"""),"SI")</f>
        <v>SI</v>
      </c>
      <c r="AX172" s="1"/>
      <c r="AY172" s="1" t="str">
        <f>IFERROR(__xludf.DUMMYFUNCTION("""COMPUTED_VALUE"""),"PAGO COMPLETO")</f>
        <v>PAGO COMPLETO</v>
      </c>
      <c r="AZ172" s="5">
        <f>IFERROR(__xludf.DUMMYFUNCTION("""COMPUTED_VALUE"""),45608.0)</f>
        <v>45608</v>
      </c>
      <c r="BA172" s="1">
        <f>IFERROR(__xludf.DUMMYFUNCTION("""COMPUTED_VALUE"""),0.0)</f>
        <v>0</v>
      </c>
      <c r="BB172" s="1">
        <f>IFERROR(__xludf.DUMMYFUNCTION("""COMPUTED_VALUE"""),0.0)</f>
        <v>0</v>
      </c>
      <c r="BC172" s="4">
        <f>IFERROR(__xludf.DUMMYFUNCTION("""COMPUTED_VALUE"""),0.0)</f>
        <v>0</v>
      </c>
      <c r="BD172" s="4">
        <f>IFERROR(__xludf.DUMMYFUNCTION("""COMPUTED_VALUE"""),0.0)</f>
        <v>0</v>
      </c>
      <c r="BE172" s="1">
        <f>IFERROR(__xludf.DUMMYFUNCTION("""COMPUTED_VALUE"""),11.0)</f>
        <v>11</v>
      </c>
      <c r="BF172" s="6">
        <f>IFERROR(__xludf.DUMMYFUNCTION("""COMPUTED_VALUE"""),1.0)</f>
        <v>1</v>
      </c>
      <c r="BG172" s="1">
        <f>IFERROR(__xludf.DUMMYFUNCTION("""COMPUTED_VALUE"""),1.0)</f>
        <v>1</v>
      </c>
      <c r="BH172" s="1" t="str">
        <f>IFERROR(__xludf.DUMMYFUNCTION("""COMPUTED_VALUE"""),"0")</f>
        <v>0</v>
      </c>
      <c r="BI172" s="4">
        <f>IFERROR(__xludf.DUMMYFUNCTION("""COMPUTED_VALUE"""),0.0)</f>
        <v>0</v>
      </c>
      <c r="BJ172" s="1">
        <f>IFERROR(__xludf.DUMMYFUNCTION("""COMPUTED_VALUE"""),0.0)</f>
        <v>0</v>
      </c>
      <c r="BK172" s="4">
        <f>IFERROR(__xludf.DUMMYFUNCTION("""COMPUTED_VALUE"""),0.0)</f>
        <v>0</v>
      </c>
      <c r="BL172" s="1">
        <f>IFERROR(__xludf.DUMMYFUNCTION("""COMPUTED_VALUE"""),950.0)</f>
        <v>950</v>
      </c>
      <c r="BM172" s="1">
        <f>IFERROR(__xludf.DUMMYFUNCTION("""COMPUTED_VALUE"""),46.0)</f>
        <v>46</v>
      </c>
      <c r="BN172" s="2">
        <f>IFERROR(__xludf.DUMMYFUNCTION("""COMPUTED_VALUE"""),45607.0)</f>
        <v>45607</v>
      </c>
      <c r="BO172" s="1">
        <f>IFERROR(__xludf.DUMMYFUNCTION("""COMPUTED_VALUE"""),11.0)</f>
        <v>11</v>
      </c>
      <c r="BP172" s="1">
        <f>IFERROR(__xludf.DUMMYFUNCTION("""COMPUTED_VALUE"""),2024.0)</f>
        <v>2024</v>
      </c>
    </row>
    <row r="173">
      <c r="A173" s="1">
        <f>IFERROR(__xludf.DUMMYFUNCTION("""COMPUTED_VALUE"""),172.0)</f>
        <v>172</v>
      </c>
      <c r="B173" s="1">
        <f>IFERROR(__xludf.DUMMYFUNCTION("""COMPUTED_VALUE"""),1383229.0)</f>
        <v>1383229</v>
      </c>
      <c r="C173" s="1" t="str">
        <f>IFERROR(__xludf.DUMMYFUNCTION("""COMPUTED_VALUE"""),"2025-1")</f>
        <v>2025-1</v>
      </c>
      <c r="D173" s="1" t="str">
        <f>IFERROR(__xludf.DUMMYFUNCTION("""COMPUTED_VALUE"""),"Admisión Extraordinaria (Traslados)")</f>
        <v>Admisión Extraordinaria (Traslados)</v>
      </c>
      <c r="E173" s="2">
        <f>IFERROR(__xludf.DUMMYFUNCTION("""COMPUTED_VALUE"""),45608.0)</f>
        <v>45608</v>
      </c>
      <c r="F173" s="1" t="str">
        <f>IFERROR(__xludf.DUMMYFUNCTION("""COMPUTED_VALUE"""),"FIORELLA KATHY ")</f>
        <v>FIORELLA KATHY </v>
      </c>
      <c r="G173" s="1" t="str">
        <f>IFERROR(__xludf.DUMMYFUNCTION("""COMPUTED_VALUE"""),"FLOREZ SONCCO")</f>
        <v>FLOREZ SONCCO</v>
      </c>
      <c r="H173" s="1" t="str">
        <f>IFERROR(__xludf.DUMMYFUNCTION("""COMPUTED_VALUE"""),"Arquitectura de Interiores")</f>
        <v>Arquitectura de Interiores</v>
      </c>
      <c r="I173" s="1" t="str">
        <f>IFERROR(__xludf.DUMMYFUNCTION("""COMPUTED_VALUE"""),"CARGO")</f>
        <v>CARGO</v>
      </c>
      <c r="J173" s="1" t="str">
        <f>IFERROR(__xludf.DUMMYFUNCTION("""COMPUTED_VALUE"""),"Diurno")</f>
        <v>Diurno</v>
      </c>
      <c r="K173" s="1" t="str">
        <f>IFERROR(__xludf.DUMMYFUNCTION("""COMPUTED_VALUE"""),"TRASLADO")</f>
        <v>TRASLADO</v>
      </c>
      <c r="L173" s="1">
        <f>IFERROR(__xludf.DUMMYFUNCTION("""COMPUTED_VALUE"""),1.0)</f>
        <v>1</v>
      </c>
      <c r="M173" s="1">
        <f>IFERROR(__xludf.DUMMYFUNCTION("""COMPUTED_VALUE"""),0.0)</f>
        <v>0</v>
      </c>
      <c r="N173" s="1" t="str">
        <f>IFERROR(__xludf.DUMMYFUNCTION("""COMPUTED_VALUE"""),"RECA")</f>
        <v>RECA</v>
      </c>
      <c r="O173" s="1" t="str">
        <f>IFERROR(__xludf.DUMMYFUNCTION("""COMPUTED_VALUE"""),"RECA TRASLADO CON CONVA")</f>
        <v>RECA TRASLADO CON CONVA</v>
      </c>
      <c r="P173" s="4">
        <f>IFERROR(__xludf.DUMMYFUNCTION("""COMPUTED_VALUE"""),0.0)</f>
        <v>0</v>
      </c>
      <c r="Q173" s="4">
        <f>IFERROR(__xludf.DUMMYFUNCTION("""COMPUTED_VALUE"""),0.0)</f>
        <v>0</v>
      </c>
      <c r="R173" s="4">
        <f>IFERROR(__xludf.DUMMYFUNCTION("""COMPUTED_VALUE"""),1350.0)</f>
        <v>1350</v>
      </c>
      <c r="S173" s="4">
        <f>IFERROR(__xludf.DUMMYFUNCTION("""COMPUTED_VALUE"""),900.0)</f>
        <v>900</v>
      </c>
      <c r="T173" s="1" t="str">
        <f>IFERROR(__xludf.DUMMYFUNCTION("""COMPUTED_VALUE"""),"NINGUNO")</f>
        <v>NINGUNO</v>
      </c>
      <c r="U173" s="1" t="str">
        <f>IFERROR(__xludf.DUMMYFUNCTION("""COMPUTED_VALUE"""),"FABIOLA")</f>
        <v>FABIOLA</v>
      </c>
      <c r="V173" s="1" t="str">
        <f>IFERROR(__xludf.DUMMYFUNCTION("""COMPUTED_VALUE"""),"Ninguno")</f>
        <v>Ninguno</v>
      </c>
      <c r="W173" s="1" t="str">
        <f>IFERROR(__xludf.DUMMYFUNCTION("""COMPUTED_VALUE"""),"Metodología de enseñanza")</f>
        <v>Metodología de enseñanza</v>
      </c>
      <c r="X173" s="1" t="str">
        <f>IFERROR(__xludf.DUMMYFUNCTION("""COMPUTED_VALUE"""),"-")</f>
        <v>-</v>
      </c>
      <c r="Y173" s="1" t="str">
        <f>IFERROR(__xludf.DUMMYFUNCTION("""COMPUTED_VALUE"""),"PAGO COMPLETO")</f>
        <v>PAGO COMPLETO</v>
      </c>
      <c r="Z173" s="1">
        <f>IFERROR(__xludf.DUMMYFUNCTION("""COMPUTED_VALUE"""),0.0)</f>
        <v>0</v>
      </c>
      <c r="AA173" s="1" t="str">
        <f>IFERROR(__xludf.DUMMYFUNCTION("""COMPUTED_VALUE"""),"-")</f>
        <v>-</v>
      </c>
      <c r="AB173" s="1">
        <f>IFERROR(__xludf.DUMMYFUNCTION("""COMPUTED_VALUE"""),0.0)</f>
        <v>0</v>
      </c>
      <c r="AC173" s="1">
        <f>IFERROR(__xludf.DUMMYFUNCTION("""COMPUTED_VALUE"""),0.0)</f>
        <v>0</v>
      </c>
      <c r="AD173" s="1" t="str">
        <f>IFERROR(__xludf.DUMMYFUNCTION("""COMPUTED_VALUE"""),"Andrea Araujo Antara")</f>
        <v>Andrea Araujo Antara</v>
      </c>
      <c r="AE173" s="1" t="str">
        <f>IFERROR(__xludf.DUMMYFUNCTION("""COMPUTED_VALUE"""),"Instituto de Educación Superior Tecnológico Privado Toulouse Lautrec")</f>
        <v>Instituto de Educación Superior Tecnológico Privado Toulouse Lautrec</v>
      </c>
      <c r="AF173" s="1">
        <f>IFERROR(__xludf.DUMMYFUNCTION("""COMPUTED_VALUE"""),2018.0)</f>
        <v>2018</v>
      </c>
      <c r="AG173" s="1">
        <f>IFERROR(__xludf.DUMMYFUNCTION("""COMPUTED_VALUE"""),1475599.0)</f>
        <v>1475599</v>
      </c>
      <c r="AH173" s="1">
        <f>IFERROR(__xludf.DUMMYFUNCTION("""COMPUTED_VALUE"""),22.0)</f>
        <v>22</v>
      </c>
      <c r="AI173" s="1" t="str">
        <f>IFERROR(__xludf.DUMMYFUNCTION("""COMPUTED_VALUE"""),"0000015183")</f>
        <v>0000015183</v>
      </c>
      <c r="AJ173" s="1">
        <f>IFERROR(__xludf.DUMMYFUNCTION("""COMPUTED_VALUE"""),7.2860403E7)</f>
        <v>72860403</v>
      </c>
      <c r="AK173" s="1">
        <f>IFERROR(__xludf.DUMMYFUNCTION("""COMPUTED_VALUE"""),9.12969992E8)</f>
        <v>912969992</v>
      </c>
      <c r="AL173" s="1" t="str">
        <f>IFERROR(__xludf.DUMMYFUNCTION("""COMPUTED_VALUE"""),"Florezsk1@gmail.com")</f>
        <v>Florezsk1@gmail.com</v>
      </c>
      <c r="AM173" s="1" t="str">
        <f>IFERROR(__xludf.DUMMYFUNCTION("""COMPUTED_VALUE"""),"FEMENINO")</f>
        <v>FEMENINO</v>
      </c>
      <c r="AN173" s="1">
        <f>IFERROR(__xludf.DUMMYFUNCTION("""COMPUTED_VALUE"""),1350.0)</f>
        <v>1350</v>
      </c>
      <c r="AO173" s="1">
        <f>IFERROR(__xludf.DUMMYFUNCTION("""COMPUTED_VALUE"""),0.0)</f>
        <v>0</v>
      </c>
      <c r="AP173" s="1" t="str">
        <f>IFERROR(__xludf.DUMMYFUNCTION("""COMPUTED_VALUE"""),"BIDIRECCIONAL")</f>
        <v>BIDIRECCIONAL</v>
      </c>
      <c r="AQ173" s="1" t="str">
        <f>IFERROR(__xludf.DUMMYFUNCTION("""COMPUTED_VALUE"""),"ORGANICO")</f>
        <v>ORGANICO</v>
      </c>
      <c r="AR173" s="1" t="str">
        <f>IFERROR(__xludf.DUMMYFUNCTION("""COMPUTED_VALUE"""),"HEREDADO")</f>
        <v>HEREDADO</v>
      </c>
      <c r="AS173" s="1"/>
      <c r="AT173" s="2">
        <f>IFERROR(__xludf.DUMMYFUNCTION("""COMPUTED_VALUE"""),45591.0)</f>
        <v>45591</v>
      </c>
      <c r="AU173" s="1">
        <f>IFERROR(__xludf.DUMMYFUNCTION("""COMPUTED_VALUE"""),1.0)</f>
        <v>1</v>
      </c>
      <c r="AV173" s="1" t="str">
        <f>IFERROR(__xludf.DUMMYFUNCTION("""COMPUTED_VALUE"""),"TRASLADO")</f>
        <v>TRASLADO</v>
      </c>
      <c r="AW173" s="1" t="str">
        <f>IFERROR(__xludf.DUMMYFUNCTION("""COMPUTED_VALUE"""),"SI")</f>
        <v>SI</v>
      </c>
      <c r="AX173" s="1"/>
      <c r="AY173" s="1" t="str">
        <f>IFERROR(__xludf.DUMMYFUNCTION("""COMPUTED_VALUE"""),"PAGO COMPLETO")</f>
        <v>PAGO COMPLETO</v>
      </c>
      <c r="AZ173" s="5">
        <f>IFERROR(__xludf.DUMMYFUNCTION("""COMPUTED_VALUE"""),45608.0)</f>
        <v>45608</v>
      </c>
      <c r="BA173" s="1">
        <f>IFERROR(__xludf.DUMMYFUNCTION("""COMPUTED_VALUE"""),0.0)</f>
        <v>0</v>
      </c>
      <c r="BB173" s="1">
        <f>IFERROR(__xludf.DUMMYFUNCTION("""COMPUTED_VALUE"""),0.0)</f>
        <v>0</v>
      </c>
      <c r="BC173" s="4">
        <f>IFERROR(__xludf.DUMMYFUNCTION("""COMPUTED_VALUE"""),0.0)</f>
        <v>0</v>
      </c>
      <c r="BD173" s="4">
        <f>IFERROR(__xludf.DUMMYFUNCTION("""COMPUTED_VALUE"""),0.0)</f>
        <v>0</v>
      </c>
      <c r="BE173" s="1">
        <f>IFERROR(__xludf.DUMMYFUNCTION("""COMPUTED_VALUE"""),11.0)</f>
        <v>11</v>
      </c>
      <c r="BF173" s="6">
        <f>IFERROR(__xludf.DUMMYFUNCTION("""COMPUTED_VALUE"""),1.0)</f>
        <v>1</v>
      </c>
      <c r="BG173" s="1">
        <f>IFERROR(__xludf.DUMMYFUNCTION("""COMPUTED_VALUE"""),1.0)</f>
        <v>1</v>
      </c>
      <c r="BH173" s="1" t="str">
        <f>IFERROR(__xludf.DUMMYFUNCTION("""COMPUTED_VALUE"""),"1")</f>
        <v>1</v>
      </c>
      <c r="BI173" s="4">
        <f>IFERROR(__xludf.DUMMYFUNCTION("""COMPUTED_VALUE"""),0.0)</f>
        <v>0</v>
      </c>
      <c r="BJ173" s="1">
        <f>IFERROR(__xludf.DUMMYFUNCTION("""COMPUTED_VALUE"""),0.0)</f>
        <v>0</v>
      </c>
      <c r="BK173" s="4">
        <f>IFERROR(__xludf.DUMMYFUNCTION("""COMPUTED_VALUE"""),0.0)</f>
        <v>0</v>
      </c>
      <c r="BL173" s="1">
        <f>IFERROR(__xludf.DUMMYFUNCTION("""COMPUTED_VALUE"""),900.0)</f>
        <v>900</v>
      </c>
      <c r="BM173" s="1">
        <f>IFERROR(__xludf.DUMMYFUNCTION("""COMPUTED_VALUE"""),46.0)</f>
        <v>46</v>
      </c>
      <c r="BN173" s="2">
        <f>IFERROR(__xludf.DUMMYFUNCTION("""COMPUTED_VALUE"""),45607.0)</f>
        <v>45607</v>
      </c>
      <c r="BO173" s="1">
        <f>IFERROR(__xludf.DUMMYFUNCTION("""COMPUTED_VALUE"""),11.0)</f>
        <v>11</v>
      </c>
      <c r="BP173" s="1">
        <f>IFERROR(__xludf.DUMMYFUNCTION("""COMPUTED_VALUE"""),2024.0)</f>
        <v>2024</v>
      </c>
    </row>
    <row r="174">
      <c r="A174" s="1">
        <f>IFERROR(__xludf.DUMMYFUNCTION("""COMPUTED_VALUE"""),173.0)</f>
        <v>173</v>
      </c>
      <c r="B174" s="1">
        <f>IFERROR(__xludf.DUMMYFUNCTION("""COMPUTED_VALUE"""),3120921.0)</f>
        <v>3120921</v>
      </c>
      <c r="C174" s="1" t="str">
        <f>IFERROR(__xludf.DUMMYFUNCTION("""COMPUTED_VALUE"""),"2025-1")</f>
        <v>2025-1</v>
      </c>
      <c r="D174" s="1" t="str">
        <f>IFERROR(__xludf.DUMMYFUNCTION("""COMPUTED_VALUE"""),"Admisión de Alto Rendimiento")</f>
        <v>Admisión de Alto Rendimiento</v>
      </c>
      <c r="E174" s="2">
        <f>IFERROR(__xludf.DUMMYFUNCTION("""COMPUTED_VALUE"""),45609.0)</f>
        <v>45609</v>
      </c>
      <c r="F174" s="1" t="str">
        <f>IFERROR(__xludf.DUMMYFUNCTION("""COMPUTED_VALUE"""),"ANDREA VALENTINA ")</f>
        <v>ANDREA VALENTINA </v>
      </c>
      <c r="G174" s="1" t="str">
        <f>IFERROR(__xludf.DUMMYFUNCTION("""COMPUTED_VALUE"""),"CUEVA AGUIRRE")</f>
        <v>CUEVA AGUIRRE</v>
      </c>
      <c r="H174" s="1" t="str">
        <f>IFERROR(__xludf.DUMMYFUNCTION("""COMPUTED_VALUE"""),"Arquitectura")</f>
        <v>Arquitectura</v>
      </c>
      <c r="I174" s="1" t="str">
        <f>IFERROR(__xludf.DUMMYFUNCTION("""COMPUTED_VALUE"""),"POS")</f>
        <v>POS</v>
      </c>
      <c r="J174" s="1" t="str">
        <f>IFERROR(__xludf.DUMMYFUNCTION("""COMPUTED_VALUE"""),"Diurno")</f>
        <v>Diurno</v>
      </c>
      <c r="K174" s="1" t="str">
        <f>IFERROR(__xludf.DUMMYFUNCTION("""COMPUTED_VALUE"""),"NUEVO")</f>
        <v>NUEVO</v>
      </c>
      <c r="L174" s="1">
        <f>IFERROR(__xludf.DUMMYFUNCTION("""COMPUTED_VALUE"""),0.0)</f>
        <v>0</v>
      </c>
      <c r="M174" s="1">
        <f>IFERROR(__xludf.DUMMYFUNCTION("""COMPUTED_VALUE"""),0.0)</f>
        <v>0</v>
      </c>
      <c r="N174" s="1" t="str">
        <f>IFERROR(__xludf.DUMMYFUNCTION("""COMPUTED_VALUE"""),"BECA")</f>
        <v>BECA</v>
      </c>
      <c r="O174" s="1" t="str">
        <f>IFERROR(__xludf.DUMMYFUNCTION("""COMPUTED_VALUE"""),"BECA CARRERAS CORE")</f>
        <v>BECA CARRERAS CORE</v>
      </c>
      <c r="P174" s="4">
        <f>IFERROR(__xludf.DUMMYFUNCTION("""COMPUTED_VALUE"""),0.0)</f>
        <v>0</v>
      </c>
      <c r="Q174" s="4">
        <f>IFERROR(__xludf.DUMMYFUNCTION("""COMPUTED_VALUE"""),0.0)</f>
        <v>0</v>
      </c>
      <c r="R174" s="4">
        <f>IFERROR(__xludf.DUMMYFUNCTION("""COMPUTED_VALUE"""),1600.0)</f>
        <v>1600</v>
      </c>
      <c r="S174" s="4">
        <f>IFERROR(__xludf.DUMMYFUNCTION("""COMPUTED_VALUE"""),1280.0)</f>
        <v>1280</v>
      </c>
      <c r="T174" s="1" t="str">
        <f>IFERROR(__xludf.DUMMYFUNCTION("""COMPUTED_VALUE"""),"NINGUNO")</f>
        <v>NINGUNO</v>
      </c>
      <c r="U174" s="1" t="str">
        <f>IFERROR(__xludf.DUMMYFUNCTION("""COMPUTED_VALUE"""),"FABIOLA")</f>
        <v>FABIOLA</v>
      </c>
      <c r="V174" s="1" t="str">
        <f>IFERROR(__xludf.DUMMYFUNCTION("""COMPUTED_VALUE"""),"Ninguno")</f>
        <v>Ninguno</v>
      </c>
      <c r="W174" s="1" t="str">
        <f>IFERROR(__xludf.DUMMYFUNCTION("""COMPUTED_VALUE"""),"Metodología de enseñanza")</f>
        <v>Metodología de enseñanza</v>
      </c>
      <c r="X174" s="1" t="str">
        <f>IFERROR(__xludf.DUMMYFUNCTION("""COMPUTED_VALUE"""),"-")</f>
        <v>-</v>
      </c>
      <c r="Y174" s="1" t="str">
        <f>IFERROR(__xludf.DUMMYFUNCTION("""COMPUTED_VALUE"""),"PAGO FRACCIONADO")</f>
        <v>PAGO FRACCIONADO</v>
      </c>
      <c r="Z174" s="1">
        <f>IFERROR(__xludf.DUMMYFUNCTION("""COMPUTED_VALUE"""),640.0)</f>
        <v>640</v>
      </c>
      <c r="AA174" s="1" t="str">
        <f>IFERROR(__xludf.DUMMYFUNCTION("""COMPUTED_VALUE"""),"29/11/2024")</f>
        <v>29/11/2024</v>
      </c>
      <c r="AB174" s="1">
        <f>IFERROR(__xludf.DUMMYFUNCTION("""COMPUTED_VALUE"""),0.0)</f>
        <v>0</v>
      </c>
      <c r="AC174" s="1">
        <f>IFERROR(__xludf.DUMMYFUNCTION("""COMPUTED_VALUE"""),0.0)</f>
        <v>0</v>
      </c>
      <c r="AD174" s="1" t="str">
        <f>IFERROR(__xludf.DUMMYFUNCTION("""COMPUTED_VALUE"""),"Ingrid Guillermo Rivera")</f>
        <v>Ingrid Guillermo Rivera</v>
      </c>
      <c r="AE174" s="1" t="str">
        <f>IFERROR(__xludf.DUMMYFUNCTION("""COMPUTED_VALUE"""),"0")</f>
        <v>0</v>
      </c>
      <c r="AF174" s="1">
        <f>IFERROR(__xludf.DUMMYFUNCTION("""COMPUTED_VALUE"""),2024.0)</f>
        <v>2024</v>
      </c>
      <c r="AG174" s="1">
        <f>IFERROR(__xludf.DUMMYFUNCTION("""COMPUTED_VALUE"""),1007293.0)</f>
        <v>1007293</v>
      </c>
      <c r="AH174" s="1">
        <f>IFERROR(__xludf.DUMMYFUNCTION("""COMPUTED_VALUE"""),17.0)</f>
        <v>17</v>
      </c>
      <c r="AI174" s="1" t="str">
        <f>IFERROR(__xludf.DUMMYFUNCTION("""COMPUTED_VALUE"""),"0000400578")</f>
        <v>0000400578</v>
      </c>
      <c r="AJ174" s="1">
        <f>IFERROR(__xludf.DUMMYFUNCTION("""COMPUTED_VALUE"""),6.1214116E7)</f>
        <v>61214116</v>
      </c>
      <c r="AK174" s="1">
        <f>IFERROR(__xludf.DUMMYFUNCTION("""COMPUTED_VALUE"""),9.77576451E8)</f>
        <v>977576451</v>
      </c>
      <c r="AL174" s="1" t="str">
        <f>IFERROR(__xludf.DUMMYFUNCTION("""COMPUTED_VALUE"""),"jnkd7ek@gmail.com")</f>
        <v>jnkd7ek@gmail.com</v>
      </c>
      <c r="AM174" s="1" t="str">
        <f>IFERROR(__xludf.DUMMYFUNCTION("""COMPUTED_VALUE"""),"FEMENINO")</f>
        <v>FEMENINO</v>
      </c>
      <c r="AN174" s="1">
        <f>IFERROR(__xludf.DUMMYFUNCTION("""COMPUTED_VALUE"""),1600.0)</f>
        <v>1600</v>
      </c>
      <c r="AO174" s="1">
        <f>IFERROR(__xludf.DUMMYFUNCTION("""COMPUTED_VALUE"""),420.0)</f>
        <v>420</v>
      </c>
      <c r="AP174" s="1" t="str">
        <f>IFERROR(__xludf.DUMMYFUNCTION("""COMPUTED_VALUE"""),"COLEGIOS")</f>
        <v>COLEGIOS</v>
      </c>
      <c r="AQ174" s="1" t="str">
        <f>IFERROR(__xludf.DUMMYFUNCTION("""COMPUTED_VALUE"""),"COLEGIOS")</f>
        <v>COLEGIOS</v>
      </c>
      <c r="AR174" s="1" t="str">
        <f>IFERROR(__xludf.DUMMYFUNCTION("""COMPUTED_VALUE"""),"NUEVO")</f>
        <v>NUEVO</v>
      </c>
      <c r="AS174" s="1"/>
      <c r="AT174" s="2">
        <f>IFERROR(__xludf.DUMMYFUNCTION("""COMPUTED_VALUE"""),45415.0)</f>
        <v>45415</v>
      </c>
      <c r="AU174" s="1">
        <f>IFERROR(__xludf.DUMMYFUNCTION("""COMPUTED_VALUE"""),1.0)</f>
        <v>1</v>
      </c>
      <c r="AV174" s="1" t="str">
        <f>IFERROR(__xludf.DUMMYFUNCTION("""COMPUTED_VALUE"""),"NUEVO")</f>
        <v>NUEVO</v>
      </c>
      <c r="AW174" s="1" t="str">
        <f>IFERROR(__xludf.DUMMYFUNCTION("""COMPUTED_VALUE"""),"SI")</f>
        <v>SI</v>
      </c>
      <c r="AX174" s="1"/>
      <c r="AY174" s="1" t="str">
        <f>IFERROR(__xludf.DUMMYFUNCTION("""COMPUTED_VALUE"""),"PAGO COMPLETO")</f>
        <v>PAGO COMPLETO</v>
      </c>
      <c r="AZ174" s="5">
        <f>IFERROR(__xludf.DUMMYFUNCTION("""COMPUTED_VALUE"""),45625.0)</f>
        <v>45625</v>
      </c>
      <c r="BA174" s="1">
        <f>IFERROR(__xludf.DUMMYFUNCTION("""COMPUTED_VALUE"""),640.0)</f>
        <v>640</v>
      </c>
      <c r="BB174" s="1">
        <f>IFERROR(__xludf.DUMMYFUNCTION("""COMPUTED_VALUE"""),0.0)</f>
        <v>0</v>
      </c>
      <c r="BC174" s="4">
        <f>IFERROR(__xludf.DUMMYFUNCTION("""COMPUTED_VALUE"""),0.0)</f>
        <v>0</v>
      </c>
      <c r="BD174" s="4">
        <f>IFERROR(__xludf.DUMMYFUNCTION("""COMPUTED_VALUE"""),0.0)</f>
        <v>0</v>
      </c>
      <c r="BE174" s="1">
        <f>IFERROR(__xludf.DUMMYFUNCTION("""COMPUTED_VALUE"""),11.0)</f>
        <v>11</v>
      </c>
      <c r="BF174" s="6">
        <f>IFERROR(__xludf.DUMMYFUNCTION("""COMPUTED_VALUE"""),1.0)</f>
        <v>1</v>
      </c>
      <c r="BG174" s="1">
        <f>IFERROR(__xludf.DUMMYFUNCTION("""COMPUTED_VALUE"""),1.0)</f>
        <v>1</v>
      </c>
      <c r="BH174" s="1" t="str">
        <f>IFERROR(__xludf.DUMMYFUNCTION("""COMPUTED_VALUE"""),"0")</f>
        <v>0</v>
      </c>
      <c r="BI174" s="4">
        <f>IFERROR(__xludf.DUMMYFUNCTION("""COMPUTED_VALUE"""),1280.0)</f>
        <v>1280</v>
      </c>
      <c r="BJ174" s="1">
        <f>IFERROR(__xludf.DUMMYFUNCTION("""COMPUTED_VALUE"""),0.0)</f>
        <v>0</v>
      </c>
      <c r="BK174" s="4">
        <f>IFERROR(__xludf.DUMMYFUNCTION("""COMPUTED_VALUE"""),0.0)</f>
        <v>0</v>
      </c>
      <c r="BL174" s="1">
        <f>IFERROR(__xludf.DUMMYFUNCTION("""COMPUTED_VALUE"""),1280.0)</f>
        <v>1280</v>
      </c>
      <c r="BM174" s="1">
        <f>IFERROR(__xludf.DUMMYFUNCTION("""COMPUTED_VALUE"""),46.0)</f>
        <v>46</v>
      </c>
      <c r="BN174" s="2">
        <f>IFERROR(__xludf.DUMMYFUNCTION("""COMPUTED_VALUE"""),45607.0)</f>
        <v>45607</v>
      </c>
      <c r="BO174" s="1">
        <f>IFERROR(__xludf.DUMMYFUNCTION("""COMPUTED_VALUE"""),11.0)</f>
        <v>11</v>
      </c>
      <c r="BP174" s="1">
        <f>IFERROR(__xludf.DUMMYFUNCTION("""COMPUTED_VALUE"""),2024.0)</f>
        <v>2024</v>
      </c>
    </row>
    <row r="175">
      <c r="A175" s="1">
        <f>IFERROR(__xludf.DUMMYFUNCTION("""COMPUTED_VALUE"""),174.0)</f>
        <v>174</v>
      </c>
      <c r="B175" s="1">
        <f>IFERROR(__xludf.DUMMYFUNCTION("""COMPUTED_VALUE"""),4781218.0)</f>
        <v>4781218</v>
      </c>
      <c r="C175" s="1" t="str">
        <f>IFERROR(__xludf.DUMMYFUNCTION("""COMPUTED_VALUE"""),"2025-1")</f>
        <v>2025-1</v>
      </c>
      <c r="D175" s="1" t="str">
        <f>IFERROR(__xludf.DUMMYFUNCTION("""COMPUTED_VALUE"""),"Admisión Extraordinaria (Traslados)")</f>
        <v>Admisión Extraordinaria (Traslados)</v>
      </c>
      <c r="E175" s="2">
        <f>IFERROR(__xludf.DUMMYFUNCTION("""COMPUTED_VALUE"""),45610.0)</f>
        <v>45610</v>
      </c>
      <c r="F175" s="1" t="str">
        <f>IFERROR(__xludf.DUMMYFUNCTION("""COMPUTED_VALUE"""),"PAMELA YANIRE ")</f>
        <v>PAMELA YANIRE </v>
      </c>
      <c r="G175" s="1" t="str">
        <f>IFERROR(__xludf.DUMMYFUNCTION("""COMPUTED_VALUE"""),"BICERRA PAREDES")</f>
        <v>BICERRA PAREDES</v>
      </c>
      <c r="H175" s="1" t="str">
        <f>IFERROR(__xludf.DUMMYFUNCTION("""COMPUTED_VALUE"""),"Administración y Negocios Internacionales")</f>
        <v>Administración y Negocios Internacionales</v>
      </c>
      <c r="I175" s="1" t="str">
        <f>IFERROR(__xludf.DUMMYFUNCTION("""COMPUTED_VALUE"""),"CARGO")</f>
        <v>CARGO</v>
      </c>
      <c r="J175" s="1" t="str">
        <f>IFERROR(__xludf.DUMMYFUNCTION("""COMPUTED_VALUE"""),"Nocturno - A distancia")</f>
        <v>Nocturno - A distancia</v>
      </c>
      <c r="K175" s="1" t="str">
        <f>IFERROR(__xludf.DUMMYFUNCTION("""COMPUTED_VALUE"""),"TRASLADO")</f>
        <v>TRASLADO</v>
      </c>
      <c r="L175" s="1">
        <f>IFERROR(__xludf.DUMMYFUNCTION("""COMPUTED_VALUE"""),0.0)</f>
        <v>0</v>
      </c>
      <c r="M175" s="1">
        <f>IFERROR(__xludf.DUMMYFUNCTION("""COMPUTED_VALUE"""),0.0)</f>
        <v>0</v>
      </c>
      <c r="N175" s="1" t="str">
        <f>IFERROR(__xludf.DUMMYFUNCTION("""COMPUTED_VALUE"""),"ESCALA DISTANCIA")</f>
        <v>ESCALA DISTANCIA</v>
      </c>
      <c r="O175" s="1" t="str">
        <f>IFERROR(__xludf.DUMMYFUNCTION("""COMPUTED_VALUE"""),"ESCALA DISTANCIA CONGELADA 2 AÑOS")</f>
        <v>ESCALA DISTANCIA CONGELADA 2 AÑOS</v>
      </c>
      <c r="P175" s="4">
        <f>IFERROR(__xludf.DUMMYFUNCTION("""COMPUTED_VALUE"""),0.0)</f>
        <v>0</v>
      </c>
      <c r="Q175" s="4">
        <f>IFERROR(__xludf.DUMMYFUNCTION("""COMPUTED_VALUE"""),0.0)</f>
        <v>0</v>
      </c>
      <c r="R175" s="4">
        <f>IFERROR(__xludf.DUMMYFUNCTION("""COMPUTED_VALUE"""),1525.0)</f>
        <v>1525</v>
      </c>
      <c r="S175" s="4">
        <f>IFERROR(__xludf.DUMMYFUNCTION("""COMPUTED_VALUE"""),750.0)</f>
        <v>750</v>
      </c>
      <c r="T175" s="1" t="str">
        <f>IFERROR(__xludf.DUMMYFUNCTION("""COMPUTED_VALUE"""),"NINGUNO")</f>
        <v>NINGUNO</v>
      </c>
      <c r="U175" s="1" t="str">
        <f>IFERROR(__xludf.DUMMYFUNCTION("""COMPUTED_VALUE"""),"FABIOLA")</f>
        <v>FABIOLA</v>
      </c>
      <c r="V175" s="1" t="str">
        <f>IFERROR(__xludf.DUMMYFUNCTION("""COMPUTED_VALUE"""),"Ninguno")</f>
        <v>Ninguno</v>
      </c>
      <c r="W175" s="1" t="str">
        <f>IFERROR(__xludf.DUMMYFUNCTION("""COMPUTED_VALUE"""),"Convenios internacionales")</f>
        <v>Convenios internacionales</v>
      </c>
      <c r="X175" s="1" t="str">
        <f>IFERROR(__xludf.DUMMYFUNCTION("""COMPUTED_VALUE"""),"-")</f>
        <v>-</v>
      </c>
      <c r="Y175" s="1" t="str">
        <f>IFERROR(__xludf.DUMMYFUNCTION("""COMPUTED_VALUE"""),"PAGO COMPLETO")</f>
        <v>PAGO COMPLETO</v>
      </c>
      <c r="Z175" s="1">
        <f>IFERROR(__xludf.DUMMYFUNCTION("""COMPUTED_VALUE"""),0.0)</f>
        <v>0</v>
      </c>
      <c r="AA175" s="1" t="str">
        <f>IFERROR(__xludf.DUMMYFUNCTION("""COMPUTED_VALUE"""),"-")</f>
        <v>-</v>
      </c>
      <c r="AB175" s="1">
        <f>IFERROR(__xludf.DUMMYFUNCTION("""COMPUTED_VALUE"""),0.0)</f>
        <v>0</v>
      </c>
      <c r="AC175" s="1">
        <f>IFERROR(__xludf.DUMMYFUNCTION("""COMPUTED_VALUE"""),0.0)</f>
        <v>0</v>
      </c>
      <c r="AD175" s="1" t="str">
        <f>IFERROR(__xludf.DUMMYFUNCTION("""COMPUTED_VALUE"""),"Angelica Iparraguirre")</f>
        <v>Angelica Iparraguirre</v>
      </c>
      <c r="AE175" s="1" t="str">
        <f>IFERROR(__xludf.DUMMYFUNCTION("""COMPUTED_VALUE"""),"Universidad de Lima")</f>
        <v>Universidad de Lima</v>
      </c>
      <c r="AF175" s="1">
        <f>IFERROR(__xludf.DUMMYFUNCTION("""COMPUTED_VALUE"""),2020.0)</f>
        <v>2020</v>
      </c>
      <c r="AG175" s="1">
        <f>IFERROR(__xludf.DUMMYFUNCTION("""COMPUTED_VALUE"""),1275619.0)</f>
        <v>1275619</v>
      </c>
      <c r="AH175" s="1">
        <f>IFERROR(__xludf.DUMMYFUNCTION("""COMPUTED_VALUE"""),20.0)</f>
        <v>20</v>
      </c>
      <c r="AI175" s="1" t="str">
        <f>IFERROR(__xludf.DUMMYFUNCTION("""COMPUTED_VALUE"""),"0000400639")</f>
        <v>0000400639</v>
      </c>
      <c r="AJ175" s="1">
        <f>IFERROR(__xludf.DUMMYFUNCTION("""COMPUTED_VALUE"""),7.1446726E7)</f>
        <v>71446726</v>
      </c>
      <c r="AK175" s="1">
        <f>IFERROR(__xludf.DUMMYFUNCTION("""COMPUTED_VALUE"""),9.70561475E8)</f>
        <v>970561475</v>
      </c>
      <c r="AL175" s="1" t="str">
        <f>IFERROR(__xludf.DUMMYFUNCTION("""COMPUTED_VALUE"""),"bicerrapamela@gmail.com")</f>
        <v>bicerrapamela@gmail.com</v>
      </c>
      <c r="AM175" s="1" t="str">
        <f>IFERROR(__xludf.DUMMYFUNCTION("""COMPUTED_VALUE"""),"FEMENINO")</f>
        <v>FEMENINO</v>
      </c>
      <c r="AN175" s="1">
        <f>IFERROR(__xludf.DUMMYFUNCTION("""COMPUTED_VALUE"""),1525.0)</f>
        <v>1525</v>
      </c>
      <c r="AO175" s="1">
        <f>IFERROR(__xludf.DUMMYFUNCTION("""COMPUTED_VALUE"""),180.0)</f>
        <v>180</v>
      </c>
      <c r="AP175" s="1" t="str">
        <f>IFERROR(__xludf.DUMMYFUNCTION("""COMPUTED_VALUE"""),"BIDIRECCIONAL")</f>
        <v>BIDIRECCIONAL</v>
      </c>
      <c r="AQ175" s="1" t="str">
        <f>IFERROR(__xludf.DUMMYFUNCTION("""COMPUTED_VALUE"""),"ORGANICO")</f>
        <v>ORGANICO</v>
      </c>
      <c r="AR175" s="1" t="str">
        <f>IFERROR(__xludf.DUMMYFUNCTION("""COMPUTED_VALUE"""),"NUEVO")</f>
        <v>NUEVO</v>
      </c>
      <c r="AS175" s="1"/>
      <c r="AT175" s="2">
        <f>IFERROR(__xludf.DUMMYFUNCTION("""COMPUTED_VALUE"""),45596.0)</f>
        <v>45596</v>
      </c>
      <c r="AU175" s="1">
        <f>IFERROR(__xludf.DUMMYFUNCTION("""COMPUTED_VALUE"""),1.0)</f>
        <v>1</v>
      </c>
      <c r="AV175" s="1" t="str">
        <f>IFERROR(__xludf.DUMMYFUNCTION("""COMPUTED_VALUE"""),"NUEVO")</f>
        <v>NUEVO</v>
      </c>
      <c r="AW175" s="1" t="str">
        <f>IFERROR(__xludf.DUMMYFUNCTION("""COMPUTED_VALUE"""),"SI")</f>
        <v>SI</v>
      </c>
      <c r="AX175" s="1"/>
      <c r="AY175" s="1" t="str">
        <f>IFERROR(__xludf.DUMMYFUNCTION("""COMPUTED_VALUE"""),"PAGO COMPLETO")</f>
        <v>PAGO COMPLETO</v>
      </c>
      <c r="AZ175" s="5">
        <f>IFERROR(__xludf.DUMMYFUNCTION("""COMPUTED_VALUE"""),45610.0)</f>
        <v>45610</v>
      </c>
      <c r="BA175" s="1">
        <f>IFERROR(__xludf.DUMMYFUNCTION("""COMPUTED_VALUE"""),0.0)</f>
        <v>0</v>
      </c>
      <c r="BB175" s="1">
        <f>IFERROR(__xludf.DUMMYFUNCTION("""COMPUTED_VALUE"""),0.0)</f>
        <v>0</v>
      </c>
      <c r="BC175" s="4">
        <f>IFERROR(__xludf.DUMMYFUNCTION("""COMPUTED_VALUE"""),0.0)</f>
        <v>0</v>
      </c>
      <c r="BD175" s="4">
        <f>IFERROR(__xludf.DUMMYFUNCTION("""COMPUTED_VALUE"""),0.0)</f>
        <v>0</v>
      </c>
      <c r="BE175" s="1">
        <f>IFERROR(__xludf.DUMMYFUNCTION("""COMPUTED_VALUE"""),11.0)</f>
        <v>11</v>
      </c>
      <c r="BF175" s="6">
        <f>IFERROR(__xludf.DUMMYFUNCTION("""COMPUTED_VALUE"""),1.0)</f>
        <v>1</v>
      </c>
      <c r="BG175" s="1">
        <f>IFERROR(__xludf.DUMMYFUNCTION("""COMPUTED_VALUE"""),1.0)</f>
        <v>1</v>
      </c>
      <c r="BH175" s="1" t="str">
        <f>IFERROR(__xludf.DUMMYFUNCTION("""COMPUTED_VALUE"""),"0")</f>
        <v>0</v>
      </c>
      <c r="BI175" s="4">
        <f>IFERROR(__xludf.DUMMYFUNCTION("""COMPUTED_VALUE"""),0.0)</f>
        <v>0</v>
      </c>
      <c r="BJ175" s="1">
        <f>IFERROR(__xludf.DUMMYFUNCTION("""COMPUTED_VALUE"""),0.0)</f>
        <v>0</v>
      </c>
      <c r="BK175" s="4">
        <f>IFERROR(__xludf.DUMMYFUNCTION("""COMPUTED_VALUE"""),0.0)</f>
        <v>0</v>
      </c>
      <c r="BL175" s="1">
        <f>IFERROR(__xludf.DUMMYFUNCTION("""COMPUTED_VALUE"""),750.0)</f>
        <v>750</v>
      </c>
      <c r="BM175" s="1">
        <f>IFERROR(__xludf.DUMMYFUNCTION("""COMPUTED_VALUE"""),46.0)</f>
        <v>46</v>
      </c>
      <c r="BN175" s="2">
        <f>IFERROR(__xludf.DUMMYFUNCTION("""COMPUTED_VALUE"""),45607.0)</f>
        <v>45607</v>
      </c>
      <c r="BO175" s="1">
        <f>IFERROR(__xludf.DUMMYFUNCTION("""COMPUTED_VALUE"""),11.0)</f>
        <v>11</v>
      </c>
      <c r="BP175" s="1">
        <f>IFERROR(__xludf.DUMMYFUNCTION("""COMPUTED_VALUE"""),2024.0)</f>
        <v>2024</v>
      </c>
    </row>
    <row r="176">
      <c r="A176" s="1">
        <f>IFERROR(__xludf.DUMMYFUNCTION("""COMPUTED_VALUE"""),175.0)</f>
        <v>175</v>
      </c>
      <c r="B176" s="1">
        <f>IFERROR(__xludf.DUMMYFUNCTION("""COMPUTED_VALUE"""),4801666.0)</f>
        <v>4801666</v>
      </c>
      <c r="C176" s="1" t="str">
        <f>IFERROR(__xludf.DUMMYFUNCTION("""COMPUTED_VALUE"""),"2025-1")</f>
        <v>2025-1</v>
      </c>
      <c r="D176" s="1" t="str">
        <f>IFERROR(__xludf.DUMMYFUNCTION("""COMPUTED_VALUE"""),"Admisión Ordinaria")</f>
        <v>Admisión Ordinaria</v>
      </c>
      <c r="E176" s="2">
        <f>IFERROR(__xludf.DUMMYFUNCTION("""COMPUTED_VALUE"""),45610.0)</f>
        <v>45610</v>
      </c>
      <c r="F176" s="1" t="str">
        <f>IFERROR(__xludf.DUMMYFUNCTION("""COMPUTED_VALUE"""),"ARTURO ALESSANDRO ")</f>
        <v>ARTURO ALESSANDRO </v>
      </c>
      <c r="G176" s="1" t="str">
        <f>IFERROR(__xludf.DUMMYFUNCTION("""COMPUTED_VALUE"""),"RODRIGUEZ GOMEZ")</f>
        <v>RODRIGUEZ GOMEZ</v>
      </c>
      <c r="H176" s="1" t="str">
        <f>IFERROR(__xludf.DUMMYFUNCTION("""COMPUTED_VALUE"""),"Comunicación Audiovisual y Cine")</f>
        <v>Comunicación Audiovisual y Cine</v>
      </c>
      <c r="I176" s="1" t="str">
        <f>IFERROR(__xludf.DUMMYFUNCTION("""COMPUTED_VALUE"""),"POS")</f>
        <v>POS</v>
      </c>
      <c r="J176" s="1" t="str">
        <f>IFERROR(__xludf.DUMMYFUNCTION("""COMPUTED_VALUE"""),"Diurno")</f>
        <v>Diurno</v>
      </c>
      <c r="K176" s="1" t="str">
        <f>IFERROR(__xludf.DUMMYFUNCTION("""COMPUTED_VALUE"""),"NUEVO")</f>
        <v>NUEVO</v>
      </c>
      <c r="L176" s="1">
        <f>IFERROR(__xludf.DUMMYFUNCTION("""COMPUTED_VALUE"""),0.0)</f>
        <v>0</v>
      </c>
      <c r="M176" s="1">
        <f>IFERROR(__xludf.DUMMYFUNCTION("""COMPUTED_VALUE"""),0.0)</f>
        <v>0</v>
      </c>
      <c r="N176" s="1" t="str">
        <f>IFERROR(__xludf.DUMMYFUNCTION("""COMPUTED_VALUE"""),"RECA")</f>
        <v>RECA</v>
      </c>
      <c r="O176" s="1" t="str">
        <f>IFERROR(__xludf.DUMMYFUNCTION("""COMPUTED_VALUE"""),"RECATEGORIZACIÓN")</f>
        <v>RECATEGORIZACIÓN</v>
      </c>
      <c r="P176" s="4">
        <f>IFERROR(__xludf.DUMMYFUNCTION("""COMPUTED_VALUE"""),0.0)</f>
        <v>0</v>
      </c>
      <c r="Q176" s="4">
        <f>IFERROR(__xludf.DUMMYFUNCTION("""COMPUTED_VALUE"""),0.0)</f>
        <v>0</v>
      </c>
      <c r="R176" s="4">
        <f>IFERROR(__xludf.DUMMYFUNCTION("""COMPUTED_VALUE"""),950.0)</f>
        <v>950</v>
      </c>
      <c r="S176" s="4">
        <f>IFERROR(__xludf.DUMMYFUNCTION("""COMPUTED_VALUE"""),950.0)</f>
        <v>950</v>
      </c>
      <c r="T176" s="1" t="str">
        <f>IFERROR(__xludf.DUMMYFUNCTION("""COMPUTED_VALUE"""),"NINGUNO")</f>
        <v>NINGUNO</v>
      </c>
      <c r="U176" s="1" t="str">
        <f>IFERROR(__xludf.DUMMYFUNCTION("""COMPUTED_VALUE"""),"RODRIGO")</f>
        <v>RODRIGO</v>
      </c>
      <c r="V176" s="1" t="str">
        <f>IFERROR(__xludf.DUMMYFUNCTION("""COMPUTED_VALUE"""),"Ninguno")</f>
        <v>Ninguno</v>
      </c>
      <c r="W176" s="1" t="str">
        <f>IFERROR(__xludf.DUMMYFUNCTION("""COMPUTED_VALUE"""),"Malla curricular")</f>
        <v>Malla curricular</v>
      </c>
      <c r="X176" s="1" t="str">
        <f>IFERROR(__xludf.DUMMYFUNCTION("""COMPUTED_VALUE"""),"recategorización excepcional aprobada por Rodrigo - Alumno tien una condición de autismo leve")</f>
        <v>recategorización excepcional aprobada por Rodrigo - Alumno tien una condición de autismo leve</v>
      </c>
      <c r="Y176" s="1" t="str">
        <f>IFERROR(__xludf.DUMMYFUNCTION("""COMPUTED_VALUE"""),"PAGO FRACCIONADO")</f>
        <v>PAGO FRACCIONADO</v>
      </c>
      <c r="Z176" s="1">
        <f>IFERROR(__xludf.DUMMYFUNCTION("""COMPUTED_VALUE"""),500.0)</f>
        <v>500</v>
      </c>
      <c r="AA176" s="1" t="str">
        <f>IFERROR(__xludf.DUMMYFUNCTION("""COMPUTED_VALUE"""),"15/12/2024")</f>
        <v>15/12/2024</v>
      </c>
      <c r="AB176" s="1">
        <f>IFERROR(__xludf.DUMMYFUNCTION("""COMPUTED_VALUE"""),1.0)</f>
        <v>1</v>
      </c>
      <c r="AC176" s="1">
        <f>IFERROR(__xludf.DUMMYFUNCTION("""COMPUTED_VALUE"""),0.0)</f>
        <v>0</v>
      </c>
      <c r="AD176" s="1" t="str">
        <f>IFERROR(__xludf.DUMMYFUNCTION("""COMPUTED_VALUE"""),"Ingrid Guillermo Rivera")</f>
        <v>Ingrid Guillermo Rivera</v>
      </c>
      <c r="AE176" s="1" t="str">
        <f>IFERROR(__xludf.DUMMYFUNCTION("""COMPUTED_VALUE"""),"0")</f>
        <v>0</v>
      </c>
      <c r="AF176" s="1">
        <f>IFERROR(__xludf.DUMMYFUNCTION("""COMPUTED_VALUE"""),2023.0)</f>
        <v>2023</v>
      </c>
      <c r="AG176" s="1">
        <f>IFERROR(__xludf.DUMMYFUNCTION("""COMPUTED_VALUE"""),329441.0)</f>
        <v>329441</v>
      </c>
      <c r="AH176" s="1">
        <f>IFERROR(__xludf.DUMMYFUNCTION("""COMPUTED_VALUE"""),17.0)</f>
        <v>17</v>
      </c>
      <c r="AI176" s="1" t="str">
        <f>IFERROR(__xludf.DUMMYFUNCTION("""COMPUTED_VALUE"""),"0000400768")</f>
        <v>0000400768</v>
      </c>
      <c r="AJ176" s="1">
        <f>IFERROR(__xludf.DUMMYFUNCTION("""COMPUTED_VALUE"""),6.0947563E7)</f>
        <v>60947563</v>
      </c>
      <c r="AK176" s="1">
        <f>IFERROR(__xludf.DUMMYFUNCTION("""COMPUTED_VALUE"""),9.75313502E8)</f>
        <v>975313502</v>
      </c>
      <c r="AL176" s="1" t="str">
        <f>IFERROR(__xludf.DUMMYFUNCTION("""COMPUTED_VALUE"""),"ARTURO.ALESSANDRO.R.G.12@gmail.com")</f>
        <v>ARTURO.ALESSANDRO.R.G.12@gmail.com</v>
      </c>
      <c r="AM176" s="1" t="str">
        <f>IFERROR(__xludf.DUMMYFUNCTION("""COMPUTED_VALUE"""),"MASCULINO")</f>
        <v>MASCULINO</v>
      </c>
      <c r="AN176" s="1">
        <f>IFERROR(__xludf.DUMMYFUNCTION("""COMPUTED_VALUE"""),950.0)</f>
        <v>950</v>
      </c>
      <c r="AO176" s="1">
        <f>IFERROR(__xludf.DUMMYFUNCTION("""COMPUTED_VALUE"""),740.0)</f>
        <v>740</v>
      </c>
      <c r="AP176" s="1" t="str">
        <f>IFERROR(__xludf.DUMMYFUNCTION("""COMPUTED_VALUE"""),"BIDIRECCIONAL")</f>
        <v>BIDIRECCIONAL</v>
      </c>
      <c r="AQ176" s="1" t="str">
        <f>IFERROR(__xludf.DUMMYFUNCTION("""COMPUTED_VALUE"""),"ORGANICO")</f>
        <v>ORGANICO</v>
      </c>
      <c r="AR176" s="1" t="str">
        <f>IFERROR(__xludf.DUMMYFUNCTION("""COMPUTED_VALUE"""),"NUEVO")</f>
        <v>NUEVO</v>
      </c>
      <c r="AS176" s="1"/>
      <c r="AT176" s="2">
        <f>IFERROR(__xludf.DUMMYFUNCTION("""COMPUTED_VALUE"""),45607.0)</f>
        <v>45607</v>
      </c>
      <c r="AU176" s="1">
        <f>IFERROR(__xludf.DUMMYFUNCTION("""COMPUTED_VALUE"""),1.0)</f>
        <v>1</v>
      </c>
      <c r="AV176" s="1" t="str">
        <f>IFERROR(__xludf.DUMMYFUNCTION("""COMPUTED_VALUE"""),"NUEVO")</f>
        <v>NUEVO</v>
      </c>
      <c r="AW176" s="1" t="str">
        <f>IFERROR(__xludf.DUMMYFUNCTION("""COMPUTED_VALUE"""),"SI")</f>
        <v>SI</v>
      </c>
      <c r="AX176" s="1"/>
      <c r="AY176" s="1" t="str">
        <f>IFERROR(__xludf.DUMMYFUNCTION("""COMPUTED_VALUE"""),"PAGO FRACCIONADO")</f>
        <v>PAGO FRACCIONADO</v>
      </c>
      <c r="AZ176" s="1"/>
      <c r="BA176" s="1">
        <f>IFERROR(__xludf.DUMMYFUNCTION("""COMPUTED_VALUE"""),0.0)</f>
        <v>0</v>
      </c>
      <c r="BB176" s="1">
        <f>IFERROR(__xludf.DUMMYFUNCTION("""COMPUTED_VALUE"""),0.0)</f>
        <v>0</v>
      </c>
      <c r="BC176" s="4">
        <f>IFERROR(__xludf.DUMMYFUNCTION("""COMPUTED_VALUE"""),450.0)</f>
        <v>450</v>
      </c>
      <c r="BD176" s="4">
        <f>IFERROR(__xludf.DUMMYFUNCTION("""COMPUTED_VALUE"""),0.0)</f>
        <v>0</v>
      </c>
      <c r="BE176" s="1">
        <f>IFERROR(__xludf.DUMMYFUNCTION("""COMPUTED_VALUE"""),11.0)</f>
        <v>11</v>
      </c>
      <c r="BF176" s="6">
        <f>IFERROR(__xludf.DUMMYFUNCTION("""COMPUTED_VALUE"""),0.5263157894736842)</f>
        <v>0.5263157895</v>
      </c>
      <c r="BG176" s="1">
        <f>IFERROR(__xludf.DUMMYFUNCTION("""COMPUTED_VALUE"""),1.0)</f>
        <v>1</v>
      </c>
      <c r="BH176" s="1" t="str">
        <f>IFERROR(__xludf.DUMMYFUNCTION("""COMPUTED_VALUE"""),"0")</f>
        <v>0</v>
      </c>
      <c r="BI176" s="4">
        <f>IFERROR(__xludf.DUMMYFUNCTION("""COMPUTED_VALUE"""),500.0)</f>
        <v>500</v>
      </c>
      <c r="BJ176" s="1">
        <f>IFERROR(__xludf.DUMMYFUNCTION("""COMPUTED_VALUE"""),0.0)</f>
        <v>0</v>
      </c>
      <c r="BK176" s="4">
        <f>IFERROR(__xludf.DUMMYFUNCTION("""COMPUTED_VALUE"""),0.0)</f>
        <v>0</v>
      </c>
      <c r="BL176" s="1">
        <f>IFERROR(__xludf.DUMMYFUNCTION("""COMPUTED_VALUE"""),950.0)</f>
        <v>950</v>
      </c>
      <c r="BM176" s="1">
        <f>IFERROR(__xludf.DUMMYFUNCTION("""COMPUTED_VALUE"""),46.0)</f>
        <v>46</v>
      </c>
      <c r="BN176" s="2">
        <f>IFERROR(__xludf.DUMMYFUNCTION("""COMPUTED_VALUE"""),45607.0)</f>
        <v>45607</v>
      </c>
      <c r="BO176" s="1">
        <f>IFERROR(__xludf.DUMMYFUNCTION("""COMPUTED_VALUE"""),11.0)</f>
        <v>11</v>
      </c>
      <c r="BP176" s="1">
        <f>IFERROR(__xludf.DUMMYFUNCTION("""COMPUTED_VALUE"""),2024.0)</f>
        <v>2024</v>
      </c>
    </row>
    <row r="177">
      <c r="A177" s="1">
        <f>IFERROR(__xludf.DUMMYFUNCTION("""COMPUTED_VALUE"""),176.0)</f>
        <v>176</v>
      </c>
      <c r="B177" s="1">
        <f>IFERROR(__xludf.DUMMYFUNCTION("""COMPUTED_VALUE"""),2446419.0)</f>
        <v>2446419</v>
      </c>
      <c r="C177" s="1" t="str">
        <f>IFERROR(__xludf.DUMMYFUNCTION("""COMPUTED_VALUE"""),"2025-1")</f>
        <v>2025-1</v>
      </c>
      <c r="D177" s="1" t="str">
        <f>IFERROR(__xludf.DUMMYFUNCTION("""COMPUTED_VALUE"""),"Admisión de Alto Rendimiento")</f>
        <v>Admisión de Alto Rendimiento</v>
      </c>
      <c r="E177" s="2">
        <f>IFERROR(__xludf.DUMMYFUNCTION("""COMPUTED_VALUE"""),45610.0)</f>
        <v>45610</v>
      </c>
      <c r="F177" s="1" t="str">
        <f>IFERROR(__xludf.DUMMYFUNCTION("""COMPUTED_VALUE"""),"LUIS FERNANDO")</f>
        <v>LUIS FERNANDO</v>
      </c>
      <c r="G177" s="1" t="str">
        <f>IFERROR(__xludf.DUMMYFUNCTION("""COMPUTED_VALUE"""),"POMA CONDORI")</f>
        <v>POMA CONDORI</v>
      </c>
      <c r="H177" s="1" t="str">
        <f>IFERROR(__xludf.DUMMYFUNCTION("""COMPUTED_VALUE"""),"Comunicación Audiovisual y Cine")</f>
        <v>Comunicación Audiovisual y Cine</v>
      </c>
      <c r="I177" s="1" t="str">
        <f>IFERROR(__xludf.DUMMYFUNCTION("""COMPUTED_VALUE"""),"CARGO")</f>
        <v>CARGO</v>
      </c>
      <c r="J177" s="1" t="str">
        <f>IFERROR(__xludf.DUMMYFUNCTION("""COMPUTED_VALUE"""),"Diurno")</f>
        <v>Diurno</v>
      </c>
      <c r="K177" s="1" t="str">
        <f>IFERROR(__xludf.DUMMYFUNCTION("""COMPUTED_VALUE"""),"NUEVO")</f>
        <v>NUEVO</v>
      </c>
      <c r="L177" s="1">
        <f>IFERROR(__xludf.DUMMYFUNCTION("""COMPUTED_VALUE"""),0.0)</f>
        <v>0</v>
      </c>
      <c r="M177" s="1">
        <f>IFERROR(__xludf.DUMMYFUNCTION("""COMPUTED_VALUE"""),0.0)</f>
        <v>0</v>
      </c>
      <c r="N177" s="1" t="str">
        <f>IFERROR(__xludf.DUMMYFUNCTION("""COMPUTED_VALUE"""),"BECA")</f>
        <v>BECA</v>
      </c>
      <c r="O177" s="1" t="str">
        <f>IFERROR(__xludf.DUMMYFUNCTION("""COMPUTED_VALUE"""),"BECA CARRERAS CORE")</f>
        <v>BECA CARRERAS CORE</v>
      </c>
      <c r="P177" s="4">
        <f>IFERROR(__xludf.DUMMYFUNCTION("""COMPUTED_VALUE"""),0.0)</f>
        <v>0</v>
      </c>
      <c r="Q177" s="4">
        <f>IFERROR(__xludf.DUMMYFUNCTION("""COMPUTED_VALUE"""),0.0)</f>
        <v>0</v>
      </c>
      <c r="R177" s="4">
        <f>IFERROR(__xludf.DUMMYFUNCTION("""COMPUTED_VALUE"""),1150.0)</f>
        <v>1150</v>
      </c>
      <c r="S177" s="4">
        <f>IFERROR(__xludf.DUMMYFUNCTION("""COMPUTED_VALUE"""),1075.0)</f>
        <v>1075</v>
      </c>
      <c r="T177" s="1" t="str">
        <f>IFERROR(__xludf.DUMMYFUNCTION("""COMPUTED_VALUE"""),"PALANCA 700")</f>
        <v>PALANCA 700</v>
      </c>
      <c r="U177" s="1" t="str">
        <f>IFERROR(__xludf.DUMMYFUNCTION("""COMPUTED_VALUE"""),"FABIOLA")</f>
        <v>FABIOLA</v>
      </c>
      <c r="V177" s="1" t="str">
        <f>IFERROR(__xludf.DUMMYFUNCTION("""COMPUTED_VALUE"""),"Ninguno")</f>
        <v>Ninguno</v>
      </c>
      <c r="W177" s="1" t="str">
        <f>IFERROR(__xludf.DUMMYFUNCTION("""COMPUTED_VALUE"""),"Equipos e instalaciones")</f>
        <v>Equipos e instalaciones</v>
      </c>
      <c r="X177" s="1" t="str">
        <f>IFERROR(__xludf.DUMMYFUNCTION("""COMPUTED_VALUE"""),"Alumna pago 700 primera boleta // es beca carrera core ")</f>
        <v>Alumna pago 700 primera boleta // es beca carrera core </v>
      </c>
      <c r="Y177" s="1" t="str">
        <f>IFERROR(__xludf.DUMMYFUNCTION("""COMPUTED_VALUE"""),"PAGO COMPLETO")</f>
        <v>PAGO COMPLETO</v>
      </c>
      <c r="Z177" s="1">
        <f>IFERROR(__xludf.DUMMYFUNCTION("""COMPUTED_VALUE"""),0.0)</f>
        <v>0</v>
      </c>
      <c r="AA177" s="1" t="str">
        <f>IFERROR(__xludf.DUMMYFUNCTION("""COMPUTED_VALUE"""),"-")</f>
        <v>-</v>
      </c>
      <c r="AB177" s="1">
        <f>IFERROR(__xludf.DUMMYFUNCTION("""COMPUTED_VALUE"""),0.0)</f>
        <v>0</v>
      </c>
      <c r="AC177" s="1">
        <f>IFERROR(__xludf.DUMMYFUNCTION("""COMPUTED_VALUE"""),0.0)</f>
        <v>0</v>
      </c>
      <c r="AD177" s="1" t="str">
        <f>IFERROR(__xludf.DUMMYFUNCTION("""COMPUTED_VALUE"""),"Fiorella Lanegra")</f>
        <v>Fiorella Lanegra</v>
      </c>
      <c r="AE177" s="1" t="str">
        <f>IFERROR(__xludf.DUMMYFUNCTION("""COMPUTED_VALUE"""),"0")</f>
        <v>0</v>
      </c>
      <c r="AF177" s="1">
        <f>IFERROR(__xludf.DUMMYFUNCTION("""COMPUTED_VALUE"""),2024.0)</f>
        <v>2024</v>
      </c>
      <c r="AG177" s="1">
        <f>IFERROR(__xludf.DUMMYFUNCTION("""COMPUTED_VALUE"""),362814.0)</f>
        <v>362814</v>
      </c>
      <c r="AH177" s="1">
        <f>IFERROR(__xludf.DUMMYFUNCTION("""COMPUTED_VALUE"""),17.0)</f>
        <v>17</v>
      </c>
      <c r="AI177" s="1" t="str">
        <f>IFERROR(__xludf.DUMMYFUNCTION("""COMPUTED_VALUE"""),"0000400771")</f>
        <v>0000400771</v>
      </c>
      <c r="AJ177" s="1">
        <f>IFERROR(__xludf.DUMMYFUNCTION("""COMPUTED_VALUE"""),6.0582087E7)</f>
        <v>60582087</v>
      </c>
      <c r="AK177" s="1">
        <f>IFERROR(__xludf.DUMMYFUNCTION("""COMPUTED_VALUE"""),9.62541623E8)</f>
        <v>962541623</v>
      </c>
      <c r="AL177" s="1" t="str">
        <f>IFERROR(__xludf.DUMMYFUNCTION("""COMPUTED_VALUE"""),"lfmp6060@gmail.com")</f>
        <v>lfmp6060@gmail.com</v>
      </c>
      <c r="AM177" s="1" t="str">
        <f>IFERROR(__xludf.DUMMYFUNCTION("""COMPUTED_VALUE"""),"MASCULINO")</f>
        <v>MASCULINO</v>
      </c>
      <c r="AN177" s="1">
        <f>IFERROR(__xludf.DUMMYFUNCTION("""COMPUTED_VALUE"""),1150.0)</f>
        <v>1150</v>
      </c>
      <c r="AO177" s="1">
        <f>IFERROR(__xludf.DUMMYFUNCTION("""COMPUTED_VALUE"""),0.0)</f>
        <v>0</v>
      </c>
      <c r="AP177" s="1" t="str">
        <f>IFERROR(__xludf.DUMMYFUNCTION("""COMPUTED_VALUE"""),"BIDIRECCIONAL")</f>
        <v>BIDIRECCIONAL</v>
      </c>
      <c r="AQ177" s="1" t="str">
        <f>IFERROR(__xludf.DUMMYFUNCTION("""COMPUTED_VALUE"""),"ORGANICO")</f>
        <v>ORGANICO</v>
      </c>
      <c r="AR177" s="1" t="str">
        <f>IFERROR(__xludf.DUMMYFUNCTION("""COMPUTED_VALUE"""),"HEREDADO")</f>
        <v>HEREDADO</v>
      </c>
      <c r="AS177" s="1"/>
      <c r="AT177" s="2">
        <f>IFERROR(__xludf.DUMMYFUNCTION("""COMPUTED_VALUE"""),45609.0)</f>
        <v>45609</v>
      </c>
      <c r="AU177" s="1">
        <f>IFERROR(__xludf.DUMMYFUNCTION("""COMPUTED_VALUE"""),1.0)</f>
        <v>1</v>
      </c>
      <c r="AV177" s="1" t="str">
        <f>IFERROR(__xludf.DUMMYFUNCTION("""COMPUTED_VALUE"""),"NUEVO")</f>
        <v>NUEVO</v>
      </c>
      <c r="AW177" s="1" t="str">
        <f>IFERROR(__xludf.DUMMYFUNCTION("""COMPUTED_VALUE"""),"SI")</f>
        <v>SI</v>
      </c>
      <c r="AX177" s="1"/>
      <c r="AY177" s="1" t="str">
        <f>IFERROR(__xludf.DUMMYFUNCTION("""COMPUTED_VALUE"""),"PAGO COMPLETO")</f>
        <v>PAGO COMPLETO</v>
      </c>
      <c r="AZ177" s="5">
        <f>IFERROR(__xludf.DUMMYFUNCTION("""COMPUTED_VALUE"""),45610.0)</f>
        <v>45610</v>
      </c>
      <c r="BA177" s="1">
        <f>IFERROR(__xludf.DUMMYFUNCTION("""COMPUTED_VALUE"""),0.0)</f>
        <v>0</v>
      </c>
      <c r="BB177" s="1">
        <f>IFERROR(__xludf.DUMMYFUNCTION("""COMPUTED_VALUE"""),0.0)</f>
        <v>0</v>
      </c>
      <c r="BC177" s="4">
        <f>IFERROR(__xludf.DUMMYFUNCTION("""COMPUTED_VALUE"""),0.0)</f>
        <v>0</v>
      </c>
      <c r="BD177" s="4">
        <f>IFERROR(__xludf.DUMMYFUNCTION("""COMPUTED_VALUE"""),375.0)</f>
        <v>375</v>
      </c>
      <c r="BE177" s="1">
        <f>IFERROR(__xludf.DUMMYFUNCTION("""COMPUTED_VALUE"""),11.0)</f>
        <v>11</v>
      </c>
      <c r="BF177" s="6">
        <f>IFERROR(__xludf.DUMMYFUNCTION("""COMPUTED_VALUE"""),1.0)</f>
        <v>1</v>
      </c>
      <c r="BG177" s="1">
        <f>IFERROR(__xludf.DUMMYFUNCTION("""COMPUTED_VALUE"""),1.0)</f>
        <v>1</v>
      </c>
      <c r="BH177" s="1" t="str">
        <f>IFERROR(__xludf.DUMMYFUNCTION("""COMPUTED_VALUE"""),"0")</f>
        <v>0</v>
      </c>
      <c r="BI177" s="4">
        <f>IFERROR(__xludf.DUMMYFUNCTION("""COMPUTED_VALUE"""),375.0)</f>
        <v>375</v>
      </c>
      <c r="BJ177" s="1">
        <f>IFERROR(__xludf.DUMMYFUNCTION("""COMPUTED_VALUE"""),0.0)</f>
        <v>0</v>
      </c>
      <c r="BK177" s="4">
        <f>IFERROR(__xludf.DUMMYFUNCTION("""COMPUTED_VALUE"""),375.0)</f>
        <v>375</v>
      </c>
      <c r="BL177" s="1">
        <f>IFERROR(__xludf.DUMMYFUNCTION("""COMPUTED_VALUE"""),1000.0)</f>
        <v>1000</v>
      </c>
      <c r="BM177" s="1">
        <f>IFERROR(__xludf.DUMMYFUNCTION("""COMPUTED_VALUE"""),46.0)</f>
        <v>46</v>
      </c>
      <c r="BN177" s="2">
        <f>IFERROR(__xludf.DUMMYFUNCTION("""COMPUTED_VALUE"""),45607.0)</f>
        <v>45607</v>
      </c>
      <c r="BO177" s="1">
        <f>IFERROR(__xludf.DUMMYFUNCTION("""COMPUTED_VALUE"""),11.0)</f>
        <v>11</v>
      </c>
      <c r="BP177" s="1">
        <f>IFERROR(__xludf.DUMMYFUNCTION("""COMPUTED_VALUE"""),2024.0)</f>
        <v>2024</v>
      </c>
    </row>
    <row r="178">
      <c r="A178" s="1">
        <f>IFERROR(__xludf.DUMMYFUNCTION("""COMPUTED_VALUE"""),177.0)</f>
        <v>177</v>
      </c>
      <c r="B178" s="1">
        <f>IFERROR(__xludf.DUMMYFUNCTION("""COMPUTED_VALUE"""),4758099.0)</f>
        <v>4758099</v>
      </c>
      <c r="C178" s="1" t="str">
        <f>IFERROR(__xludf.DUMMYFUNCTION("""COMPUTED_VALUE"""),"2025-1")</f>
        <v>2025-1</v>
      </c>
      <c r="D178" s="1" t="str">
        <f>IFERROR(__xludf.DUMMYFUNCTION("""COMPUTED_VALUE"""),"Admisión Extraordinaria (Traslados)")</f>
        <v>Admisión Extraordinaria (Traslados)</v>
      </c>
      <c r="E178" s="2">
        <f>IFERROR(__xludf.DUMMYFUNCTION("""COMPUTED_VALUE"""),45610.0)</f>
        <v>45610</v>
      </c>
      <c r="F178" s="1" t="str">
        <f>IFERROR(__xludf.DUMMYFUNCTION("""COMPUTED_VALUE"""),"KARLA ISABEL ")</f>
        <v>KARLA ISABEL </v>
      </c>
      <c r="G178" s="1" t="str">
        <f>IFERROR(__xludf.DUMMYFUNCTION("""COMPUTED_VALUE"""),"HIRCAÑAUPA BACA")</f>
        <v>HIRCAÑAUPA BACA</v>
      </c>
      <c r="H178" s="1" t="str">
        <f>IFERROR(__xludf.DUMMYFUNCTION("""COMPUTED_VALUE"""),"Diseño Gráfico Publicitario")</f>
        <v>Diseño Gráfico Publicitario</v>
      </c>
      <c r="I178" s="1" t="str">
        <f>IFERROR(__xludf.DUMMYFUNCTION("""COMPUTED_VALUE"""),"CARGO")</f>
        <v>CARGO</v>
      </c>
      <c r="J178" s="1" t="str">
        <f>IFERROR(__xludf.DUMMYFUNCTION("""COMPUTED_VALUE"""),"Diurno")</f>
        <v>Diurno</v>
      </c>
      <c r="K178" s="1" t="str">
        <f>IFERROR(__xludf.DUMMYFUNCTION("""COMPUTED_VALUE"""),"TRASLADO")</f>
        <v>TRASLADO</v>
      </c>
      <c r="L178" s="1">
        <f>IFERROR(__xludf.DUMMYFUNCTION("""COMPUTED_VALUE"""),1.0)</f>
        <v>1</v>
      </c>
      <c r="M178" s="1">
        <f>IFERROR(__xludf.DUMMYFUNCTION("""COMPUTED_VALUE"""),0.0)</f>
        <v>0</v>
      </c>
      <c r="N178" s="1" t="str">
        <f>IFERROR(__xludf.DUMMYFUNCTION("""COMPUTED_VALUE"""),"RECA")</f>
        <v>RECA</v>
      </c>
      <c r="O178" s="1" t="str">
        <f>IFERROR(__xludf.DUMMYFUNCTION("""COMPUTED_VALUE"""),"RECA TRASLADO CON CONVA")</f>
        <v>RECA TRASLADO CON CONVA</v>
      </c>
      <c r="P178" s="4">
        <f>IFERROR(__xludf.DUMMYFUNCTION("""COMPUTED_VALUE"""),0.0)</f>
        <v>0</v>
      </c>
      <c r="Q178" s="4">
        <f>IFERROR(__xludf.DUMMYFUNCTION("""COMPUTED_VALUE"""),0.0)</f>
        <v>0</v>
      </c>
      <c r="R178" s="4">
        <f>IFERROR(__xludf.DUMMYFUNCTION("""COMPUTED_VALUE"""),1050.0)</f>
        <v>1050</v>
      </c>
      <c r="S178" s="4">
        <f>IFERROR(__xludf.DUMMYFUNCTION("""COMPUTED_VALUE"""),900.0)</f>
        <v>900</v>
      </c>
      <c r="T178" s="1" t="str">
        <f>IFERROR(__xludf.DUMMYFUNCTION("""COMPUTED_VALUE"""),"NINGUNO")</f>
        <v>NINGUNO</v>
      </c>
      <c r="U178" s="1" t="str">
        <f>IFERROR(__xludf.DUMMYFUNCTION("""COMPUTED_VALUE"""),"FABIOLA")</f>
        <v>FABIOLA</v>
      </c>
      <c r="V178" s="1" t="str">
        <f>IFERROR(__xludf.DUMMYFUNCTION("""COMPUTED_VALUE"""),"Ninguno")</f>
        <v>Ninguno</v>
      </c>
      <c r="W178" s="1" t="str">
        <f>IFERROR(__xludf.DUMMYFUNCTION("""COMPUTED_VALUE"""),"Prestigio de la institución")</f>
        <v>Prestigio de la institución</v>
      </c>
      <c r="X178" s="1" t="str">
        <f>IFERROR(__xludf.DUMMYFUNCTION("""COMPUTED_VALUE"""),"-")</f>
        <v>-</v>
      </c>
      <c r="Y178" s="1" t="str">
        <f>IFERROR(__xludf.DUMMYFUNCTION("""COMPUTED_VALUE"""),"PAGO COMPLETO")</f>
        <v>PAGO COMPLETO</v>
      </c>
      <c r="Z178" s="1">
        <f>IFERROR(__xludf.DUMMYFUNCTION("""COMPUTED_VALUE"""),0.0)</f>
        <v>0</v>
      </c>
      <c r="AA178" s="1" t="str">
        <f>IFERROR(__xludf.DUMMYFUNCTION("""COMPUTED_VALUE"""),"-")</f>
        <v>-</v>
      </c>
      <c r="AB178" s="1">
        <f>IFERROR(__xludf.DUMMYFUNCTION("""COMPUTED_VALUE"""),0.0)</f>
        <v>0</v>
      </c>
      <c r="AC178" s="1">
        <f>IFERROR(__xludf.DUMMYFUNCTION("""COMPUTED_VALUE"""),0.0)</f>
        <v>0</v>
      </c>
      <c r="AD178" s="1" t="str">
        <f>IFERROR(__xludf.DUMMYFUNCTION("""COMPUTED_VALUE"""),"Andrea Araujo Antara")</f>
        <v>Andrea Araujo Antara</v>
      </c>
      <c r="AE178" s="1" t="str">
        <f>IFERROR(__xludf.DUMMYFUNCTION("""COMPUTED_VALUE"""),"Instituto Continental (Huancayo)")</f>
        <v>Instituto Continental (Huancayo)</v>
      </c>
      <c r="AF178" s="1">
        <f>IFERROR(__xludf.DUMMYFUNCTION("""COMPUTED_VALUE"""),2020.0)</f>
        <v>2020</v>
      </c>
      <c r="AG178" s="1">
        <f>IFERROR(__xludf.DUMMYFUNCTION("""COMPUTED_VALUE"""),1214873.0)</f>
        <v>1214873</v>
      </c>
      <c r="AH178" s="1">
        <f>IFERROR(__xludf.DUMMYFUNCTION("""COMPUTED_VALUE"""),19.0)</f>
        <v>19</v>
      </c>
      <c r="AI178" s="1" t="str">
        <f>IFERROR(__xludf.DUMMYFUNCTION("""COMPUTED_VALUE"""),"0000400775")</f>
        <v>0000400775</v>
      </c>
      <c r="AJ178" s="1">
        <f>IFERROR(__xludf.DUMMYFUNCTION("""COMPUTED_VALUE"""),7.5166311E7)</f>
        <v>75166311</v>
      </c>
      <c r="AK178" s="1">
        <f>IFERROR(__xludf.DUMMYFUNCTION("""COMPUTED_VALUE"""),9.16797942E8)</f>
        <v>916797942</v>
      </c>
      <c r="AL178" s="1" t="str">
        <f>IFERROR(__xludf.DUMMYFUNCTION("""COMPUTED_VALUE"""),"hikarla001@gmail.com")</f>
        <v>hikarla001@gmail.com</v>
      </c>
      <c r="AM178" s="1" t="str">
        <f>IFERROR(__xludf.DUMMYFUNCTION("""COMPUTED_VALUE"""),"FEMENINO")</f>
        <v>FEMENINO</v>
      </c>
      <c r="AN178" s="1">
        <f>IFERROR(__xludf.DUMMYFUNCTION("""COMPUTED_VALUE"""),1050.0)</f>
        <v>1050</v>
      </c>
      <c r="AO178" s="1">
        <f>IFERROR(__xludf.DUMMYFUNCTION("""COMPUTED_VALUE"""),0.0)</f>
        <v>0</v>
      </c>
      <c r="AP178" s="1" t="str">
        <f>IFERROR(__xludf.DUMMYFUNCTION("""COMPUTED_VALUE"""),"BIDIRECCIONAL")</f>
        <v>BIDIRECCIONAL</v>
      </c>
      <c r="AQ178" s="1" t="str">
        <f>IFERROR(__xludf.DUMMYFUNCTION("""COMPUTED_VALUE"""),"ORGANICO")</f>
        <v>ORGANICO</v>
      </c>
      <c r="AR178" s="1" t="str">
        <f>IFERROR(__xludf.DUMMYFUNCTION("""COMPUTED_VALUE"""),"NUEVO")</f>
        <v>NUEVO</v>
      </c>
      <c r="AS178" s="1"/>
      <c r="AT178" s="2">
        <f>IFERROR(__xludf.DUMMYFUNCTION("""COMPUTED_VALUE"""),45582.0)</f>
        <v>45582</v>
      </c>
      <c r="AU178" s="1">
        <f>IFERROR(__xludf.DUMMYFUNCTION("""COMPUTED_VALUE"""),1.0)</f>
        <v>1</v>
      </c>
      <c r="AV178" s="1" t="str">
        <f>IFERROR(__xludf.DUMMYFUNCTION("""COMPUTED_VALUE"""),"TRASLADO")</f>
        <v>TRASLADO</v>
      </c>
      <c r="AW178" s="1" t="str">
        <f>IFERROR(__xludf.DUMMYFUNCTION("""COMPUTED_VALUE"""),"SI")</f>
        <v>SI</v>
      </c>
      <c r="AX178" s="1"/>
      <c r="AY178" s="1" t="str">
        <f>IFERROR(__xludf.DUMMYFUNCTION("""COMPUTED_VALUE"""),"PAGO COMPLETO")</f>
        <v>PAGO COMPLETO</v>
      </c>
      <c r="AZ178" s="5">
        <f>IFERROR(__xludf.DUMMYFUNCTION("""COMPUTED_VALUE"""),45610.0)</f>
        <v>45610</v>
      </c>
      <c r="BA178" s="1">
        <f>IFERROR(__xludf.DUMMYFUNCTION("""COMPUTED_VALUE"""),0.0)</f>
        <v>0</v>
      </c>
      <c r="BB178" s="1">
        <f>IFERROR(__xludf.DUMMYFUNCTION("""COMPUTED_VALUE"""),0.0)</f>
        <v>0</v>
      </c>
      <c r="BC178" s="4">
        <f>IFERROR(__xludf.DUMMYFUNCTION("""COMPUTED_VALUE"""),0.0)</f>
        <v>0</v>
      </c>
      <c r="BD178" s="4">
        <f>IFERROR(__xludf.DUMMYFUNCTION("""COMPUTED_VALUE"""),0.0)</f>
        <v>0</v>
      </c>
      <c r="BE178" s="1">
        <f>IFERROR(__xludf.DUMMYFUNCTION("""COMPUTED_VALUE"""),11.0)</f>
        <v>11</v>
      </c>
      <c r="BF178" s="6">
        <f>IFERROR(__xludf.DUMMYFUNCTION("""COMPUTED_VALUE"""),1.0)</f>
        <v>1</v>
      </c>
      <c r="BG178" s="1">
        <f>IFERROR(__xludf.DUMMYFUNCTION("""COMPUTED_VALUE"""),1.0)</f>
        <v>1</v>
      </c>
      <c r="BH178" s="1" t="str">
        <f>IFERROR(__xludf.DUMMYFUNCTION("""COMPUTED_VALUE"""),"1")</f>
        <v>1</v>
      </c>
      <c r="BI178" s="4">
        <f>IFERROR(__xludf.DUMMYFUNCTION("""COMPUTED_VALUE"""),0.0)</f>
        <v>0</v>
      </c>
      <c r="BJ178" s="1">
        <f>IFERROR(__xludf.DUMMYFUNCTION("""COMPUTED_VALUE"""),0.0)</f>
        <v>0</v>
      </c>
      <c r="BK178" s="4">
        <f>IFERROR(__xludf.DUMMYFUNCTION("""COMPUTED_VALUE"""),0.0)</f>
        <v>0</v>
      </c>
      <c r="BL178" s="1">
        <f>IFERROR(__xludf.DUMMYFUNCTION("""COMPUTED_VALUE"""),900.0)</f>
        <v>900</v>
      </c>
      <c r="BM178" s="1">
        <f>IFERROR(__xludf.DUMMYFUNCTION("""COMPUTED_VALUE"""),46.0)</f>
        <v>46</v>
      </c>
      <c r="BN178" s="2">
        <f>IFERROR(__xludf.DUMMYFUNCTION("""COMPUTED_VALUE"""),45607.0)</f>
        <v>45607</v>
      </c>
      <c r="BO178" s="1">
        <f>IFERROR(__xludf.DUMMYFUNCTION("""COMPUTED_VALUE"""),11.0)</f>
        <v>11</v>
      </c>
      <c r="BP178" s="1">
        <f>IFERROR(__xludf.DUMMYFUNCTION("""COMPUTED_VALUE"""),2024.0)</f>
        <v>2024</v>
      </c>
    </row>
    <row r="179">
      <c r="A179" s="1">
        <f>IFERROR(__xludf.DUMMYFUNCTION("""COMPUTED_VALUE"""),178.0)</f>
        <v>178</v>
      </c>
      <c r="B179" s="1">
        <f>IFERROR(__xludf.DUMMYFUNCTION("""COMPUTED_VALUE"""),4807446.0)</f>
        <v>4807446</v>
      </c>
      <c r="C179" s="1" t="str">
        <f>IFERROR(__xludf.DUMMYFUNCTION("""COMPUTED_VALUE"""),"2025-1")</f>
        <v>2025-1</v>
      </c>
      <c r="D179" s="1" t="str">
        <f>IFERROR(__xludf.DUMMYFUNCTION("""COMPUTED_VALUE"""),"Admisión Extraordinaria (Traslados)")</f>
        <v>Admisión Extraordinaria (Traslados)</v>
      </c>
      <c r="E179" s="2">
        <f>IFERROR(__xludf.DUMMYFUNCTION("""COMPUTED_VALUE"""),45611.0)</f>
        <v>45611</v>
      </c>
      <c r="F179" s="1" t="str">
        <f>IFERROR(__xludf.DUMMYFUNCTION("""COMPUTED_VALUE""")," MAYRA DAYANA")</f>
        <v> MAYRA DAYANA</v>
      </c>
      <c r="G179" s="1" t="str">
        <f>IFERROR(__xludf.DUMMYFUNCTION("""COMPUTED_VALUE"""),"CUEVAS TORRES")</f>
        <v>CUEVAS TORRES</v>
      </c>
      <c r="H179" s="1" t="str">
        <f>IFERROR(__xludf.DUMMYFUNCTION("""COMPUTED_VALUE"""),"Arquitectura de Interiores")</f>
        <v>Arquitectura de Interiores</v>
      </c>
      <c r="I179" s="1" t="str">
        <f>IFERROR(__xludf.DUMMYFUNCTION("""COMPUTED_VALUE"""),"CARGO")</f>
        <v>CARGO</v>
      </c>
      <c r="J179" s="1" t="str">
        <f>IFERROR(__xludf.DUMMYFUNCTION("""COMPUTED_VALUE"""),"Diurno")</f>
        <v>Diurno</v>
      </c>
      <c r="K179" s="1" t="str">
        <f>IFERROR(__xludf.DUMMYFUNCTION("""COMPUTED_VALUE"""),"TRASLADO")</f>
        <v>TRASLADO</v>
      </c>
      <c r="L179" s="1">
        <f>IFERROR(__xludf.DUMMYFUNCTION("""COMPUTED_VALUE"""),1.0)</f>
        <v>1</v>
      </c>
      <c r="M179" s="1">
        <f>IFERROR(__xludf.DUMMYFUNCTION("""COMPUTED_VALUE"""),0.0)</f>
        <v>0</v>
      </c>
      <c r="N179" s="1" t="str">
        <f>IFERROR(__xludf.DUMMYFUNCTION("""COMPUTED_VALUE"""),"RECA")</f>
        <v>RECA</v>
      </c>
      <c r="O179" s="1" t="str">
        <f>IFERROR(__xludf.DUMMYFUNCTION("""COMPUTED_VALUE"""),"RECA TRASLADO CON CONVA")</f>
        <v>RECA TRASLADO CON CONVA</v>
      </c>
      <c r="P179" s="4">
        <f>IFERROR(__xludf.DUMMYFUNCTION("""COMPUTED_VALUE"""),0.0)</f>
        <v>0</v>
      </c>
      <c r="Q179" s="4">
        <f>IFERROR(__xludf.DUMMYFUNCTION("""COMPUTED_VALUE"""),0.0)</f>
        <v>0</v>
      </c>
      <c r="R179" s="4">
        <f>IFERROR(__xludf.DUMMYFUNCTION("""COMPUTED_VALUE"""),1600.0)</f>
        <v>1600</v>
      </c>
      <c r="S179" s="4">
        <f>IFERROR(__xludf.DUMMYFUNCTION("""COMPUTED_VALUE"""),1150.0)</f>
        <v>1150</v>
      </c>
      <c r="T179" s="1" t="str">
        <f>IFERROR(__xludf.DUMMYFUNCTION("""COMPUTED_VALUE"""),"NINGUNO")</f>
        <v>NINGUNO</v>
      </c>
      <c r="U179" s="1" t="str">
        <f>IFERROR(__xludf.DUMMYFUNCTION("""COMPUTED_VALUE"""),"FABIOLA")</f>
        <v>FABIOLA</v>
      </c>
      <c r="V179" s="1" t="str">
        <f>IFERROR(__xludf.DUMMYFUNCTION("""COMPUTED_VALUE"""),"Ninguno")</f>
        <v>Ninguno</v>
      </c>
      <c r="W179" s="1" t="str">
        <f>IFERROR(__xludf.DUMMYFUNCTION("""COMPUTED_VALUE"""),"Otros")</f>
        <v>Otros</v>
      </c>
      <c r="X179" s="1" t="str">
        <f>IFERROR(__xludf.DUMMYFUNCTION("""COMPUTED_VALUE"""),"Es de TLS y la motivo el bachiller universitario")</f>
        <v>Es de TLS y la motivo el bachiller universitario</v>
      </c>
      <c r="Y179" s="1" t="str">
        <f>IFERROR(__xludf.DUMMYFUNCTION("""COMPUTED_VALUE"""),"PAGO COMPLETO")</f>
        <v>PAGO COMPLETO</v>
      </c>
      <c r="Z179" s="1">
        <f>IFERROR(__xludf.DUMMYFUNCTION("""COMPUTED_VALUE"""),0.0)</f>
        <v>0</v>
      </c>
      <c r="AA179" s="1" t="str">
        <f>IFERROR(__xludf.DUMMYFUNCTION("""COMPUTED_VALUE"""),"-")</f>
        <v>-</v>
      </c>
      <c r="AB179" s="1">
        <f>IFERROR(__xludf.DUMMYFUNCTION("""COMPUTED_VALUE"""),0.0)</f>
        <v>0</v>
      </c>
      <c r="AC179" s="1">
        <f>IFERROR(__xludf.DUMMYFUNCTION("""COMPUTED_VALUE"""),0.0)</f>
        <v>0</v>
      </c>
      <c r="AD179" s="1" t="str">
        <f>IFERROR(__xludf.DUMMYFUNCTION("""COMPUTED_VALUE"""),"Stefano Napuri")</f>
        <v>Stefano Napuri</v>
      </c>
      <c r="AE179" s="1" t="str">
        <f>IFERROR(__xludf.DUMMYFUNCTION("""COMPUTED_VALUE"""),"Instituto de Educación Superior Tecnológico Privado Toulouse Lautrec")</f>
        <v>Instituto de Educación Superior Tecnológico Privado Toulouse Lautrec</v>
      </c>
      <c r="AF179" s="1">
        <f>IFERROR(__xludf.DUMMYFUNCTION("""COMPUTED_VALUE"""),2021.0)</f>
        <v>2021</v>
      </c>
      <c r="AG179" s="1">
        <f>IFERROR(__xludf.DUMMYFUNCTION("""COMPUTED_VALUE"""),1399740.0)</f>
        <v>1399740</v>
      </c>
      <c r="AH179" s="1">
        <f>IFERROR(__xludf.DUMMYFUNCTION("""COMPUTED_VALUE"""),0.0)</f>
        <v>0</v>
      </c>
      <c r="AI179" s="1" t="str">
        <f>IFERROR(__xludf.DUMMYFUNCTION("""COMPUTED_VALUE"""),"0000022047")</f>
        <v>0000022047</v>
      </c>
      <c r="AJ179" s="1">
        <f>IFERROR(__xludf.DUMMYFUNCTION("""COMPUTED_VALUE"""),7.0662655E7)</f>
        <v>70662655</v>
      </c>
      <c r="AK179" s="1">
        <f>IFERROR(__xludf.DUMMYFUNCTION("""COMPUTED_VALUE"""),9.88655486E8)</f>
        <v>988655486</v>
      </c>
      <c r="AL179" s="1" t="str">
        <f>IFERROR(__xludf.DUMMYFUNCTION("""COMPUTED_VALUE"""),"cuevastorresmayra23@gmail.com")</f>
        <v>cuevastorresmayra23@gmail.com</v>
      </c>
      <c r="AM179" s="1" t="str">
        <f>IFERROR(__xludf.DUMMYFUNCTION("""COMPUTED_VALUE"""),"FEMENINO")</f>
        <v>FEMENINO</v>
      </c>
      <c r="AN179" s="1">
        <f>IFERROR(__xludf.DUMMYFUNCTION("""COMPUTED_VALUE"""),1775.0)</f>
        <v>1775</v>
      </c>
      <c r="AO179" s="1">
        <f>IFERROR(__xludf.DUMMYFUNCTION("""COMPUTED_VALUE"""),350.0)</f>
        <v>350</v>
      </c>
      <c r="AP179" s="1" t="str">
        <f>IFERROR(__xludf.DUMMYFUNCTION("""COMPUTED_VALUE"""),"FORMULARIO")</f>
        <v>FORMULARIO</v>
      </c>
      <c r="AQ179" s="1" t="str">
        <f>IFERROR(__xludf.DUMMYFUNCTION("""COMPUTED_VALUE"""),"ORGANICO")</f>
        <v>ORGANICO</v>
      </c>
      <c r="AR179" s="1" t="str">
        <f>IFERROR(__xludf.DUMMYFUNCTION("""COMPUTED_VALUE"""),"NUEVO")</f>
        <v>NUEVO</v>
      </c>
      <c r="AS179" s="1"/>
      <c r="AT179" s="2">
        <f>IFERROR(__xludf.DUMMYFUNCTION("""COMPUTED_VALUE"""),45611.0)</f>
        <v>45611</v>
      </c>
      <c r="AU179" s="1">
        <f>IFERROR(__xludf.DUMMYFUNCTION("""COMPUTED_VALUE"""),1.0)</f>
        <v>1</v>
      </c>
      <c r="AV179" s="1" t="str">
        <f>IFERROR(__xludf.DUMMYFUNCTION("""COMPUTED_VALUE"""),"TRASLADO")</f>
        <v>TRASLADO</v>
      </c>
      <c r="AW179" s="1" t="str">
        <f>IFERROR(__xludf.DUMMYFUNCTION("""COMPUTED_VALUE"""),"SI")</f>
        <v>SI</v>
      </c>
      <c r="AX179" s="1"/>
      <c r="AY179" s="1" t="str">
        <f>IFERROR(__xludf.DUMMYFUNCTION("""COMPUTED_VALUE"""),"PAGO COMPLETO")</f>
        <v>PAGO COMPLETO</v>
      </c>
      <c r="AZ179" s="5">
        <f>IFERROR(__xludf.DUMMYFUNCTION("""COMPUTED_VALUE"""),45611.0)</f>
        <v>45611</v>
      </c>
      <c r="BA179" s="1">
        <f>IFERROR(__xludf.DUMMYFUNCTION("""COMPUTED_VALUE"""),0.0)</f>
        <v>0</v>
      </c>
      <c r="BB179" s="1">
        <f>IFERROR(__xludf.DUMMYFUNCTION("""COMPUTED_VALUE"""),0.0)</f>
        <v>0</v>
      </c>
      <c r="BC179" s="4">
        <f>IFERROR(__xludf.DUMMYFUNCTION("""COMPUTED_VALUE"""),0.0)</f>
        <v>0</v>
      </c>
      <c r="BD179" s="4">
        <f>IFERROR(__xludf.DUMMYFUNCTION("""COMPUTED_VALUE"""),0.0)</f>
        <v>0</v>
      </c>
      <c r="BE179" s="1">
        <f>IFERROR(__xludf.DUMMYFUNCTION("""COMPUTED_VALUE"""),11.0)</f>
        <v>11</v>
      </c>
      <c r="BF179" s="6">
        <f>IFERROR(__xludf.DUMMYFUNCTION("""COMPUTED_VALUE"""),1.0)</f>
        <v>1</v>
      </c>
      <c r="BG179" s="1">
        <f>IFERROR(__xludf.DUMMYFUNCTION("""COMPUTED_VALUE"""),1.0)</f>
        <v>1</v>
      </c>
      <c r="BH179" s="1" t="str">
        <f>IFERROR(__xludf.DUMMYFUNCTION("""COMPUTED_VALUE"""),"1")</f>
        <v>1</v>
      </c>
      <c r="BI179" s="4">
        <f>IFERROR(__xludf.DUMMYFUNCTION("""COMPUTED_VALUE"""),0.0)</f>
        <v>0</v>
      </c>
      <c r="BJ179" s="1">
        <f>IFERROR(__xludf.DUMMYFUNCTION("""COMPUTED_VALUE"""),0.0)</f>
        <v>0</v>
      </c>
      <c r="BK179" s="4">
        <f>IFERROR(__xludf.DUMMYFUNCTION("""COMPUTED_VALUE"""),0.0)</f>
        <v>0</v>
      </c>
      <c r="BL179" s="1">
        <f>IFERROR(__xludf.DUMMYFUNCTION("""COMPUTED_VALUE"""),1150.0)</f>
        <v>1150</v>
      </c>
      <c r="BM179" s="1">
        <f>IFERROR(__xludf.DUMMYFUNCTION("""COMPUTED_VALUE"""),46.0)</f>
        <v>46</v>
      </c>
      <c r="BN179" s="2">
        <f>IFERROR(__xludf.DUMMYFUNCTION("""COMPUTED_VALUE"""),45607.0)</f>
        <v>45607</v>
      </c>
      <c r="BO179" s="1">
        <f>IFERROR(__xludf.DUMMYFUNCTION("""COMPUTED_VALUE"""),11.0)</f>
        <v>11</v>
      </c>
      <c r="BP179" s="1">
        <f>IFERROR(__xludf.DUMMYFUNCTION("""COMPUTED_VALUE"""),2024.0)</f>
        <v>2024</v>
      </c>
    </row>
    <row r="180">
      <c r="A180" s="1">
        <f>IFERROR(__xludf.DUMMYFUNCTION("""COMPUTED_VALUE"""),179.0)</f>
        <v>179</v>
      </c>
      <c r="B180" s="1">
        <f>IFERROR(__xludf.DUMMYFUNCTION("""COMPUTED_VALUE"""),1959109.0)</f>
        <v>1959109</v>
      </c>
      <c r="C180" s="1" t="str">
        <f>IFERROR(__xludf.DUMMYFUNCTION("""COMPUTED_VALUE"""),"2025-1")</f>
        <v>2025-1</v>
      </c>
      <c r="D180" s="1" t="str">
        <f>IFERROR(__xludf.DUMMYFUNCTION("""COMPUTED_VALUE"""),"Admisión de Alto Rendimiento")</f>
        <v>Admisión de Alto Rendimiento</v>
      </c>
      <c r="E180" s="2">
        <f>IFERROR(__xludf.DUMMYFUNCTION("""COMPUTED_VALUE"""),45611.0)</f>
        <v>45611</v>
      </c>
      <c r="F180" s="1" t="str">
        <f>IFERROR(__xludf.DUMMYFUNCTION("""COMPUTED_VALUE"""),"LUCIANA CAMILA ")</f>
        <v>LUCIANA CAMILA </v>
      </c>
      <c r="G180" s="1" t="str">
        <f>IFERROR(__xludf.DUMMYFUNCTION("""COMPUTED_VALUE"""),"VEGA LLERENA")</f>
        <v>VEGA LLERENA</v>
      </c>
      <c r="H180" s="1" t="str">
        <f>IFERROR(__xludf.DUMMYFUNCTION("""COMPUTED_VALUE"""),"Diseño Gráfico Publicitario")</f>
        <v>Diseño Gráfico Publicitario</v>
      </c>
      <c r="I180" s="1" t="str">
        <f>IFERROR(__xludf.DUMMYFUNCTION("""COMPUTED_VALUE"""),"POS")</f>
        <v>POS</v>
      </c>
      <c r="J180" s="1" t="str">
        <f>IFERROR(__xludf.DUMMYFUNCTION("""COMPUTED_VALUE"""),"Diurno")</f>
        <v>Diurno</v>
      </c>
      <c r="K180" s="1" t="str">
        <f>IFERROR(__xludf.DUMMYFUNCTION("""COMPUTED_VALUE"""),"NUEVO")</f>
        <v>NUEVO</v>
      </c>
      <c r="L180" s="1">
        <f>IFERROR(__xludf.DUMMYFUNCTION("""COMPUTED_VALUE"""),0.0)</f>
        <v>0</v>
      </c>
      <c r="M180" s="1">
        <f>IFERROR(__xludf.DUMMYFUNCTION("""COMPUTED_VALUE"""),0.0)</f>
        <v>0</v>
      </c>
      <c r="N180" s="1" t="str">
        <f>IFERROR(__xludf.DUMMYFUNCTION("""COMPUTED_VALUE"""),"BECA")</f>
        <v>BECA</v>
      </c>
      <c r="O180" s="1" t="str">
        <f>IFERROR(__xludf.DUMMYFUNCTION("""COMPUTED_VALUE"""),"BECA CARRERAS CORE")</f>
        <v>BECA CARRERAS CORE</v>
      </c>
      <c r="P180" s="4">
        <f>IFERROR(__xludf.DUMMYFUNCTION("""COMPUTED_VALUE"""),0.0)</f>
        <v>0</v>
      </c>
      <c r="Q180" s="4">
        <f>IFERROR(__xludf.DUMMYFUNCTION("""COMPUTED_VALUE"""),0.0)</f>
        <v>0</v>
      </c>
      <c r="R180" s="4">
        <f>IFERROR(__xludf.DUMMYFUNCTION("""COMPUTED_VALUE"""),1600.0)</f>
        <v>1600</v>
      </c>
      <c r="S180" s="4">
        <f>IFERROR(__xludf.DUMMYFUNCTION("""COMPUTED_VALUE"""),1280.0)</f>
        <v>1280</v>
      </c>
      <c r="T180" s="1" t="str">
        <f>IFERROR(__xludf.DUMMYFUNCTION("""COMPUTED_VALUE"""),"Visita Guiada")</f>
        <v>Visita Guiada</v>
      </c>
      <c r="U180" s="1" t="str">
        <f>IFERROR(__xludf.DUMMYFUNCTION("""COMPUTED_VALUE"""),"FABIOLA")</f>
        <v>FABIOLA</v>
      </c>
      <c r="V180" s="1" t="str">
        <f>IFERROR(__xludf.DUMMYFUNCTION("""COMPUTED_VALUE"""),"Ninguno")</f>
        <v>Ninguno</v>
      </c>
      <c r="W180" s="1" t="str">
        <f>IFERROR(__xludf.DUMMYFUNCTION("""COMPUTED_VALUE"""),"Metodología de enseñanza")</f>
        <v>Metodología de enseñanza</v>
      </c>
      <c r="X180" s="1" t="str">
        <f>IFERROR(__xludf.DUMMYFUNCTION("""COMPUTED_VALUE"""),"-")</f>
        <v>-</v>
      </c>
      <c r="Y180" s="1" t="str">
        <f>IFERROR(__xludf.DUMMYFUNCTION("""COMPUTED_VALUE"""),"PAGO FRACCIONADO")</f>
        <v>PAGO FRACCIONADO</v>
      </c>
      <c r="Z180" s="1">
        <f>IFERROR(__xludf.DUMMYFUNCTION("""COMPUTED_VALUE"""),590.0)</f>
        <v>590</v>
      </c>
      <c r="AA180" s="1" t="str">
        <f>IFERROR(__xludf.DUMMYFUNCTION("""COMPUTED_VALUE"""),"29/11/2024")</f>
        <v>29/11/2024</v>
      </c>
      <c r="AB180" s="1">
        <f>IFERROR(__xludf.DUMMYFUNCTION("""COMPUTED_VALUE"""),0.0)</f>
        <v>0</v>
      </c>
      <c r="AC180" s="1">
        <f>IFERROR(__xludf.DUMMYFUNCTION("""COMPUTED_VALUE"""),0.0)</f>
        <v>0</v>
      </c>
      <c r="AD180" s="1" t="str">
        <f>IFERROR(__xludf.DUMMYFUNCTION("""COMPUTED_VALUE"""),"Ingrid Guillermo Rivera")</f>
        <v>Ingrid Guillermo Rivera</v>
      </c>
      <c r="AE180" s="1" t="str">
        <f>IFERROR(__xludf.DUMMYFUNCTION("""COMPUTED_VALUE"""),"0")</f>
        <v>0</v>
      </c>
      <c r="AF180" s="1">
        <f>IFERROR(__xludf.DUMMYFUNCTION("""COMPUTED_VALUE"""),2024.0)</f>
        <v>2024</v>
      </c>
      <c r="AG180" s="1">
        <f>IFERROR(__xludf.DUMMYFUNCTION("""COMPUTED_VALUE"""),1375260.0)</f>
        <v>1375260</v>
      </c>
      <c r="AH180" s="1">
        <f>IFERROR(__xludf.DUMMYFUNCTION("""COMPUTED_VALUE"""),17.0)</f>
        <v>17</v>
      </c>
      <c r="AI180" s="1" t="str">
        <f>IFERROR(__xludf.DUMMYFUNCTION("""COMPUTED_VALUE"""),"0000009914")</f>
        <v>0000009914</v>
      </c>
      <c r="AJ180" s="1">
        <f>IFERROR(__xludf.DUMMYFUNCTION("""COMPUTED_VALUE"""),7.1147714E7)</f>
        <v>71147714</v>
      </c>
      <c r="AK180" s="1">
        <f>IFERROR(__xludf.DUMMYFUNCTION("""COMPUTED_VALUE"""),9.3934735E8)</f>
        <v>939347350</v>
      </c>
      <c r="AL180" s="1" t="str">
        <f>IFERROR(__xludf.DUMMYFUNCTION("""COMPUTED_VALUE"""),"camilaluciana.vega@gmail.com")</f>
        <v>camilaluciana.vega@gmail.com</v>
      </c>
      <c r="AM180" s="1" t="str">
        <f>IFERROR(__xludf.DUMMYFUNCTION("""COMPUTED_VALUE"""),"FEMENINO")</f>
        <v>FEMENINO</v>
      </c>
      <c r="AN180" s="1">
        <f>IFERROR(__xludf.DUMMYFUNCTION("""COMPUTED_VALUE"""),1850.0)</f>
        <v>1850</v>
      </c>
      <c r="AO180" s="1">
        <f>IFERROR(__xludf.DUMMYFUNCTION("""COMPUTED_VALUE"""),680.0)</f>
        <v>680</v>
      </c>
      <c r="AP180" s="1" t="str">
        <f>IFERROR(__xludf.DUMMYFUNCTION("""COMPUTED_VALUE"""),"COLEGIOS")</f>
        <v>COLEGIOS</v>
      </c>
      <c r="AQ180" s="1" t="str">
        <f>IFERROR(__xludf.DUMMYFUNCTION("""COMPUTED_VALUE"""),"COLEGIOS")</f>
        <v>COLEGIOS</v>
      </c>
      <c r="AR180" s="1" t="str">
        <f>IFERROR(__xludf.DUMMYFUNCTION("""COMPUTED_VALUE"""),"NUEVO")</f>
        <v>NUEVO</v>
      </c>
      <c r="AS180" s="1"/>
      <c r="AT180" s="2">
        <f>IFERROR(__xludf.DUMMYFUNCTION("""COMPUTED_VALUE"""),45405.0)</f>
        <v>45405</v>
      </c>
      <c r="AU180" s="1">
        <f>IFERROR(__xludf.DUMMYFUNCTION("""COMPUTED_VALUE"""),1.0)</f>
        <v>1</v>
      </c>
      <c r="AV180" s="1" t="str">
        <f>IFERROR(__xludf.DUMMYFUNCTION("""COMPUTED_VALUE"""),"NUEVO")</f>
        <v>NUEVO</v>
      </c>
      <c r="AW180" s="1" t="str">
        <f>IFERROR(__xludf.DUMMYFUNCTION("""COMPUTED_VALUE"""),"SI")</f>
        <v>SI</v>
      </c>
      <c r="AX180" s="1"/>
      <c r="AY180" s="1" t="str">
        <f>IFERROR(__xludf.DUMMYFUNCTION("""COMPUTED_VALUE"""),"PAGO COMPLETO")</f>
        <v>PAGO COMPLETO</v>
      </c>
      <c r="AZ180" s="5">
        <f>IFERROR(__xludf.DUMMYFUNCTION("""COMPUTED_VALUE"""),45623.0)</f>
        <v>45623</v>
      </c>
      <c r="BA180" s="1">
        <f>IFERROR(__xludf.DUMMYFUNCTION("""COMPUTED_VALUE"""),590.0)</f>
        <v>590</v>
      </c>
      <c r="BB180" s="1">
        <f>IFERROR(__xludf.DUMMYFUNCTION("""COMPUTED_VALUE"""),0.0)</f>
        <v>0</v>
      </c>
      <c r="BC180" s="4">
        <f>IFERROR(__xludf.DUMMYFUNCTION("""COMPUTED_VALUE"""),0.0)</f>
        <v>0</v>
      </c>
      <c r="BD180" s="4">
        <f>IFERROR(__xludf.DUMMYFUNCTION("""COMPUTED_VALUE"""),100.0)</f>
        <v>100</v>
      </c>
      <c r="BE180" s="1">
        <f>IFERROR(__xludf.DUMMYFUNCTION("""COMPUTED_VALUE"""),11.0)</f>
        <v>11</v>
      </c>
      <c r="BF180" s="6">
        <f>IFERROR(__xludf.DUMMYFUNCTION("""COMPUTED_VALUE"""),1.0)</f>
        <v>1</v>
      </c>
      <c r="BG180" s="1">
        <f>IFERROR(__xludf.DUMMYFUNCTION("""COMPUTED_VALUE"""),1.0)</f>
        <v>1</v>
      </c>
      <c r="BH180" s="1" t="str">
        <f>IFERROR(__xludf.DUMMYFUNCTION("""COMPUTED_VALUE"""),"0")</f>
        <v>0</v>
      </c>
      <c r="BI180" s="4">
        <f>IFERROR(__xludf.DUMMYFUNCTION("""COMPUTED_VALUE"""),1280.0)</f>
        <v>1280</v>
      </c>
      <c r="BJ180" s="1">
        <f>IFERROR(__xludf.DUMMYFUNCTION("""COMPUTED_VALUE"""),0.0)</f>
        <v>0</v>
      </c>
      <c r="BK180" s="4">
        <f>IFERROR(__xludf.DUMMYFUNCTION("""COMPUTED_VALUE"""),100.0)</f>
        <v>100</v>
      </c>
      <c r="BL180" s="1">
        <f>IFERROR(__xludf.DUMMYFUNCTION("""COMPUTED_VALUE"""),1260.0)</f>
        <v>1260</v>
      </c>
      <c r="BM180" s="1">
        <f>IFERROR(__xludf.DUMMYFUNCTION("""COMPUTED_VALUE"""),46.0)</f>
        <v>46</v>
      </c>
      <c r="BN180" s="2">
        <f>IFERROR(__xludf.DUMMYFUNCTION("""COMPUTED_VALUE"""),45607.0)</f>
        <v>45607</v>
      </c>
      <c r="BO180" s="1">
        <f>IFERROR(__xludf.DUMMYFUNCTION("""COMPUTED_VALUE"""),11.0)</f>
        <v>11</v>
      </c>
      <c r="BP180" s="1">
        <f>IFERROR(__xludf.DUMMYFUNCTION("""COMPUTED_VALUE"""),2024.0)</f>
        <v>2024</v>
      </c>
    </row>
    <row r="181">
      <c r="A181" s="1">
        <f>IFERROR(__xludf.DUMMYFUNCTION("""COMPUTED_VALUE"""),180.0)</f>
        <v>180</v>
      </c>
      <c r="B181" s="1">
        <f>IFERROR(__xludf.DUMMYFUNCTION("""COMPUTED_VALUE"""),4791426.0)</f>
        <v>4791426</v>
      </c>
      <c r="C181" s="1" t="str">
        <f>IFERROR(__xludf.DUMMYFUNCTION("""COMPUTED_VALUE"""),"2025-1")</f>
        <v>2025-1</v>
      </c>
      <c r="D181" s="1" t="str">
        <f>IFERROR(__xludf.DUMMYFUNCTION("""COMPUTED_VALUE"""),"Admisión Ordinaria")</f>
        <v>Admisión Ordinaria</v>
      </c>
      <c r="E181" s="2">
        <f>IFERROR(__xludf.DUMMYFUNCTION("""COMPUTED_VALUE"""),45611.0)</f>
        <v>45611</v>
      </c>
      <c r="F181" s="1" t="str">
        <f>IFERROR(__xludf.DUMMYFUNCTION("""COMPUTED_VALUE"""),"SCHANTAL EVELIN ")</f>
        <v>SCHANTAL EVELIN </v>
      </c>
      <c r="G181" s="1" t="str">
        <f>IFERROR(__xludf.DUMMYFUNCTION("""COMPUTED_VALUE"""),"BALVIN VILCHEZ")</f>
        <v>BALVIN VILCHEZ</v>
      </c>
      <c r="H181" s="1" t="str">
        <f>IFERROR(__xludf.DUMMYFUNCTION("""COMPUTED_VALUE"""),"Comunicación Audiovisual y Cine")</f>
        <v>Comunicación Audiovisual y Cine</v>
      </c>
      <c r="I181" s="1" t="str">
        <f>IFERROR(__xludf.DUMMYFUNCTION("""COMPUTED_VALUE"""),"POS")</f>
        <v>POS</v>
      </c>
      <c r="J181" s="1" t="str">
        <f>IFERROR(__xludf.DUMMYFUNCTION("""COMPUTED_VALUE"""),"Diurno")</f>
        <v>Diurno</v>
      </c>
      <c r="K181" s="1" t="str">
        <f>IFERROR(__xludf.DUMMYFUNCTION("""COMPUTED_VALUE"""),"NUEVO")</f>
        <v>NUEVO</v>
      </c>
      <c r="L181" s="1">
        <f>IFERROR(__xludf.DUMMYFUNCTION("""COMPUTED_VALUE"""),0.0)</f>
        <v>0</v>
      </c>
      <c r="M181" s="1">
        <f>IFERROR(__xludf.DUMMYFUNCTION("""COMPUTED_VALUE"""),0.0)</f>
        <v>0</v>
      </c>
      <c r="N181" s="1" t="str">
        <f>IFERROR(__xludf.DUMMYFUNCTION("""COMPUTED_VALUE"""),"BECA")</f>
        <v>BECA</v>
      </c>
      <c r="O181" s="1" t="str">
        <f>IFERROR(__xludf.DUMMYFUNCTION("""COMPUTED_VALUE"""),"BECA CARRERAS CORE")</f>
        <v>BECA CARRERAS CORE</v>
      </c>
      <c r="P181" s="4">
        <f>IFERROR(__xludf.DUMMYFUNCTION("""COMPUTED_VALUE"""),0.0)</f>
        <v>0</v>
      </c>
      <c r="Q181" s="4">
        <f>IFERROR(__xludf.DUMMYFUNCTION("""COMPUTED_VALUE"""),0.0)</f>
        <v>0</v>
      </c>
      <c r="R181" s="4">
        <f>IFERROR(__xludf.DUMMYFUNCTION("""COMPUTED_VALUE"""),1525.0)</f>
        <v>1525</v>
      </c>
      <c r="S181" s="4">
        <f>IFERROR(__xludf.DUMMYFUNCTION("""COMPUTED_VALUE"""),1250.0)</f>
        <v>1250</v>
      </c>
      <c r="T181" s="1" t="str">
        <f>IFERROR(__xludf.DUMMYFUNCTION("""COMPUTED_VALUE"""),"NINGUNO")</f>
        <v>NINGUNO</v>
      </c>
      <c r="U181" s="1" t="str">
        <f>IFERROR(__xludf.DUMMYFUNCTION("""COMPUTED_VALUE"""),"FABIOLA")</f>
        <v>FABIOLA</v>
      </c>
      <c r="V181" s="1" t="str">
        <f>IFERROR(__xludf.DUMMYFUNCTION("""COMPUTED_VALUE"""),"Ninguno")</f>
        <v>Ninguno</v>
      </c>
      <c r="W181" s="1" t="str">
        <f>IFERROR(__xludf.DUMMYFUNCTION("""COMPUTED_VALUE"""),"Metodología de enseñanza")</f>
        <v>Metodología de enseñanza</v>
      </c>
      <c r="X181" s="1" t="str">
        <f>IFERROR(__xludf.DUMMYFUNCTION("""COMPUTED_VALUE"""),"-")</f>
        <v>-</v>
      </c>
      <c r="Y181" s="1" t="str">
        <f>IFERROR(__xludf.DUMMYFUNCTION("""COMPUTED_VALUE"""),"PAGO FRACCIONADO")</f>
        <v>PAGO FRACCIONADO</v>
      </c>
      <c r="Z181" s="1">
        <f>IFERROR(__xludf.DUMMYFUNCTION("""COMPUTED_VALUE"""),625.0)</f>
        <v>625</v>
      </c>
      <c r="AA181" s="1" t="str">
        <f>IFERROR(__xludf.DUMMYFUNCTION("""COMPUTED_VALUE"""),"12/12/2024")</f>
        <v>12/12/2024</v>
      </c>
      <c r="AB181" s="1">
        <f>IFERROR(__xludf.DUMMYFUNCTION("""COMPUTED_VALUE"""),0.0)</f>
        <v>0</v>
      </c>
      <c r="AC181" s="1">
        <f>IFERROR(__xludf.DUMMYFUNCTION("""COMPUTED_VALUE"""),0.0)</f>
        <v>0</v>
      </c>
      <c r="AD181" s="1" t="str">
        <f>IFERROR(__xludf.DUMMYFUNCTION("""COMPUTED_VALUE"""),"Ingrid Guillermo Rivera")</f>
        <v>Ingrid Guillermo Rivera</v>
      </c>
      <c r="AE181" s="1" t="str">
        <f>IFERROR(__xludf.DUMMYFUNCTION("""COMPUTED_VALUE"""),"0")</f>
        <v>0</v>
      </c>
      <c r="AF181" s="1">
        <f>IFERROR(__xludf.DUMMYFUNCTION("""COMPUTED_VALUE"""),2022.0)</f>
        <v>2022</v>
      </c>
      <c r="AG181" s="1">
        <f>IFERROR(__xludf.DUMMYFUNCTION("""COMPUTED_VALUE"""),1075829.0)</f>
        <v>1075829</v>
      </c>
      <c r="AH181" s="1">
        <f>IFERROR(__xludf.DUMMYFUNCTION("""COMPUTED_VALUE"""),19.0)</f>
        <v>19</v>
      </c>
      <c r="AI181" s="1" t="str">
        <f>IFERROR(__xludf.DUMMYFUNCTION("""COMPUTED_VALUE"""),"0000400879")</f>
        <v>0000400879</v>
      </c>
      <c r="AJ181" s="1">
        <f>IFERROR(__xludf.DUMMYFUNCTION("""COMPUTED_VALUE"""),7.0903697E7)</f>
        <v>70903697</v>
      </c>
      <c r="AK181" s="1">
        <f>IFERROR(__xludf.DUMMYFUNCTION("""COMPUTED_VALUE"""),9.69969161E8)</f>
        <v>969969161</v>
      </c>
      <c r="AL181" s="1" t="str">
        <f>IFERROR(__xludf.DUMMYFUNCTION("""COMPUTED_VALUE"""),"moonknow143@gmail.com")</f>
        <v>moonknow143@gmail.com</v>
      </c>
      <c r="AM181" s="1" t="str">
        <f>IFERROR(__xludf.DUMMYFUNCTION("""COMPUTED_VALUE"""),"FEMENINO")</f>
        <v>FEMENINO</v>
      </c>
      <c r="AN181" s="1">
        <f>IFERROR(__xludf.DUMMYFUNCTION("""COMPUTED_VALUE"""),1600.0)</f>
        <v>1600</v>
      </c>
      <c r="AO181" s="1">
        <f>IFERROR(__xludf.DUMMYFUNCTION("""COMPUTED_VALUE"""),220.0)</f>
        <v>220</v>
      </c>
      <c r="AP181" s="1" t="str">
        <f>IFERROR(__xludf.DUMMYFUNCTION("""COMPUTED_VALUE"""),"FORMULARIO")</f>
        <v>FORMULARIO</v>
      </c>
      <c r="AQ181" s="1" t="str">
        <f>IFERROR(__xludf.DUMMYFUNCTION("""COMPUTED_VALUE"""),"ORGANICO")</f>
        <v>ORGANICO</v>
      </c>
      <c r="AR181" s="1" t="str">
        <f>IFERROR(__xludf.DUMMYFUNCTION("""COMPUTED_VALUE"""),"HEREDADO")</f>
        <v>HEREDADO</v>
      </c>
      <c r="AS181" s="1" t="str">
        <f>IFERROR(__xludf.DUMMYFUNCTION("""COMPUTED_VALUE"""),"ucal-pg-branding-sedes-abierta-no_aplica-mundo_comunicaciones_242-20240430")</f>
        <v>ucal-pg-branding-sedes-abierta-no_aplica-mundo_comunicaciones_242-20240430</v>
      </c>
      <c r="AT181" s="2">
        <f>IFERROR(__xludf.DUMMYFUNCTION("""COMPUTED_VALUE"""),45603.0)</f>
        <v>45603</v>
      </c>
      <c r="AU181" s="1">
        <f>IFERROR(__xludf.DUMMYFUNCTION("""COMPUTED_VALUE"""),1.0)</f>
        <v>1</v>
      </c>
      <c r="AV181" s="1" t="str">
        <f>IFERROR(__xludf.DUMMYFUNCTION("""COMPUTED_VALUE"""),"NUEVO")</f>
        <v>NUEVO</v>
      </c>
      <c r="AW181" s="1" t="str">
        <f>IFERROR(__xludf.DUMMYFUNCTION("""COMPUTED_VALUE"""),"SI")</f>
        <v>SI</v>
      </c>
      <c r="AX181" s="1"/>
      <c r="AY181" s="1" t="str">
        <f>IFERROR(__xludf.DUMMYFUNCTION("""COMPUTED_VALUE"""),"PAGO COMPLETO")</f>
        <v>PAGO COMPLETO</v>
      </c>
      <c r="AZ181" s="5">
        <f>IFERROR(__xludf.DUMMYFUNCTION("""COMPUTED_VALUE"""),45678.0)</f>
        <v>45678</v>
      </c>
      <c r="BA181" s="1">
        <f>IFERROR(__xludf.DUMMYFUNCTION("""COMPUTED_VALUE"""),625.0)</f>
        <v>625</v>
      </c>
      <c r="BB181" s="1">
        <f>IFERROR(__xludf.DUMMYFUNCTION("""COMPUTED_VALUE"""),0.0)</f>
        <v>0</v>
      </c>
      <c r="BC181" s="4">
        <f>IFERROR(__xludf.DUMMYFUNCTION("""COMPUTED_VALUE"""),0.0)</f>
        <v>0</v>
      </c>
      <c r="BD181" s="4">
        <f>IFERROR(__xludf.DUMMYFUNCTION("""COMPUTED_VALUE"""),0.0)</f>
        <v>0</v>
      </c>
      <c r="BE181" s="1">
        <f>IFERROR(__xludf.DUMMYFUNCTION("""COMPUTED_VALUE"""),11.0)</f>
        <v>11</v>
      </c>
      <c r="BF181" s="6">
        <f>IFERROR(__xludf.DUMMYFUNCTION("""COMPUTED_VALUE"""),1.0)</f>
        <v>1</v>
      </c>
      <c r="BG181" s="1">
        <f>IFERROR(__xludf.DUMMYFUNCTION("""COMPUTED_VALUE"""),1.0)</f>
        <v>1</v>
      </c>
      <c r="BH181" s="1" t="str">
        <f>IFERROR(__xludf.DUMMYFUNCTION("""COMPUTED_VALUE"""),"0")</f>
        <v>0</v>
      </c>
      <c r="BI181" s="4">
        <f>IFERROR(__xludf.DUMMYFUNCTION("""COMPUTED_VALUE"""),1250.0)</f>
        <v>1250</v>
      </c>
      <c r="BJ181" s="1">
        <f>IFERROR(__xludf.DUMMYFUNCTION("""COMPUTED_VALUE"""),0.0)</f>
        <v>0</v>
      </c>
      <c r="BK181" s="4">
        <f>IFERROR(__xludf.DUMMYFUNCTION("""COMPUTED_VALUE"""),0.0)</f>
        <v>0</v>
      </c>
      <c r="BL181" s="1">
        <f>IFERROR(__xludf.DUMMYFUNCTION("""COMPUTED_VALUE"""),1250.0)</f>
        <v>1250</v>
      </c>
      <c r="BM181" s="1">
        <f>IFERROR(__xludf.DUMMYFUNCTION("""COMPUTED_VALUE"""),46.0)</f>
        <v>46</v>
      </c>
      <c r="BN181" s="2">
        <f>IFERROR(__xludf.DUMMYFUNCTION("""COMPUTED_VALUE"""),45607.0)</f>
        <v>45607</v>
      </c>
      <c r="BO181" s="1">
        <f>IFERROR(__xludf.DUMMYFUNCTION("""COMPUTED_VALUE"""),11.0)</f>
        <v>11</v>
      </c>
      <c r="BP181" s="1">
        <f>IFERROR(__xludf.DUMMYFUNCTION("""COMPUTED_VALUE"""),2024.0)</f>
        <v>2024</v>
      </c>
    </row>
    <row r="182">
      <c r="A182" s="1">
        <f>IFERROR(__xludf.DUMMYFUNCTION("""COMPUTED_VALUE"""),181.0)</f>
        <v>181</v>
      </c>
      <c r="B182" s="1">
        <f>IFERROR(__xludf.DUMMYFUNCTION("""COMPUTED_VALUE"""),990108.0)</f>
        <v>990108</v>
      </c>
      <c r="C182" s="1" t="str">
        <f>IFERROR(__xludf.DUMMYFUNCTION("""COMPUTED_VALUE"""),"2025-1")</f>
        <v>2025-1</v>
      </c>
      <c r="D182" s="1" t="str">
        <f>IFERROR(__xludf.DUMMYFUNCTION("""COMPUTED_VALUE"""),"Admisión Ordinaria")</f>
        <v>Admisión Ordinaria</v>
      </c>
      <c r="E182" s="2">
        <f>IFERROR(__xludf.DUMMYFUNCTION("""COMPUTED_VALUE"""),45612.0)</f>
        <v>45612</v>
      </c>
      <c r="F182" s="1" t="str">
        <f>IFERROR(__xludf.DUMMYFUNCTION("""COMPUTED_VALUE"""),"FATIMA NICOLE	")</f>
        <v>FATIMA NICOLE	</v>
      </c>
      <c r="G182" s="1" t="str">
        <f>IFERROR(__xludf.DUMMYFUNCTION("""COMPUTED_VALUE"""),"CHINCHAYAN LORA	")</f>
        <v>CHINCHAYAN LORA	</v>
      </c>
      <c r="H182" s="1" t="str">
        <f>IFERROR(__xludf.DUMMYFUNCTION("""COMPUTED_VALUE"""),"Marketing e Innovación")</f>
        <v>Marketing e Innovación</v>
      </c>
      <c r="I182" s="1" t="str">
        <f>IFERROR(__xludf.DUMMYFUNCTION("""COMPUTED_VALUE"""),"Pago Link")</f>
        <v>Pago Link</v>
      </c>
      <c r="J182" s="1" t="str">
        <f>IFERROR(__xludf.DUMMYFUNCTION("""COMPUTED_VALUE"""),"Diurno")</f>
        <v>Diurno</v>
      </c>
      <c r="K182" s="1" t="str">
        <f>IFERROR(__xludf.DUMMYFUNCTION("""COMPUTED_VALUE"""),"NUEVO")</f>
        <v>NUEVO</v>
      </c>
      <c r="L182" s="1">
        <f>IFERROR(__xludf.DUMMYFUNCTION("""COMPUTED_VALUE"""),0.0)</f>
        <v>0</v>
      </c>
      <c r="M182" s="1">
        <f>IFERROR(__xludf.DUMMYFUNCTION("""COMPUTED_VALUE"""),0.0)</f>
        <v>0</v>
      </c>
      <c r="N182" s="1" t="str">
        <f>IFERROR(__xludf.DUMMYFUNCTION("""COMPUTED_VALUE"""),"BECA")</f>
        <v>BECA</v>
      </c>
      <c r="O182" s="1" t="str">
        <f>IFERROR(__xludf.DUMMYFUNCTION("""COMPUTED_VALUE"""),"BECA CADENA COLEGIOS")</f>
        <v>BECA CADENA COLEGIOS</v>
      </c>
      <c r="P182" s="4">
        <f>IFERROR(__xludf.DUMMYFUNCTION("""COMPUTED_VALUE"""),0.0)</f>
        <v>0</v>
      </c>
      <c r="Q182" s="4">
        <f>IFERROR(__xludf.DUMMYFUNCTION("""COMPUTED_VALUE"""),0.0)</f>
        <v>0</v>
      </c>
      <c r="R182" s="4">
        <f>IFERROR(__xludf.DUMMYFUNCTION("""COMPUTED_VALUE"""),1500.0)</f>
        <v>1500</v>
      </c>
      <c r="S182" s="4">
        <f>IFERROR(__xludf.DUMMYFUNCTION("""COMPUTED_VALUE"""),1200.0)</f>
        <v>1200</v>
      </c>
      <c r="T182" s="1" t="str">
        <f>IFERROR(__xludf.DUMMYFUNCTION("""COMPUTED_VALUE"""),"NINGUNO")</f>
        <v>NINGUNO</v>
      </c>
      <c r="U182" s="1" t="str">
        <f>IFERROR(__xludf.DUMMYFUNCTION("""COMPUTED_VALUE"""),"FABIOLA")</f>
        <v>FABIOLA</v>
      </c>
      <c r="V182" s="1" t="str">
        <f>IFERROR(__xludf.DUMMYFUNCTION("""COMPUTED_VALUE"""),"Ninguno")</f>
        <v>Ninguno</v>
      </c>
      <c r="W182" s="1" t="str">
        <f>IFERROR(__xludf.DUMMYFUNCTION("""COMPUTED_VALUE"""),"Metodología de enseñanza")</f>
        <v>Metodología de enseñanza</v>
      </c>
      <c r="X182" s="1" t="str">
        <f>IFERROR(__xludf.DUMMYFUNCTION("""COMPUTED_VALUE"""),"-")</f>
        <v>-</v>
      </c>
      <c r="Y182" s="1" t="str">
        <f>IFERROR(__xludf.DUMMYFUNCTION("""COMPUTED_VALUE"""),"PAGO FRACCIONADO")</f>
        <v>PAGO FRACCIONADO</v>
      </c>
      <c r="Z182" s="1">
        <f>IFERROR(__xludf.DUMMYFUNCTION("""COMPUTED_VALUE"""),600.0)</f>
        <v>600</v>
      </c>
      <c r="AA182" s="1" t="str">
        <f>IFERROR(__xludf.DUMMYFUNCTION("""COMPUTED_VALUE"""),"30/11/2024")</f>
        <v>30/11/2024</v>
      </c>
      <c r="AB182" s="1">
        <f>IFERROR(__xludf.DUMMYFUNCTION("""COMPUTED_VALUE"""),0.0)</f>
        <v>0</v>
      </c>
      <c r="AC182" s="1">
        <f>IFERROR(__xludf.DUMMYFUNCTION("""COMPUTED_VALUE"""),0.0)</f>
        <v>0</v>
      </c>
      <c r="AD182" s="1" t="str">
        <f>IFERROR(__xludf.DUMMYFUNCTION("""COMPUTED_VALUE"""),"Fiorella Lanegra")</f>
        <v>Fiorella Lanegra</v>
      </c>
      <c r="AE182" s="1" t="str">
        <f>IFERROR(__xludf.DUMMYFUNCTION("""COMPUTED_VALUE"""),"0")</f>
        <v>0</v>
      </c>
      <c r="AF182" s="1">
        <f>IFERROR(__xludf.DUMMYFUNCTION("""COMPUTED_VALUE"""),2021.0)</f>
        <v>2021</v>
      </c>
      <c r="AG182" s="1">
        <f>IFERROR(__xludf.DUMMYFUNCTION("""COMPUTED_VALUE"""),1513456.0)</f>
        <v>1513456</v>
      </c>
      <c r="AH182" s="1">
        <f>IFERROR(__xludf.DUMMYFUNCTION("""COMPUTED_VALUE"""),21.0)</f>
        <v>21</v>
      </c>
      <c r="AI182" s="1" t="str">
        <f>IFERROR(__xludf.DUMMYFUNCTION("""COMPUTED_VALUE"""),"0000400951")</f>
        <v>0000400951</v>
      </c>
      <c r="AJ182" s="1">
        <f>IFERROR(__xludf.DUMMYFUNCTION("""COMPUTED_VALUE"""),7.1490263E7)</f>
        <v>71490263</v>
      </c>
      <c r="AK182" s="1">
        <f>IFERROR(__xludf.DUMMYFUNCTION("""COMPUTED_VALUE"""),9.91259366E8)</f>
        <v>991259366</v>
      </c>
      <c r="AL182" s="1" t="str">
        <f>IFERROR(__xludf.DUMMYFUNCTION("""COMPUTED_VALUE"""),"fatimafatimanicole@gmail.com")</f>
        <v>fatimafatimanicole@gmail.com</v>
      </c>
      <c r="AM182" s="1" t="str">
        <f>IFERROR(__xludf.DUMMYFUNCTION("""COMPUTED_VALUE"""),"FEMENINO")</f>
        <v>FEMENINO</v>
      </c>
      <c r="AN182" s="1">
        <f>IFERROR(__xludf.DUMMYFUNCTION("""COMPUTED_VALUE"""),1350.0)</f>
        <v>1350</v>
      </c>
      <c r="AO182" s="1">
        <f>IFERROR(__xludf.DUMMYFUNCTION("""COMPUTED_VALUE"""),0.0)</f>
        <v>0</v>
      </c>
      <c r="AP182" s="1" t="str">
        <f>IFERROR(__xludf.DUMMYFUNCTION("""COMPUTED_VALUE"""),"BIDIRECCIONAL")</f>
        <v>BIDIRECCIONAL</v>
      </c>
      <c r="AQ182" s="1" t="str">
        <f>IFERROR(__xludf.DUMMYFUNCTION("""COMPUTED_VALUE"""),"ORGANICO")</f>
        <v>ORGANICO</v>
      </c>
      <c r="AR182" s="1" t="str">
        <f>IFERROR(__xludf.DUMMYFUNCTION("""COMPUTED_VALUE"""),"HEREDADO")</f>
        <v>HEREDADO</v>
      </c>
      <c r="AS182" s="1"/>
      <c r="AT182" s="2">
        <f>IFERROR(__xludf.DUMMYFUNCTION("""COMPUTED_VALUE"""),45608.0)</f>
        <v>45608</v>
      </c>
      <c r="AU182" s="1">
        <f>IFERROR(__xludf.DUMMYFUNCTION("""COMPUTED_VALUE"""),1.0)</f>
        <v>1</v>
      </c>
      <c r="AV182" s="1" t="str">
        <f>IFERROR(__xludf.DUMMYFUNCTION("""COMPUTED_VALUE"""),"NUEVO")</f>
        <v>NUEVO</v>
      </c>
      <c r="AW182" s="1" t="str">
        <f>IFERROR(__xludf.DUMMYFUNCTION("""COMPUTED_VALUE"""),"SI")</f>
        <v>SI</v>
      </c>
      <c r="AX182" s="1"/>
      <c r="AY182" s="1" t="str">
        <f>IFERROR(__xludf.DUMMYFUNCTION("""COMPUTED_VALUE"""),"PAGO COMPLETO")</f>
        <v>PAGO COMPLETO</v>
      </c>
      <c r="AZ182" s="5">
        <f>IFERROR(__xludf.DUMMYFUNCTION("""COMPUTED_VALUE"""),45626.0)</f>
        <v>45626</v>
      </c>
      <c r="BA182" s="1">
        <f>IFERROR(__xludf.DUMMYFUNCTION("""COMPUTED_VALUE"""),600.0)</f>
        <v>600</v>
      </c>
      <c r="BB182" s="1">
        <f>IFERROR(__xludf.DUMMYFUNCTION("""COMPUTED_VALUE"""),0.0)</f>
        <v>0</v>
      </c>
      <c r="BC182" s="4">
        <f>IFERROR(__xludf.DUMMYFUNCTION("""COMPUTED_VALUE"""),0.0)</f>
        <v>0</v>
      </c>
      <c r="BD182" s="4">
        <f>IFERROR(__xludf.DUMMYFUNCTION("""COMPUTED_VALUE"""),0.0)</f>
        <v>0</v>
      </c>
      <c r="BE182" s="1">
        <f>IFERROR(__xludf.DUMMYFUNCTION("""COMPUTED_VALUE"""),11.0)</f>
        <v>11</v>
      </c>
      <c r="BF182" s="6">
        <f>IFERROR(__xludf.DUMMYFUNCTION("""COMPUTED_VALUE"""),1.0)</f>
        <v>1</v>
      </c>
      <c r="BG182" s="1">
        <f>IFERROR(__xludf.DUMMYFUNCTION("""COMPUTED_VALUE"""),1.0)</f>
        <v>1</v>
      </c>
      <c r="BH182" s="1" t="str">
        <f>IFERROR(__xludf.DUMMYFUNCTION("""COMPUTED_VALUE"""),"0")</f>
        <v>0</v>
      </c>
      <c r="BI182" s="4">
        <f>IFERROR(__xludf.DUMMYFUNCTION("""COMPUTED_VALUE"""),1200.0)</f>
        <v>1200</v>
      </c>
      <c r="BJ182" s="1">
        <f>IFERROR(__xludf.DUMMYFUNCTION("""COMPUTED_VALUE"""),0.0)</f>
        <v>0</v>
      </c>
      <c r="BK182" s="4">
        <f>IFERROR(__xludf.DUMMYFUNCTION("""COMPUTED_VALUE"""),0.0)</f>
        <v>0</v>
      </c>
      <c r="BL182" s="1">
        <f>IFERROR(__xludf.DUMMYFUNCTION("""COMPUTED_VALUE"""),1200.0)</f>
        <v>1200</v>
      </c>
      <c r="BM182" s="1">
        <f>IFERROR(__xludf.DUMMYFUNCTION("""COMPUTED_VALUE"""),46.0)</f>
        <v>46</v>
      </c>
      <c r="BN182" s="2">
        <f>IFERROR(__xludf.DUMMYFUNCTION("""COMPUTED_VALUE"""),45607.0)</f>
        <v>45607</v>
      </c>
      <c r="BO182" s="1">
        <f>IFERROR(__xludf.DUMMYFUNCTION("""COMPUTED_VALUE"""),11.0)</f>
        <v>11</v>
      </c>
      <c r="BP182" s="1">
        <f>IFERROR(__xludf.DUMMYFUNCTION("""COMPUTED_VALUE"""),2024.0)</f>
        <v>2024</v>
      </c>
    </row>
    <row r="183">
      <c r="A183" s="1">
        <f>IFERROR(__xludf.DUMMYFUNCTION("""COMPUTED_VALUE"""),182.0)</f>
        <v>182</v>
      </c>
      <c r="B183" s="1">
        <f>IFERROR(__xludf.DUMMYFUNCTION("""COMPUTED_VALUE"""),3306269.0)</f>
        <v>3306269</v>
      </c>
      <c r="C183" s="1" t="str">
        <f>IFERROR(__xludf.DUMMYFUNCTION("""COMPUTED_VALUE"""),"2025-1")</f>
        <v>2025-1</v>
      </c>
      <c r="D183" s="1" t="str">
        <f>IFERROR(__xludf.DUMMYFUNCTION("""COMPUTED_VALUE"""),"Admisión de Alto Rendimiento")</f>
        <v>Admisión de Alto Rendimiento</v>
      </c>
      <c r="E183" s="2">
        <f>IFERROR(__xludf.DUMMYFUNCTION("""COMPUTED_VALUE"""),45613.0)</f>
        <v>45613</v>
      </c>
      <c r="F183" s="1" t="str">
        <f>IFERROR(__xludf.DUMMYFUNCTION("""COMPUTED_VALUE""")," CAMILA ALEXANDRA ")</f>
        <v> CAMILA ALEXANDRA </v>
      </c>
      <c r="G183" s="1" t="str">
        <f>IFERROR(__xludf.DUMMYFUNCTION("""COMPUTED_VALUE"""),"BUENO CABELLO")</f>
        <v>BUENO CABELLO</v>
      </c>
      <c r="H183" s="1" t="str">
        <f>IFERROR(__xludf.DUMMYFUNCTION("""COMPUTED_VALUE"""),"Arquitectura de Interiores")</f>
        <v>Arquitectura de Interiores</v>
      </c>
      <c r="I183" s="1" t="str">
        <f>IFERROR(__xludf.DUMMYFUNCTION("""COMPUTED_VALUE"""),"POS")</f>
        <v>POS</v>
      </c>
      <c r="J183" s="1" t="str">
        <f>IFERROR(__xludf.DUMMYFUNCTION("""COMPUTED_VALUE"""),"Diurno")</f>
        <v>Diurno</v>
      </c>
      <c r="K183" s="1" t="str">
        <f>IFERROR(__xludf.DUMMYFUNCTION("""COMPUTED_VALUE"""),"NUEVO")</f>
        <v>NUEVO</v>
      </c>
      <c r="L183" s="1">
        <f>IFERROR(__xludf.DUMMYFUNCTION("""COMPUTED_VALUE"""),0.0)</f>
        <v>0</v>
      </c>
      <c r="M183" s="1">
        <f>IFERROR(__xludf.DUMMYFUNCTION("""COMPUTED_VALUE"""),0.0)</f>
        <v>0</v>
      </c>
      <c r="N183" s="1" t="str">
        <f>IFERROR(__xludf.DUMMYFUNCTION("""COMPUTED_VALUE"""),"BECA")</f>
        <v>BECA</v>
      </c>
      <c r="O183" s="1" t="str">
        <f>IFERROR(__xludf.DUMMYFUNCTION("""COMPUTED_VALUE"""),"BECA CARRERAS CORE")</f>
        <v>BECA CARRERAS CORE</v>
      </c>
      <c r="P183" s="4">
        <f>IFERROR(__xludf.DUMMYFUNCTION("""COMPUTED_VALUE"""),0.0)</f>
        <v>0</v>
      </c>
      <c r="Q183" s="4">
        <f>IFERROR(__xludf.DUMMYFUNCTION("""COMPUTED_VALUE"""),0.0)</f>
        <v>0</v>
      </c>
      <c r="R183" s="4">
        <f>IFERROR(__xludf.DUMMYFUNCTION("""COMPUTED_VALUE"""),1600.0)</f>
        <v>1600</v>
      </c>
      <c r="S183" s="4">
        <f>IFERROR(__xludf.DUMMYFUNCTION("""COMPUTED_VALUE"""),1280.0)</f>
        <v>1280</v>
      </c>
      <c r="T183" s="1" t="str">
        <f>IFERROR(__xludf.DUMMYFUNCTION("""COMPUTED_VALUE"""),"NINGUNO")</f>
        <v>NINGUNO</v>
      </c>
      <c r="U183" s="1" t="str">
        <f>IFERROR(__xludf.DUMMYFUNCTION("""COMPUTED_VALUE"""),"FABIOLA")</f>
        <v>FABIOLA</v>
      </c>
      <c r="V183" s="1" t="str">
        <f>IFERROR(__xludf.DUMMYFUNCTION("""COMPUTED_VALUE"""),"Ninguno")</f>
        <v>Ninguno</v>
      </c>
      <c r="W183" s="1" t="str">
        <f>IFERROR(__xludf.DUMMYFUNCTION("""COMPUTED_VALUE"""),"Malla curricular")</f>
        <v>Malla curricular</v>
      </c>
      <c r="X183" s="1" t="str">
        <f>IFERROR(__xludf.DUMMYFUNCTION("""COMPUTED_VALUE"""),"-")</f>
        <v>-</v>
      </c>
      <c r="Y183" s="1" t="str">
        <f>IFERROR(__xludf.DUMMYFUNCTION("""COMPUTED_VALUE"""),"PAGO COMPLETO")</f>
        <v>PAGO COMPLETO</v>
      </c>
      <c r="Z183" s="1">
        <f>IFERROR(__xludf.DUMMYFUNCTION("""COMPUTED_VALUE"""),0.0)</f>
        <v>0</v>
      </c>
      <c r="AA183" s="1" t="str">
        <f>IFERROR(__xludf.DUMMYFUNCTION("""COMPUTED_VALUE"""),"-")</f>
        <v>-</v>
      </c>
      <c r="AB183" s="1">
        <f>IFERROR(__xludf.DUMMYFUNCTION("""COMPUTED_VALUE"""),0.0)</f>
        <v>0</v>
      </c>
      <c r="AC183" s="1">
        <f>IFERROR(__xludf.DUMMYFUNCTION("""COMPUTED_VALUE"""),0.0)</f>
        <v>0</v>
      </c>
      <c r="AD183" s="1" t="str">
        <f>IFERROR(__xludf.DUMMYFUNCTION("""COMPUTED_VALUE"""),"Stefano Napuri")</f>
        <v>Stefano Napuri</v>
      </c>
      <c r="AE183" s="1" t="str">
        <f>IFERROR(__xludf.DUMMYFUNCTION("""COMPUTED_VALUE"""),"0")</f>
        <v>0</v>
      </c>
      <c r="AF183" s="1">
        <f>IFERROR(__xludf.DUMMYFUNCTION("""COMPUTED_VALUE"""),2024.0)</f>
        <v>2024</v>
      </c>
      <c r="AG183" s="1">
        <f>IFERROR(__xludf.DUMMYFUNCTION("""COMPUTED_VALUE"""),604082.0)</f>
        <v>604082</v>
      </c>
      <c r="AH183" s="1">
        <f>IFERROR(__xludf.DUMMYFUNCTION("""COMPUTED_VALUE"""),17.0)</f>
        <v>17</v>
      </c>
      <c r="AI183" s="1" t="str">
        <f>IFERROR(__xludf.DUMMYFUNCTION("""COMPUTED_VALUE"""),"0000400940")</f>
        <v>0000400940</v>
      </c>
      <c r="AJ183" s="1">
        <f>IFERROR(__xludf.DUMMYFUNCTION("""COMPUTED_VALUE"""),7.1149718E7)</f>
        <v>71149718</v>
      </c>
      <c r="AK183" s="1">
        <f>IFERROR(__xludf.DUMMYFUNCTION("""COMPUTED_VALUE"""),9.24750805E8)</f>
        <v>924750805</v>
      </c>
      <c r="AL183" s="1" t="str">
        <f>IFERROR(__xludf.DUMMYFUNCTION("""COMPUTED_VALUE"""),"camila.alexandrabc@gmail.com")</f>
        <v>camila.alexandrabc@gmail.com</v>
      </c>
      <c r="AM183" s="1" t="str">
        <f>IFERROR(__xludf.DUMMYFUNCTION("""COMPUTED_VALUE"""),"FEMENINO")</f>
        <v>FEMENINO</v>
      </c>
      <c r="AN183" s="1">
        <f>IFERROR(__xludf.DUMMYFUNCTION("""COMPUTED_VALUE"""),1600.0)</f>
        <v>1600</v>
      </c>
      <c r="AO183" s="1">
        <f>IFERROR(__xludf.DUMMYFUNCTION("""COMPUTED_VALUE"""),880.0)</f>
        <v>880</v>
      </c>
      <c r="AP183" s="1" t="str">
        <f>IFERROR(__xludf.DUMMYFUNCTION("""COMPUTED_VALUE"""),"COLEGIOS")</f>
        <v>COLEGIOS</v>
      </c>
      <c r="AQ183" s="1" t="str">
        <f>IFERROR(__xludf.DUMMYFUNCTION("""COMPUTED_VALUE"""),"COLEGIOS")</f>
        <v>COLEGIOS</v>
      </c>
      <c r="AR183" s="1" t="str">
        <f>IFERROR(__xludf.DUMMYFUNCTION("""COMPUTED_VALUE"""),"NUEVO")</f>
        <v>NUEVO</v>
      </c>
      <c r="AS183" s="1"/>
      <c r="AT183" s="2">
        <f>IFERROR(__xludf.DUMMYFUNCTION("""COMPUTED_VALUE"""),45453.0)</f>
        <v>45453</v>
      </c>
      <c r="AU183" s="1">
        <f>IFERROR(__xludf.DUMMYFUNCTION("""COMPUTED_VALUE"""),1.0)</f>
        <v>1</v>
      </c>
      <c r="AV183" s="1" t="str">
        <f>IFERROR(__xludf.DUMMYFUNCTION("""COMPUTED_VALUE"""),"NUEVO")</f>
        <v>NUEVO</v>
      </c>
      <c r="AW183" s="1" t="str">
        <f>IFERROR(__xludf.DUMMYFUNCTION("""COMPUTED_VALUE"""),"SI")</f>
        <v>SI</v>
      </c>
      <c r="AX183" s="1"/>
      <c r="AY183" s="1" t="str">
        <f>IFERROR(__xludf.DUMMYFUNCTION("""COMPUTED_VALUE"""),"PAGO COMPLETO")</f>
        <v>PAGO COMPLETO</v>
      </c>
      <c r="AZ183" s="5">
        <f>IFERROR(__xludf.DUMMYFUNCTION("""COMPUTED_VALUE"""),45613.0)</f>
        <v>45613</v>
      </c>
      <c r="BA183" s="1">
        <f>IFERROR(__xludf.DUMMYFUNCTION("""COMPUTED_VALUE"""),0.0)</f>
        <v>0</v>
      </c>
      <c r="BB183" s="1">
        <f>IFERROR(__xludf.DUMMYFUNCTION("""COMPUTED_VALUE"""),0.0)</f>
        <v>0</v>
      </c>
      <c r="BC183" s="4">
        <f>IFERROR(__xludf.DUMMYFUNCTION("""COMPUTED_VALUE"""),0.0)</f>
        <v>0</v>
      </c>
      <c r="BD183" s="4">
        <f>IFERROR(__xludf.DUMMYFUNCTION("""COMPUTED_VALUE"""),0.0)</f>
        <v>0</v>
      </c>
      <c r="BE183" s="1">
        <f>IFERROR(__xludf.DUMMYFUNCTION("""COMPUTED_VALUE"""),11.0)</f>
        <v>11</v>
      </c>
      <c r="BF183" s="6">
        <f>IFERROR(__xludf.DUMMYFUNCTION("""COMPUTED_VALUE"""),1.0)</f>
        <v>1</v>
      </c>
      <c r="BG183" s="1">
        <f>IFERROR(__xludf.DUMMYFUNCTION("""COMPUTED_VALUE"""),1.0)</f>
        <v>1</v>
      </c>
      <c r="BH183" s="1" t="str">
        <f>IFERROR(__xludf.DUMMYFUNCTION("""COMPUTED_VALUE"""),"0")</f>
        <v>0</v>
      </c>
      <c r="BI183" s="4">
        <f>IFERROR(__xludf.DUMMYFUNCTION("""COMPUTED_VALUE"""),0.0)</f>
        <v>0</v>
      </c>
      <c r="BJ183" s="1">
        <f>IFERROR(__xludf.DUMMYFUNCTION("""COMPUTED_VALUE"""),0.0)</f>
        <v>0</v>
      </c>
      <c r="BK183" s="4">
        <f>IFERROR(__xludf.DUMMYFUNCTION("""COMPUTED_VALUE"""),0.0)</f>
        <v>0</v>
      </c>
      <c r="BL183" s="1">
        <f>IFERROR(__xludf.DUMMYFUNCTION("""COMPUTED_VALUE"""),1280.0)</f>
        <v>1280</v>
      </c>
      <c r="BM183" s="1">
        <f>IFERROR(__xludf.DUMMYFUNCTION("""COMPUTED_VALUE"""),46.0)</f>
        <v>46</v>
      </c>
      <c r="BN183" s="2">
        <f>IFERROR(__xludf.DUMMYFUNCTION("""COMPUTED_VALUE"""),45607.0)</f>
        <v>45607</v>
      </c>
      <c r="BO183" s="1">
        <f>IFERROR(__xludf.DUMMYFUNCTION("""COMPUTED_VALUE"""),11.0)</f>
        <v>11</v>
      </c>
      <c r="BP183" s="1">
        <f>IFERROR(__xludf.DUMMYFUNCTION("""COMPUTED_VALUE"""),2024.0)</f>
        <v>2024</v>
      </c>
    </row>
    <row r="184">
      <c r="A184" s="1">
        <f>IFERROR(__xludf.DUMMYFUNCTION("""COMPUTED_VALUE"""),183.0)</f>
        <v>183</v>
      </c>
      <c r="B184" s="1">
        <f>IFERROR(__xludf.DUMMYFUNCTION("""COMPUTED_VALUE"""),1019962.0)</f>
        <v>1019962</v>
      </c>
      <c r="C184" s="1" t="str">
        <f>IFERROR(__xludf.DUMMYFUNCTION("""COMPUTED_VALUE"""),"2025-1")</f>
        <v>2025-1</v>
      </c>
      <c r="D184" s="1" t="str">
        <f>IFERROR(__xludf.DUMMYFUNCTION("""COMPUTED_VALUE"""),"Admisión Extraordinaria (Traslados)")</f>
        <v>Admisión Extraordinaria (Traslados)</v>
      </c>
      <c r="E184" s="2">
        <f>IFERROR(__xludf.DUMMYFUNCTION("""COMPUTED_VALUE"""),45614.0)</f>
        <v>45614</v>
      </c>
      <c r="F184" s="1" t="str">
        <f>IFERROR(__xludf.DUMMYFUNCTION("""COMPUTED_VALUE"""),"ISABEL ROXANA")</f>
        <v>ISABEL ROXANA</v>
      </c>
      <c r="G184" s="1" t="str">
        <f>IFERROR(__xludf.DUMMYFUNCTION("""COMPUTED_VALUE"""),"TORO TEJEIRA")</f>
        <v>TORO TEJEIRA</v>
      </c>
      <c r="H184" s="1" t="str">
        <f>IFERROR(__xludf.DUMMYFUNCTION("""COMPUTED_VALUE"""),"Arquitectura")</f>
        <v>Arquitectura</v>
      </c>
      <c r="I184" s="1" t="str">
        <f>IFERROR(__xludf.DUMMYFUNCTION("""COMPUTED_VALUE"""),"CARGO")</f>
        <v>CARGO</v>
      </c>
      <c r="J184" s="1" t="str">
        <f>IFERROR(__xludf.DUMMYFUNCTION("""COMPUTED_VALUE"""),"Diurno")</f>
        <v>Diurno</v>
      </c>
      <c r="K184" s="1" t="str">
        <f>IFERROR(__xludf.DUMMYFUNCTION("""COMPUTED_VALUE"""),"TRASLADO")</f>
        <v>TRASLADO</v>
      </c>
      <c r="L184" s="1">
        <f>IFERROR(__xludf.DUMMYFUNCTION("""COMPUTED_VALUE"""),1.0)</f>
        <v>1</v>
      </c>
      <c r="M184" s="1">
        <f>IFERROR(__xludf.DUMMYFUNCTION("""COMPUTED_VALUE"""),0.0)</f>
        <v>0</v>
      </c>
      <c r="N184" s="1" t="str">
        <f>IFERROR(__xludf.DUMMYFUNCTION("""COMPUTED_VALUE"""),"RECA")</f>
        <v>RECA</v>
      </c>
      <c r="O184" s="1" t="str">
        <f>IFERROR(__xludf.DUMMYFUNCTION("""COMPUTED_VALUE"""),"RECA TRASLADO CON CONVA")</f>
        <v>RECA TRASLADO CON CONVA</v>
      </c>
      <c r="P184" s="4">
        <f>IFERROR(__xludf.DUMMYFUNCTION("""COMPUTED_VALUE"""),0.0)</f>
        <v>0</v>
      </c>
      <c r="Q184" s="4">
        <f>IFERROR(__xludf.DUMMYFUNCTION("""COMPUTED_VALUE"""),0.0)</f>
        <v>0</v>
      </c>
      <c r="R184" s="4">
        <f>IFERROR(__xludf.DUMMYFUNCTION("""COMPUTED_VALUE"""),1350.0)</f>
        <v>1350</v>
      </c>
      <c r="S184" s="4">
        <f>IFERROR(__xludf.DUMMYFUNCTION("""COMPUTED_VALUE"""),900.0)</f>
        <v>900</v>
      </c>
      <c r="T184" s="1" t="str">
        <f>IFERROR(__xludf.DUMMYFUNCTION("""COMPUTED_VALUE"""),"PALANCA 500")</f>
        <v>PALANCA 500</v>
      </c>
      <c r="U184" s="1" t="str">
        <f>IFERROR(__xludf.DUMMYFUNCTION("""COMPUTED_VALUE"""),"FABIOLA")</f>
        <v>FABIOLA</v>
      </c>
      <c r="V184" s="1" t="str">
        <f>IFERROR(__xludf.DUMMYFUNCTION("""COMPUTED_VALUE"""),"Ninguno")</f>
        <v>Ninguno</v>
      </c>
      <c r="W184" s="1" t="str">
        <f>IFERROR(__xludf.DUMMYFUNCTION("""COMPUTED_VALUE"""),"Malla curricular")</f>
        <v>Malla curricular</v>
      </c>
      <c r="X184" s="1" t="str">
        <f>IFERROR(__xludf.DUMMYFUNCTION("""COMPUTED_VALUE"""),"alumna pago 500 soles de pago primera cuota por palanca recupero 500 luego pagara 900 como reca // desde siempre quiso ucal pero por sus padres se fue a cibertec  ")</f>
        <v>alumna pago 500 soles de pago primera cuota por palanca recupero 500 luego pagara 900 como reca // desde siempre quiso ucal pero por sus padres se fue a cibertec  </v>
      </c>
      <c r="Y184" s="1" t="str">
        <f>IFERROR(__xludf.DUMMYFUNCTION("""COMPUTED_VALUE"""),"PAGO COMPLETO")</f>
        <v>PAGO COMPLETO</v>
      </c>
      <c r="Z184" s="1">
        <f>IFERROR(__xludf.DUMMYFUNCTION("""COMPUTED_VALUE"""),0.0)</f>
        <v>0</v>
      </c>
      <c r="AA184" s="1" t="str">
        <f>IFERROR(__xludf.DUMMYFUNCTION("""COMPUTED_VALUE"""),"-")</f>
        <v>-</v>
      </c>
      <c r="AB184" s="1">
        <f>IFERROR(__xludf.DUMMYFUNCTION("""COMPUTED_VALUE"""),1.0)</f>
        <v>1</v>
      </c>
      <c r="AC184" s="1">
        <f>IFERROR(__xludf.DUMMYFUNCTION("""COMPUTED_VALUE"""),1.0)</f>
        <v>1</v>
      </c>
      <c r="AD184" s="1" t="str">
        <f>IFERROR(__xludf.DUMMYFUNCTION("""COMPUTED_VALUE"""),"Angelica Iparraguirre")</f>
        <v>Angelica Iparraguirre</v>
      </c>
      <c r="AE184" s="1" t="str">
        <f>IFERROR(__xludf.DUMMYFUNCTION("""COMPUTED_VALUE"""),"Cibertec")</f>
        <v>Cibertec</v>
      </c>
      <c r="AF184" s="1">
        <f>IFERROR(__xludf.DUMMYFUNCTION("""COMPUTED_VALUE"""),2019.0)</f>
        <v>2019</v>
      </c>
      <c r="AG184" s="1">
        <f>IFERROR(__xludf.DUMMYFUNCTION("""COMPUTED_VALUE"""),797415.0)</f>
        <v>797415</v>
      </c>
      <c r="AH184" s="1">
        <f>IFERROR(__xludf.DUMMYFUNCTION("""COMPUTED_VALUE"""),22.0)</f>
        <v>22</v>
      </c>
      <c r="AI184" s="1" t="str">
        <f>IFERROR(__xludf.DUMMYFUNCTION("""COMPUTED_VALUE"""),"0000401040")</f>
        <v>0000401040</v>
      </c>
      <c r="AJ184" s="1">
        <f>IFERROR(__xludf.DUMMYFUNCTION("""COMPUTED_VALUE"""),7.2916262E7)</f>
        <v>72916262</v>
      </c>
      <c r="AK184" s="1">
        <f>IFERROR(__xludf.DUMMYFUNCTION("""COMPUTED_VALUE"""),9.15349913E8)</f>
        <v>915349913</v>
      </c>
      <c r="AL184" s="1" t="str">
        <f>IFERROR(__xludf.DUMMYFUNCTION("""COMPUTED_VALUE"""),"isabelrtoro@hotmail.com")</f>
        <v>isabelrtoro@hotmail.com</v>
      </c>
      <c r="AM184" s="1" t="str">
        <f>IFERROR(__xludf.DUMMYFUNCTION("""COMPUTED_VALUE"""),"FEMENINO")</f>
        <v>FEMENINO</v>
      </c>
      <c r="AN184" s="1">
        <f>IFERROR(__xludf.DUMMYFUNCTION("""COMPUTED_VALUE"""),1350.0)</f>
        <v>1350</v>
      </c>
      <c r="AO184" s="1">
        <f>IFERROR(__xludf.DUMMYFUNCTION("""COMPUTED_VALUE"""),0.0)</f>
        <v>0</v>
      </c>
      <c r="AP184" s="1" t="str">
        <f>IFERROR(__xludf.DUMMYFUNCTION("""COMPUTED_VALUE"""),"INBOUND")</f>
        <v>INBOUND</v>
      </c>
      <c r="AQ184" s="1" t="str">
        <f>IFERROR(__xludf.DUMMYFUNCTION("""COMPUTED_VALUE"""),"INBOUND")</f>
        <v>INBOUND</v>
      </c>
      <c r="AR184" s="1" t="str">
        <f>IFERROR(__xludf.DUMMYFUNCTION("""COMPUTED_VALUE"""),"HEREDADO")</f>
        <v>HEREDADO</v>
      </c>
      <c r="AS184" s="1"/>
      <c r="AT184" s="2">
        <f>IFERROR(__xludf.DUMMYFUNCTION("""COMPUTED_VALUE"""),45555.0)</f>
        <v>45555</v>
      </c>
      <c r="AU184" s="1">
        <f>IFERROR(__xludf.DUMMYFUNCTION("""COMPUTED_VALUE"""),1.0)</f>
        <v>1</v>
      </c>
      <c r="AV184" s="1" t="str">
        <f>IFERROR(__xludf.DUMMYFUNCTION("""COMPUTED_VALUE"""),"TRASLADO")</f>
        <v>TRASLADO</v>
      </c>
      <c r="AW184" s="1" t="str">
        <f>IFERROR(__xludf.DUMMYFUNCTION("""COMPUTED_VALUE"""),"SI")</f>
        <v>SI</v>
      </c>
      <c r="AX184" s="1"/>
      <c r="AY184" s="1" t="str">
        <f>IFERROR(__xludf.DUMMYFUNCTION("""COMPUTED_VALUE"""),"PAGO COMPLETO")</f>
        <v>PAGO COMPLETO</v>
      </c>
      <c r="AZ184" s="5">
        <f>IFERROR(__xludf.DUMMYFUNCTION("""COMPUTED_VALUE"""),45614.0)</f>
        <v>45614</v>
      </c>
      <c r="BA184" s="1">
        <f>IFERROR(__xludf.DUMMYFUNCTION("""COMPUTED_VALUE"""),0.0)</f>
        <v>0</v>
      </c>
      <c r="BB184" s="1">
        <f>IFERROR(__xludf.DUMMYFUNCTION("""COMPUTED_VALUE"""),0.0)</f>
        <v>0</v>
      </c>
      <c r="BC184" s="4">
        <f>IFERROR(__xludf.DUMMYFUNCTION("""COMPUTED_VALUE"""),0.0)</f>
        <v>0</v>
      </c>
      <c r="BD184" s="4">
        <f>IFERROR(__xludf.DUMMYFUNCTION("""COMPUTED_VALUE"""),400.0)</f>
        <v>400</v>
      </c>
      <c r="BE184" s="1">
        <f>IFERROR(__xludf.DUMMYFUNCTION("""COMPUTED_VALUE"""),11.0)</f>
        <v>11</v>
      </c>
      <c r="BF184" s="6">
        <f>IFERROR(__xludf.DUMMYFUNCTION("""COMPUTED_VALUE"""),1.0)</f>
        <v>1</v>
      </c>
      <c r="BG184" s="1">
        <f>IFERROR(__xludf.DUMMYFUNCTION("""COMPUTED_VALUE"""),1.0)</f>
        <v>1</v>
      </c>
      <c r="BH184" s="1" t="str">
        <f>IFERROR(__xludf.DUMMYFUNCTION("""COMPUTED_VALUE"""),"1")</f>
        <v>1</v>
      </c>
      <c r="BI184" s="4">
        <f>IFERROR(__xludf.DUMMYFUNCTION("""COMPUTED_VALUE"""),400.0)</f>
        <v>400</v>
      </c>
      <c r="BJ184" s="1">
        <f>IFERROR(__xludf.DUMMYFUNCTION("""COMPUTED_VALUE"""),0.0)</f>
        <v>0</v>
      </c>
      <c r="BK184" s="4">
        <f>IFERROR(__xludf.DUMMYFUNCTION("""COMPUTED_VALUE"""),400.0)</f>
        <v>400</v>
      </c>
      <c r="BL184" s="1">
        <f>IFERROR(__xludf.DUMMYFUNCTION("""COMPUTED_VALUE"""),820.0)</f>
        <v>820</v>
      </c>
      <c r="BM184" s="1">
        <f>IFERROR(__xludf.DUMMYFUNCTION("""COMPUTED_VALUE"""),47.0)</f>
        <v>47</v>
      </c>
      <c r="BN184" s="2">
        <f>IFERROR(__xludf.DUMMYFUNCTION("""COMPUTED_VALUE"""),45614.0)</f>
        <v>45614</v>
      </c>
      <c r="BO184" s="1">
        <f>IFERROR(__xludf.DUMMYFUNCTION("""COMPUTED_VALUE"""),11.0)</f>
        <v>11</v>
      </c>
      <c r="BP184" s="1">
        <f>IFERROR(__xludf.DUMMYFUNCTION("""COMPUTED_VALUE"""),2024.0)</f>
        <v>2024</v>
      </c>
    </row>
    <row r="185">
      <c r="A185" s="1">
        <f>IFERROR(__xludf.DUMMYFUNCTION("""COMPUTED_VALUE"""),184.0)</f>
        <v>184</v>
      </c>
      <c r="B185" s="1">
        <f>IFERROR(__xludf.DUMMYFUNCTION("""COMPUTED_VALUE"""),3228137.0)</f>
        <v>3228137</v>
      </c>
      <c r="C185" s="1" t="str">
        <f>IFERROR(__xludf.DUMMYFUNCTION("""COMPUTED_VALUE"""),"2025-1")</f>
        <v>2025-1</v>
      </c>
      <c r="D185" s="1" t="str">
        <f>IFERROR(__xludf.DUMMYFUNCTION("""COMPUTED_VALUE"""),"Admisión de Alto Rendimiento")</f>
        <v>Admisión de Alto Rendimiento</v>
      </c>
      <c r="E185" s="2">
        <f>IFERROR(__xludf.DUMMYFUNCTION("""COMPUTED_VALUE"""),45614.0)</f>
        <v>45614</v>
      </c>
      <c r="F185" s="1" t="str">
        <f>IFERROR(__xludf.DUMMYFUNCTION("""COMPUTED_VALUE""")," XIOMARA PRISCILA ")</f>
        <v> XIOMARA PRISCILA </v>
      </c>
      <c r="G185" s="1" t="str">
        <f>IFERROR(__xludf.DUMMYFUNCTION("""COMPUTED_VALUE"""),"ALTA RUIZ")</f>
        <v>ALTA RUIZ</v>
      </c>
      <c r="H185" s="1" t="str">
        <f>IFERROR(__xludf.DUMMYFUNCTION("""COMPUTED_VALUE"""),"Comunicación Audiovisual y Cine")</f>
        <v>Comunicación Audiovisual y Cine</v>
      </c>
      <c r="I185" s="1" t="str">
        <f>IFERROR(__xludf.DUMMYFUNCTION("""COMPUTED_VALUE"""),"CARGO")</f>
        <v>CARGO</v>
      </c>
      <c r="J185" s="1" t="str">
        <f>IFERROR(__xludf.DUMMYFUNCTION("""COMPUTED_VALUE"""),"Diurno")</f>
        <v>Diurno</v>
      </c>
      <c r="K185" s="1" t="str">
        <f>IFERROR(__xludf.DUMMYFUNCTION("""COMPUTED_VALUE"""),"NUEVO")</f>
        <v>NUEVO</v>
      </c>
      <c r="L185" s="1">
        <f>IFERROR(__xludf.DUMMYFUNCTION("""COMPUTED_VALUE"""),0.0)</f>
        <v>0</v>
      </c>
      <c r="M185" s="1">
        <f>IFERROR(__xludf.DUMMYFUNCTION("""COMPUTED_VALUE"""),0.0)</f>
        <v>0</v>
      </c>
      <c r="N185" s="1" t="str">
        <f>IFERROR(__xludf.DUMMYFUNCTION("""COMPUTED_VALUE"""),"BECA")</f>
        <v>BECA</v>
      </c>
      <c r="O185" s="1" t="str">
        <f>IFERROR(__xludf.DUMMYFUNCTION("""COMPUTED_VALUE"""),"BECA CARRERAS CORE")</f>
        <v>BECA CARRERAS CORE</v>
      </c>
      <c r="P185" s="4">
        <f>IFERROR(__xludf.DUMMYFUNCTION("""COMPUTED_VALUE"""),0.0)</f>
        <v>0</v>
      </c>
      <c r="Q185" s="4">
        <f>IFERROR(__xludf.DUMMYFUNCTION("""COMPUTED_VALUE"""),0.0)</f>
        <v>0</v>
      </c>
      <c r="R185" s="4">
        <f>IFERROR(__xludf.DUMMYFUNCTION("""COMPUTED_VALUE"""),2700.0)</f>
        <v>2700</v>
      </c>
      <c r="S185" s="4">
        <f>IFERROR(__xludf.DUMMYFUNCTION("""COMPUTED_VALUE"""),2160.0)</f>
        <v>2160</v>
      </c>
      <c r="T185" s="1" t="str">
        <f>IFERROR(__xludf.DUMMYFUNCTION("""COMPUTED_VALUE"""),"NINGUNO")</f>
        <v>NINGUNO</v>
      </c>
      <c r="U185" s="1" t="str">
        <f>IFERROR(__xludf.DUMMYFUNCTION("""COMPUTED_VALUE"""),"FABIOLA")</f>
        <v>FABIOLA</v>
      </c>
      <c r="V185" s="1" t="str">
        <f>IFERROR(__xludf.DUMMYFUNCTION("""COMPUTED_VALUE"""),"Ninguno")</f>
        <v>Ninguno</v>
      </c>
      <c r="W185" s="1" t="str">
        <f>IFERROR(__xludf.DUMMYFUNCTION("""COMPUTED_VALUE"""),"Malla curricular")</f>
        <v>Malla curricular</v>
      </c>
      <c r="X185" s="1" t="str">
        <f>IFERROR(__xludf.DUMMYFUNCTION("""COMPUTED_VALUE"""),"-")</f>
        <v>-</v>
      </c>
      <c r="Y185" s="1" t="str">
        <f>IFERROR(__xludf.DUMMYFUNCTION("""COMPUTED_VALUE"""),"PAGO COMPLETO")</f>
        <v>PAGO COMPLETO</v>
      </c>
      <c r="Z185" s="1">
        <f>IFERROR(__xludf.DUMMYFUNCTION("""COMPUTED_VALUE"""),0.0)</f>
        <v>0</v>
      </c>
      <c r="AA185" s="1" t="str">
        <f>IFERROR(__xludf.DUMMYFUNCTION("""COMPUTED_VALUE"""),"-")</f>
        <v>-</v>
      </c>
      <c r="AB185" s="1">
        <f>IFERROR(__xludf.DUMMYFUNCTION("""COMPUTED_VALUE"""),0.0)</f>
        <v>0</v>
      </c>
      <c r="AC185" s="1">
        <f>IFERROR(__xludf.DUMMYFUNCTION("""COMPUTED_VALUE"""),0.0)</f>
        <v>0</v>
      </c>
      <c r="AD185" s="1" t="str">
        <f>IFERROR(__xludf.DUMMYFUNCTION("""COMPUTED_VALUE"""),"Stefano Napuri")</f>
        <v>Stefano Napuri</v>
      </c>
      <c r="AE185" s="1" t="str">
        <f>IFERROR(__xludf.DUMMYFUNCTION("""COMPUTED_VALUE"""),"0")</f>
        <v>0</v>
      </c>
      <c r="AF185" s="1">
        <f>IFERROR(__xludf.DUMMYFUNCTION("""COMPUTED_VALUE"""),2024.0)</f>
        <v>2024</v>
      </c>
      <c r="AG185" s="1">
        <f>IFERROR(__xludf.DUMMYFUNCTION("""COMPUTED_VALUE"""),601674.0)</f>
        <v>601674</v>
      </c>
      <c r="AH185" s="1">
        <f>IFERROR(__xludf.DUMMYFUNCTION("""COMPUTED_VALUE"""),17.0)</f>
        <v>17</v>
      </c>
      <c r="AI185" s="1" t="str">
        <f>IFERROR(__xludf.DUMMYFUNCTION("""COMPUTED_VALUE"""),"0000399300")</f>
        <v>0000399300</v>
      </c>
      <c r="AJ185" s="1">
        <f>IFERROR(__xludf.DUMMYFUNCTION("""COMPUTED_VALUE"""),7.0706933E7)</f>
        <v>70706933</v>
      </c>
      <c r="AK185" s="1">
        <f>IFERROR(__xludf.DUMMYFUNCTION("""COMPUTED_VALUE"""),9.50184341E8)</f>
        <v>950184341</v>
      </c>
      <c r="AL185" s="1" t="str">
        <f>IFERROR(__xludf.DUMMYFUNCTION("""COMPUTED_VALUE"""),"xiomaraalta07@gmail.com")</f>
        <v>xiomaraalta07@gmail.com</v>
      </c>
      <c r="AM185" s="1" t="str">
        <f>IFERROR(__xludf.DUMMYFUNCTION("""COMPUTED_VALUE"""),"FEMENINO")</f>
        <v>FEMENINO</v>
      </c>
      <c r="AN185" s="1">
        <f>IFERROR(__xludf.DUMMYFUNCTION("""COMPUTED_VALUE"""),3200.0)</f>
        <v>3200</v>
      </c>
      <c r="AO185" s="1">
        <f>IFERROR(__xludf.DUMMYFUNCTION("""COMPUTED_VALUE"""),2895.0)</f>
        <v>2895</v>
      </c>
      <c r="AP185" s="1" t="str">
        <f>IFERROR(__xludf.DUMMYFUNCTION("""COMPUTED_VALUE"""),"COLEGIOS")</f>
        <v>COLEGIOS</v>
      </c>
      <c r="AQ185" s="1" t="str">
        <f>IFERROR(__xludf.DUMMYFUNCTION("""COMPUTED_VALUE"""),"COLEGIOS")</f>
        <v>COLEGIOS</v>
      </c>
      <c r="AR185" s="1" t="str">
        <f>IFERROR(__xludf.DUMMYFUNCTION("""COMPUTED_VALUE"""),"NUEVO")</f>
        <v>NUEVO</v>
      </c>
      <c r="AS185" s="1"/>
      <c r="AT185" s="2">
        <f>IFERROR(__xludf.DUMMYFUNCTION("""COMPUTED_VALUE"""),45436.0)</f>
        <v>45436</v>
      </c>
      <c r="AU185" s="1">
        <f>IFERROR(__xludf.DUMMYFUNCTION("""COMPUTED_VALUE"""),1.0)</f>
        <v>1</v>
      </c>
      <c r="AV185" s="1" t="str">
        <f>IFERROR(__xludf.DUMMYFUNCTION("""COMPUTED_VALUE"""),"NUEVO")</f>
        <v>NUEVO</v>
      </c>
      <c r="AW185" s="1" t="str">
        <f>IFERROR(__xludf.DUMMYFUNCTION("""COMPUTED_VALUE"""),"SI")</f>
        <v>SI</v>
      </c>
      <c r="AX185" s="1"/>
      <c r="AY185" s="1" t="str">
        <f>IFERROR(__xludf.DUMMYFUNCTION("""COMPUTED_VALUE"""),"PAGO COMPLETO")</f>
        <v>PAGO COMPLETO</v>
      </c>
      <c r="AZ185" s="5">
        <f>IFERROR(__xludf.DUMMYFUNCTION("""COMPUTED_VALUE"""),45614.0)</f>
        <v>45614</v>
      </c>
      <c r="BA185" s="1">
        <f>IFERROR(__xludf.DUMMYFUNCTION("""COMPUTED_VALUE"""),0.0)</f>
        <v>0</v>
      </c>
      <c r="BB185" s="1">
        <f>IFERROR(__xludf.DUMMYFUNCTION("""COMPUTED_VALUE"""),0.0)</f>
        <v>0</v>
      </c>
      <c r="BC185" s="4">
        <f>IFERROR(__xludf.DUMMYFUNCTION("""COMPUTED_VALUE"""),0.0)</f>
        <v>0</v>
      </c>
      <c r="BD185" s="4">
        <f>IFERROR(__xludf.DUMMYFUNCTION("""COMPUTED_VALUE"""),0.0)</f>
        <v>0</v>
      </c>
      <c r="BE185" s="1">
        <f>IFERROR(__xludf.DUMMYFUNCTION("""COMPUTED_VALUE"""),11.0)</f>
        <v>11</v>
      </c>
      <c r="BF185" s="6">
        <f>IFERROR(__xludf.DUMMYFUNCTION("""COMPUTED_VALUE"""),1.0)</f>
        <v>1</v>
      </c>
      <c r="BG185" s="1">
        <f>IFERROR(__xludf.DUMMYFUNCTION("""COMPUTED_VALUE"""),1.0)</f>
        <v>1</v>
      </c>
      <c r="BH185" s="1" t="str">
        <f>IFERROR(__xludf.DUMMYFUNCTION("""COMPUTED_VALUE"""),"0")</f>
        <v>0</v>
      </c>
      <c r="BI185" s="4">
        <f>IFERROR(__xludf.DUMMYFUNCTION("""COMPUTED_VALUE"""),0.0)</f>
        <v>0</v>
      </c>
      <c r="BJ185" s="1">
        <f>IFERROR(__xludf.DUMMYFUNCTION("""COMPUTED_VALUE"""),0.0)</f>
        <v>0</v>
      </c>
      <c r="BK185" s="4">
        <f>IFERROR(__xludf.DUMMYFUNCTION("""COMPUTED_VALUE"""),0.0)</f>
        <v>0</v>
      </c>
      <c r="BL185" s="1">
        <f>IFERROR(__xludf.DUMMYFUNCTION("""COMPUTED_VALUE"""),2160.0)</f>
        <v>2160</v>
      </c>
      <c r="BM185" s="1">
        <f>IFERROR(__xludf.DUMMYFUNCTION("""COMPUTED_VALUE"""),47.0)</f>
        <v>47</v>
      </c>
      <c r="BN185" s="2">
        <f>IFERROR(__xludf.DUMMYFUNCTION("""COMPUTED_VALUE"""),45614.0)</f>
        <v>45614</v>
      </c>
      <c r="BO185" s="1">
        <f>IFERROR(__xludf.DUMMYFUNCTION("""COMPUTED_VALUE"""),11.0)</f>
        <v>11</v>
      </c>
      <c r="BP185" s="1">
        <f>IFERROR(__xludf.DUMMYFUNCTION("""COMPUTED_VALUE"""),2024.0)</f>
        <v>2024</v>
      </c>
    </row>
    <row r="186">
      <c r="A186" s="1">
        <f>IFERROR(__xludf.DUMMYFUNCTION("""COMPUTED_VALUE"""),185.0)</f>
        <v>185</v>
      </c>
      <c r="B186" s="1">
        <f>IFERROR(__xludf.DUMMYFUNCTION("""COMPUTED_VALUE"""),4711403.0)</f>
        <v>4711403</v>
      </c>
      <c r="C186" s="1" t="str">
        <f>IFERROR(__xludf.DUMMYFUNCTION("""COMPUTED_VALUE"""),"2025-1")</f>
        <v>2025-1</v>
      </c>
      <c r="D186" s="1" t="str">
        <f>IFERROR(__xludf.DUMMYFUNCTION("""COMPUTED_VALUE"""),"Admisión Ordinaria")</f>
        <v>Admisión Ordinaria</v>
      </c>
      <c r="E186" s="2">
        <f>IFERROR(__xludf.DUMMYFUNCTION("""COMPUTED_VALUE"""),45614.0)</f>
        <v>45614</v>
      </c>
      <c r="F186" s="1" t="str">
        <f>IFERROR(__xludf.DUMMYFUNCTION("""COMPUTED_VALUE"""),"VIANKA KRISTELL ")</f>
        <v>VIANKA KRISTELL </v>
      </c>
      <c r="G186" s="1" t="str">
        <f>IFERROR(__xludf.DUMMYFUNCTION("""COMPUTED_VALUE"""),"RABINES SAAVEDRA")</f>
        <v>RABINES SAAVEDRA</v>
      </c>
      <c r="H186" s="1" t="str">
        <f>IFERROR(__xludf.DUMMYFUNCTION("""COMPUTED_VALUE"""),"Arquitectura")</f>
        <v>Arquitectura</v>
      </c>
      <c r="I186" s="1" t="str">
        <f>IFERROR(__xludf.DUMMYFUNCTION("""COMPUTED_VALUE"""),"CARGO")</f>
        <v>CARGO</v>
      </c>
      <c r="J186" s="1" t="str">
        <f>IFERROR(__xludf.DUMMYFUNCTION("""COMPUTED_VALUE"""),"Diurno")</f>
        <v>Diurno</v>
      </c>
      <c r="K186" s="1" t="str">
        <f>IFERROR(__xludf.DUMMYFUNCTION("""COMPUTED_VALUE"""),"NUEVO")</f>
        <v>NUEVO</v>
      </c>
      <c r="L186" s="1">
        <f>IFERROR(__xludf.DUMMYFUNCTION("""COMPUTED_VALUE"""),0.0)</f>
        <v>0</v>
      </c>
      <c r="M186" s="1">
        <f>IFERROR(__xludf.DUMMYFUNCTION("""COMPUTED_VALUE"""),0.0)</f>
        <v>0</v>
      </c>
      <c r="N186" s="1" t="str">
        <f>IFERROR(__xludf.DUMMYFUNCTION("""COMPUTED_VALUE"""),"BECA")</f>
        <v>BECA</v>
      </c>
      <c r="O186" s="1" t="str">
        <f>IFERROR(__xludf.DUMMYFUNCTION("""COMPUTED_VALUE"""),"BECA CARRERAS CORE")</f>
        <v>BECA CARRERAS CORE</v>
      </c>
      <c r="P186" s="4">
        <f>IFERROR(__xludf.DUMMYFUNCTION("""COMPUTED_VALUE"""),0.0)</f>
        <v>0</v>
      </c>
      <c r="Q186" s="4">
        <f>IFERROR(__xludf.DUMMYFUNCTION("""COMPUTED_VALUE"""),0.0)</f>
        <v>0</v>
      </c>
      <c r="R186" s="4">
        <f>IFERROR(__xludf.DUMMYFUNCTION("""COMPUTED_VALUE"""),1150.0)</f>
        <v>1150</v>
      </c>
      <c r="S186" s="4">
        <f>IFERROR(__xludf.DUMMYFUNCTION("""COMPUTED_VALUE"""),950.0)</f>
        <v>950</v>
      </c>
      <c r="T186" s="1" t="str">
        <f>IFERROR(__xludf.DUMMYFUNCTION("""COMPUTED_VALUE"""),"NINGUNO")</f>
        <v>NINGUNO</v>
      </c>
      <c r="U186" s="1" t="str">
        <f>IFERROR(__xludf.DUMMYFUNCTION("""COMPUTED_VALUE"""),"FABIOLA")</f>
        <v>FABIOLA</v>
      </c>
      <c r="V186" s="1" t="str">
        <f>IFERROR(__xludf.DUMMYFUNCTION("""COMPUTED_VALUE"""),"Ninguno")</f>
        <v>Ninguno</v>
      </c>
      <c r="W186" s="1" t="str">
        <f>IFERROR(__xludf.DUMMYFUNCTION("""COMPUTED_VALUE"""),"Metodología de enseñanza")</f>
        <v>Metodología de enseñanza</v>
      </c>
      <c r="X186" s="1" t="str">
        <f>IFERROR(__xludf.DUMMYFUNCTION("""COMPUTED_VALUE"""),"-")</f>
        <v>-</v>
      </c>
      <c r="Y186" s="1" t="str">
        <f>IFERROR(__xludf.DUMMYFUNCTION("""COMPUTED_VALUE"""),"PAGO COMPLETO")</f>
        <v>PAGO COMPLETO</v>
      </c>
      <c r="Z186" s="1">
        <f>IFERROR(__xludf.DUMMYFUNCTION("""COMPUTED_VALUE"""),0.0)</f>
        <v>0</v>
      </c>
      <c r="AA186" s="1" t="str">
        <f>IFERROR(__xludf.DUMMYFUNCTION("""COMPUTED_VALUE"""),"-")</f>
        <v>-</v>
      </c>
      <c r="AB186" s="1">
        <f>IFERROR(__xludf.DUMMYFUNCTION("""COMPUTED_VALUE"""),0.0)</f>
        <v>0</v>
      </c>
      <c r="AC186" s="1">
        <f>IFERROR(__xludf.DUMMYFUNCTION("""COMPUTED_VALUE"""),0.0)</f>
        <v>0</v>
      </c>
      <c r="AD186" s="1" t="str">
        <f>IFERROR(__xludf.DUMMYFUNCTION("""COMPUTED_VALUE"""),"Ingrid Guillermo Rivera")</f>
        <v>Ingrid Guillermo Rivera</v>
      </c>
      <c r="AE186" s="1" t="str">
        <f>IFERROR(__xludf.DUMMYFUNCTION("""COMPUTED_VALUE"""),"0")</f>
        <v>0</v>
      </c>
      <c r="AF186" s="1">
        <f>IFERROR(__xludf.DUMMYFUNCTION("""COMPUTED_VALUE"""),2023.0)</f>
        <v>2023</v>
      </c>
      <c r="AG186" s="1">
        <f>IFERROR(__xludf.DUMMYFUNCTION("""COMPUTED_VALUE"""),757922.0)</f>
        <v>757922</v>
      </c>
      <c r="AH186" s="1">
        <f>IFERROR(__xludf.DUMMYFUNCTION("""COMPUTED_VALUE"""),18.0)</f>
        <v>18</v>
      </c>
      <c r="AI186" s="1" t="str">
        <f>IFERROR(__xludf.DUMMYFUNCTION("""COMPUTED_VALUE"""),"0000401010")</f>
        <v>0000401010</v>
      </c>
      <c r="AJ186" s="1">
        <f>IFERROR(__xludf.DUMMYFUNCTION("""COMPUTED_VALUE"""),6.0928371E7)</f>
        <v>60928371</v>
      </c>
      <c r="AK186" s="1">
        <f>IFERROR(__xludf.DUMMYFUNCTION("""COMPUTED_VALUE"""),9.33927063E8)</f>
        <v>933927063</v>
      </c>
      <c r="AL186" s="1" t="str">
        <f>IFERROR(__xludf.DUMMYFUNCTION("""COMPUTED_VALUE"""),"kristellrabines@gmail.com")</f>
        <v>kristellrabines@gmail.com</v>
      </c>
      <c r="AM186" s="1" t="str">
        <f>IFERROR(__xludf.DUMMYFUNCTION("""COMPUTED_VALUE"""),"FEMENINO")</f>
        <v>FEMENINO</v>
      </c>
      <c r="AN186" s="1">
        <f>IFERROR(__xludf.DUMMYFUNCTION("""COMPUTED_VALUE"""),1150.0)</f>
        <v>1150</v>
      </c>
      <c r="AO186" s="1">
        <f>IFERROR(__xludf.DUMMYFUNCTION("""COMPUTED_VALUE"""),0.0)</f>
        <v>0</v>
      </c>
      <c r="AP186" s="1" t="str">
        <f>IFERROR(__xludf.DUMMYFUNCTION("""COMPUTED_VALUE"""),"COLEGIOS")</f>
        <v>COLEGIOS</v>
      </c>
      <c r="AQ186" s="1" t="str">
        <f>IFERROR(__xludf.DUMMYFUNCTION("""COMPUTED_VALUE"""),"COLEGIOS")</f>
        <v>COLEGIOS</v>
      </c>
      <c r="AR186" s="1" t="str">
        <f>IFERROR(__xludf.DUMMYFUNCTION("""COMPUTED_VALUE"""),"HEREDADO")</f>
        <v>HEREDADO</v>
      </c>
      <c r="AS186" s="1"/>
      <c r="AT186" s="2">
        <f>IFERROR(__xludf.DUMMYFUNCTION("""COMPUTED_VALUE"""),45568.0)</f>
        <v>45568</v>
      </c>
      <c r="AU186" s="1">
        <f>IFERROR(__xludf.DUMMYFUNCTION("""COMPUTED_VALUE"""),1.0)</f>
        <v>1</v>
      </c>
      <c r="AV186" s="1" t="str">
        <f>IFERROR(__xludf.DUMMYFUNCTION("""COMPUTED_VALUE"""),"NUEVO")</f>
        <v>NUEVO</v>
      </c>
      <c r="AW186" s="1" t="str">
        <f>IFERROR(__xludf.DUMMYFUNCTION("""COMPUTED_VALUE"""),"SI")</f>
        <v>SI</v>
      </c>
      <c r="AX186" s="1"/>
      <c r="AY186" s="1" t="str">
        <f>IFERROR(__xludf.DUMMYFUNCTION("""COMPUTED_VALUE"""),"PAGO COMPLETO")</f>
        <v>PAGO COMPLETO</v>
      </c>
      <c r="AZ186" s="5">
        <f>IFERROR(__xludf.DUMMYFUNCTION("""COMPUTED_VALUE"""),45614.0)</f>
        <v>45614</v>
      </c>
      <c r="BA186" s="1">
        <f>IFERROR(__xludf.DUMMYFUNCTION("""COMPUTED_VALUE"""),0.0)</f>
        <v>0</v>
      </c>
      <c r="BB186" s="1">
        <f>IFERROR(__xludf.DUMMYFUNCTION("""COMPUTED_VALUE"""),0.0)</f>
        <v>0</v>
      </c>
      <c r="BC186" s="4">
        <f>IFERROR(__xludf.DUMMYFUNCTION("""COMPUTED_VALUE"""),0.0)</f>
        <v>0</v>
      </c>
      <c r="BD186" s="4">
        <f>IFERROR(__xludf.DUMMYFUNCTION("""COMPUTED_VALUE"""),0.0)</f>
        <v>0</v>
      </c>
      <c r="BE186" s="1">
        <f>IFERROR(__xludf.DUMMYFUNCTION("""COMPUTED_VALUE"""),11.0)</f>
        <v>11</v>
      </c>
      <c r="BF186" s="6">
        <f>IFERROR(__xludf.DUMMYFUNCTION("""COMPUTED_VALUE"""),1.0)</f>
        <v>1</v>
      </c>
      <c r="BG186" s="1">
        <f>IFERROR(__xludf.DUMMYFUNCTION("""COMPUTED_VALUE"""),1.0)</f>
        <v>1</v>
      </c>
      <c r="BH186" s="1" t="str">
        <f>IFERROR(__xludf.DUMMYFUNCTION("""COMPUTED_VALUE"""),"0")</f>
        <v>0</v>
      </c>
      <c r="BI186" s="4">
        <f>IFERROR(__xludf.DUMMYFUNCTION("""COMPUTED_VALUE"""),0.0)</f>
        <v>0</v>
      </c>
      <c r="BJ186" s="1">
        <f>IFERROR(__xludf.DUMMYFUNCTION("""COMPUTED_VALUE"""),0.0)</f>
        <v>0</v>
      </c>
      <c r="BK186" s="4">
        <f>IFERROR(__xludf.DUMMYFUNCTION("""COMPUTED_VALUE"""),0.0)</f>
        <v>0</v>
      </c>
      <c r="BL186" s="1">
        <f>IFERROR(__xludf.DUMMYFUNCTION("""COMPUTED_VALUE"""),950.0)</f>
        <v>950</v>
      </c>
      <c r="BM186" s="1">
        <f>IFERROR(__xludf.DUMMYFUNCTION("""COMPUTED_VALUE"""),47.0)</f>
        <v>47</v>
      </c>
      <c r="BN186" s="2">
        <f>IFERROR(__xludf.DUMMYFUNCTION("""COMPUTED_VALUE"""),45614.0)</f>
        <v>45614</v>
      </c>
      <c r="BO186" s="1">
        <f>IFERROR(__xludf.DUMMYFUNCTION("""COMPUTED_VALUE"""),11.0)</f>
        <v>11</v>
      </c>
      <c r="BP186" s="1">
        <f>IFERROR(__xludf.DUMMYFUNCTION("""COMPUTED_VALUE"""),2024.0)</f>
        <v>2024</v>
      </c>
    </row>
    <row r="187">
      <c r="A187" s="1">
        <f>IFERROR(__xludf.DUMMYFUNCTION("""COMPUTED_VALUE"""),186.0)</f>
        <v>186</v>
      </c>
      <c r="B187" s="1">
        <f>IFERROR(__xludf.DUMMYFUNCTION("""COMPUTED_VALUE"""),4809513.0)</f>
        <v>4809513</v>
      </c>
      <c r="C187" s="1" t="str">
        <f>IFERROR(__xludf.DUMMYFUNCTION("""COMPUTED_VALUE"""),"2025-1")</f>
        <v>2025-1</v>
      </c>
      <c r="D187" s="1" t="str">
        <f>IFERROR(__xludf.DUMMYFUNCTION("""COMPUTED_VALUE"""),"Admisión de Alto Rendimiento")</f>
        <v>Admisión de Alto Rendimiento</v>
      </c>
      <c r="E187" s="2">
        <f>IFERROR(__xludf.DUMMYFUNCTION("""COMPUTED_VALUE"""),45614.0)</f>
        <v>45614</v>
      </c>
      <c r="F187" s="1" t="str">
        <f>IFERROR(__xludf.DUMMYFUNCTION("""COMPUTED_VALUE"""),"KIARA ARIANA ")</f>
        <v>KIARA ARIANA </v>
      </c>
      <c r="G187" s="1" t="str">
        <f>IFERROR(__xludf.DUMMYFUNCTION("""COMPUTED_VALUE"""),"USURIAGA RUPAYLLA")</f>
        <v>USURIAGA RUPAYLLA</v>
      </c>
      <c r="H187" s="1" t="str">
        <f>IFERROR(__xludf.DUMMYFUNCTION("""COMPUTED_VALUE"""),"Diseño Gráfico Publicitario")</f>
        <v>Diseño Gráfico Publicitario</v>
      </c>
      <c r="I187" s="1" t="str">
        <f>IFERROR(__xludf.DUMMYFUNCTION("""COMPUTED_VALUE"""),"CARGO")</f>
        <v>CARGO</v>
      </c>
      <c r="J187" s="1" t="str">
        <f>IFERROR(__xludf.DUMMYFUNCTION("""COMPUTED_VALUE"""),"Diurno")</f>
        <v>Diurno</v>
      </c>
      <c r="K187" s="1" t="str">
        <f>IFERROR(__xludf.DUMMYFUNCTION("""COMPUTED_VALUE"""),"NUEVO")</f>
        <v>NUEVO</v>
      </c>
      <c r="L187" s="1">
        <f>IFERROR(__xludf.DUMMYFUNCTION("""COMPUTED_VALUE"""),0.0)</f>
        <v>0</v>
      </c>
      <c r="M187" s="1">
        <f>IFERROR(__xludf.DUMMYFUNCTION("""COMPUTED_VALUE"""),0.0)</f>
        <v>0</v>
      </c>
      <c r="N187" s="1" t="str">
        <f>IFERROR(__xludf.DUMMYFUNCTION("""COMPUTED_VALUE"""),"BECA")</f>
        <v>BECA</v>
      </c>
      <c r="O187" s="1" t="str">
        <f>IFERROR(__xludf.DUMMYFUNCTION("""COMPUTED_VALUE"""),"BECA CARRERAS CORE")</f>
        <v>BECA CARRERAS CORE</v>
      </c>
      <c r="P187" s="4">
        <f>IFERROR(__xludf.DUMMYFUNCTION("""COMPUTED_VALUE"""),0.0)</f>
        <v>0</v>
      </c>
      <c r="Q187" s="4">
        <f>IFERROR(__xludf.DUMMYFUNCTION("""COMPUTED_VALUE"""),0.0)</f>
        <v>0</v>
      </c>
      <c r="R187" s="4">
        <f>IFERROR(__xludf.DUMMYFUNCTION("""COMPUTED_VALUE"""),1050.0)</f>
        <v>1050</v>
      </c>
      <c r="S187" s="4">
        <f>IFERROR(__xludf.DUMMYFUNCTION("""COMPUTED_VALUE"""),850.0)</f>
        <v>850</v>
      </c>
      <c r="T187" s="1" t="str">
        <f>IFERROR(__xludf.DUMMYFUNCTION("""COMPUTED_VALUE"""),"NINGUNO")</f>
        <v>NINGUNO</v>
      </c>
      <c r="U187" s="1" t="str">
        <f>IFERROR(__xludf.DUMMYFUNCTION("""COMPUTED_VALUE"""),"FABIOLA")</f>
        <v>FABIOLA</v>
      </c>
      <c r="V187" s="1" t="str">
        <f>IFERROR(__xludf.DUMMYFUNCTION("""COMPUTED_VALUE"""),"Ninguno")</f>
        <v>Ninguno</v>
      </c>
      <c r="W187" s="1" t="str">
        <f>IFERROR(__xludf.DUMMYFUNCTION("""COMPUTED_VALUE"""),"Metodología de enseñanza")</f>
        <v>Metodología de enseñanza</v>
      </c>
      <c r="X187" s="1" t="str">
        <f>IFERROR(__xludf.DUMMYFUNCTION("""COMPUTED_VALUE"""),"le interesa la metodologia")</f>
        <v>le interesa la metodologia</v>
      </c>
      <c r="Y187" s="1" t="str">
        <f>IFERROR(__xludf.DUMMYFUNCTION("""COMPUTED_VALUE"""),"PAGO COMPLETO")</f>
        <v>PAGO COMPLETO</v>
      </c>
      <c r="Z187" s="1">
        <f>IFERROR(__xludf.DUMMYFUNCTION("""COMPUTED_VALUE"""),0.0)</f>
        <v>0</v>
      </c>
      <c r="AA187" s="1" t="str">
        <f>IFERROR(__xludf.DUMMYFUNCTION("""COMPUTED_VALUE"""),"-")</f>
        <v>-</v>
      </c>
      <c r="AB187" s="1">
        <f>IFERROR(__xludf.DUMMYFUNCTION("""COMPUTED_VALUE"""),0.0)</f>
        <v>0</v>
      </c>
      <c r="AC187" s="1">
        <f>IFERROR(__xludf.DUMMYFUNCTION("""COMPUTED_VALUE"""),0.0)</f>
        <v>0</v>
      </c>
      <c r="AD187" s="1" t="str">
        <f>IFERROR(__xludf.DUMMYFUNCTION("""COMPUTED_VALUE"""),"Cinthia Mariella Orosco")</f>
        <v>Cinthia Mariella Orosco</v>
      </c>
      <c r="AE187" s="1" t="str">
        <f>IFERROR(__xludf.DUMMYFUNCTION("""COMPUTED_VALUE"""),"0")</f>
        <v>0</v>
      </c>
      <c r="AF187" s="1">
        <f>IFERROR(__xludf.DUMMYFUNCTION("""COMPUTED_VALUE"""),2024.0)</f>
        <v>2024</v>
      </c>
      <c r="AG187" s="1">
        <f>IFERROR(__xludf.DUMMYFUNCTION("""COMPUTED_VALUE"""),743807.0)</f>
        <v>743807</v>
      </c>
      <c r="AH187" s="1">
        <f>IFERROR(__xludf.DUMMYFUNCTION("""COMPUTED_VALUE"""),16.0)</f>
        <v>16</v>
      </c>
      <c r="AI187" s="1" t="str">
        <f>IFERROR(__xludf.DUMMYFUNCTION("""COMPUTED_VALUE"""),"0000401123")</f>
        <v>0000401123</v>
      </c>
      <c r="AJ187" s="1">
        <f>IFERROR(__xludf.DUMMYFUNCTION("""COMPUTED_VALUE"""),7.1165261E7)</f>
        <v>71165261</v>
      </c>
      <c r="AK187" s="1">
        <f>IFERROR(__xludf.DUMMYFUNCTION("""COMPUTED_VALUE"""),9.31121971E8)</f>
        <v>931121971</v>
      </c>
      <c r="AL187" s="1" t="str">
        <f>IFERROR(__xludf.DUMMYFUNCTION("""COMPUTED_VALUE"""),"k.ariana.usuriaga@gmail.com")</f>
        <v>k.ariana.usuriaga@gmail.com</v>
      </c>
      <c r="AM187" s="1" t="str">
        <f>IFERROR(__xludf.DUMMYFUNCTION("""COMPUTED_VALUE"""),"FEMENINO")</f>
        <v>FEMENINO</v>
      </c>
      <c r="AN187" s="1">
        <f>IFERROR(__xludf.DUMMYFUNCTION("""COMPUTED_VALUE"""),1350.0)</f>
        <v>1350</v>
      </c>
      <c r="AO187" s="1">
        <f>IFERROR(__xludf.DUMMYFUNCTION("""COMPUTED_VALUE"""),0.0)</f>
        <v>0</v>
      </c>
      <c r="AP187" s="1" t="str">
        <f>IFERROR(__xludf.DUMMYFUNCTION("""COMPUTED_VALUE"""),"FORMULARIO")</f>
        <v>FORMULARIO</v>
      </c>
      <c r="AQ187" s="1" t="str">
        <f>IFERROR(__xludf.DUMMYFUNCTION("""COMPUTED_VALUE"""),"ORGANICO")</f>
        <v>ORGANICO</v>
      </c>
      <c r="AR187" s="1" t="str">
        <f>IFERROR(__xludf.DUMMYFUNCTION("""COMPUTED_VALUE"""),"NUEVO")</f>
        <v>NUEVO</v>
      </c>
      <c r="AS187" s="1"/>
      <c r="AT187" s="2">
        <f>IFERROR(__xludf.DUMMYFUNCTION("""COMPUTED_VALUE"""),45612.0)</f>
        <v>45612</v>
      </c>
      <c r="AU187" s="1">
        <f>IFERROR(__xludf.DUMMYFUNCTION("""COMPUTED_VALUE"""),1.0)</f>
        <v>1</v>
      </c>
      <c r="AV187" s="1" t="str">
        <f>IFERROR(__xludf.DUMMYFUNCTION("""COMPUTED_VALUE"""),"NUEVO")</f>
        <v>NUEVO</v>
      </c>
      <c r="AW187" s="1" t="str">
        <f>IFERROR(__xludf.DUMMYFUNCTION("""COMPUTED_VALUE"""),"SI")</f>
        <v>SI</v>
      </c>
      <c r="AX187" s="1"/>
      <c r="AY187" s="1" t="str">
        <f>IFERROR(__xludf.DUMMYFUNCTION("""COMPUTED_VALUE"""),"PAGO COMPLETO")</f>
        <v>PAGO COMPLETO</v>
      </c>
      <c r="AZ187" s="5">
        <f>IFERROR(__xludf.DUMMYFUNCTION("""COMPUTED_VALUE"""),45614.0)</f>
        <v>45614</v>
      </c>
      <c r="BA187" s="1">
        <f>IFERROR(__xludf.DUMMYFUNCTION("""COMPUTED_VALUE"""),0.0)</f>
        <v>0</v>
      </c>
      <c r="BB187" s="1">
        <f>IFERROR(__xludf.DUMMYFUNCTION("""COMPUTED_VALUE"""),0.0)</f>
        <v>0</v>
      </c>
      <c r="BC187" s="4">
        <f>IFERROR(__xludf.DUMMYFUNCTION("""COMPUTED_VALUE"""),0.0)</f>
        <v>0</v>
      </c>
      <c r="BD187" s="4">
        <f>IFERROR(__xludf.DUMMYFUNCTION("""COMPUTED_VALUE"""),0.0)</f>
        <v>0</v>
      </c>
      <c r="BE187" s="1">
        <f>IFERROR(__xludf.DUMMYFUNCTION("""COMPUTED_VALUE"""),11.0)</f>
        <v>11</v>
      </c>
      <c r="BF187" s="6">
        <f>IFERROR(__xludf.DUMMYFUNCTION("""COMPUTED_VALUE"""),1.0)</f>
        <v>1</v>
      </c>
      <c r="BG187" s="1">
        <f>IFERROR(__xludf.DUMMYFUNCTION("""COMPUTED_VALUE"""),1.0)</f>
        <v>1</v>
      </c>
      <c r="BH187" s="1" t="str">
        <f>IFERROR(__xludf.DUMMYFUNCTION("""COMPUTED_VALUE"""),"0")</f>
        <v>0</v>
      </c>
      <c r="BI187" s="4">
        <f>IFERROR(__xludf.DUMMYFUNCTION("""COMPUTED_VALUE"""),0.0)</f>
        <v>0</v>
      </c>
      <c r="BJ187" s="1">
        <f>IFERROR(__xludf.DUMMYFUNCTION("""COMPUTED_VALUE"""),0.0)</f>
        <v>0</v>
      </c>
      <c r="BK187" s="4">
        <f>IFERROR(__xludf.DUMMYFUNCTION("""COMPUTED_VALUE"""),0.0)</f>
        <v>0</v>
      </c>
      <c r="BL187" s="1">
        <f>IFERROR(__xludf.DUMMYFUNCTION("""COMPUTED_VALUE"""),850.0)</f>
        <v>850</v>
      </c>
      <c r="BM187" s="1">
        <f>IFERROR(__xludf.DUMMYFUNCTION("""COMPUTED_VALUE"""),47.0)</f>
        <v>47</v>
      </c>
      <c r="BN187" s="2">
        <f>IFERROR(__xludf.DUMMYFUNCTION("""COMPUTED_VALUE"""),45614.0)</f>
        <v>45614</v>
      </c>
      <c r="BO187" s="1">
        <f>IFERROR(__xludf.DUMMYFUNCTION("""COMPUTED_VALUE"""),11.0)</f>
        <v>11</v>
      </c>
      <c r="BP187" s="1">
        <f>IFERROR(__xludf.DUMMYFUNCTION("""COMPUTED_VALUE"""),2024.0)</f>
        <v>2024</v>
      </c>
    </row>
    <row r="188">
      <c r="A188" s="1">
        <f>IFERROR(__xludf.DUMMYFUNCTION("""COMPUTED_VALUE"""),187.0)</f>
        <v>187</v>
      </c>
      <c r="B188" s="1">
        <f>IFERROR(__xludf.DUMMYFUNCTION("""COMPUTED_VALUE"""),1967744.0)</f>
        <v>1967744</v>
      </c>
      <c r="C188" s="1" t="str">
        <f>IFERROR(__xludf.DUMMYFUNCTION("""COMPUTED_VALUE"""),"2025-1")</f>
        <v>2025-1</v>
      </c>
      <c r="D188" s="1" t="str">
        <f>IFERROR(__xludf.DUMMYFUNCTION("""COMPUTED_VALUE"""),"Admisión Ordinaria")</f>
        <v>Admisión Ordinaria</v>
      </c>
      <c r="E188" s="2">
        <f>IFERROR(__xludf.DUMMYFUNCTION("""COMPUTED_VALUE"""),45615.0)</f>
        <v>45615</v>
      </c>
      <c r="F188" s="1" t="str">
        <f>IFERROR(__xludf.DUMMYFUNCTION("""COMPUTED_VALUE"""),"MILUSKA")</f>
        <v>MILUSKA</v>
      </c>
      <c r="G188" s="1" t="str">
        <f>IFERROR(__xludf.DUMMYFUNCTION("""COMPUTED_VALUE"""),"SUMALAVIA UGARTE")</f>
        <v>SUMALAVIA UGARTE</v>
      </c>
      <c r="H188" s="1" t="str">
        <f>IFERROR(__xludf.DUMMYFUNCTION("""COMPUTED_VALUE"""),"Psicología")</f>
        <v>Psicología</v>
      </c>
      <c r="I188" s="1" t="str">
        <f>IFERROR(__xludf.DUMMYFUNCTION("""COMPUTED_VALUE"""),"CARGO")</f>
        <v>CARGO</v>
      </c>
      <c r="J188" s="1" t="str">
        <f>IFERROR(__xludf.DUMMYFUNCTION("""COMPUTED_VALUE"""),"Diurno")</f>
        <v>Diurno</v>
      </c>
      <c r="K188" s="1" t="str">
        <f>IFERROR(__xludf.DUMMYFUNCTION("""COMPUTED_VALUE"""),"NUEVO")</f>
        <v>NUEVO</v>
      </c>
      <c r="L188" s="1">
        <f>IFERROR(__xludf.DUMMYFUNCTION("""COMPUTED_VALUE"""),0.0)</f>
        <v>0</v>
      </c>
      <c r="M188" s="1">
        <f>IFERROR(__xludf.DUMMYFUNCTION("""COMPUTED_VALUE"""),0.0)</f>
        <v>0</v>
      </c>
      <c r="N188" s="1" t="str">
        <f>IFERROR(__xludf.DUMMYFUNCTION("""COMPUTED_VALUE"""),"BECA")</f>
        <v>BECA</v>
      </c>
      <c r="O188" s="1" t="str">
        <f>IFERROR(__xludf.DUMMYFUNCTION("""COMPUTED_VALUE"""),"BECA RECUPERO")</f>
        <v>BECA RECUPERO</v>
      </c>
      <c r="P188" s="4">
        <f>IFERROR(__xludf.DUMMYFUNCTION("""COMPUTED_VALUE"""),0.0)</f>
        <v>0</v>
      </c>
      <c r="Q188" s="4">
        <f>IFERROR(__xludf.DUMMYFUNCTION("""COMPUTED_VALUE"""),0.0)</f>
        <v>0</v>
      </c>
      <c r="R188" s="4">
        <f>IFERROR(__xludf.DUMMYFUNCTION("""COMPUTED_VALUE"""),1075.0)</f>
        <v>1075</v>
      </c>
      <c r="S188" s="4">
        <f>IFERROR(__xludf.DUMMYFUNCTION("""COMPUTED_VALUE"""),900.0)</f>
        <v>900</v>
      </c>
      <c r="T188" s="1" t="str">
        <f>IFERROR(__xludf.DUMMYFUNCTION("""COMPUTED_VALUE"""),"PALANCA 500")</f>
        <v>PALANCA 500</v>
      </c>
      <c r="U188" s="1" t="str">
        <f>IFERROR(__xludf.DUMMYFUNCTION("""COMPUTED_VALUE"""),"FABIOLA")</f>
        <v>FABIOLA</v>
      </c>
      <c r="V188" s="1" t="str">
        <f>IFERROR(__xludf.DUMMYFUNCTION("""COMPUTED_VALUE"""),"Ninguno")</f>
        <v>Ninguno</v>
      </c>
      <c r="W188" s="1" t="str">
        <f>IFERROR(__xludf.DUMMYFUNCTION("""COMPUTED_VALUE"""),"Convenios internacionales")</f>
        <v>Convenios internacionales</v>
      </c>
      <c r="X188" s="1" t="str">
        <f>IFERROR(__xludf.DUMMYFUNCTION("""COMPUTED_VALUE"""),"alumna pago 500 soles de pago primera cuota por palanca recupero 500 luego pagara 900 como BECA //  Le gusto la METODOLOGIA")</f>
        <v>alumna pago 500 soles de pago primera cuota por palanca recupero 500 luego pagara 900 como BECA //  Le gusto la METODOLOGIA</v>
      </c>
      <c r="Y188" s="1" t="str">
        <f>IFERROR(__xludf.DUMMYFUNCTION("""COMPUTED_VALUE"""),"PAGO COMPLETO")</f>
        <v>PAGO COMPLETO</v>
      </c>
      <c r="Z188" s="1">
        <f>IFERROR(__xludf.DUMMYFUNCTION("""COMPUTED_VALUE"""),0.0)</f>
        <v>0</v>
      </c>
      <c r="AA188" s="1" t="str">
        <f>IFERROR(__xludf.DUMMYFUNCTION("""COMPUTED_VALUE"""),"-")</f>
        <v>-</v>
      </c>
      <c r="AB188" s="1">
        <f>IFERROR(__xludf.DUMMYFUNCTION("""COMPUTED_VALUE"""),0.0)</f>
        <v>0</v>
      </c>
      <c r="AC188" s="1">
        <f>IFERROR(__xludf.DUMMYFUNCTION("""COMPUTED_VALUE"""),0.0)</f>
        <v>0</v>
      </c>
      <c r="AD188" s="1" t="str">
        <f>IFERROR(__xludf.DUMMYFUNCTION("""COMPUTED_VALUE"""),"Rosa Ugarte")</f>
        <v>Rosa Ugarte</v>
      </c>
      <c r="AE188" s="1" t="str">
        <f>IFERROR(__xludf.DUMMYFUNCTION("""COMPUTED_VALUE"""),"0")</f>
        <v>0</v>
      </c>
      <c r="AF188" s="1">
        <f>IFERROR(__xludf.DUMMYFUNCTION("""COMPUTED_VALUE"""),2023.0)</f>
        <v>2023</v>
      </c>
      <c r="AG188" s="1">
        <f>IFERROR(__xludf.DUMMYFUNCTION("""COMPUTED_VALUE"""),728717.0)</f>
        <v>728717</v>
      </c>
      <c r="AH188" s="1">
        <f>IFERROR(__xludf.DUMMYFUNCTION("""COMPUTED_VALUE"""),18.0)</f>
        <v>18</v>
      </c>
      <c r="AI188" s="1" t="str">
        <f>IFERROR(__xludf.DUMMYFUNCTION("""COMPUTED_VALUE"""),"0000401289")</f>
        <v>0000401289</v>
      </c>
      <c r="AJ188" s="1">
        <f>IFERROR(__xludf.DUMMYFUNCTION("""COMPUTED_VALUE"""),6.0772346E7)</f>
        <v>60772346</v>
      </c>
      <c r="AK188" s="1">
        <f>IFERROR(__xludf.DUMMYFUNCTION("""COMPUTED_VALUE"""),9.62552795E8)</f>
        <v>962552795</v>
      </c>
      <c r="AL188" s="1" t="str">
        <f>IFERROR(__xludf.DUMMYFUNCTION("""COMPUTED_VALUE"""),"miluska.sumalavia.ugarte@gmail.com")</f>
        <v>miluska.sumalavia.ugarte@gmail.com</v>
      </c>
      <c r="AM188" s="1" t="str">
        <f>IFERROR(__xludf.DUMMYFUNCTION("""COMPUTED_VALUE"""),"FEMENINO")</f>
        <v>FEMENINO</v>
      </c>
      <c r="AN188" s="1">
        <f>IFERROR(__xludf.DUMMYFUNCTION("""COMPUTED_VALUE"""),1350.0)</f>
        <v>1350</v>
      </c>
      <c r="AO188" s="1">
        <f>IFERROR(__xludf.DUMMYFUNCTION("""COMPUTED_VALUE"""),0.0)</f>
        <v>0</v>
      </c>
      <c r="AP188" s="1" t="str">
        <f>IFERROR(__xludf.DUMMYFUNCTION("""COMPUTED_VALUE"""),"FORMULARIO")</f>
        <v>FORMULARIO</v>
      </c>
      <c r="AQ188" s="1" t="str">
        <f>IFERROR(__xludf.DUMMYFUNCTION("""COMPUTED_VALUE"""),"ORGANICO")</f>
        <v>ORGANICO</v>
      </c>
      <c r="AR188" s="1" t="str">
        <f>IFERROR(__xludf.DUMMYFUNCTION("""COMPUTED_VALUE"""),"HEREDADO")</f>
        <v>HEREDADO</v>
      </c>
      <c r="AS188" s="1"/>
      <c r="AT188" s="2">
        <f>IFERROR(__xludf.DUMMYFUNCTION("""COMPUTED_VALUE"""),45560.0)</f>
        <v>45560</v>
      </c>
      <c r="AU188" s="1">
        <f>IFERROR(__xludf.DUMMYFUNCTION("""COMPUTED_VALUE"""),1.0)</f>
        <v>1</v>
      </c>
      <c r="AV188" s="1" t="str">
        <f>IFERROR(__xludf.DUMMYFUNCTION("""COMPUTED_VALUE"""),"NUEVO")</f>
        <v>NUEVO</v>
      </c>
      <c r="AW188" s="1" t="str">
        <f>IFERROR(__xludf.DUMMYFUNCTION("""COMPUTED_VALUE"""),"SI")</f>
        <v>SI</v>
      </c>
      <c r="AX188" s="1"/>
      <c r="AY188" s="1" t="str">
        <f>IFERROR(__xludf.DUMMYFUNCTION("""COMPUTED_VALUE"""),"PAGO COMPLETO")</f>
        <v>PAGO COMPLETO</v>
      </c>
      <c r="AZ188" s="5">
        <f>IFERROR(__xludf.DUMMYFUNCTION("""COMPUTED_VALUE"""),45615.0)</f>
        <v>45615</v>
      </c>
      <c r="BA188" s="1">
        <f>IFERROR(__xludf.DUMMYFUNCTION("""COMPUTED_VALUE"""),0.0)</f>
        <v>0</v>
      </c>
      <c r="BB188" s="1">
        <f>IFERROR(__xludf.DUMMYFUNCTION("""COMPUTED_VALUE"""),0.0)</f>
        <v>0</v>
      </c>
      <c r="BC188" s="4">
        <f>IFERROR(__xludf.DUMMYFUNCTION("""COMPUTED_VALUE"""),0.0)</f>
        <v>0</v>
      </c>
      <c r="BD188" s="4">
        <f>IFERROR(__xludf.DUMMYFUNCTION("""COMPUTED_VALUE"""),400.0)</f>
        <v>400</v>
      </c>
      <c r="BE188" s="1">
        <f>IFERROR(__xludf.DUMMYFUNCTION("""COMPUTED_VALUE"""),11.0)</f>
        <v>11</v>
      </c>
      <c r="BF188" s="6">
        <f>IFERROR(__xludf.DUMMYFUNCTION("""COMPUTED_VALUE"""),1.0)</f>
        <v>1</v>
      </c>
      <c r="BG188" s="1">
        <f>IFERROR(__xludf.DUMMYFUNCTION("""COMPUTED_VALUE"""),1.0)</f>
        <v>1</v>
      </c>
      <c r="BH188" s="1" t="str">
        <f>IFERROR(__xludf.DUMMYFUNCTION("""COMPUTED_VALUE"""),"0")</f>
        <v>0</v>
      </c>
      <c r="BI188" s="4">
        <f>IFERROR(__xludf.DUMMYFUNCTION("""COMPUTED_VALUE"""),400.0)</f>
        <v>400</v>
      </c>
      <c r="BJ188" s="1">
        <f>IFERROR(__xludf.DUMMYFUNCTION("""COMPUTED_VALUE"""),0.0)</f>
        <v>0</v>
      </c>
      <c r="BK188" s="4">
        <f>IFERROR(__xludf.DUMMYFUNCTION("""COMPUTED_VALUE"""),400.0)</f>
        <v>400</v>
      </c>
      <c r="BL188" s="1">
        <f>IFERROR(__xludf.DUMMYFUNCTION("""COMPUTED_VALUE"""),820.0)</f>
        <v>820</v>
      </c>
      <c r="BM188" s="1">
        <f>IFERROR(__xludf.DUMMYFUNCTION("""COMPUTED_VALUE"""),47.0)</f>
        <v>47</v>
      </c>
      <c r="BN188" s="2">
        <f>IFERROR(__xludf.DUMMYFUNCTION("""COMPUTED_VALUE"""),45614.0)</f>
        <v>45614</v>
      </c>
      <c r="BO188" s="1">
        <f>IFERROR(__xludf.DUMMYFUNCTION("""COMPUTED_VALUE"""),11.0)</f>
        <v>11</v>
      </c>
      <c r="BP188" s="1">
        <f>IFERROR(__xludf.DUMMYFUNCTION("""COMPUTED_VALUE"""),2024.0)</f>
        <v>2024</v>
      </c>
    </row>
    <row r="189">
      <c r="A189" s="1">
        <f>IFERROR(__xludf.DUMMYFUNCTION("""COMPUTED_VALUE"""),188.0)</f>
        <v>188</v>
      </c>
      <c r="B189" s="1">
        <f>IFERROR(__xludf.DUMMYFUNCTION("""COMPUTED_VALUE"""),1068109.0)</f>
        <v>1068109</v>
      </c>
      <c r="C189" s="1" t="str">
        <f>IFERROR(__xludf.DUMMYFUNCTION("""COMPUTED_VALUE"""),"2025-1")</f>
        <v>2025-1</v>
      </c>
      <c r="D189" s="1" t="str">
        <f>IFERROR(__xludf.DUMMYFUNCTION("""COMPUTED_VALUE"""),"Admisión Extraordinaria (Traslados)")</f>
        <v>Admisión Extraordinaria (Traslados)</v>
      </c>
      <c r="E189" s="2">
        <f>IFERROR(__xludf.DUMMYFUNCTION("""COMPUTED_VALUE"""),45616.0)</f>
        <v>45616</v>
      </c>
      <c r="F189" s="1" t="str">
        <f>IFERROR(__xludf.DUMMYFUNCTION("""COMPUTED_VALUE"""),"SEBASTIAN ROBERTO")</f>
        <v>SEBASTIAN ROBERTO</v>
      </c>
      <c r="G189" s="1" t="str">
        <f>IFERROR(__xludf.DUMMYFUNCTION("""COMPUTED_VALUE"""),"LAOS YAUYO")</f>
        <v>LAOS YAUYO</v>
      </c>
      <c r="H189" s="1" t="str">
        <f>IFERROR(__xludf.DUMMYFUNCTION("""COMPUTED_VALUE"""),"Arquitectura de Interiores")</f>
        <v>Arquitectura de Interiores</v>
      </c>
      <c r="I189" s="1" t="str">
        <f>IFERROR(__xludf.DUMMYFUNCTION("""COMPUTED_VALUE"""),"CARGO")</f>
        <v>CARGO</v>
      </c>
      <c r="J189" s="1" t="str">
        <f>IFERROR(__xludf.DUMMYFUNCTION("""COMPUTED_VALUE"""),"Diurno")</f>
        <v>Diurno</v>
      </c>
      <c r="K189" s="1" t="str">
        <f>IFERROR(__xludf.DUMMYFUNCTION("""COMPUTED_VALUE"""),"TRASLADO")</f>
        <v>TRASLADO</v>
      </c>
      <c r="L189" s="1">
        <f>IFERROR(__xludf.DUMMYFUNCTION("""COMPUTED_VALUE"""),1.0)</f>
        <v>1</v>
      </c>
      <c r="M189" s="1">
        <f>IFERROR(__xludf.DUMMYFUNCTION("""COMPUTED_VALUE"""),0.0)</f>
        <v>0</v>
      </c>
      <c r="N189" s="1" t="str">
        <f>IFERROR(__xludf.DUMMYFUNCTION("""COMPUTED_VALUE"""),"RECA")</f>
        <v>RECA</v>
      </c>
      <c r="O189" s="1" t="str">
        <f>IFERROR(__xludf.DUMMYFUNCTION("""COMPUTED_VALUE"""),"RECA TRASLADO CON CONVA")</f>
        <v>RECA TRASLADO CON CONVA</v>
      </c>
      <c r="P189" s="4">
        <f>IFERROR(__xludf.DUMMYFUNCTION("""COMPUTED_VALUE"""),0.0)</f>
        <v>0</v>
      </c>
      <c r="Q189" s="4">
        <f>IFERROR(__xludf.DUMMYFUNCTION("""COMPUTED_VALUE"""),0.0)</f>
        <v>0</v>
      </c>
      <c r="R189" s="4">
        <f>IFERROR(__xludf.DUMMYFUNCTION("""COMPUTED_VALUE"""),1600.0)</f>
        <v>1600</v>
      </c>
      <c r="S189" s="4">
        <f>IFERROR(__xludf.DUMMYFUNCTION("""COMPUTED_VALUE"""),900.0)</f>
        <v>900</v>
      </c>
      <c r="T189" s="1" t="str">
        <f>IFERROR(__xludf.DUMMYFUNCTION("""COMPUTED_VALUE"""),"NINGUNO")</f>
        <v>NINGUNO</v>
      </c>
      <c r="U189" s="1" t="str">
        <f>IFERROR(__xludf.DUMMYFUNCTION("""COMPUTED_VALUE"""),"FABIOLA")</f>
        <v>FABIOLA</v>
      </c>
      <c r="V189" s="1" t="str">
        <f>IFERROR(__xludf.DUMMYFUNCTION("""COMPUTED_VALUE"""),"Ninguno")</f>
        <v>Ninguno</v>
      </c>
      <c r="W189" s="1" t="str">
        <f>IFERROR(__xludf.DUMMYFUNCTION("""COMPUTED_VALUE"""),"Malla curricular")</f>
        <v>Malla curricular</v>
      </c>
      <c r="X189" s="1" t="str">
        <f>IFERROR(__xludf.DUMMYFUNCTION("""COMPUTED_VALUE"""),"le gusto la malla")</f>
        <v>le gusto la malla</v>
      </c>
      <c r="Y189" s="1" t="str">
        <f>IFERROR(__xludf.DUMMYFUNCTION("""COMPUTED_VALUE"""),"PAGO COMPLETO")</f>
        <v>PAGO COMPLETO</v>
      </c>
      <c r="Z189" s="1">
        <f>IFERROR(__xludf.DUMMYFUNCTION("""COMPUTED_VALUE"""),0.0)</f>
        <v>0</v>
      </c>
      <c r="AA189" s="1" t="str">
        <f>IFERROR(__xludf.DUMMYFUNCTION("""COMPUTED_VALUE"""),"-")</f>
        <v>-</v>
      </c>
      <c r="AB189" s="1">
        <f>IFERROR(__xludf.DUMMYFUNCTION("""COMPUTED_VALUE"""),0.0)</f>
        <v>0</v>
      </c>
      <c r="AC189" s="1">
        <f>IFERROR(__xludf.DUMMYFUNCTION("""COMPUTED_VALUE"""),0.0)</f>
        <v>0</v>
      </c>
      <c r="AD189" s="1" t="str">
        <f>IFERROR(__xludf.DUMMYFUNCTION("""COMPUTED_VALUE"""),"Cinthia Mariella Orosco")</f>
        <v>Cinthia Mariella Orosco</v>
      </c>
      <c r="AE189" s="1" t="str">
        <f>IFERROR(__xludf.DUMMYFUNCTION("""COMPUTED_VALUE"""),"Instituto de Educación Superior Tecnológico Privado Toulouse Lautrec")</f>
        <v>Instituto de Educación Superior Tecnológico Privado Toulouse Lautrec</v>
      </c>
      <c r="AF189" s="1">
        <f>IFERROR(__xludf.DUMMYFUNCTION("""COMPUTED_VALUE"""),2020.0)</f>
        <v>2020</v>
      </c>
      <c r="AG189" s="1">
        <f>IFERROR(__xludf.DUMMYFUNCTION("""COMPUTED_VALUE"""),871194.0)</f>
        <v>871194</v>
      </c>
      <c r="AH189" s="1">
        <f>IFERROR(__xludf.DUMMYFUNCTION("""COMPUTED_VALUE"""),25.0)</f>
        <v>25</v>
      </c>
      <c r="AI189" s="1" t="str">
        <f>IFERROR(__xludf.DUMMYFUNCTION("""COMPUTED_VALUE"""),"0000018267")</f>
        <v>0000018267</v>
      </c>
      <c r="AJ189" s="1">
        <f>IFERROR(__xludf.DUMMYFUNCTION("""COMPUTED_VALUE"""),7.5274478E7)</f>
        <v>75274478</v>
      </c>
      <c r="AK189" s="1">
        <f>IFERROR(__xludf.DUMMYFUNCTION("""COMPUTED_VALUE"""),9.7535832E8)</f>
        <v>975358320</v>
      </c>
      <c r="AL189" s="1" t="str">
        <f>IFERROR(__xludf.DUMMYFUNCTION("""COMPUTED_VALUE"""),"sebasjjc@gmail.com")</f>
        <v>sebasjjc@gmail.com</v>
      </c>
      <c r="AM189" s="1" t="str">
        <f>IFERROR(__xludf.DUMMYFUNCTION("""COMPUTED_VALUE"""),"FEMENINO")</f>
        <v>FEMENINO</v>
      </c>
      <c r="AN189" s="1">
        <f>IFERROR(__xludf.DUMMYFUNCTION("""COMPUTED_VALUE"""),1600.0)</f>
        <v>1600</v>
      </c>
      <c r="AO189" s="1">
        <f>IFERROR(__xludf.DUMMYFUNCTION("""COMPUTED_VALUE"""),250.0)</f>
        <v>250</v>
      </c>
      <c r="AP189" s="1" t="str">
        <f>IFERROR(__xludf.DUMMYFUNCTION("""COMPUTED_VALUE"""),"BIDIRECCIONAL")</f>
        <v>BIDIRECCIONAL</v>
      </c>
      <c r="AQ189" s="1" t="str">
        <f>IFERROR(__xludf.DUMMYFUNCTION("""COMPUTED_VALUE"""),"SEARCH MARCA")</f>
        <v>SEARCH MARCA</v>
      </c>
      <c r="AR189" s="1" t="str">
        <f>IFERROR(__xludf.DUMMYFUNCTION("""COMPUTED_VALUE"""),"NUEVO")</f>
        <v>NUEVO</v>
      </c>
      <c r="AS189" s="1" t="str">
        <f>IFERROR(__xludf.DUMMYFUNCTION("""COMPUTED_VALUE"""),"ucal-pg-performance-sedes-abierta-cpl-search_conversion_marca-20240401")</f>
        <v>ucal-pg-performance-sedes-abierta-cpl-search_conversion_marca-20240401</v>
      </c>
      <c r="AT189" s="2">
        <f>IFERROR(__xludf.DUMMYFUNCTION("""COMPUTED_VALUE"""),45609.0)</f>
        <v>45609</v>
      </c>
      <c r="AU189" s="1">
        <f>IFERROR(__xludf.DUMMYFUNCTION("""COMPUTED_VALUE"""),1.0)</f>
        <v>1</v>
      </c>
      <c r="AV189" s="1" t="str">
        <f>IFERROR(__xludf.DUMMYFUNCTION("""COMPUTED_VALUE"""),"TRASLADO")</f>
        <v>TRASLADO</v>
      </c>
      <c r="AW189" s="1" t="str">
        <f>IFERROR(__xludf.DUMMYFUNCTION("""COMPUTED_VALUE"""),"SI")</f>
        <v>SI</v>
      </c>
      <c r="AX189" s="1"/>
      <c r="AY189" s="1" t="str">
        <f>IFERROR(__xludf.DUMMYFUNCTION("""COMPUTED_VALUE"""),"PAGO COMPLETO")</f>
        <v>PAGO COMPLETO</v>
      </c>
      <c r="AZ189" s="5">
        <f>IFERROR(__xludf.DUMMYFUNCTION("""COMPUTED_VALUE"""),45616.0)</f>
        <v>45616</v>
      </c>
      <c r="BA189" s="1">
        <f>IFERROR(__xludf.DUMMYFUNCTION("""COMPUTED_VALUE"""),0.0)</f>
        <v>0</v>
      </c>
      <c r="BB189" s="1">
        <f>IFERROR(__xludf.DUMMYFUNCTION("""COMPUTED_VALUE"""),0.0)</f>
        <v>0</v>
      </c>
      <c r="BC189" s="4">
        <f>IFERROR(__xludf.DUMMYFUNCTION("""COMPUTED_VALUE"""),0.0)</f>
        <v>0</v>
      </c>
      <c r="BD189" s="4">
        <f>IFERROR(__xludf.DUMMYFUNCTION("""COMPUTED_VALUE"""),0.0)</f>
        <v>0</v>
      </c>
      <c r="BE189" s="1">
        <f>IFERROR(__xludf.DUMMYFUNCTION("""COMPUTED_VALUE"""),11.0)</f>
        <v>11</v>
      </c>
      <c r="BF189" s="6">
        <f>IFERROR(__xludf.DUMMYFUNCTION("""COMPUTED_VALUE"""),1.0)</f>
        <v>1</v>
      </c>
      <c r="BG189" s="1">
        <f>IFERROR(__xludf.DUMMYFUNCTION("""COMPUTED_VALUE"""),1.0)</f>
        <v>1</v>
      </c>
      <c r="BH189" s="1" t="str">
        <f>IFERROR(__xludf.DUMMYFUNCTION("""COMPUTED_VALUE"""),"1")</f>
        <v>1</v>
      </c>
      <c r="BI189" s="4">
        <f>IFERROR(__xludf.DUMMYFUNCTION("""COMPUTED_VALUE"""),0.0)</f>
        <v>0</v>
      </c>
      <c r="BJ189" s="1">
        <f>IFERROR(__xludf.DUMMYFUNCTION("""COMPUTED_VALUE"""),0.0)</f>
        <v>0</v>
      </c>
      <c r="BK189" s="4">
        <f>IFERROR(__xludf.DUMMYFUNCTION("""COMPUTED_VALUE"""),0.0)</f>
        <v>0</v>
      </c>
      <c r="BL189" s="1">
        <f>IFERROR(__xludf.DUMMYFUNCTION("""COMPUTED_VALUE"""),900.0)</f>
        <v>900</v>
      </c>
      <c r="BM189" s="1">
        <f>IFERROR(__xludf.DUMMYFUNCTION("""COMPUTED_VALUE"""),47.0)</f>
        <v>47</v>
      </c>
      <c r="BN189" s="2">
        <f>IFERROR(__xludf.DUMMYFUNCTION("""COMPUTED_VALUE"""),45614.0)</f>
        <v>45614</v>
      </c>
      <c r="BO189" s="1">
        <f>IFERROR(__xludf.DUMMYFUNCTION("""COMPUTED_VALUE"""),11.0)</f>
        <v>11</v>
      </c>
      <c r="BP189" s="1">
        <f>IFERROR(__xludf.DUMMYFUNCTION("""COMPUTED_VALUE"""),2024.0)</f>
        <v>2024</v>
      </c>
    </row>
    <row r="190">
      <c r="A190" s="1">
        <f>IFERROR(__xludf.DUMMYFUNCTION("""COMPUTED_VALUE"""),189.0)</f>
        <v>189</v>
      </c>
      <c r="B190" s="1">
        <f>IFERROR(__xludf.DUMMYFUNCTION("""COMPUTED_VALUE"""),4803202.0)</f>
        <v>4803202</v>
      </c>
      <c r="C190" s="1" t="str">
        <f>IFERROR(__xludf.DUMMYFUNCTION("""COMPUTED_VALUE"""),"2025-1")</f>
        <v>2025-1</v>
      </c>
      <c r="D190" s="1" t="str">
        <f>IFERROR(__xludf.DUMMYFUNCTION("""COMPUTED_VALUE"""),"Admisión Ordinaria")</f>
        <v>Admisión Ordinaria</v>
      </c>
      <c r="E190" s="2">
        <f>IFERROR(__xludf.DUMMYFUNCTION("""COMPUTED_VALUE"""),45617.0)</f>
        <v>45617</v>
      </c>
      <c r="F190" s="1" t="str">
        <f>IFERROR(__xludf.DUMMYFUNCTION("""COMPUTED_VALUE"""),"FATIMA LEONOR")</f>
        <v>FATIMA LEONOR</v>
      </c>
      <c r="G190" s="1" t="str">
        <f>IFERROR(__xludf.DUMMYFUNCTION("""COMPUTED_VALUE"""),"CHUQUIHUANGA CUEVA")</f>
        <v>CHUQUIHUANGA CUEVA</v>
      </c>
      <c r="H190" s="1" t="str">
        <f>IFERROR(__xludf.DUMMYFUNCTION("""COMPUTED_VALUE"""),"Comunicación Audiovisual y Cine")</f>
        <v>Comunicación Audiovisual y Cine</v>
      </c>
      <c r="I190" s="1" t="str">
        <f>IFERROR(__xludf.DUMMYFUNCTION("""COMPUTED_VALUE"""),"CARGO")</f>
        <v>CARGO</v>
      </c>
      <c r="J190" s="1" t="str">
        <f>IFERROR(__xludf.DUMMYFUNCTION("""COMPUTED_VALUE"""),"Diurno")</f>
        <v>Diurno</v>
      </c>
      <c r="K190" s="1" t="str">
        <f>IFERROR(__xludf.DUMMYFUNCTION("""COMPUTED_VALUE"""),"NUEVO")</f>
        <v>NUEVO</v>
      </c>
      <c r="L190" s="1">
        <f>IFERROR(__xludf.DUMMYFUNCTION("""COMPUTED_VALUE"""),0.0)</f>
        <v>0</v>
      </c>
      <c r="M190" s="1">
        <f>IFERROR(__xludf.DUMMYFUNCTION("""COMPUTED_VALUE"""),0.0)</f>
        <v>0</v>
      </c>
      <c r="N190" s="1" t="str">
        <f>IFERROR(__xludf.DUMMYFUNCTION("""COMPUTED_VALUE"""),"BECA")</f>
        <v>BECA</v>
      </c>
      <c r="O190" s="1" t="str">
        <f>IFERROR(__xludf.DUMMYFUNCTION("""COMPUTED_VALUE"""),"BECA CARRERAS CORE")</f>
        <v>BECA CARRERAS CORE</v>
      </c>
      <c r="P190" s="4">
        <f>IFERROR(__xludf.DUMMYFUNCTION("""COMPUTED_VALUE"""),0.0)</f>
        <v>0</v>
      </c>
      <c r="Q190" s="4">
        <f>IFERROR(__xludf.DUMMYFUNCTION("""COMPUTED_VALUE"""),0.0)</f>
        <v>0</v>
      </c>
      <c r="R190" s="4">
        <f>IFERROR(__xludf.DUMMYFUNCTION("""COMPUTED_VALUE"""),1150.0)</f>
        <v>1150</v>
      </c>
      <c r="S190" s="4">
        <f>IFERROR(__xludf.DUMMYFUNCTION("""COMPUTED_VALUE"""),1075.0)</f>
        <v>1075</v>
      </c>
      <c r="T190" s="1" t="str">
        <f>IFERROR(__xludf.DUMMYFUNCTION("""COMPUTED_VALUE"""),"PALANCA 700")</f>
        <v>PALANCA 700</v>
      </c>
      <c r="U190" s="1" t="str">
        <f>IFERROR(__xludf.DUMMYFUNCTION("""COMPUTED_VALUE"""),"FABIOLA")</f>
        <v>FABIOLA</v>
      </c>
      <c r="V190" s="1" t="str">
        <f>IFERROR(__xludf.DUMMYFUNCTION("""COMPUTED_VALUE"""),"Ninguno")</f>
        <v>Ninguno</v>
      </c>
      <c r="W190" s="1" t="str">
        <f>IFERROR(__xludf.DUMMYFUNCTION("""COMPUTED_VALUE"""),"Metodología de enseñanza")</f>
        <v>Metodología de enseñanza</v>
      </c>
      <c r="X190" s="1" t="str">
        <f>IFERROR(__xludf.DUMMYFUNCTION("""COMPUTED_VALUE"""),"Alumna pago 700 primera boleta // es beca carrera core ")</f>
        <v>Alumna pago 700 primera boleta // es beca carrera core </v>
      </c>
      <c r="Y190" s="1" t="str">
        <f>IFERROR(__xludf.DUMMYFUNCTION("""COMPUTED_VALUE"""),"PAGO COMPLETO")</f>
        <v>PAGO COMPLETO</v>
      </c>
      <c r="Z190" s="1">
        <f>IFERROR(__xludf.DUMMYFUNCTION("""COMPUTED_VALUE"""),0.0)</f>
        <v>0</v>
      </c>
      <c r="AA190" s="1" t="str">
        <f>IFERROR(__xludf.DUMMYFUNCTION("""COMPUTED_VALUE"""),"-")</f>
        <v>-</v>
      </c>
      <c r="AB190" s="1">
        <f>IFERROR(__xludf.DUMMYFUNCTION("""COMPUTED_VALUE"""),0.0)</f>
        <v>0</v>
      </c>
      <c r="AC190" s="1">
        <f>IFERROR(__xludf.DUMMYFUNCTION("""COMPUTED_VALUE"""),0.0)</f>
        <v>0</v>
      </c>
      <c r="AD190" s="1" t="str">
        <f>IFERROR(__xludf.DUMMYFUNCTION("""COMPUTED_VALUE"""),"Fiorella Lanegra")</f>
        <v>Fiorella Lanegra</v>
      </c>
      <c r="AE190" s="1" t="str">
        <f>IFERROR(__xludf.DUMMYFUNCTION("""COMPUTED_VALUE"""),"0")</f>
        <v>0</v>
      </c>
      <c r="AF190" s="1">
        <f>IFERROR(__xludf.DUMMYFUNCTION("""COMPUTED_VALUE"""),2024.0)</f>
        <v>2024</v>
      </c>
      <c r="AG190" s="1">
        <f>IFERROR(__xludf.DUMMYFUNCTION("""COMPUTED_VALUE"""),1668656.0)</f>
        <v>1668656</v>
      </c>
      <c r="AH190" s="1">
        <f>IFERROR(__xludf.DUMMYFUNCTION("""COMPUTED_VALUE"""),16.0)</f>
        <v>16</v>
      </c>
      <c r="AI190" s="1" t="str">
        <f>IFERROR(__xludf.DUMMYFUNCTION("""COMPUTED_VALUE"""),"0000401321")</f>
        <v>0000401321</v>
      </c>
      <c r="AJ190" s="1">
        <f>IFERROR(__xludf.DUMMYFUNCTION("""COMPUTED_VALUE"""),6.1332553E7)</f>
        <v>61332553</v>
      </c>
      <c r="AK190" s="1">
        <f>IFERROR(__xludf.DUMMYFUNCTION("""COMPUTED_VALUE"""),9.01739159E8)</f>
        <v>901739159</v>
      </c>
      <c r="AL190" s="1" t="str">
        <f>IFERROR(__xludf.DUMMYFUNCTION("""COMPUTED_VALUE"""),"fatic0321@gmail.com")</f>
        <v>fatic0321@gmail.com</v>
      </c>
      <c r="AM190" s="1" t="str">
        <f>IFERROR(__xludf.DUMMYFUNCTION("""COMPUTED_VALUE"""),"FEMENINO")</f>
        <v>FEMENINO</v>
      </c>
      <c r="AN190" s="1">
        <f>IFERROR(__xludf.DUMMYFUNCTION("""COMPUTED_VALUE"""),1350.0)</f>
        <v>1350</v>
      </c>
      <c r="AO190" s="1">
        <f>IFERROR(__xludf.DUMMYFUNCTION("""COMPUTED_VALUE"""),0.0)</f>
        <v>0</v>
      </c>
      <c r="AP190" s="1" t="str">
        <f>IFERROR(__xludf.DUMMYFUNCTION("""COMPUTED_VALUE"""),"FORMULARIO")</f>
        <v>FORMULARIO</v>
      </c>
      <c r="AQ190" s="1" t="str">
        <f>IFERROR(__xludf.DUMMYFUNCTION("""COMPUTED_VALUE"""),"ORGANICO")</f>
        <v>ORGANICO</v>
      </c>
      <c r="AR190" s="1" t="str">
        <f>IFERROR(__xludf.DUMMYFUNCTION("""COMPUTED_VALUE"""),"NUEVO")</f>
        <v>NUEVO</v>
      </c>
      <c r="AS190" s="1"/>
      <c r="AT190" s="2">
        <f>IFERROR(__xludf.DUMMYFUNCTION("""COMPUTED_VALUE"""),45608.0)</f>
        <v>45608</v>
      </c>
      <c r="AU190" s="1">
        <f>IFERROR(__xludf.DUMMYFUNCTION("""COMPUTED_VALUE"""),1.0)</f>
        <v>1</v>
      </c>
      <c r="AV190" s="1" t="str">
        <f>IFERROR(__xludf.DUMMYFUNCTION("""COMPUTED_VALUE"""),"NUEVO")</f>
        <v>NUEVO</v>
      </c>
      <c r="AW190" s="1" t="str">
        <f>IFERROR(__xludf.DUMMYFUNCTION("""COMPUTED_VALUE"""),"SI")</f>
        <v>SI</v>
      </c>
      <c r="AX190" s="1"/>
      <c r="AY190" s="1" t="str">
        <f>IFERROR(__xludf.DUMMYFUNCTION("""COMPUTED_VALUE"""),"PAGO COMPLETO")</f>
        <v>PAGO COMPLETO</v>
      </c>
      <c r="AZ190" s="5">
        <f>IFERROR(__xludf.DUMMYFUNCTION("""COMPUTED_VALUE"""),45617.0)</f>
        <v>45617</v>
      </c>
      <c r="BA190" s="1">
        <f>IFERROR(__xludf.DUMMYFUNCTION("""COMPUTED_VALUE"""),0.0)</f>
        <v>0</v>
      </c>
      <c r="BB190" s="1">
        <f>IFERROR(__xludf.DUMMYFUNCTION("""COMPUTED_VALUE"""),0.0)</f>
        <v>0</v>
      </c>
      <c r="BC190" s="4">
        <f>IFERROR(__xludf.DUMMYFUNCTION("""COMPUTED_VALUE"""),0.0)</f>
        <v>0</v>
      </c>
      <c r="BD190" s="4">
        <f>IFERROR(__xludf.DUMMYFUNCTION("""COMPUTED_VALUE"""),375.0)</f>
        <v>375</v>
      </c>
      <c r="BE190" s="1">
        <f>IFERROR(__xludf.DUMMYFUNCTION("""COMPUTED_VALUE"""),11.0)</f>
        <v>11</v>
      </c>
      <c r="BF190" s="6">
        <f>IFERROR(__xludf.DUMMYFUNCTION("""COMPUTED_VALUE"""),1.0)</f>
        <v>1</v>
      </c>
      <c r="BG190" s="1">
        <f>IFERROR(__xludf.DUMMYFUNCTION("""COMPUTED_VALUE"""),1.0)</f>
        <v>1</v>
      </c>
      <c r="BH190" s="1" t="str">
        <f>IFERROR(__xludf.DUMMYFUNCTION("""COMPUTED_VALUE"""),"0")</f>
        <v>0</v>
      </c>
      <c r="BI190" s="4">
        <f>IFERROR(__xludf.DUMMYFUNCTION("""COMPUTED_VALUE"""),375.0)</f>
        <v>375</v>
      </c>
      <c r="BJ190" s="1">
        <f>IFERROR(__xludf.DUMMYFUNCTION("""COMPUTED_VALUE"""),0.0)</f>
        <v>0</v>
      </c>
      <c r="BK190" s="4">
        <f>IFERROR(__xludf.DUMMYFUNCTION("""COMPUTED_VALUE"""),375.0)</f>
        <v>375</v>
      </c>
      <c r="BL190" s="1">
        <f>IFERROR(__xludf.DUMMYFUNCTION("""COMPUTED_VALUE"""),1000.0)</f>
        <v>1000</v>
      </c>
      <c r="BM190" s="1">
        <f>IFERROR(__xludf.DUMMYFUNCTION("""COMPUTED_VALUE"""),47.0)</f>
        <v>47</v>
      </c>
      <c r="BN190" s="2">
        <f>IFERROR(__xludf.DUMMYFUNCTION("""COMPUTED_VALUE"""),45614.0)</f>
        <v>45614</v>
      </c>
      <c r="BO190" s="1">
        <f>IFERROR(__xludf.DUMMYFUNCTION("""COMPUTED_VALUE"""),11.0)</f>
        <v>11</v>
      </c>
      <c r="BP190" s="1">
        <f>IFERROR(__xludf.DUMMYFUNCTION("""COMPUTED_VALUE"""),2024.0)</f>
        <v>2024</v>
      </c>
    </row>
    <row r="191">
      <c r="A191" s="1">
        <f>IFERROR(__xludf.DUMMYFUNCTION("""COMPUTED_VALUE"""),190.0)</f>
        <v>190</v>
      </c>
      <c r="B191" s="1">
        <f>IFERROR(__xludf.DUMMYFUNCTION("""COMPUTED_VALUE"""),4809759.0)</f>
        <v>4809759</v>
      </c>
      <c r="C191" s="1" t="str">
        <f>IFERROR(__xludf.DUMMYFUNCTION("""COMPUTED_VALUE"""),"2025-1")</f>
        <v>2025-1</v>
      </c>
      <c r="D191" s="1" t="str">
        <f>IFERROR(__xludf.DUMMYFUNCTION("""COMPUTED_VALUE"""),"Admisión de Alto Rendimiento")</f>
        <v>Admisión de Alto Rendimiento</v>
      </c>
      <c r="E191" s="2">
        <f>IFERROR(__xludf.DUMMYFUNCTION("""COMPUTED_VALUE"""),45617.0)</f>
        <v>45617</v>
      </c>
      <c r="F191" s="1" t="str">
        <f>IFERROR(__xludf.DUMMYFUNCTION("""COMPUTED_VALUE""")," KATHERINE JAZMIN ")</f>
        <v> KATHERINE JAZMIN </v>
      </c>
      <c r="G191" s="1" t="str">
        <f>IFERROR(__xludf.DUMMYFUNCTION("""COMPUTED_VALUE"""),"PACHECO VELA")</f>
        <v>PACHECO VELA</v>
      </c>
      <c r="H191" s="1" t="str">
        <f>IFERROR(__xludf.DUMMYFUNCTION("""COMPUTED_VALUE"""),"Administración y Negocios Internacionales")</f>
        <v>Administración y Negocios Internacionales</v>
      </c>
      <c r="I191" s="1" t="str">
        <f>IFERROR(__xludf.DUMMYFUNCTION("""COMPUTED_VALUE"""),"CARGO")</f>
        <v>CARGO</v>
      </c>
      <c r="J191" s="1" t="str">
        <f>IFERROR(__xludf.DUMMYFUNCTION("""COMPUTED_VALUE"""),"Nocturno - A distancia")</f>
        <v>Nocturno - A distancia</v>
      </c>
      <c r="K191" s="1" t="str">
        <f>IFERROR(__xludf.DUMMYFUNCTION("""COMPUTED_VALUE"""),"NUEVO")</f>
        <v>NUEVO</v>
      </c>
      <c r="L191" s="1">
        <f>IFERROR(__xludf.DUMMYFUNCTION("""COMPUTED_VALUE"""),0.0)</f>
        <v>0</v>
      </c>
      <c r="M191" s="1">
        <f>IFERROR(__xludf.DUMMYFUNCTION("""COMPUTED_VALUE"""),0.0)</f>
        <v>0</v>
      </c>
      <c r="N191" s="1" t="str">
        <f>IFERROR(__xludf.DUMMYFUNCTION("""COMPUTED_VALUE"""),"ESCALA DISTANCIA")</f>
        <v>ESCALA DISTANCIA</v>
      </c>
      <c r="O191" s="1" t="str">
        <f>IFERROR(__xludf.DUMMYFUNCTION("""COMPUTED_VALUE"""),"ESCALA DISTANCIA REGULAR")</f>
        <v>ESCALA DISTANCIA REGULAR</v>
      </c>
      <c r="P191" s="4">
        <f>IFERROR(__xludf.DUMMYFUNCTION("""COMPUTED_VALUE"""),0.0)</f>
        <v>0</v>
      </c>
      <c r="Q191" s="4">
        <f>IFERROR(__xludf.DUMMYFUNCTION("""COMPUTED_VALUE"""),0.0)</f>
        <v>0</v>
      </c>
      <c r="R191" s="4">
        <f>IFERROR(__xludf.DUMMYFUNCTION("""COMPUTED_VALUE"""),950.0)</f>
        <v>950</v>
      </c>
      <c r="S191" s="4">
        <f>IFERROR(__xludf.DUMMYFUNCTION("""COMPUTED_VALUE"""),950.0)</f>
        <v>950</v>
      </c>
      <c r="T191" s="1" t="str">
        <f>IFERROR(__xludf.DUMMYFUNCTION("""COMPUTED_VALUE"""),"NINGUNO")</f>
        <v>NINGUNO</v>
      </c>
      <c r="U191" s="1" t="str">
        <f>IFERROR(__xludf.DUMMYFUNCTION("""COMPUTED_VALUE"""),"FABIOLA")</f>
        <v>FABIOLA</v>
      </c>
      <c r="V191" s="1" t="str">
        <f>IFERROR(__xludf.DUMMYFUNCTION("""COMPUTED_VALUE"""),"Ninguno")</f>
        <v>Ninguno</v>
      </c>
      <c r="W191" s="1" t="str">
        <f>IFERROR(__xludf.DUMMYFUNCTION("""COMPUTED_VALUE"""),"Metodología de enseñanza")</f>
        <v>Metodología de enseñanza</v>
      </c>
      <c r="X191" s="1" t="str">
        <f>IFERROR(__xludf.DUMMYFUNCTION("""COMPUTED_VALUE"""),"alumna estudiara  de manera virtual en las noches // metodologia")</f>
        <v>alumna estudiara  de manera virtual en las noches // metodologia</v>
      </c>
      <c r="Y191" s="1" t="str">
        <f>IFERROR(__xludf.DUMMYFUNCTION("""COMPUTED_VALUE"""),"PAGO COMPLETO")</f>
        <v>PAGO COMPLETO</v>
      </c>
      <c r="Z191" s="1">
        <f>IFERROR(__xludf.DUMMYFUNCTION("""COMPUTED_VALUE"""),0.0)</f>
        <v>0</v>
      </c>
      <c r="AA191" s="1" t="str">
        <f>IFERROR(__xludf.DUMMYFUNCTION("""COMPUTED_VALUE"""),"-")</f>
        <v>-</v>
      </c>
      <c r="AB191" s="1">
        <f>IFERROR(__xludf.DUMMYFUNCTION("""COMPUTED_VALUE"""),0.0)</f>
        <v>0</v>
      </c>
      <c r="AC191" s="1">
        <f>IFERROR(__xludf.DUMMYFUNCTION("""COMPUTED_VALUE"""),0.0)</f>
        <v>0</v>
      </c>
      <c r="AD191" s="1" t="str">
        <f>IFERROR(__xludf.DUMMYFUNCTION("""COMPUTED_VALUE"""),"Cinthia Mariella Orosco")</f>
        <v>Cinthia Mariella Orosco</v>
      </c>
      <c r="AE191" s="1" t="str">
        <f>IFERROR(__xludf.DUMMYFUNCTION("""COMPUTED_VALUE"""),"0")</f>
        <v>0</v>
      </c>
      <c r="AF191" s="1">
        <f>IFERROR(__xludf.DUMMYFUNCTION("""COMPUTED_VALUE"""),2020.0)</f>
        <v>2020</v>
      </c>
      <c r="AG191" s="1">
        <f>IFERROR(__xludf.DUMMYFUNCTION("""COMPUTED_VALUE"""),329755.0)</f>
        <v>329755</v>
      </c>
      <c r="AH191" s="1">
        <f>IFERROR(__xludf.DUMMYFUNCTION("""COMPUTED_VALUE"""),24.0)</f>
        <v>24</v>
      </c>
      <c r="AI191" s="1" t="str">
        <f>IFERROR(__xludf.DUMMYFUNCTION("""COMPUTED_VALUE"""),"0000401307")</f>
        <v>0000401307</v>
      </c>
      <c r="AJ191" s="1">
        <f>IFERROR(__xludf.DUMMYFUNCTION("""COMPUTED_VALUE"""),7.7810062E7)</f>
        <v>77810062</v>
      </c>
      <c r="AK191" s="1">
        <f>IFERROR(__xludf.DUMMYFUNCTION("""COMPUTED_VALUE"""),9.10572997E8)</f>
        <v>910572997</v>
      </c>
      <c r="AL191" s="1" t="str">
        <f>IFERROR(__xludf.DUMMYFUNCTION("""COMPUTED_VALUE"""),"kattypachecovela@gmail.com")</f>
        <v>kattypachecovela@gmail.com</v>
      </c>
      <c r="AM191" s="1" t="str">
        <f>IFERROR(__xludf.DUMMYFUNCTION("""COMPUTED_VALUE"""),"FEMENINO")</f>
        <v>FEMENINO</v>
      </c>
      <c r="AN191" s="1">
        <f>IFERROR(__xludf.DUMMYFUNCTION("""COMPUTED_VALUE"""),1350.0)</f>
        <v>1350</v>
      </c>
      <c r="AO191" s="1">
        <f>IFERROR(__xludf.DUMMYFUNCTION("""COMPUTED_VALUE"""),0.0)</f>
        <v>0</v>
      </c>
      <c r="AP191" s="1" t="str">
        <f>IFERROR(__xludf.DUMMYFUNCTION("""COMPUTED_VALUE"""),"FORMULARIO")</f>
        <v>FORMULARIO</v>
      </c>
      <c r="AQ191" s="1" t="str">
        <f>IFERROR(__xludf.DUMMYFUNCTION("""COMPUTED_VALUE"""),"SEARCH MARCA")</f>
        <v>SEARCH MARCA</v>
      </c>
      <c r="AR191" s="1" t="str">
        <f>IFERROR(__xludf.DUMMYFUNCTION("""COMPUTED_VALUE"""),"NUEVO")</f>
        <v>NUEVO</v>
      </c>
      <c r="AS191" s="1" t="str">
        <f>IFERROR(__xludf.DUMMYFUNCTION("""COMPUTED_VALUE"""),"ucal-pg-performance-sedes-abierta-cpl-search_conversion_marca-20240401")</f>
        <v>ucal-pg-performance-sedes-abierta-cpl-search_conversion_marca-20240401</v>
      </c>
      <c r="AT191" s="2">
        <f>IFERROR(__xludf.DUMMYFUNCTION("""COMPUTED_VALUE"""),45613.0)</f>
        <v>45613</v>
      </c>
      <c r="AU191" s="1">
        <f>IFERROR(__xludf.DUMMYFUNCTION("""COMPUTED_VALUE"""),1.0)</f>
        <v>1</v>
      </c>
      <c r="AV191" s="1" t="str">
        <f>IFERROR(__xludf.DUMMYFUNCTION("""COMPUTED_VALUE"""),"NUEVO")</f>
        <v>NUEVO</v>
      </c>
      <c r="AW191" s="1" t="str">
        <f>IFERROR(__xludf.DUMMYFUNCTION("""COMPUTED_VALUE"""),"SI")</f>
        <v>SI</v>
      </c>
      <c r="AX191" s="1"/>
      <c r="AY191" s="1" t="str">
        <f>IFERROR(__xludf.DUMMYFUNCTION("""COMPUTED_VALUE"""),"PAGO COMPLETO")</f>
        <v>PAGO COMPLETO</v>
      </c>
      <c r="AZ191" s="5">
        <f>IFERROR(__xludf.DUMMYFUNCTION("""COMPUTED_VALUE"""),45617.0)</f>
        <v>45617</v>
      </c>
      <c r="BA191" s="1">
        <f>IFERROR(__xludf.DUMMYFUNCTION("""COMPUTED_VALUE"""),0.0)</f>
        <v>0</v>
      </c>
      <c r="BB191" s="1">
        <f>IFERROR(__xludf.DUMMYFUNCTION("""COMPUTED_VALUE"""),0.0)</f>
        <v>0</v>
      </c>
      <c r="BC191" s="4">
        <f>IFERROR(__xludf.DUMMYFUNCTION("""COMPUTED_VALUE"""),0.0)</f>
        <v>0</v>
      </c>
      <c r="BD191" s="4">
        <f>IFERROR(__xludf.DUMMYFUNCTION("""COMPUTED_VALUE"""),0.0)</f>
        <v>0</v>
      </c>
      <c r="BE191" s="1">
        <f>IFERROR(__xludf.DUMMYFUNCTION("""COMPUTED_VALUE"""),11.0)</f>
        <v>11</v>
      </c>
      <c r="BF191" s="6">
        <f>IFERROR(__xludf.DUMMYFUNCTION("""COMPUTED_VALUE"""),1.0)</f>
        <v>1</v>
      </c>
      <c r="BG191" s="1">
        <f>IFERROR(__xludf.DUMMYFUNCTION("""COMPUTED_VALUE"""),1.0)</f>
        <v>1</v>
      </c>
      <c r="BH191" s="1" t="str">
        <f>IFERROR(__xludf.DUMMYFUNCTION("""COMPUTED_VALUE"""),"0")</f>
        <v>0</v>
      </c>
      <c r="BI191" s="4">
        <f>IFERROR(__xludf.DUMMYFUNCTION("""COMPUTED_VALUE"""),0.0)</f>
        <v>0</v>
      </c>
      <c r="BJ191" s="1">
        <f>IFERROR(__xludf.DUMMYFUNCTION("""COMPUTED_VALUE"""),0.0)</f>
        <v>0</v>
      </c>
      <c r="BK191" s="4">
        <f>IFERROR(__xludf.DUMMYFUNCTION("""COMPUTED_VALUE"""),0.0)</f>
        <v>0</v>
      </c>
      <c r="BL191" s="1">
        <f>IFERROR(__xludf.DUMMYFUNCTION("""COMPUTED_VALUE"""),950.0)</f>
        <v>950</v>
      </c>
      <c r="BM191" s="1">
        <f>IFERROR(__xludf.DUMMYFUNCTION("""COMPUTED_VALUE"""),47.0)</f>
        <v>47</v>
      </c>
      <c r="BN191" s="2">
        <f>IFERROR(__xludf.DUMMYFUNCTION("""COMPUTED_VALUE"""),45614.0)</f>
        <v>45614</v>
      </c>
      <c r="BO191" s="1">
        <f>IFERROR(__xludf.DUMMYFUNCTION("""COMPUTED_VALUE"""),11.0)</f>
        <v>11</v>
      </c>
      <c r="BP191" s="1">
        <f>IFERROR(__xludf.DUMMYFUNCTION("""COMPUTED_VALUE"""),2024.0)</f>
        <v>2024</v>
      </c>
    </row>
    <row r="192">
      <c r="A192" s="1">
        <f>IFERROR(__xludf.DUMMYFUNCTION("""COMPUTED_VALUE"""),191.0)</f>
        <v>191</v>
      </c>
      <c r="B192" s="1">
        <f>IFERROR(__xludf.DUMMYFUNCTION("""COMPUTED_VALUE"""),2539509.0)</f>
        <v>2539509</v>
      </c>
      <c r="C192" s="1" t="str">
        <f>IFERROR(__xludf.DUMMYFUNCTION("""COMPUTED_VALUE"""),"2025-1")</f>
        <v>2025-1</v>
      </c>
      <c r="D192" s="1" t="str">
        <f>IFERROR(__xludf.DUMMYFUNCTION("""COMPUTED_VALUE"""),"Admisión Extraordinaria (Traslados)")</f>
        <v>Admisión Extraordinaria (Traslados)</v>
      </c>
      <c r="E192" s="2">
        <f>IFERROR(__xludf.DUMMYFUNCTION("""COMPUTED_VALUE"""),45617.0)</f>
        <v>45617</v>
      </c>
      <c r="F192" s="1" t="str">
        <f>IFERROR(__xludf.DUMMYFUNCTION("""COMPUTED_VALUE"""),"JOHANA ")</f>
        <v>JOHANA </v>
      </c>
      <c r="G192" s="1" t="str">
        <f>IFERROR(__xludf.DUMMYFUNCTION("""COMPUTED_VALUE"""),"MODESTO MONTES DE OCA")</f>
        <v>MODESTO MONTES DE OCA</v>
      </c>
      <c r="H192" s="1" t="str">
        <f>IFERROR(__xludf.DUMMYFUNCTION("""COMPUTED_VALUE"""),"Comunicación y Publicidad Transmedia")</f>
        <v>Comunicación y Publicidad Transmedia</v>
      </c>
      <c r="I192" s="1" t="str">
        <f>IFERROR(__xludf.DUMMYFUNCTION("""COMPUTED_VALUE"""),"CARGO")</f>
        <v>CARGO</v>
      </c>
      <c r="J192" s="1" t="str">
        <f>IFERROR(__xludf.DUMMYFUNCTION("""COMPUTED_VALUE"""),"Diurno")</f>
        <v>Diurno</v>
      </c>
      <c r="K192" s="1" t="str">
        <f>IFERROR(__xludf.DUMMYFUNCTION("""COMPUTED_VALUE"""),"TRASLADO")</f>
        <v>TRASLADO</v>
      </c>
      <c r="L192" s="1">
        <f>IFERROR(__xludf.DUMMYFUNCTION("""COMPUTED_VALUE"""),0.0)</f>
        <v>0</v>
      </c>
      <c r="M192" s="1">
        <f>IFERROR(__xludf.DUMMYFUNCTION("""COMPUTED_VALUE"""),0.0)</f>
        <v>0</v>
      </c>
      <c r="N192" s="1" t="str">
        <f>IFERROR(__xludf.DUMMYFUNCTION("""COMPUTED_VALUE"""),"RECA")</f>
        <v>RECA</v>
      </c>
      <c r="O192" s="1" t="str">
        <f>IFERROR(__xludf.DUMMYFUNCTION("""COMPUTED_VALUE"""),"RECA TRASLADO SIN CONVA")</f>
        <v>RECA TRASLADO SIN CONVA</v>
      </c>
      <c r="P192" s="4">
        <f>IFERROR(__xludf.DUMMYFUNCTION("""COMPUTED_VALUE"""),0.0)</f>
        <v>0</v>
      </c>
      <c r="Q192" s="4">
        <f>IFERROR(__xludf.DUMMYFUNCTION("""COMPUTED_VALUE"""),0.0)</f>
        <v>0</v>
      </c>
      <c r="R192" s="4">
        <f>IFERROR(__xludf.DUMMYFUNCTION("""COMPUTED_VALUE"""),900.0)</f>
        <v>900</v>
      </c>
      <c r="S192" s="4">
        <f>IFERROR(__xludf.DUMMYFUNCTION("""COMPUTED_VALUE"""),900.0)</f>
        <v>900</v>
      </c>
      <c r="T192" s="1" t="str">
        <f>IFERROR(__xludf.DUMMYFUNCTION("""COMPUTED_VALUE"""),"NINGUNO")</f>
        <v>NINGUNO</v>
      </c>
      <c r="U192" s="1" t="str">
        <f>IFERROR(__xludf.DUMMYFUNCTION("""COMPUTED_VALUE"""),"FABIOLA")</f>
        <v>FABIOLA</v>
      </c>
      <c r="V192" s="1" t="str">
        <f>IFERROR(__xludf.DUMMYFUNCTION("""COMPUTED_VALUE"""),"Ninguno")</f>
        <v>Ninguno</v>
      </c>
      <c r="W192" s="1" t="str">
        <f>IFERROR(__xludf.DUMMYFUNCTION("""COMPUTED_VALUE"""),"Malla curricular")</f>
        <v>Malla curricular</v>
      </c>
      <c r="X192" s="1" t="str">
        <f>IFERROR(__xludf.DUMMYFUNCTION("""COMPUTED_VALUE"""),"-")</f>
        <v>-</v>
      </c>
      <c r="Y192" s="1" t="str">
        <f>IFERROR(__xludf.DUMMYFUNCTION("""COMPUTED_VALUE"""),"PAGO COMPLETO")</f>
        <v>PAGO COMPLETO</v>
      </c>
      <c r="Z192" s="1">
        <f>IFERROR(__xludf.DUMMYFUNCTION("""COMPUTED_VALUE"""),0.0)</f>
        <v>0</v>
      </c>
      <c r="AA192" s="1" t="str">
        <f>IFERROR(__xludf.DUMMYFUNCTION("""COMPUTED_VALUE"""),"-")</f>
        <v>-</v>
      </c>
      <c r="AB192" s="1">
        <f>IFERROR(__xludf.DUMMYFUNCTION("""COMPUTED_VALUE"""),0.0)</f>
        <v>0</v>
      </c>
      <c r="AC192" s="1">
        <f>IFERROR(__xludf.DUMMYFUNCTION("""COMPUTED_VALUE"""),0.0)</f>
        <v>0</v>
      </c>
      <c r="AD192" s="1" t="str">
        <f>IFERROR(__xludf.DUMMYFUNCTION("""COMPUTED_VALUE"""),"Fiorella Lanegra")</f>
        <v>Fiorella Lanegra</v>
      </c>
      <c r="AE192" s="1" t="str">
        <f>IFERROR(__xludf.DUMMYFUNCTION("""COMPUTED_VALUE"""),"ISIL")</f>
        <v>ISIL</v>
      </c>
      <c r="AF192" s="1">
        <f>IFERROR(__xludf.DUMMYFUNCTION("""COMPUTED_VALUE"""),2017.0)</f>
        <v>2017</v>
      </c>
      <c r="AG192" s="1">
        <f>IFERROR(__xludf.DUMMYFUNCTION("""COMPUTED_VALUE"""),1082809.0)</f>
        <v>1082809</v>
      </c>
      <c r="AH192" s="1">
        <f>IFERROR(__xludf.DUMMYFUNCTION("""COMPUTED_VALUE"""),23.0)</f>
        <v>23</v>
      </c>
      <c r="AI192" s="1" t="str">
        <f>IFERROR(__xludf.DUMMYFUNCTION("""COMPUTED_VALUE"""),"0000396269")</f>
        <v>0000396269</v>
      </c>
      <c r="AJ192" s="1">
        <f>IFERROR(__xludf.DUMMYFUNCTION("""COMPUTED_VALUE"""),7.1119883E7)</f>
        <v>71119883</v>
      </c>
      <c r="AK192" s="1">
        <f>IFERROR(__xludf.DUMMYFUNCTION("""COMPUTED_VALUE"""),9.55506534E8)</f>
        <v>955506534</v>
      </c>
      <c r="AL192" s="1" t="str">
        <f>IFERROR(__xludf.DUMMYFUNCTION("""COMPUTED_VALUE"""),"johana_modesto@outlook.com")</f>
        <v>johana_modesto@outlook.com</v>
      </c>
      <c r="AM192" s="1" t="str">
        <f>IFERROR(__xludf.DUMMYFUNCTION("""COMPUTED_VALUE"""),"FEMENINO")</f>
        <v>FEMENINO</v>
      </c>
      <c r="AN192" s="1">
        <f>IFERROR(__xludf.DUMMYFUNCTION("""COMPUTED_VALUE"""),1775.0)</f>
        <v>1775</v>
      </c>
      <c r="AO192" s="1">
        <f>IFERROR(__xludf.DUMMYFUNCTION("""COMPUTED_VALUE"""),370.0)</f>
        <v>370</v>
      </c>
      <c r="AP192" s="1" t="str">
        <f>IFERROR(__xludf.DUMMYFUNCTION("""COMPUTED_VALUE"""),"BIDIRECCIONAL")</f>
        <v>BIDIRECCIONAL</v>
      </c>
      <c r="AQ192" s="1" t="str">
        <f>IFERROR(__xludf.DUMMYFUNCTION("""COMPUTED_VALUE"""),"ORGANICO")</f>
        <v>ORGANICO</v>
      </c>
      <c r="AR192" s="1" t="str">
        <f>IFERROR(__xludf.DUMMYFUNCTION("""COMPUTED_VALUE"""),"HEREDADO")</f>
        <v>HEREDADO</v>
      </c>
      <c r="AS192" s="1"/>
      <c r="AT192" s="2">
        <f>IFERROR(__xludf.DUMMYFUNCTION("""COMPUTED_VALUE"""),45561.0)</f>
        <v>45561</v>
      </c>
      <c r="AU192" s="1">
        <f>IFERROR(__xludf.DUMMYFUNCTION("""COMPUTED_VALUE"""),1.0)</f>
        <v>1</v>
      </c>
      <c r="AV192" s="1" t="str">
        <f>IFERROR(__xludf.DUMMYFUNCTION("""COMPUTED_VALUE"""),"NUEVO")</f>
        <v>NUEVO</v>
      </c>
      <c r="AW192" s="1" t="str">
        <f>IFERROR(__xludf.DUMMYFUNCTION("""COMPUTED_VALUE"""),"SI")</f>
        <v>SI</v>
      </c>
      <c r="AX192" s="1"/>
      <c r="AY192" s="1" t="str">
        <f>IFERROR(__xludf.DUMMYFUNCTION("""COMPUTED_VALUE"""),"PAGO COMPLETO")</f>
        <v>PAGO COMPLETO</v>
      </c>
      <c r="AZ192" s="5">
        <f>IFERROR(__xludf.DUMMYFUNCTION("""COMPUTED_VALUE"""),45617.0)</f>
        <v>45617</v>
      </c>
      <c r="BA192" s="1">
        <f>IFERROR(__xludf.DUMMYFUNCTION("""COMPUTED_VALUE"""),0.0)</f>
        <v>0</v>
      </c>
      <c r="BB192" s="1">
        <f>IFERROR(__xludf.DUMMYFUNCTION("""COMPUTED_VALUE"""),0.0)</f>
        <v>0</v>
      </c>
      <c r="BC192" s="4">
        <f>IFERROR(__xludf.DUMMYFUNCTION("""COMPUTED_VALUE"""),0.0)</f>
        <v>0</v>
      </c>
      <c r="BD192" s="4">
        <f>IFERROR(__xludf.DUMMYFUNCTION("""COMPUTED_VALUE"""),0.0)</f>
        <v>0</v>
      </c>
      <c r="BE192" s="1">
        <f>IFERROR(__xludf.DUMMYFUNCTION("""COMPUTED_VALUE"""),11.0)</f>
        <v>11</v>
      </c>
      <c r="BF192" s="6">
        <f>IFERROR(__xludf.DUMMYFUNCTION("""COMPUTED_VALUE"""),1.0)</f>
        <v>1</v>
      </c>
      <c r="BG192" s="1">
        <f>IFERROR(__xludf.DUMMYFUNCTION("""COMPUTED_VALUE"""),1.0)</f>
        <v>1</v>
      </c>
      <c r="BH192" s="1" t="str">
        <f>IFERROR(__xludf.DUMMYFUNCTION("""COMPUTED_VALUE"""),"0")</f>
        <v>0</v>
      </c>
      <c r="BI192" s="4">
        <f>IFERROR(__xludf.DUMMYFUNCTION("""COMPUTED_VALUE"""),0.0)</f>
        <v>0</v>
      </c>
      <c r="BJ192" s="1">
        <f>IFERROR(__xludf.DUMMYFUNCTION("""COMPUTED_VALUE"""),0.0)</f>
        <v>0</v>
      </c>
      <c r="BK192" s="4">
        <f>IFERROR(__xludf.DUMMYFUNCTION("""COMPUTED_VALUE"""),0.0)</f>
        <v>0</v>
      </c>
      <c r="BL192" s="1">
        <f>IFERROR(__xludf.DUMMYFUNCTION("""COMPUTED_VALUE"""),900.0)</f>
        <v>900</v>
      </c>
      <c r="BM192" s="1">
        <f>IFERROR(__xludf.DUMMYFUNCTION("""COMPUTED_VALUE"""),47.0)</f>
        <v>47</v>
      </c>
      <c r="BN192" s="2">
        <f>IFERROR(__xludf.DUMMYFUNCTION("""COMPUTED_VALUE"""),45614.0)</f>
        <v>45614</v>
      </c>
      <c r="BO192" s="1">
        <f>IFERROR(__xludf.DUMMYFUNCTION("""COMPUTED_VALUE"""),11.0)</f>
        <v>11</v>
      </c>
      <c r="BP192" s="1">
        <f>IFERROR(__xludf.DUMMYFUNCTION("""COMPUTED_VALUE"""),2024.0)</f>
        <v>2024</v>
      </c>
    </row>
    <row r="193">
      <c r="A193" s="1">
        <f>IFERROR(__xludf.DUMMYFUNCTION("""COMPUTED_VALUE"""),192.0)</f>
        <v>192</v>
      </c>
      <c r="B193" s="1">
        <f>IFERROR(__xludf.DUMMYFUNCTION("""COMPUTED_VALUE"""),4816158.0)</f>
        <v>4816158</v>
      </c>
      <c r="C193" s="1" t="str">
        <f>IFERROR(__xludf.DUMMYFUNCTION("""COMPUTED_VALUE"""),"2025-1")</f>
        <v>2025-1</v>
      </c>
      <c r="D193" s="1" t="str">
        <f>IFERROR(__xludf.DUMMYFUNCTION("""COMPUTED_VALUE"""),"Admisión Extraordinaria (Traslados)")</f>
        <v>Admisión Extraordinaria (Traslados)</v>
      </c>
      <c r="E193" s="2">
        <f>IFERROR(__xludf.DUMMYFUNCTION("""COMPUTED_VALUE"""),45618.0)</f>
        <v>45618</v>
      </c>
      <c r="F193" s="1" t="str">
        <f>IFERROR(__xludf.DUMMYFUNCTION("""COMPUTED_VALUE"""),"NAJARI MILAYDA ")</f>
        <v>NAJARI MILAYDA </v>
      </c>
      <c r="G193" s="1" t="str">
        <f>IFERROR(__xludf.DUMMYFUNCTION("""COMPUTED_VALUE"""),"TOCCONI PORRAS")</f>
        <v>TOCCONI PORRAS</v>
      </c>
      <c r="H193" s="1" t="str">
        <f>IFERROR(__xludf.DUMMYFUNCTION("""COMPUTED_VALUE"""),"Arquitectura de Interiores")</f>
        <v>Arquitectura de Interiores</v>
      </c>
      <c r="I193" s="1" t="str">
        <f>IFERROR(__xludf.DUMMYFUNCTION("""COMPUTED_VALUE"""),"Pago Link")</f>
        <v>Pago Link</v>
      </c>
      <c r="J193" s="1" t="str">
        <f>IFERROR(__xludf.DUMMYFUNCTION("""COMPUTED_VALUE"""),"Diurno")</f>
        <v>Diurno</v>
      </c>
      <c r="K193" s="1" t="str">
        <f>IFERROR(__xludf.DUMMYFUNCTION("""COMPUTED_VALUE"""),"TRASLADO")</f>
        <v>TRASLADO</v>
      </c>
      <c r="L193" s="1">
        <f>IFERROR(__xludf.DUMMYFUNCTION("""COMPUTED_VALUE"""),1.0)</f>
        <v>1</v>
      </c>
      <c r="M193" s="1">
        <f>IFERROR(__xludf.DUMMYFUNCTION("""COMPUTED_VALUE"""),0.0)</f>
        <v>0</v>
      </c>
      <c r="N193" s="1" t="str">
        <f>IFERROR(__xludf.DUMMYFUNCTION("""COMPUTED_VALUE"""),"RECA")</f>
        <v>RECA</v>
      </c>
      <c r="O193" s="1" t="str">
        <f>IFERROR(__xludf.DUMMYFUNCTION("""COMPUTED_VALUE"""),"RECA TRASLADO CON CONVA")</f>
        <v>RECA TRASLADO CON CONVA</v>
      </c>
      <c r="P193" s="4">
        <f>IFERROR(__xludf.DUMMYFUNCTION("""COMPUTED_VALUE"""),0.0)</f>
        <v>0</v>
      </c>
      <c r="Q193" s="4">
        <f>IFERROR(__xludf.DUMMYFUNCTION("""COMPUTED_VALUE"""),0.0)</f>
        <v>0</v>
      </c>
      <c r="R193" s="4">
        <f>IFERROR(__xludf.DUMMYFUNCTION("""COMPUTED_VALUE"""),900.0)</f>
        <v>900</v>
      </c>
      <c r="S193" s="4">
        <f>IFERROR(__xludf.DUMMYFUNCTION("""COMPUTED_VALUE"""),900.0)</f>
        <v>900</v>
      </c>
      <c r="T193" s="1" t="str">
        <f>IFERROR(__xludf.DUMMYFUNCTION("""COMPUTED_VALUE"""),"NINGUNO")</f>
        <v>NINGUNO</v>
      </c>
      <c r="U193" s="1" t="str">
        <f>IFERROR(__xludf.DUMMYFUNCTION("""COMPUTED_VALUE"""),"FABIOLA")</f>
        <v>FABIOLA</v>
      </c>
      <c r="V193" s="1" t="str">
        <f>IFERROR(__xludf.DUMMYFUNCTION("""COMPUTED_VALUE"""),"Ninguno")</f>
        <v>Ninguno</v>
      </c>
      <c r="W193" s="1" t="str">
        <f>IFERROR(__xludf.DUMMYFUNCTION("""COMPUTED_VALUE"""),"Metodología de enseñanza")</f>
        <v>Metodología de enseñanza</v>
      </c>
      <c r="X193" s="1" t="str">
        <f>IFERROR(__xludf.DUMMYFUNCTION("""COMPUTED_VALUE"""),"metodología de enseñanza")</f>
        <v>metodología de enseñanza</v>
      </c>
      <c r="Y193" s="1" t="str">
        <f>IFERROR(__xludf.DUMMYFUNCTION("""COMPUTED_VALUE"""),"PAGO FRACCIONADO")</f>
        <v>PAGO FRACCIONADO</v>
      </c>
      <c r="Z193" s="1">
        <f>IFERROR(__xludf.DUMMYFUNCTION("""COMPUTED_VALUE"""),500.0)</f>
        <v>500</v>
      </c>
      <c r="AA193" s="1" t="str">
        <f>IFERROR(__xludf.DUMMYFUNCTION("""COMPUTED_VALUE"""),"30/11/2024")</f>
        <v>30/11/2024</v>
      </c>
      <c r="AB193" s="1">
        <f>IFERROR(__xludf.DUMMYFUNCTION("""COMPUTED_VALUE"""),0.0)</f>
        <v>0</v>
      </c>
      <c r="AC193" s="1">
        <f>IFERROR(__xludf.DUMMYFUNCTION("""COMPUTED_VALUE"""),0.0)</f>
        <v>0</v>
      </c>
      <c r="AD193" s="1" t="str">
        <f>IFERROR(__xludf.DUMMYFUNCTION("""COMPUTED_VALUE"""),"Cinthia Mariella Orosco")</f>
        <v>Cinthia Mariella Orosco</v>
      </c>
      <c r="AE193" s="1" t="str">
        <f>IFERROR(__xludf.DUMMYFUNCTION("""COMPUTED_VALUE"""),"Universidad Privada del Norte(UPN)")</f>
        <v>Universidad Privada del Norte(UPN)</v>
      </c>
      <c r="AF193" s="1">
        <f>IFERROR(__xludf.DUMMYFUNCTION("""COMPUTED_VALUE"""),2020.0)</f>
        <v>2020</v>
      </c>
      <c r="AG193" s="1">
        <f>IFERROR(__xludf.DUMMYFUNCTION("""COMPUTED_VALUE"""),275545.0)</f>
        <v>275545</v>
      </c>
      <c r="AH193" s="1">
        <f>IFERROR(__xludf.DUMMYFUNCTION("""COMPUTED_VALUE"""),25.0)</f>
        <v>25</v>
      </c>
      <c r="AI193" s="1" t="str">
        <f>IFERROR(__xludf.DUMMYFUNCTION("""COMPUTED_VALUE"""),"0000401532")</f>
        <v>0000401532</v>
      </c>
      <c r="AJ193" s="1">
        <f>IFERROR(__xludf.DUMMYFUNCTION("""COMPUTED_VALUE"""),7.4366044E7)</f>
        <v>74366044</v>
      </c>
      <c r="AK193" s="1">
        <f>IFERROR(__xludf.DUMMYFUNCTION("""COMPUTED_VALUE"""),9.3310983E8)</f>
        <v>933109830</v>
      </c>
      <c r="AL193" s="1" t="str">
        <f>IFERROR(__xludf.DUMMYFUNCTION("""COMPUTED_VALUE"""),"milaydsnajari@gmail.com")</f>
        <v>milaydsnajari@gmail.com</v>
      </c>
      <c r="AM193" s="1" t="str">
        <f>IFERROR(__xludf.DUMMYFUNCTION("""COMPUTED_VALUE"""),"FEMENINO")</f>
        <v>FEMENINO</v>
      </c>
      <c r="AN193" s="1">
        <f>IFERROR(__xludf.DUMMYFUNCTION("""COMPUTED_VALUE"""),1350.0)</f>
        <v>1350</v>
      </c>
      <c r="AO193" s="1">
        <f>IFERROR(__xludf.DUMMYFUNCTION("""COMPUTED_VALUE"""),0.0)</f>
        <v>0</v>
      </c>
      <c r="AP193" s="1" t="str">
        <f>IFERROR(__xludf.DUMMYFUNCTION("""COMPUTED_VALUE"""),"FORMULARIO")</f>
        <v>FORMULARIO</v>
      </c>
      <c r="AQ193" s="1" t="str">
        <f>IFERROR(__xludf.DUMMYFUNCTION("""COMPUTED_VALUE"""),"SEARCH CARRERA")</f>
        <v>SEARCH CARRERA</v>
      </c>
      <c r="AR193" s="1" t="str">
        <f>IFERROR(__xludf.DUMMYFUNCTION("""COMPUTED_VALUE"""),"NUEVO")</f>
        <v>NUEVO</v>
      </c>
      <c r="AS193" s="1" t="str">
        <f>IFERROR(__xludf.DUMMYFUNCTION("""COMPUTED_VALUE"""),"ucal-pg-performance-sedes-abierta-cpl-search_conversion_mundo_arquitectura-20240401")</f>
        <v>ucal-pg-performance-sedes-abierta-cpl-search_conversion_mundo_arquitectura-20240401</v>
      </c>
      <c r="AT193" s="2">
        <f>IFERROR(__xludf.DUMMYFUNCTION("""COMPUTED_VALUE"""),45617.0)</f>
        <v>45617</v>
      </c>
      <c r="AU193" s="1">
        <f>IFERROR(__xludf.DUMMYFUNCTION("""COMPUTED_VALUE"""),1.0)</f>
        <v>1</v>
      </c>
      <c r="AV193" s="1" t="str">
        <f>IFERROR(__xludf.DUMMYFUNCTION("""COMPUTED_VALUE"""),"TRASLADO")</f>
        <v>TRASLADO</v>
      </c>
      <c r="AW193" s="1" t="str">
        <f>IFERROR(__xludf.DUMMYFUNCTION("""COMPUTED_VALUE"""),"SI")</f>
        <v>SI</v>
      </c>
      <c r="AX193" s="1"/>
      <c r="AY193" s="1" t="str">
        <f>IFERROR(__xludf.DUMMYFUNCTION("""COMPUTED_VALUE"""),"PAGO COMPLETO")</f>
        <v>PAGO COMPLETO</v>
      </c>
      <c r="AZ193" s="5">
        <f>IFERROR(__xludf.DUMMYFUNCTION("""COMPUTED_VALUE"""),45626.0)</f>
        <v>45626</v>
      </c>
      <c r="BA193" s="1">
        <f>IFERROR(__xludf.DUMMYFUNCTION("""COMPUTED_VALUE"""),400.0)</f>
        <v>400</v>
      </c>
      <c r="BB193" s="1">
        <f>IFERROR(__xludf.DUMMYFUNCTION("""COMPUTED_VALUE"""),0.0)</f>
        <v>0</v>
      </c>
      <c r="BC193" s="4">
        <f>IFERROR(__xludf.DUMMYFUNCTION("""COMPUTED_VALUE"""),0.0)</f>
        <v>0</v>
      </c>
      <c r="BD193" s="4">
        <f>IFERROR(__xludf.DUMMYFUNCTION("""COMPUTED_VALUE"""),0.0)</f>
        <v>0</v>
      </c>
      <c r="BE193" s="1">
        <f>IFERROR(__xludf.DUMMYFUNCTION("""COMPUTED_VALUE"""),11.0)</f>
        <v>11</v>
      </c>
      <c r="BF193" s="6">
        <f>IFERROR(__xludf.DUMMYFUNCTION("""COMPUTED_VALUE"""),1.0)</f>
        <v>1</v>
      </c>
      <c r="BG193" s="1">
        <f>IFERROR(__xludf.DUMMYFUNCTION("""COMPUTED_VALUE"""),1.0)</f>
        <v>1</v>
      </c>
      <c r="BH193" s="1" t="str">
        <f>IFERROR(__xludf.DUMMYFUNCTION("""COMPUTED_VALUE"""),"1")</f>
        <v>1</v>
      </c>
      <c r="BI193" s="4">
        <f>IFERROR(__xludf.DUMMYFUNCTION("""COMPUTED_VALUE"""),900.0)</f>
        <v>900</v>
      </c>
      <c r="BJ193" s="1">
        <f>IFERROR(__xludf.DUMMYFUNCTION("""COMPUTED_VALUE"""),0.0)</f>
        <v>0</v>
      </c>
      <c r="BK193" s="4">
        <f>IFERROR(__xludf.DUMMYFUNCTION("""COMPUTED_VALUE"""),0.0)</f>
        <v>0</v>
      </c>
      <c r="BL193" s="1">
        <f>IFERROR(__xludf.DUMMYFUNCTION("""COMPUTED_VALUE"""),900.0)</f>
        <v>900</v>
      </c>
      <c r="BM193" s="1">
        <f>IFERROR(__xludf.DUMMYFUNCTION("""COMPUTED_VALUE"""),47.0)</f>
        <v>47</v>
      </c>
      <c r="BN193" s="2">
        <f>IFERROR(__xludf.DUMMYFUNCTION("""COMPUTED_VALUE"""),45614.0)</f>
        <v>45614</v>
      </c>
      <c r="BO193" s="1">
        <f>IFERROR(__xludf.DUMMYFUNCTION("""COMPUTED_VALUE"""),11.0)</f>
        <v>11</v>
      </c>
      <c r="BP193" s="1">
        <f>IFERROR(__xludf.DUMMYFUNCTION("""COMPUTED_VALUE"""),2024.0)</f>
        <v>2024</v>
      </c>
    </row>
    <row r="194">
      <c r="A194" s="1">
        <f>IFERROR(__xludf.DUMMYFUNCTION("""COMPUTED_VALUE"""),193.0)</f>
        <v>193</v>
      </c>
      <c r="B194" s="1">
        <f>IFERROR(__xludf.DUMMYFUNCTION("""COMPUTED_VALUE"""),1934535.0)</f>
        <v>1934535</v>
      </c>
      <c r="C194" s="1" t="str">
        <f>IFERROR(__xludf.DUMMYFUNCTION("""COMPUTED_VALUE"""),"2025-1")</f>
        <v>2025-1</v>
      </c>
      <c r="D194" s="1" t="str">
        <f>IFERROR(__xludf.DUMMYFUNCTION("""COMPUTED_VALUE"""),"Admisión Ordinaria")</f>
        <v>Admisión Ordinaria</v>
      </c>
      <c r="E194" s="2">
        <f>IFERROR(__xludf.DUMMYFUNCTION("""COMPUTED_VALUE"""),45619.0)</f>
        <v>45619</v>
      </c>
      <c r="F194" s="1" t="str">
        <f>IFERROR(__xludf.DUMMYFUNCTION("""COMPUTED_VALUE"""),"ANGELES TAMAR")</f>
        <v>ANGELES TAMAR</v>
      </c>
      <c r="G194" s="1" t="str">
        <f>IFERROR(__xludf.DUMMYFUNCTION("""COMPUTED_VALUE"""),"SIANCAS CORDOVA")</f>
        <v>SIANCAS CORDOVA</v>
      </c>
      <c r="H194" s="1" t="str">
        <f>IFERROR(__xludf.DUMMYFUNCTION("""COMPUTED_VALUE"""),"Comunicación y Publicidad Transmedia")</f>
        <v>Comunicación y Publicidad Transmedia</v>
      </c>
      <c r="I194" s="1" t="str">
        <f>IFERROR(__xludf.DUMMYFUNCTION("""COMPUTED_VALUE"""),"CARGO")</f>
        <v>CARGO</v>
      </c>
      <c r="J194" s="1" t="str">
        <f>IFERROR(__xludf.DUMMYFUNCTION("""COMPUTED_VALUE"""),"Diurno")</f>
        <v>Diurno</v>
      </c>
      <c r="K194" s="1" t="str">
        <f>IFERROR(__xludf.DUMMYFUNCTION("""COMPUTED_VALUE"""),"NUEVO")</f>
        <v>NUEVO</v>
      </c>
      <c r="L194" s="1">
        <f>IFERROR(__xludf.DUMMYFUNCTION("""COMPUTED_VALUE"""),0.0)</f>
        <v>0</v>
      </c>
      <c r="M194" s="1">
        <f>IFERROR(__xludf.DUMMYFUNCTION("""COMPUTED_VALUE"""),0.0)</f>
        <v>0</v>
      </c>
      <c r="N194" s="1" t="str">
        <f>IFERROR(__xludf.DUMMYFUNCTION("""COMPUTED_VALUE"""),"BECA")</f>
        <v>BECA</v>
      </c>
      <c r="O194" s="1" t="str">
        <f>IFERROR(__xludf.DUMMYFUNCTION("""COMPUTED_VALUE"""),"BECA CARRERAS CORE")</f>
        <v>BECA CARRERAS CORE</v>
      </c>
      <c r="P194" s="4">
        <f>IFERROR(__xludf.DUMMYFUNCTION("""COMPUTED_VALUE"""),0.0)</f>
        <v>0</v>
      </c>
      <c r="Q194" s="4">
        <f>IFERROR(__xludf.DUMMYFUNCTION("""COMPUTED_VALUE"""),0.0)</f>
        <v>0</v>
      </c>
      <c r="R194" s="4">
        <f>IFERROR(__xludf.DUMMYFUNCTION("""COMPUTED_VALUE"""),1150.0)</f>
        <v>1150</v>
      </c>
      <c r="S194" s="4">
        <f>IFERROR(__xludf.DUMMYFUNCTION("""COMPUTED_VALUE"""),1075.0)</f>
        <v>1075</v>
      </c>
      <c r="T194" s="1" t="str">
        <f>IFERROR(__xludf.DUMMYFUNCTION("""COMPUTED_VALUE"""),"PALANCA 700")</f>
        <v>PALANCA 700</v>
      </c>
      <c r="U194" s="1" t="str">
        <f>IFERROR(__xludf.DUMMYFUNCTION("""COMPUTED_VALUE"""),"FABIOLA")</f>
        <v>FABIOLA</v>
      </c>
      <c r="V194" s="1" t="str">
        <f>IFERROR(__xludf.DUMMYFUNCTION("""COMPUTED_VALUE"""),"Ninguno")</f>
        <v>Ninguno</v>
      </c>
      <c r="W194" s="1" t="str">
        <f>IFERROR(__xludf.DUMMYFUNCTION("""COMPUTED_VALUE"""),"Metodología de enseñanza")</f>
        <v>Metodología de enseñanza</v>
      </c>
      <c r="X194" s="1" t="str">
        <f>IFERROR(__xludf.DUMMYFUNCTION("""COMPUTED_VALUE"""),"-")</f>
        <v>-</v>
      </c>
      <c r="Y194" s="1" t="str">
        <f>IFERROR(__xludf.DUMMYFUNCTION("""COMPUTED_VALUE"""),"PAGO COMPLETO")</f>
        <v>PAGO COMPLETO</v>
      </c>
      <c r="Z194" s="1">
        <f>IFERROR(__xludf.DUMMYFUNCTION("""COMPUTED_VALUE"""),0.0)</f>
        <v>0</v>
      </c>
      <c r="AA194" s="1" t="str">
        <f>IFERROR(__xludf.DUMMYFUNCTION("""COMPUTED_VALUE"""),"-")</f>
        <v>-</v>
      </c>
      <c r="AB194" s="1">
        <f>IFERROR(__xludf.DUMMYFUNCTION("""COMPUTED_VALUE"""),0.0)</f>
        <v>0</v>
      </c>
      <c r="AC194" s="1">
        <f>IFERROR(__xludf.DUMMYFUNCTION("""COMPUTED_VALUE"""),0.0)</f>
        <v>0</v>
      </c>
      <c r="AD194" s="1" t="str">
        <f>IFERROR(__xludf.DUMMYFUNCTION("""COMPUTED_VALUE"""),"Angelica Iparraguirre")</f>
        <v>Angelica Iparraguirre</v>
      </c>
      <c r="AE194" s="1" t="str">
        <f>IFERROR(__xludf.DUMMYFUNCTION("""COMPUTED_VALUE"""),"0")</f>
        <v>0</v>
      </c>
      <c r="AF194" s="1">
        <f>IFERROR(__xludf.DUMMYFUNCTION("""COMPUTED_VALUE"""),2020.0)</f>
        <v>2020</v>
      </c>
      <c r="AG194" s="1">
        <f>IFERROR(__xludf.DUMMYFUNCTION("""COMPUTED_VALUE"""),607143.0)</f>
        <v>607143</v>
      </c>
      <c r="AH194" s="1">
        <f>IFERROR(__xludf.DUMMYFUNCTION("""COMPUTED_VALUE"""),20.0)</f>
        <v>20</v>
      </c>
      <c r="AI194" s="1" t="str">
        <f>IFERROR(__xludf.DUMMYFUNCTION("""COMPUTED_VALUE"""),"0000401690")</f>
        <v>0000401690</v>
      </c>
      <c r="AJ194" s="1">
        <f>IFERROR(__xludf.DUMMYFUNCTION("""COMPUTED_VALUE"""),7.6415282E7)</f>
        <v>76415282</v>
      </c>
      <c r="AK194" s="1">
        <f>IFERROR(__xludf.DUMMYFUNCTION("""COMPUTED_VALUE"""),9.65262892E8)</f>
        <v>965262892</v>
      </c>
      <c r="AL194" s="1" t="str">
        <f>IFERROR(__xludf.DUMMYFUNCTION("""COMPUTED_VALUE"""),"tamarsiancas4@gmail.com")</f>
        <v>tamarsiancas4@gmail.com</v>
      </c>
      <c r="AM194" s="1" t="str">
        <f>IFERROR(__xludf.DUMMYFUNCTION("""COMPUTED_VALUE"""),"FEMENINO")</f>
        <v>FEMENINO</v>
      </c>
      <c r="AN194" s="1">
        <f>IFERROR(__xludf.DUMMYFUNCTION("""COMPUTED_VALUE"""),1350.0)</f>
        <v>1350</v>
      </c>
      <c r="AO194" s="1">
        <f>IFERROR(__xludf.DUMMYFUNCTION("""COMPUTED_VALUE"""),0.0)</f>
        <v>0</v>
      </c>
      <c r="AP194" s="1" t="str">
        <f>IFERROR(__xludf.DUMMYFUNCTION("""COMPUTED_VALUE"""),"BIDIRECCIONAL")</f>
        <v>BIDIRECCIONAL</v>
      </c>
      <c r="AQ194" s="1" t="str">
        <f>IFERROR(__xludf.DUMMYFUNCTION("""COMPUTED_VALUE"""),"ORGANICO")</f>
        <v>ORGANICO</v>
      </c>
      <c r="AR194" s="1" t="str">
        <f>IFERROR(__xludf.DUMMYFUNCTION("""COMPUTED_VALUE"""),"NUEVO")</f>
        <v>NUEVO</v>
      </c>
      <c r="AS194" s="1"/>
      <c r="AT194" s="2">
        <f>IFERROR(__xludf.DUMMYFUNCTION("""COMPUTED_VALUE"""),45615.0)</f>
        <v>45615</v>
      </c>
      <c r="AU194" s="1">
        <f>IFERROR(__xludf.DUMMYFUNCTION("""COMPUTED_VALUE"""),1.0)</f>
        <v>1</v>
      </c>
      <c r="AV194" s="1" t="str">
        <f>IFERROR(__xludf.DUMMYFUNCTION("""COMPUTED_VALUE"""),"NUEVO")</f>
        <v>NUEVO</v>
      </c>
      <c r="AW194" s="1" t="str">
        <f>IFERROR(__xludf.DUMMYFUNCTION("""COMPUTED_VALUE"""),"SI")</f>
        <v>SI</v>
      </c>
      <c r="AX194" s="1"/>
      <c r="AY194" s="1" t="str">
        <f>IFERROR(__xludf.DUMMYFUNCTION("""COMPUTED_VALUE"""),"PAGO COMPLETO")</f>
        <v>PAGO COMPLETO</v>
      </c>
      <c r="AZ194" s="5">
        <f>IFERROR(__xludf.DUMMYFUNCTION("""COMPUTED_VALUE"""),45619.0)</f>
        <v>45619</v>
      </c>
      <c r="BA194" s="1">
        <f>IFERROR(__xludf.DUMMYFUNCTION("""COMPUTED_VALUE"""),0.0)</f>
        <v>0</v>
      </c>
      <c r="BB194" s="1">
        <f>IFERROR(__xludf.DUMMYFUNCTION("""COMPUTED_VALUE"""),0.0)</f>
        <v>0</v>
      </c>
      <c r="BC194" s="4">
        <f>IFERROR(__xludf.DUMMYFUNCTION("""COMPUTED_VALUE"""),0.0)</f>
        <v>0</v>
      </c>
      <c r="BD194" s="4">
        <f>IFERROR(__xludf.DUMMYFUNCTION("""COMPUTED_VALUE"""),375.0)</f>
        <v>375</v>
      </c>
      <c r="BE194" s="1">
        <f>IFERROR(__xludf.DUMMYFUNCTION("""COMPUTED_VALUE"""),11.0)</f>
        <v>11</v>
      </c>
      <c r="BF194" s="6">
        <f>IFERROR(__xludf.DUMMYFUNCTION("""COMPUTED_VALUE"""),1.0)</f>
        <v>1</v>
      </c>
      <c r="BG194" s="1">
        <f>IFERROR(__xludf.DUMMYFUNCTION("""COMPUTED_VALUE"""),1.0)</f>
        <v>1</v>
      </c>
      <c r="BH194" s="1" t="str">
        <f>IFERROR(__xludf.DUMMYFUNCTION("""COMPUTED_VALUE"""),"0")</f>
        <v>0</v>
      </c>
      <c r="BI194" s="4">
        <f>IFERROR(__xludf.DUMMYFUNCTION("""COMPUTED_VALUE"""),375.0)</f>
        <v>375</v>
      </c>
      <c r="BJ194" s="1">
        <f>IFERROR(__xludf.DUMMYFUNCTION("""COMPUTED_VALUE"""),0.0)</f>
        <v>0</v>
      </c>
      <c r="BK194" s="4">
        <f>IFERROR(__xludf.DUMMYFUNCTION("""COMPUTED_VALUE"""),375.0)</f>
        <v>375</v>
      </c>
      <c r="BL194" s="1">
        <f>IFERROR(__xludf.DUMMYFUNCTION("""COMPUTED_VALUE"""),1000.0)</f>
        <v>1000</v>
      </c>
      <c r="BM194" s="1">
        <f>IFERROR(__xludf.DUMMYFUNCTION("""COMPUTED_VALUE"""),47.0)</f>
        <v>47</v>
      </c>
      <c r="BN194" s="2">
        <f>IFERROR(__xludf.DUMMYFUNCTION("""COMPUTED_VALUE"""),45614.0)</f>
        <v>45614</v>
      </c>
      <c r="BO194" s="1">
        <f>IFERROR(__xludf.DUMMYFUNCTION("""COMPUTED_VALUE"""),11.0)</f>
        <v>11</v>
      </c>
      <c r="BP194" s="1">
        <f>IFERROR(__xludf.DUMMYFUNCTION("""COMPUTED_VALUE"""),2024.0)</f>
        <v>2024</v>
      </c>
    </row>
    <row r="195">
      <c r="A195" s="1">
        <f>IFERROR(__xludf.DUMMYFUNCTION("""COMPUTED_VALUE"""),194.0)</f>
        <v>194</v>
      </c>
      <c r="B195" s="1">
        <f>IFERROR(__xludf.DUMMYFUNCTION("""COMPUTED_VALUE"""),4817885.0)</f>
        <v>4817885</v>
      </c>
      <c r="C195" s="1" t="str">
        <f>IFERROR(__xludf.DUMMYFUNCTION("""COMPUTED_VALUE"""),"2025-1")</f>
        <v>2025-1</v>
      </c>
      <c r="D195" s="1" t="str">
        <f>IFERROR(__xludf.DUMMYFUNCTION("""COMPUTED_VALUE"""),"Admisión de Alto Rendimiento")</f>
        <v>Admisión de Alto Rendimiento</v>
      </c>
      <c r="E195" s="2">
        <f>IFERROR(__xludf.DUMMYFUNCTION("""COMPUTED_VALUE"""),45620.0)</f>
        <v>45620</v>
      </c>
      <c r="F195" s="1" t="str">
        <f>IFERROR(__xludf.DUMMYFUNCTION("""COMPUTED_VALUE"""),"JENIFER SUMI ")</f>
        <v>JENIFER SUMI </v>
      </c>
      <c r="G195" s="1" t="str">
        <f>IFERROR(__xludf.DUMMYFUNCTION("""COMPUTED_VALUE"""),"VILLEGAS IBAÑEZ")</f>
        <v>VILLEGAS IBAÑEZ</v>
      </c>
      <c r="H195" s="1" t="str">
        <f>IFERROR(__xludf.DUMMYFUNCTION("""COMPUTED_VALUE"""),"Diseño Gráfico Publicitario")</f>
        <v>Diseño Gráfico Publicitario</v>
      </c>
      <c r="I195" s="1" t="str">
        <f>IFERROR(__xludf.DUMMYFUNCTION("""COMPUTED_VALUE"""),"Pago Link")</f>
        <v>Pago Link</v>
      </c>
      <c r="J195" s="1" t="str">
        <f>IFERROR(__xludf.DUMMYFUNCTION("""COMPUTED_VALUE"""),"Diurno")</f>
        <v>Diurno</v>
      </c>
      <c r="K195" s="1" t="str">
        <f>IFERROR(__xludf.DUMMYFUNCTION("""COMPUTED_VALUE"""),"NUEVO")</f>
        <v>NUEVO</v>
      </c>
      <c r="L195" s="1">
        <f>IFERROR(__xludf.DUMMYFUNCTION("""COMPUTED_VALUE"""),0.0)</f>
        <v>0</v>
      </c>
      <c r="M195" s="1">
        <f>IFERROR(__xludf.DUMMYFUNCTION("""COMPUTED_VALUE"""),0.0)</f>
        <v>0</v>
      </c>
      <c r="N195" s="1" t="str">
        <f>IFERROR(__xludf.DUMMYFUNCTION("""COMPUTED_VALUE"""),"BECA")</f>
        <v>BECA</v>
      </c>
      <c r="O195" s="1" t="str">
        <f>IFERROR(__xludf.DUMMYFUNCTION("""COMPUTED_VALUE"""),"BECA DGP")</f>
        <v>BECA DGP</v>
      </c>
      <c r="P195" s="4">
        <f>IFERROR(__xludf.DUMMYFUNCTION("""COMPUTED_VALUE"""),0.0)</f>
        <v>0</v>
      </c>
      <c r="Q195" s="4">
        <f>IFERROR(__xludf.DUMMYFUNCTION("""COMPUTED_VALUE"""),0.0)</f>
        <v>0</v>
      </c>
      <c r="R195" s="4">
        <f>IFERROR(__xludf.DUMMYFUNCTION("""COMPUTED_VALUE"""),1050.0)</f>
        <v>1050</v>
      </c>
      <c r="S195" s="4">
        <f>IFERROR(__xludf.DUMMYFUNCTION("""COMPUTED_VALUE"""),850.0)</f>
        <v>850</v>
      </c>
      <c r="T195" s="1" t="str">
        <f>IFERROR(__xludf.DUMMYFUNCTION("""COMPUTED_VALUE"""),"NINGUNO")</f>
        <v>NINGUNO</v>
      </c>
      <c r="U195" s="1" t="str">
        <f>IFERROR(__xludf.DUMMYFUNCTION("""COMPUTED_VALUE"""),"FABIOLA")</f>
        <v>FABIOLA</v>
      </c>
      <c r="V195" s="1" t="str">
        <f>IFERROR(__xludf.DUMMYFUNCTION("""COMPUTED_VALUE"""),"Ninguno")</f>
        <v>Ninguno</v>
      </c>
      <c r="W195" s="1" t="str">
        <f>IFERROR(__xludf.DUMMYFUNCTION("""COMPUTED_VALUE"""),"Metodología de enseñanza")</f>
        <v>Metodología de enseñanza</v>
      </c>
      <c r="X195" s="1" t="str">
        <f>IFERROR(__xludf.DUMMYFUNCTION("""COMPUTED_VALUE"""),"metodologia")</f>
        <v>metodologia</v>
      </c>
      <c r="Y195" s="1" t="str">
        <f>IFERROR(__xludf.DUMMYFUNCTION("""COMPUTED_VALUE"""),"PAGO FRACCIONADO")</f>
        <v>PAGO FRACCIONADO</v>
      </c>
      <c r="Z195" s="1">
        <f>IFERROR(__xludf.DUMMYFUNCTION("""COMPUTED_VALUE"""),500.0)</f>
        <v>500</v>
      </c>
      <c r="AA195" s="1" t="str">
        <f>IFERROR(__xludf.DUMMYFUNCTION("""COMPUTED_VALUE"""),"30/11/2024")</f>
        <v>30/11/2024</v>
      </c>
      <c r="AB195" s="1">
        <f>IFERROR(__xludf.DUMMYFUNCTION("""COMPUTED_VALUE"""),0.0)</f>
        <v>0</v>
      </c>
      <c r="AC195" s="1">
        <f>IFERROR(__xludf.DUMMYFUNCTION("""COMPUTED_VALUE"""),0.0)</f>
        <v>0</v>
      </c>
      <c r="AD195" s="1" t="str">
        <f>IFERROR(__xludf.DUMMYFUNCTION("""COMPUTED_VALUE"""),"Cinthia Mariella Orosco")</f>
        <v>Cinthia Mariella Orosco</v>
      </c>
      <c r="AE195" s="1" t="str">
        <f>IFERROR(__xludf.DUMMYFUNCTION("""COMPUTED_VALUE"""),"0")</f>
        <v>0</v>
      </c>
      <c r="AF195" s="1">
        <f>IFERROR(__xludf.DUMMYFUNCTION("""COMPUTED_VALUE"""),2023.0)</f>
        <v>2023</v>
      </c>
      <c r="AG195" s="1">
        <f>IFERROR(__xludf.DUMMYFUNCTION("""COMPUTED_VALUE"""),1054238.0)</f>
        <v>1054238</v>
      </c>
      <c r="AH195" s="1">
        <f>IFERROR(__xludf.DUMMYFUNCTION("""COMPUTED_VALUE"""),18.0)</f>
        <v>18</v>
      </c>
      <c r="AI195" s="1" t="str">
        <f>IFERROR(__xludf.DUMMYFUNCTION("""COMPUTED_VALUE"""),"0000401706")</f>
        <v>0000401706</v>
      </c>
      <c r="AJ195" s="1">
        <f>IFERROR(__xludf.DUMMYFUNCTION("""COMPUTED_VALUE"""),7.7539968E7)</f>
        <v>77539968</v>
      </c>
      <c r="AK195" s="1">
        <f>IFERROR(__xludf.DUMMYFUNCTION("""COMPUTED_VALUE"""),9.77789879E8)</f>
        <v>977789879</v>
      </c>
      <c r="AL195" s="1" t="str">
        <f>IFERROR(__xludf.DUMMYFUNCTION("""COMPUTED_VALUE"""),"yaninahlloohg@gmail.com")</f>
        <v>yaninahlloohg@gmail.com</v>
      </c>
      <c r="AM195" s="1" t="str">
        <f>IFERROR(__xludf.DUMMYFUNCTION("""COMPUTED_VALUE"""),"FEMENINO")</f>
        <v>FEMENINO</v>
      </c>
      <c r="AN195" s="1">
        <f>IFERROR(__xludf.DUMMYFUNCTION("""COMPUTED_VALUE"""),1350.0)</f>
        <v>1350</v>
      </c>
      <c r="AO195" s="1">
        <f>IFERROR(__xludf.DUMMYFUNCTION("""COMPUTED_VALUE"""),0.0)</f>
        <v>0</v>
      </c>
      <c r="AP195" s="1" t="str">
        <f>IFERROR(__xludf.DUMMYFUNCTION("""COMPUTED_VALUE"""),"FORMULARIO")</f>
        <v>FORMULARIO</v>
      </c>
      <c r="AQ195" s="1" t="str">
        <f>IFERROR(__xludf.DUMMYFUNCTION("""COMPUTED_VALUE"""),"SEARCH CARRERA")</f>
        <v>SEARCH CARRERA</v>
      </c>
      <c r="AR195" s="1" t="str">
        <f>IFERROR(__xludf.DUMMYFUNCTION("""COMPUTED_VALUE"""),"NUEVO")</f>
        <v>NUEVO</v>
      </c>
      <c r="AS195" s="1" t="str">
        <f>IFERROR(__xludf.DUMMYFUNCTION("""COMPUTED_VALUE"""),"ucal-pg-performance-sedes-abierta-cpl-search_conversion_mundo_diseno_reactivacion-20241105")</f>
        <v>ucal-pg-performance-sedes-abierta-cpl-search_conversion_mundo_diseno_reactivacion-20241105</v>
      </c>
      <c r="AT195" s="2">
        <f>IFERROR(__xludf.DUMMYFUNCTION("""COMPUTED_VALUE"""),45617.0)</f>
        <v>45617</v>
      </c>
      <c r="AU195" s="1">
        <f>IFERROR(__xludf.DUMMYFUNCTION("""COMPUTED_VALUE"""),1.0)</f>
        <v>1</v>
      </c>
      <c r="AV195" s="1" t="str">
        <f>IFERROR(__xludf.DUMMYFUNCTION("""COMPUTED_VALUE"""),"NUEVO")</f>
        <v>NUEVO</v>
      </c>
      <c r="AW195" s="1" t="str">
        <f>IFERROR(__xludf.DUMMYFUNCTION("""COMPUTED_VALUE"""),"SI")</f>
        <v>SI</v>
      </c>
      <c r="AX195" s="1"/>
      <c r="AY195" s="1" t="str">
        <f>IFERROR(__xludf.DUMMYFUNCTION("""COMPUTED_VALUE"""),"PAGO COMPLETO")</f>
        <v>PAGO COMPLETO</v>
      </c>
      <c r="AZ195" s="5">
        <f>IFERROR(__xludf.DUMMYFUNCTION("""COMPUTED_VALUE"""),45622.0)</f>
        <v>45622</v>
      </c>
      <c r="BA195" s="1">
        <f>IFERROR(__xludf.DUMMYFUNCTION("""COMPUTED_VALUE"""),350.0)</f>
        <v>350</v>
      </c>
      <c r="BB195" s="1">
        <f>IFERROR(__xludf.DUMMYFUNCTION("""COMPUTED_VALUE"""),0.0)</f>
        <v>0</v>
      </c>
      <c r="BC195" s="4">
        <f>IFERROR(__xludf.DUMMYFUNCTION("""COMPUTED_VALUE"""),0.0)</f>
        <v>0</v>
      </c>
      <c r="BD195" s="4">
        <f>IFERROR(__xludf.DUMMYFUNCTION("""COMPUTED_VALUE"""),0.0)</f>
        <v>0</v>
      </c>
      <c r="BE195" s="1">
        <f>IFERROR(__xludf.DUMMYFUNCTION("""COMPUTED_VALUE"""),11.0)</f>
        <v>11</v>
      </c>
      <c r="BF195" s="6">
        <f>IFERROR(__xludf.DUMMYFUNCTION("""COMPUTED_VALUE"""),1.0)</f>
        <v>1</v>
      </c>
      <c r="BG195" s="1">
        <f>IFERROR(__xludf.DUMMYFUNCTION("""COMPUTED_VALUE"""),1.0)</f>
        <v>1</v>
      </c>
      <c r="BH195" s="1" t="str">
        <f>IFERROR(__xludf.DUMMYFUNCTION("""COMPUTED_VALUE"""),"0")</f>
        <v>0</v>
      </c>
      <c r="BI195" s="4">
        <f>IFERROR(__xludf.DUMMYFUNCTION("""COMPUTED_VALUE"""),850.0)</f>
        <v>850</v>
      </c>
      <c r="BJ195" s="1">
        <f>IFERROR(__xludf.DUMMYFUNCTION("""COMPUTED_VALUE"""),0.0)</f>
        <v>0</v>
      </c>
      <c r="BK195" s="4">
        <f>IFERROR(__xludf.DUMMYFUNCTION("""COMPUTED_VALUE"""),0.0)</f>
        <v>0</v>
      </c>
      <c r="BL195" s="1">
        <f>IFERROR(__xludf.DUMMYFUNCTION("""COMPUTED_VALUE"""),850.0)</f>
        <v>850</v>
      </c>
      <c r="BM195" s="1">
        <f>IFERROR(__xludf.DUMMYFUNCTION("""COMPUTED_VALUE"""),47.0)</f>
        <v>47</v>
      </c>
      <c r="BN195" s="2">
        <f>IFERROR(__xludf.DUMMYFUNCTION("""COMPUTED_VALUE"""),45614.0)</f>
        <v>45614</v>
      </c>
      <c r="BO195" s="1">
        <f>IFERROR(__xludf.DUMMYFUNCTION("""COMPUTED_VALUE"""),11.0)</f>
        <v>11</v>
      </c>
      <c r="BP195" s="1">
        <f>IFERROR(__xludf.DUMMYFUNCTION("""COMPUTED_VALUE"""),2024.0)</f>
        <v>2024</v>
      </c>
    </row>
    <row r="196">
      <c r="A196" s="1">
        <f>IFERROR(__xludf.DUMMYFUNCTION("""COMPUTED_VALUE"""),195.0)</f>
        <v>195</v>
      </c>
      <c r="B196" s="1">
        <f>IFERROR(__xludf.DUMMYFUNCTION("""COMPUTED_VALUE"""),2691918.0)</f>
        <v>2691918</v>
      </c>
      <c r="C196" s="1" t="str">
        <f>IFERROR(__xludf.DUMMYFUNCTION("""COMPUTED_VALUE"""),"2025-1")</f>
        <v>2025-1</v>
      </c>
      <c r="D196" s="1" t="str">
        <f>IFERROR(__xludf.DUMMYFUNCTION("""COMPUTED_VALUE"""),"Admisión Ordinaria")</f>
        <v>Admisión Ordinaria</v>
      </c>
      <c r="E196" s="2">
        <f>IFERROR(__xludf.DUMMYFUNCTION("""COMPUTED_VALUE"""),45622.0)</f>
        <v>45622</v>
      </c>
      <c r="F196" s="1" t="str">
        <f>IFERROR(__xludf.DUMMYFUNCTION("""COMPUTED_VALUE"""),"CARLOS ANDRES ")</f>
        <v>CARLOS ANDRES </v>
      </c>
      <c r="G196" s="1" t="str">
        <f>IFERROR(__xludf.DUMMYFUNCTION("""COMPUTED_VALUE"""),"PEREZ TORRES")</f>
        <v>PEREZ TORRES</v>
      </c>
      <c r="H196" s="1" t="str">
        <f>IFERROR(__xludf.DUMMYFUNCTION("""COMPUTED_VALUE"""),"Arquitectura de Interiores")</f>
        <v>Arquitectura de Interiores</v>
      </c>
      <c r="I196" s="1" t="str">
        <f>IFERROR(__xludf.DUMMYFUNCTION("""COMPUTED_VALUE"""),"Pago Link")</f>
        <v>Pago Link</v>
      </c>
      <c r="J196" s="1" t="str">
        <f>IFERROR(__xludf.DUMMYFUNCTION("""COMPUTED_VALUE"""),"Diurno")</f>
        <v>Diurno</v>
      </c>
      <c r="K196" s="1" t="str">
        <f>IFERROR(__xludf.DUMMYFUNCTION("""COMPUTED_VALUE"""),"NUEVO")</f>
        <v>NUEVO</v>
      </c>
      <c r="L196" s="1">
        <f>IFERROR(__xludf.DUMMYFUNCTION("""COMPUTED_VALUE"""),0.0)</f>
        <v>0</v>
      </c>
      <c r="M196" s="1">
        <f>IFERROR(__xludf.DUMMYFUNCTION("""COMPUTED_VALUE"""),0.0)</f>
        <v>0</v>
      </c>
      <c r="N196" s="1" t="str">
        <f>IFERROR(__xludf.DUMMYFUNCTION("""COMPUTED_VALUE"""),"BECA")</f>
        <v>BECA</v>
      </c>
      <c r="O196" s="1" t="str">
        <f>IFERROR(__xludf.DUMMYFUNCTION("""COMPUTED_VALUE"""),"BECA CARRERAS CORE")</f>
        <v>BECA CARRERAS CORE</v>
      </c>
      <c r="P196" s="4">
        <f>IFERROR(__xludf.DUMMYFUNCTION("""COMPUTED_VALUE"""),0.0)</f>
        <v>0</v>
      </c>
      <c r="Q196" s="4">
        <f>IFERROR(__xludf.DUMMYFUNCTION("""COMPUTED_VALUE"""),0.0)</f>
        <v>0</v>
      </c>
      <c r="R196" s="4">
        <f>IFERROR(__xludf.DUMMYFUNCTION("""COMPUTED_VALUE"""),1150.0)</f>
        <v>1150</v>
      </c>
      <c r="S196" s="4">
        <f>IFERROR(__xludf.DUMMYFUNCTION("""COMPUTED_VALUE"""),950.0)</f>
        <v>950</v>
      </c>
      <c r="T196" s="1" t="str">
        <f>IFERROR(__xludf.DUMMYFUNCTION("""COMPUTED_VALUE"""),"NINGUNO")</f>
        <v>NINGUNO</v>
      </c>
      <c r="U196" s="1" t="str">
        <f>IFERROR(__xludf.DUMMYFUNCTION("""COMPUTED_VALUE"""),"FABIOLA")</f>
        <v>FABIOLA</v>
      </c>
      <c r="V196" s="1" t="str">
        <f>IFERROR(__xludf.DUMMYFUNCTION("""COMPUTED_VALUE"""),"Ninguno")</f>
        <v>Ninguno</v>
      </c>
      <c r="W196" s="1" t="str">
        <f>IFERROR(__xludf.DUMMYFUNCTION("""COMPUTED_VALUE"""),"Equipos e instalaciones")</f>
        <v>Equipos e instalaciones</v>
      </c>
      <c r="X196" s="1" t="str">
        <f>IFERROR(__xludf.DUMMYFUNCTION("""COMPUTED_VALUE"""),"-")</f>
        <v>-</v>
      </c>
      <c r="Y196" s="1" t="str">
        <f>IFERROR(__xludf.DUMMYFUNCTION("""COMPUTED_VALUE"""),"PAGO COMPLETO")</f>
        <v>PAGO COMPLETO</v>
      </c>
      <c r="Z196" s="1">
        <f>IFERROR(__xludf.DUMMYFUNCTION("""COMPUTED_VALUE"""),0.0)</f>
        <v>0</v>
      </c>
      <c r="AA196" s="1" t="str">
        <f>IFERROR(__xludf.DUMMYFUNCTION("""COMPUTED_VALUE"""),"-")</f>
        <v>-</v>
      </c>
      <c r="AB196" s="1">
        <f>IFERROR(__xludf.DUMMYFUNCTION("""COMPUTED_VALUE"""),0.0)</f>
        <v>0</v>
      </c>
      <c r="AC196" s="1">
        <f>IFERROR(__xludf.DUMMYFUNCTION("""COMPUTED_VALUE"""),0.0)</f>
        <v>0</v>
      </c>
      <c r="AD196" s="1" t="str">
        <f>IFERROR(__xludf.DUMMYFUNCTION("""COMPUTED_VALUE"""),"Fiorella Lanegra")</f>
        <v>Fiorella Lanegra</v>
      </c>
      <c r="AE196" s="1" t="str">
        <f>IFERROR(__xludf.DUMMYFUNCTION("""COMPUTED_VALUE"""),"0")</f>
        <v>0</v>
      </c>
      <c r="AF196" s="1">
        <f>IFERROR(__xludf.DUMMYFUNCTION("""COMPUTED_VALUE"""),2005.0)</f>
        <v>2005</v>
      </c>
      <c r="AG196" s="1">
        <f>IFERROR(__xludf.DUMMYFUNCTION("""COMPUTED_VALUE"""),556266.0)</f>
        <v>556266</v>
      </c>
      <c r="AH196" s="1">
        <f>IFERROR(__xludf.DUMMYFUNCTION("""COMPUTED_VALUE"""),36.0)</f>
        <v>36</v>
      </c>
      <c r="AI196" s="1" t="str">
        <f>IFERROR(__xludf.DUMMYFUNCTION("""COMPUTED_VALUE"""),"2020001689")</f>
        <v>2020001689</v>
      </c>
      <c r="AJ196" s="1">
        <f>IFERROR(__xludf.DUMMYFUNCTION("""COMPUTED_VALUE"""),4.4883147E7)</f>
        <v>44883147</v>
      </c>
      <c r="AK196" s="1">
        <f>IFERROR(__xludf.DUMMYFUNCTION("""COMPUTED_VALUE"""),9.672794E8)</f>
        <v>967279400</v>
      </c>
      <c r="AL196" s="1" t="str">
        <f>IFERROR(__xludf.DUMMYFUNCTION("""COMPUTED_VALUE"""),"cp.carlosperez28@gmail.com")</f>
        <v>cp.carlosperez28@gmail.com</v>
      </c>
      <c r="AM196" s="1" t="str">
        <f>IFERROR(__xludf.DUMMYFUNCTION("""COMPUTED_VALUE"""),"MASCULINO")</f>
        <v>MASCULINO</v>
      </c>
      <c r="AN196" s="1">
        <f>IFERROR(__xludf.DUMMYFUNCTION("""COMPUTED_VALUE"""),1350.0)</f>
        <v>1350</v>
      </c>
      <c r="AO196" s="1">
        <f>IFERROR(__xludf.DUMMYFUNCTION("""COMPUTED_VALUE"""),0.0)</f>
        <v>0</v>
      </c>
      <c r="AP196" s="1" t="str">
        <f>IFERROR(__xludf.DUMMYFUNCTION("""COMPUTED_VALUE"""),"FORMULARIO")</f>
        <v>FORMULARIO</v>
      </c>
      <c r="AQ196" s="1" t="str">
        <f>IFERROR(__xludf.DUMMYFUNCTION("""COMPUTED_VALUE"""),"ORGANICO")</f>
        <v>ORGANICO</v>
      </c>
      <c r="AR196" s="1" t="str">
        <f>IFERROR(__xludf.DUMMYFUNCTION("""COMPUTED_VALUE"""),"NUEVO")</f>
        <v>NUEVO</v>
      </c>
      <c r="AS196" s="1"/>
      <c r="AT196" s="2">
        <f>IFERROR(__xludf.DUMMYFUNCTION("""COMPUTED_VALUE"""),45607.0)</f>
        <v>45607</v>
      </c>
      <c r="AU196" s="1">
        <f>IFERROR(__xludf.DUMMYFUNCTION("""COMPUTED_VALUE"""),1.0)</f>
        <v>1</v>
      </c>
      <c r="AV196" s="1" t="str">
        <f>IFERROR(__xludf.DUMMYFUNCTION("""COMPUTED_VALUE"""),"NUEVO")</f>
        <v>NUEVO</v>
      </c>
      <c r="AW196" s="1" t="str">
        <f>IFERROR(__xludf.DUMMYFUNCTION("""COMPUTED_VALUE"""),"SI")</f>
        <v>SI</v>
      </c>
      <c r="AX196" s="1"/>
      <c r="AY196" s="1" t="str">
        <f>IFERROR(__xludf.DUMMYFUNCTION("""COMPUTED_VALUE"""),"PAGO COMPLETO")</f>
        <v>PAGO COMPLETO</v>
      </c>
      <c r="AZ196" s="5">
        <f>IFERROR(__xludf.DUMMYFUNCTION("""COMPUTED_VALUE"""),45622.0)</f>
        <v>45622</v>
      </c>
      <c r="BA196" s="1">
        <f>IFERROR(__xludf.DUMMYFUNCTION("""COMPUTED_VALUE"""),0.0)</f>
        <v>0</v>
      </c>
      <c r="BB196" s="1">
        <f>IFERROR(__xludf.DUMMYFUNCTION("""COMPUTED_VALUE"""),0.0)</f>
        <v>0</v>
      </c>
      <c r="BC196" s="4">
        <f>IFERROR(__xludf.DUMMYFUNCTION("""COMPUTED_VALUE"""),0.0)</f>
        <v>0</v>
      </c>
      <c r="BD196" s="4">
        <f>IFERROR(__xludf.DUMMYFUNCTION("""COMPUTED_VALUE"""),0.0)</f>
        <v>0</v>
      </c>
      <c r="BE196" s="1">
        <f>IFERROR(__xludf.DUMMYFUNCTION("""COMPUTED_VALUE"""),11.0)</f>
        <v>11</v>
      </c>
      <c r="BF196" s="6">
        <f>IFERROR(__xludf.DUMMYFUNCTION("""COMPUTED_VALUE"""),1.0)</f>
        <v>1</v>
      </c>
      <c r="BG196" s="1">
        <f>IFERROR(__xludf.DUMMYFUNCTION("""COMPUTED_VALUE"""),1.0)</f>
        <v>1</v>
      </c>
      <c r="BH196" s="1" t="str">
        <f>IFERROR(__xludf.DUMMYFUNCTION("""COMPUTED_VALUE"""),"0")</f>
        <v>0</v>
      </c>
      <c r="BI196" s="4">
        <f>IFERROR(__xludf.DUMMYFUNCTION("""COMPUTED_VALUE"""),0.0)</f>
        <v>0</v>
      </c>
      <c r="BJ196" s="1">
        <f>IFERROR(__xludf.DUMMYFUNCTION("""COMPUTED_VALUE"""),0.0)</f>
        <v>0</v>
      </c>
      <c r="BK196" s="4">
        <f>IFERROR(__xludf.DUMMYFUNCTION("""COMPUTED_VALUE"""),0.0)</f>
        <v>0</v>
      </c>
      <c r="BL196" s="1">
        <f>IFERROR(__xludf.DUMMYFUNCTION("""COMPUTED_VALUE"""),950.0)</f>
        <v>950</v>
      </c>
      <c r="BM196" s="1">
        <f>IFERROR(__xludf.DUMMYFUNCTION("""COMPUTED_VALUE"""),48.0)</f>
        <v>48</v>
      </c>
      <c r="BN196" s="2">
        <f>IFERROR(__xludf.DUMMYFUNCTION("""COMPUTED_VALUE"""),45621.0)</f>
        <v>45621</v>
      </c>
      <c r="BO196" s="1">
        <f>IFERROR(__xludf.DUMMYFUNCTION("""COMPUTED_VALUE"""),11.0)</f>
        <v>11</v>
      </c>
      <c r="BP196" s="1">
        <f>IFERROR(__xludf.DUMMYFUNCTION("""COMPUTED_VALUE"""),2024.0)</f>
        <v>2024</v>
      </c>
    </row>
    <row r="197">
      <c r="A197" s="1">
        <f>IFERROR(__xludf.DUMMYFUNCTION("""COMPUTED_VALUE"""),196.0)</f>
        <v>196</v>
      </c>
      <c r="B197" s="1">
        <f>IFERROR(__xludf.DUMMYFUNCTION("""COMPUTED_VALUE"""),2504015.0)</f>
        <v>2504015</v>
      </c>
      <c r="C197" s="1" t="str">
        <f>IFERROR(__xludf.DUMMYFUNCTION("""COMPUTED_VALUE"""),"2025-1")</f>
        <v>2025-1</v>
      </c>
      <c r="D197" s="1" t="str">
        <f>IFERROR(__xludf.DUMMYFUNCTION("""COMPUTED_VALUE"""),"Admisión de Alto Rendimiento")</f>
        <v>Admisión de Alto Rendimiento</v>
      </c>
      <c r="E197" s="2">
        <f>IFERROR(__xludf.DUMMYFUNCTION("""COMPUTED_VALUE"""),45622.0)</f>
        <v>45622</v>
      </c>
      <c r="F197" s="1" t="str">
        <f>IFERROR(__xludf.DUMMYFUNCTION("""COMPUTED_VALUE"""),"LUZ CLARITA ")</f>
        <v>LUZ CLARITA </v>
      </c>
      <c r="G197" s="1" t="str">
        <f>IFERROR(__xludf.DUMMYFUNCTION("""COMPUTED_VALUE"""),"OBREGON POMA")</f>
        <v>OBREGON POMA</v>
      </c>
      <c r="H197" s="1" t="str">
        <f>IFERROR(__xludf.DUMMYFUNCTION("""COMPUTED_VALUE"""),"Diseño Gráfico Publicitario")</f>
        <v>Diseño Gráfico Publicitario</v>
      </c>
      <c r="I197" s="1" t="str">
        <f>IFERROR(__xludf.DUMMYFUNCTION("""COMPUTED_VALUE"""),"CARGO - PAGARA BANCA MOVIL BCP")</f>
        <v>CARGO - PAGARA BANCA MOVIL BCP</v>
      </c>
      <c r="J197" s="1" t="str">
        <f>IFERROR(__xludf.DUMMYFUNCTION("""COMPUTED_VALUE"""),"Diurno")</f>
        <v>Diurno</v>
      </c>
      <c r="K197" s="1" t="str">
        <f>IFERROR(__xludf.DUMMYFUNCTION("""COMPUTED_VALUE"""),"NUEVO")</f>
        <v>NUEVO</v>
      </c>
      <c r="L197" s="1">
        <f>IFERROR(__xludf.DUMMYFUNCTION("""COMPUTED_VALUE"""),0.0)</f>
        <v>0</v>
      </c>
      <c r="M197" s="1">
        <f>IFERROR(__xludf.DUMMYFUNCTION("""COMPUTED_VALUE"""),0.0)</f>
        <v>0</v>
      </c>
      <c r="N197" s="1" t="str">
        <f>IFERROR(__xludf.DUMMYFUNCTION("""COMPUTED_VALUE"""),"RECA")</f>
        <v>RECA</v>
      </c>
      <c r="O197" s="1" t="str">
        <f>IFERROR(__xludf.DUMMYFUNCTION("""COMPUTED_VALUE"""),"RECATEGORIZACIÓN")</f>
        <v>RECATEGORIZACIÓN</v>
      </c>
      <c r="P197" s="4">
        <f>IFERROR(__xludf.DUMMYFUNCTION("""COMPUTED_VALUE"""),0.0)</f>
        <v>0</v>
      </c>
      <c r="Q197" s="4">
        <f>IFERROR(__xludf.DUMMYFUNCTION("""COMPUTED_VALUE"""),0.0)</f>
        <v>0</v>
      </c>
      <c r="R197" s="4">
        <f>IFERROR(__xludf.DUMMYFUNCTION("""COMPUTED_VALUE"""),950.0)</f>
        <v>950</v>
      </c>
      <c r="S197" s="4">
        <f>IFERROR(__xludf.DUMMYFUNCTION("""COMPUTED_VALUE"""),950.0)</f>
        <v>950</v>
      </c>
      <c r="T197" s="1" t="str">
        <f>IFERROR(__xludf.DUMMYFUNCTION("""COMPUTED_VALUE"""),"NINGUNO")</f>
        <v>NINGUNO</v>
      </c>
      <c r="U197" s="1" t="str">
        <f>IFERROR(__xludf.DUMMYFUNCTION("""COMPUTED_VALUE"""),"RODRIGO")</f>
        <v>RODRIGO</v>
      </c>
      <c r="V197" s="1" t="str">
        <f>IFERROR(__xludf.DUMMYFUNCTION("""COMPUTED_VALUE"""),"Ninguno")</f>
        <v>Ninguno</v>
      </c>
      <c r="W197" s="1" t="str">
        <f>IFERROR(__xludf.DUMMYFUNCTION("""COMPUTED_VALUE"""),"Descuentos en boletas de pago")</f>
        <v>Descuentos en boletas de pago</v>
      </c>
      <c r="X197" s="1" t="str">
        <f>IFERROR(__xludf.DUMMYFUNCTION("""COMPUTED_VALUE"""),"-")</f>
        <v>-</v>
      </c>
      <c r="Y197" s="1" t="str">
        <f>IFERROR(__xludf.DUMMYFUNCTION("""COMPUTED_VALUE"""),"PAGO COMPLETO")</f>
        <v>PAGO COMPLETO</v>
      </c>
      <c r="Z197" s="1">
        <f>IFERROR(__xludf.DUMMYFUNCTION("""COMPUTED_VALUE"""),0.0)</f>
        <v>0</v>
      </c>
      <c r="AA197" s="1" t="str">
        <f>IFERROR(__xludf.DUMMYFUNCTION("""COMPUTED_VALUE"""),"-")</f>
        <v>-</v>
      </c>
      <c r="AB197" s="1">
        <f>IFERROR(__xludf.DUMMYFUNCTION("""COMPUTED_VALUE"""),1.0)</f>
        <v>1</v>
      </c>
      <c r="AC197" s="1">
        <f>IFERROR(__xludf.DUMMYFUNCTION("""COMPUTED_VALUE"""),0.0)</f>
        <v>0</v>
      </c>
      <c r="AD197" s="1" t="str">
        <f>IFERROR(__xludf.DUMMYFUNCTION("""COMPUTED_VALUE"""),"Andrea Araujo Antara")</f>
        <v>Andrea Araujo Antara</v>
      </c>
      <c r="AE197" s="1" t="str">
        <f>IFERROR(__xludf.DUMMYFUNCTION("""COMPUTED_VALUE"""),"14 de JULIO ARMANDO RUIZ VASQUEZ")</f>
        <v>14 de JULIO ARMANDO RUIZ VASQUEZ</v>
      </c>
      <c r="AF197" s="1">
        <f>IFERROR(__xludf.DUMMYFUNCTION("""COMPUTED_VALUE"""),2020.0)</f>
        <v>2020</v>
      </c>
      <c r="AG197" s="1">
        <f>IFERROR(__xludf.DUMMYFUNCTION("""COMPUTED_VALUE"""),1248004.0)</f>
        <v>1248004</v>
      </c>
      <c r="AH197" s="1">
        <f>IFERROR(__xludf.DUMMYFUNCTION("""COMPUTED_VALUE"""),20.0)</f>
        <v>20</v>
      </c>
      <c r="AI197" s="1" t="str">
        <f>IFERROR(__xludf.DUMMYFUNCTION("""COMPUTED_VALUE"""),"0000401984")</f>
        <v>0000401984</v>
      </c>
      <c r="AJ197" s="1">
        <f>IFERROR(__xludf.DUMMYFUNCTION("""COMPUTED_VALUE"""),7.6467553E7)</f>
        <v>76467553</v>
      </c>
      <c r="AK197" s="1">
        <f>IFERROR(__xludf.DUMMYFUNCTION("""COMPUTED_VALUE"""),9.06490293E8)</f>
        <v>906490293</v>
      </c>
      <c r="AL197" s="1" t="str">
        <f>IFERROR(__xludf.DUMMYFUNCTION("""COMPUTED_VALUE"""),"OBREGONPOMAL@gmail.com")</f>
        <v>OBREGONPOMAL@gmail.com</v>
      </c>
      <c r="AM197" s="1" t="str">
        <f>IFERROR(__xludf.DUMMYFUNCTION("""COMPUTED_VALUE"""),"FEMENINO")</f>
        <v>FEMENINO</v>
      </c>
      <c r="AN197" s="1">
        <f>IFERROR(__xludf.DUMMYFUNCTION("""COMPUTED_VALUE"""),1350.0)</f>
        <v>1350</v>
      </c>
      <c r="AO197" s="1">
        <f>IFERROR(__xludf.DUMMYFUNCTION("""COMPUTED_VALUE"""),320.0)</f>
        <v>320</v>
      </c>
      <c r="AP197" s="1" t="str">
        <f>IFERROR(__xludf.DUMMYFUNCTION("""COMPUTED_VALUE"""),"OUTBOUND")</f>
        <v>OUTBOUND</v>
      </c>
      <c r="AQ197" s="1" t="str">
        <f>IFERROR(__xludf.DUMMYFUNCTION("""COMPUTED_VALUE"""),"OUTBOUND")</f>
        <v>OUTBOUND</v>
      </c>
      <c r="AR197" s="1" t="str">
        <f>IFERROR(__xludf.DUMMYFUNCTION("""COMPUTED_VALUE"""),"NUEVO")</f>
        <v>NUEVO</v>
      </c>
      <c r="AS197" s="1"/>
      <c r="AT197" s="2">
        <f>IFERROR(__xludf.DUMMYFUNCTION("""COMPUTED_VALUE"""),45621.0)</f>
        <v>45621</v>
      </c>
      <c r="AU197" s="1">
        <f>IFERROR(__xludf.DUMMYFUNCTION("""COMPUTED_VALUE"""),1.0)</f>
        <v>1</v>
      </c>
      <c r="AV197" s="1" t="str">
        <f>IFERROR(__xludf.DUMMYFUNCTION("""COMPUTED_VALUE"""),"NUEVO")</f>
        <v>NUEVO</v>
      </c>
      <c r="AW197" s="1" t="str">
        <f>IFERROR(__xludf.DUMMYFUNCTION("""COMPUTED_VALUE"""),"SI")</f>
        <v>SI</v>
      </c>
      <c r="AX197" s="1"/>
      <c r="AY197" s="1" t="str">
        <f>IFERROR(__xludf.DUMMYFUNCTION("""COMPUTED_VALUE"""),"PAGO COMPLETO")</f>
        <v>PAGO COMPLETO</v>
      </c>
      <c r="AZ197" s="5">
        <f>IFERROR(__xludf.DUMMYFUNCTION("""COMPUTED_VALUE"""),45622.0)</f>
        <v>45622</v>
      </c>
      <c r="BA197" s="1">
        <f>IFERROR(__xludf.DUMMYFUNCTION("""COMPUTED_VALUE"""),0.0)</f>
        <v>0</v>
      </c>
      <c r="BB197" s="1">
        <f>IFERROR(__xludf.DUMMYFUNCTION("""COMPUTED_VALUE"""),0.0)</f>
        <v>0</v>
      </c>
      <c r="BC197" s="4">
        <f>IFERROR(__xludf.DUMMYFUNCTION("""COMPUTED_VALUE"""),0.0)</f>
        <v>0</v>
      </c>
      <c r="BD197" s="4">
        <f>IFERROR(__xludf.DUMMYFUNCTION("""COMPUTED_VALUE"""),0.0)</f>
        <v>0</v>
      </c>
      <c r="BE197" s="1">
        <f>IFERROR(__xludf.DUMMYFUNCTION("""COMPUTED_VALUE"""),11.0)</f>
        <v>11</v>
      </c>
      <c r="BF197" s="6">
        <f>IFERROR(__xludf.DUMMYFUNCTION("""COMPUTED_VALUE"""),1.0)</f>
        <v>1</v>
      </c>
      <c r="BG197" s="1">
        <f>IFERROR(__xludf.DUMMYFUNCTION("""COMPUTED_VALUE"""),1.0)</f>
        <v>1</v>
      </c>
      <c r="BH197" s="1" t="str">
        <f>IFERROR(__xludf.DUMMYFUNCTION("""COMPUTED_VALUE"""),"0")</f>
        <v>0</v>
      </c>
      <c r="BI197" s="4">
        <f>IFERROR(__xludf.DUMMYFUNCTION("""COMPUTED_VALUE"""),0.0)</f>
        <v>0</v>
      </c>
      <c r="BJ197" s="1">
        <f>IFERROR(__xludf.DUMMYFUNCTION("""COMPUTED_VALUE"""),0.0)</f>
        <v>0</v>
      </c>
      <c r="BK197" s="4">
        <f>IFERROR(__xludf.DUMMYFUNCTION("""COMPUTED_VALUE"""),0.0)</f>
        <v>0</v>
      </c>
      <c r="BL197" s="1">
        <f>IFERROR(__xludf.DUMMYFUNCTION("""COMPUTED_VALUE"""),950.0)</f>
        <v>950</v>
      </c>
      <c r="BM197" s="1">
        <f>IFERROR(__xludf.DUMMYFUNCTION("""COMPUTED_VALUE"""),48.0)</f>
        <v>48</v>
      </c>
      <c r="BN197" s="2">
        <f>IFERROR(__xludf.DUMMYFUNCTION("""COMPUTED_VALUE"""),45621.0)</f>
        <v>45621</v>
      </c>
      <c r="BO197" s="1">
        <f>IFERROR(__xludf.DUMMYFUNCTION("""COMPUTED_VALUE"""),11.0)</f>
        <v>11</v>
      </c>
      <c r="BP197" s="1">
        <f>IFERROR(__xludf.DUMMYFUNCTION("""COMPUTED_VALUE"""),2024.0)</f>
        <v>2024</v>
      </c>
    </row>
    <row r="198">
      <c r="A198" s="1">
        <f>IFERROR(__xludf.DUMMYFUNCTION("""COMPUTED_VALUE"""),197.0)</f>
        <v>197</v>
      </c>
      <c r="B198" s="1">
        <f>IFERROR(__xludf.DUMMYFUNCTION("""COMPUTED_VALUE"""),977394.0)</f>
        <v>977394</v>
      </c>
      <c r="C198" s="1" t="str">
        <f>IFERROR(__xludf.DUMMYFUNCTION("""COMPUTED_VALUE"""),"2025-1")</f>
        <v>2025-1</v>
      </c>
      <c r="D198" s="1" t="str">
        <f>IFERROR(__xludf.DUMMYFUNCTION("""COMPUTED_VALUE"""),"Admisión Extraordinaria (Traslados)")</f>
        <v>Admisión Extraordinaria (Traslados)</v>
      </c>
      <c r="E198" s="2">
        <f>IFERROR(__xludf.DUMMYFUNCTION("""COMPUTED_VALUE"""),45623.0)</f>
        <v>45623</v>
      </c>
      <c r="F198" s="1" t="str">
        <f>IFERROR(__xludf.DUMMYFUNCTION("""COMPUTED_VALUE"""),"XIMENA CRISTINA")</f>
        <v>XIMENA CRISTINA</v>
      </c>
      <c r="G198" s="1" t="str">
        <f>IFERROR(__xludf.DUMMYFUNCTION("""COMPUTED_VALUE"""),"VELA MENDOZA")</f>
        <v>VELA MENDOZA</v>
      </c>
      <c r="H198" s="1" t="str">
        <f>IFERROR(__xludf.DUMMYFUNCTION("""COMPUTED_VALUE"""),"Arquitectura de Interiores")</f>
        <v>Arquitectura de Interiores</v>
      </c>
      <c r="I198" s="1" t="str">
        <f>IFERROR(__xludf.DUMMYFUNCTION("""COMPUTED_VALUE"""),"CARGO")</f>
        <v>CARGO</v>
      </c>
      <c r="J198" s="1" t="str">
        <f>IFERROR(__xludf.DUMMYFUNCTION("""COMPUTED_VALUE"""),"Diurno")</f>
        <v>Diurno</v>
      </c>
      <c r="K198" s="1" t="str">
        <f>IFERROR(__xludf.DUMMYFUNCTION("""COMPUTED_VALUE"""),"TRASLADO")</f>
        <v>TRASLADO</v>
      </c>
      <c r="L198" s="1">
        <f>IFERROR(__xludf.DUMMYFUNCTION("""COMPUTED_VALUE"""),1.0)</f>
        <v>1</v>
      </c>
      <c r="M198" s="1">
        <f>IFERROR(__xludf.DUMMYFUNCTION("""COMPUTED_VALUE"""),0.0)</f>
        <v>0</v>
      </c>
      <c r="N198" s="1" t="str">
        <f>IFERROR(__xludf.DUMMYFUNCTION("""COMPUTED_VALUE"""),"RECA")</f>
        <v>RECA</v>
      </c>
      <c r="O198" s="1" t="str">
        <f>IFERROR(__xludf.DUMMYFUNCTION("""COMPUTED_VALUE"""),"RECA TRASLADO CON CONVA")</f>
        <v>RECA TRASLADO CON CONVA</v>
      </c>
      <c r="P198" s="4">
        <f>IFERROR(__xludf.DUMMYFUNCTION("""COMPUTED_VALUE"""),0.0)</f>
        <v>0</v>
      </c>
      <c r="Q198" s="4">
        <f>IFERROR(__xludf.DUMMYFUNCTION("""COMPUTED_VALUE"""),0.0)</f>
        <v>0</v>
      </c>
      <c r="R198" s="4">
        <f>IFERROR(__xludf.DUMMYFUNCTION("""COMPUTED_VALUE"""),1600.0)</f>
        <v>1600</v>
      </c>
      <c r="S198" s="4">
        <f>IFERROR(__xludf.DUMMYFUNCTION("""COMPUTED_VALUE"""),1600.0)</f>
        <v>1600</v>
      </c>
      <c r="T198" s="1" t="str">
        <f>IFERROR(__xludf.DUMMYFUNCTION("""COMPUTED_VALUE"""),"NINGUNO")</f>
        <v>NINGUNO</v>
      </c>
      <c r="U198" s="1" t="str">
        <f>IFERROR(__xludf.DUMMYFUNCTION("""COMPUTED_VALUE"""),"FABIOLA")</f>
        <v>FABIOLA</v>
      </c>
      <c r="V198" s="1" t="str">
        <f>IFERROR(__xludf.DUMMYFUNCTION("""COMPUTED_VALUE"""),"Ninguno")</f>
        <v>Ninguno</v>
      </c>
      <c r="W198" s="1" t="str">
        <f>IFERROR(__xludf.DUMMYFUNCTION("""COMPUTED_VALUE"""),"Prestigio de la institución")</f>
        <v>Prestigio de la institución</v>
      </c>
      <c r="X198" s="1" t="str">
        <f>IFERROR(__xludf.DUMMYFUNCTION("""COMPUTED_VALUE"""),"titulo")</f>
        <v>titulo</v>
      </c>
      <c r="Y198" s="1" t="str">
        <f>IFERROR(__xludf.DUMMYFUNCTION("""COMPUTED_VALUE"""),"PAGO COMPLETO")</f>
        <v>PAGO COMPLETO</v>
      </c>
      <c r="Z198" s="1">
        <f>IFERROR(__xludf.DUMMYFUNCTION("""COMPUTED_VALUE"""),0.0)</f>
        <v>0</v>
      </c>
      <c r="AA198" s="1" t="str">
        <f>IFERROR(__xludf.DUMMYFUNCTION("""COMPUTED_VALUE"""),"-")</f>
        <v>-</v>
      </c>
      <c r="AB198" s="1">
        <f>IFERROR(__xludf.DUMMYFUNCTION("""COMPUTED_VALUE"""),0.0)</f>
        <v>0</v>
      </c>
      <c r="AC198" s="1">
        <f>IFERROR(__xludf.DUMMYFUNCTION("""COMPUTED_VALUE"""),0.0)</f>
        <v>0</v>
      </c>
      <c r="AD198" s="1" t="str">
        <f>IFERROR(__xludf.DUMMYFUNCTION("""COMPUTED_VALUE"""),"Angelica Iparraguirre")</f>
        <v>Angelica Iparraguirre</v>
      </c>
      <c r="AE198" s="1" t="str">
        <f>IFERROR(__xludf.DUMMYFUNCTION("""COMPUTED_VALUE"""),"Instituto de Educación Superior Tecnológico Privado Toulouse Lautrec")</f>
        <v>Instituto de Educación Superior Tecnológico Privado Toulouse Lautrec</v>
      </c>
      <c r="AF198" s="1">
        <f>IFERROR(__xludf.DUMMYFUNCTION("""COMPUTED_VALUE"""),2018.0)</f>
        <v>2018</v>
      </c>
      <c r="AG198" s="1">
        <f>IFERROR(__xludf.DUMMYFUNCTION("""COMPUTED_VALUE"""),1267079.0)</f>
        <v>1267079</v>
      </c>
      <c r="AH198" s="1">
        <f>IFERROR(__xludf.DUMMYFUNCTION("""COMPUTED_VALUE"""),22.0)</f>
        <v>22</v>
      </c>
      <c r="AI198" s="1" t="str">
        <f>IFERROR(__xludf.DUMMYFUNCTION("""COMPUTED_VALUE"""),"0000009667")</f>
        <v>0000009667</v>
      </c>
      <c r="AJ198" s="1">
        <f>IFERROR(__xludf.DUMMYFUNCTION("""COMPUTED_VALUE"""),7.2964583E7)</f>
        <v>72964583</v>
      </c>
      <c r="AK198" s="1">
        <f>IFERROR(__xludf.DUMMYFUNCTION("""COMPUTED_VALUE"""),9.63147595E8)</f>
        <v>963147595</v>
      </c>
      <c r="AL198" s="1" t="str">
        <f>IFERROR(__xludf.DUMMYFUNCTION("""COMPUTED_VALUE"""),"ximenacristina@hotmail.com")</f>
        <v>ximenacristina@hotmail.com</v>
      </c>
      <c r="AM198" s="1" t="str">
        <f>IFERROR(__xludf.DUMMYFUNCTION("""COMPUTED_VALUE"""),"FEMENINO")</f>
        <v>FEMENINO</v>
      </c>
      <c r="AN198" s="1">
        <f>IFERROR(__xludf.DUMMYFUNCTION("""COMPUTED_VALUE"""),1775.0)</f>
        <v>1775</v>
      </c>
      <c r="AO198" s="1">
        <f>IFERROR(__xludf.DUMMYFUNCTION("""COMPUTED_VALUE"""),420.0)</f>
        <v>420</v>
      </c>
      <c r="AP198" s="1" t="str">
        <f>IFERROR(__xludf.DUMMYFUNCTION("""COMPUTED_VALUE"""),"OUTBOUND")</f>
        <v>OUTBOUND</v>
      </c>
      <c r="AQ198" s="1" t="str">
        <f>IFERROR(__xludf.DUMMYFUNCTION("""COMPUTED_VALUE"""),"OUTBOUND")</f>
        <v>OUTBOUND</v>
      </c>
      <c r="AR198" s="1" t="str">
        <f>IFERROR(__xludf.DUMMYFUNCTION("""COMPUTED_VALUE"""),"NUEVO")</f>
        <v>NUEVO</v>
      </c>
      <c r="AS198" s="1"/>
      <c r="AT198" s="2">
        <f>IFERROR(__xludf.DUMMYFUNCTION("""COMPUTED_VALUE"""),45618.0)</f>
        <v>45618</v>
      </c>
      <c r="AU198" s="1">
        <f>IFERROR(__xludf.DUMMYFUNCTION("""COMPUTED_VALUE"""),1.0)</f>
        <v>1</v>
      </c>
      <c r="AV198" s="1" t="str">
        <f>IFERROR(__xludf.DUMMYFUNCTION("""COMPUTED_VALUE"""),"TRASLADO")</f>
        <v>TRASLADO</v>
      </c>
      <c r="AW198" s="1" t="str">
        <f>IFERROR(__xludf.DUMMYFUNCTION("""COMPUTED_VALUE"""),"SI")</f>
        <v>SI</v>
      </c>
      <c r="AX198" s="1"/>
      <c r="AY198" s="1" t="str">
        <f>IFERROR(__xludf.DUMMYFUNCTION("""COMPUTED_VALUE"""),"PAGO COMPLETO")</f>
        <v>PAGO COMPLETO</v>
      </c>
      <c r="AZ198" s="5">
        <f>IFERROR(__xludf.DUMMYFUNCTION("""COMPUTED_VALUE"""),45623.0)</f>
        <v>45623</v>
      </c>
      <c r="BA198" s="1">
        <f>IFERROR(__xludf.DUMMYFUNCTION("""COMPUTED_VALUE"""),0.0)</f>
        <v>0</v>
      </c>
      <c r="BB198" s="1">
        <f>IFERROR(__xludf.DUMMYFUNCTION("""COMPUTED_VALUE"""),0.0)</f>
        <v>0</v>
      </c>
      <c r="BC198" s="4">
        <f>IFERROR(__xludf.DUMMYFUNCTION("""COMPUTED_VALUE"""),0.0)</f>
        <v>0</v>
      </c>
      <c r="BD198" s="4">
        <f>IFERROR(__xludf.DUMMYFUNCTION("""COMPUTED_VALUE"""),0.0)</f>
        <v>0</v>
      </c>
      <c r="BE198" s="1">
        <f>IFERROR(__xludf.DUMMYFUNCTION("""COMPUTED_VALUE"""),11.0)</f>
        <v>11</v>
      </c>
      <c r="BF198" s="6">
        <f>IFERROR(__xludf.DUMMYFUNCTION("""COMPUTED_VALUE"""),1.0)</f>
        <v>1</v>
      </c>
      <c r="BG198" s="1">
        <f>IFERROR(__xludf.DUMMYFUNCTION("""COMPUTED_VALUE"""),1.0)</f>
        <v>1</v>
      </c>
      <c r="BH198" s="1" t="str">
        <f>IFERROR(__xludf.DUMMYFUNCTION("""COMPUTED_VALUE"""),"1")</f>
        <v>1</v>
      </c>
      <c r="BI198" s="4">
        <f>IFERROR(__xludf.DUMMYFUNCTION("""COMPUTED_VALUE"""),0.0)</f>
        <v>0</v>
      </c>
      <c r="BJ198" s="1">
        <f>IFERROR(__xludf.DUMMYFUNCTION("""COMPUTED_VALUE"""),0.0)</f>
        <v>0</v>
      </c>
      <c r="BK198" s="4">
        <f>IFERROR(__xludf.DUMMYFUNCTION("""COMPUTED_VALUE"""),0.0)</f>
        <v>0</v>
      </c>
      <c r="BL198" s="1">
        <f>IFERROR(__xludf.DUMMYFUNCTION("""COMPUTED_VALUE"""),1600.0)</f>
        <v>1600</v>
      </c>
      <c r="BM198" s="1">
        <f>IFERROR(__xludf.DUMMYFUNCTION("""COMPUTED_VALUE"""),48.0)</f>
        <v>48</v>
      </c>
      <c r="BN198" s="2">
        <f>IFERROR(__xludf.DUMMYFUNCTION("""COMPUTED_VALUE"""),45621.0)</f>
        <v>45621</v>
      </c>
      <c r="BO198" s="1">
        <f>IFERROR(__xludf.DUMMYFUNCTION("""COMPUTED_VALUE"""),11.0)</f>
        <v>11</v>
      </c>
      <c r="BP198" s="1">
        <f>IFERROR(__xludf.DUMMYFUNCTION("""COMPUTED_VALUE"""),2024.0)</f>
        <v>2024</v>
      </c>
    </row>
    <row r="199">
      <c r="A199" s="1">
        <f>IFERROR(__xludf.DUMMYFUNCTION("""COMPUTED_VALUE"""),198.0)</f>
        <v>198</v>
      </c>
      <c r="B199" s="1">
        <f>IFERROR(__xludf.DUMMYFUNCTION("""COMPUTED_VALUE"""),4509698.0)</f>
        <v>4509698</v>
      </c>
      <c r="C199" s="1" t="str">
        <f>IFERROR(__xludf.DUMMYFUNCTION("""COMPUTED_VALUE"""),"2025-1")</f>
        <v>2025-1</v>
      </c>
      <c r="D199" s="1" t="str">
        <f>IFERROR(__xludf.DUMMYFUNCTION("""COMPUTED_VALUE"""),"Admisión de Alto Rendimiento")</f>
        <v>Admisión de Alto Rendimiento</v>
      </c>
      <c r="E199" s="2">
        <f>IFERROR(__xludf.DUMMYFUNCTION("""COMPUTED_VALUE"""),45623.0)</f>
        <v>45623</v>
      </c>
      <c r="F199" s="1" t="str">
        <f>IFERROR(__xludf.DUMMYFUNCTION("""COMPUTED_VALUE"""),"SOFÍA JULIA ")</f>
        <v>SOFÍA JULIA </v>
      </c>
      <c r="G199" s="1" t="str">
        <f>IFERROR(__xludf.DUMMYFUNCTION("""COMPUTED_VALUE"""),"JIMÉNEZ DÍAZ")</f>
        <v>JIMÉNEZ DÍAZ</v>
      </c>
      <c r="H199" s="1" t="str">
        <f>IFERROR(__xludf.DUMMYFUNCTION("""COMPUTED_VALUE"""),"Comunicación Audiovisual y Cine")</f>
        <v>Comunicación Audiovisual y Cine</v>
      </c>
      <c r="I199" s="1" t="str">
        <f>IFERROR(__xludf.DUMMYFUNCTION("""COMPUTED_VALUE"""),"CARGO")</f>
        <v>CARGO</v>
      </c>
      <c r="J199" s="1" t="str">
        <f>IFERROR(__xludf.DUMMYFUNCTION("""COMPUTED_VALUE"""),"Diurno")</f>
        <v>Diurno</v>
      </c>
      <c r="K199" s="1" t="str">
        <f>IFERROR(__xludf.DUMMYFUNCTION("""COMPUTED_VALUE"""),"NUEVO")</f>
        <v>NUEVO</v>
      </c>
      <c r="L199" s="1">
        <f>IFERROR(__xludf.DUMMYFUNCTION("""COMPUTED_VALUE"""),0.0)</f>
        <v>0</v>
      </c>
      <c r="M199" s="1">
        <f>IFERROR(__xludf.DUMMYFUNCTION("""COMPUTED_VALUE"""),0.0)</f>
        <v>0</v>
      </c>
      <c r="N199" s="1" t="str">
        <f>IFERROR(__xludf.DUMMYFUNCTION("""COMPUTED_VALUE"""),"ESCALA REGULAR")</f>
        <v>ESCALA REGULAR</v>
      </c>
      <c r="O199" s="1" t="str">
        <f>IFERROR(__xludf.DUMMYFUNCTION("""COMPUTED_VALUE"""),"NINGUNO")</f>
        <v>NINGUNO</v>
      </c>
      <c r="P199" s="4">
        <f>IFERROR(__xludf.DUMMYFUNCTION("""COMPUTED_VALUE"""),0.0)</f>
        <v>0</v>
      </c>
      <c r="Q199" s="4">
        <f>IFERROR(__xludf.DUMMYFUNCTION("""COMPUTED_VALUE"""),0.0)</f>
        <v>0</v>
      </c>
      <c r="R199" s="4">
        <f>IFERROR(__xludf.DUMMYFUNCTION("""COMPUTED_VALUE"""),1600.0)</f>
        <v>1600</v>
      </c>
      <c r="S199" s="4">
        <f>IFERROR(__xludf.DUMMYFUNCTION("""COMPUTED_VALUE"""),1600.0)</f>
        <v>1600</v>
      </c>
      <c r="T199" s="1" t="str">
        <f>IFERROR(__xludf.DUMMYFUNCTION("""COMPUTED_VALUE"""),"NINGUNO")</f>
        <v>NINGUNO</v>
      </c>
      <c r="U199" s="1" t="str">
        <f>IFERROR(__xludf.DUMMYFUNCTION("""COMPUTED_VALUE"""),"FABIOLA")</f>
        <v>FABIOLA</v>
      </c>
      <c r="V199" s="1" t="str">
        <f>IFERROR(__xludf.DUMMYFUNCTION("""COMPUTED_VALUE"""),"Ninguno")</f>
        <v>Ninguno</v>
      </c>
      <c r="W199" s="1" t="str">
        <f>IFERROR(__xludf.DUMMYFUNCTION("""COMPUTED_VALUE"""),"Metodología de enseñanza")</f>
        <v>Metodología de enseñanza</v>
      </c>
      <c r="X199" s="1" t="str">
        <f>IFERROR(__xludf.DUMMYFUNCTION("""COMPUTED_VALUE"""),"Alumna pagaba en su colegio la mitad de la pension que es 950 soles // la pension total es de 1900 metodologia")</f>
        <v>Alumna pagaba en su colegio la mitad de la pension que es 950 soles // la pension total es de 1900 metodologia</v>
      </c>
      <c r="Y199" s="1" t="str">
        <f>IFERROR(__xludf.DUMMYFUNCTION("""COMPUTED_VALUE"""),"PAGO COMPLETO")</f>
        <v>PAGO COMPLETO</v>
      </c>
      <c r="Z199" s="1">
        <f>IFERROR(__xludf.DUMMYFUNCTION("""COMPUTED_VALUE"""),0.0)</f>
        <v>0</v>
      </c>
      <c r="AA199" s="1" t="str">
        <f>IFERROR(__xludf.DUMMYFUNCTION("""COMPUTED_VALUE"""),"-")</f>
        <v>-</v>
      </c>
      <c r="AB199" s="1">
        <f>IFERROR(__xludf.DUMMYFUNCTION("""COMPUTED_VALUE"""),0.0)</f>
        <v>0</v>
      </c>
      <c r="AC199" s="1">
        <f>IFERROR(__xludf.DUMMYFUNCTION("""COMPUTED_VALUE"""),0.0)</f>
        <v>0</v>
      </c>
      <c r="AD199" s="1" t="str">
        <f>IFERROR(__xludf.DUMMYFUNCTION("""COMPUTED_VALUE"""),"Cinthia Mariella Orosco")</f>
        <v>Cinthia Mariella Orosco</v>
      </c>
      <c r="AE199" s="1" t="str">
        <f>IFERROR(__xludf.DUMMYFUNCTION("""COMPUTED_VALUE"""),"0")</f>
        <v>0</v>
      </c>
      <c r="AF199" s="1">
        <f>IFERROR(__xludf.DUMMYFUNCTION("""COMPUTED_VALUE"""),2024.0)</f>
        <v>2024</v>
      </c>
      <c r="AG199" s="1">
        <f>IFERROR(__xludf.DUMMYFUNCTION("""COMPUTED_VALUE"""),314476.0)</f>
        <v>314476</v>
      </c>
      <c r="AH199" s="1">
        <f>IFERROR(__xludf.DUMMYFUNCTION("""COMPUTED_VALUE"""),17.0)</f>
        <v>17</v>
      </c>
      <c r="AI199" s="1" t="str">
        <f>IFERROR(__xludf.DUMMYFUNCTION("""COMPUTED_VALUE"""),"0000402053")</f>
        <v>0000402053</v>
      </c>
      <c r="AJ199" s="1">
        <f>IFERROR(__xludf.DUMMYFUNCTION("""COMPUTED_VALUE"""),7.0836148E7)</f>
        <v>70836148</v>
      </c>
      <c r="AK199" s="1">
        <f>IFERROR(__xludf.DUMMYFUNCTION("""COMPUTED_VALUE"""),9.78141579E8)</f>
        <v>978141579</v>
      </c>
      <c r="AL199" s="1" t="str">
        <f>IFERROR(__xludf.DUMMYFUNCTION("""COMPUTED_VALUE"""),"jimenezdiazsofiajulia180@gmail.com")</f>
        <v>jimenezdiazsofiajulia180@gmail.com</v>
      </c>
      <c r="AM199" s="1" t="str">
        <f>IFERROR(__xludf.DUMMYFUNCTION("""COMPUTED_VALUE"""),"FEMENINO")</f>
        <v>FEMENINO</v>
      </c>
      <c r="AN199" s="1">
        <f>IFERROR(__xludf.DUMMYFUNCTION("""COMPUTED_VALUE"""),1600.0)</f>
        <v>1600</v>
      </c>
      <c r="AO199" s="1">
        <f>IFERROR(__xludf.DUMMYFUNCTION("""COMPUTED_VALUE"""),980.0)</f>
        <v>980</v>
      </c>
      <c r="AP199" s="1" t="str">
        <f>IFERROR(__xludf.DUMMYFUNCTION("""COMPUTED_VALUE"""),"BIDIRECCIONAL")</f>
        <v>BIDIRECCIONAL</v>
      </c>
      <c r="AQ199" s="1" t="str">
        <f>IFERROR(__xludf.DUMMYFUNCTION("""COMPUTED_VALUE"""),"SEARCH CARRERA")</f>
        <v>SEARCH CARRERA</v>
      </c>
      <c r="AR199" s="1" t="str">
        <f>IFERROR(__xludf.DUMMYFUNCTION("""COMPUTED_VALUE"""),"NUEVO")</f>
        <v>NUEVO</v>
      </c>
      <c r="AS199" s="1" t="str">
        <f>IFERROR(__xludf.DUMMYFUNCTION("""COMPUTED_VALUE"""),"ucal-pg-performance-sedes-abierta-cpl-search_conversion_mundo_comunicaciones_bidi_search_carreras-20240702")</f>
        <v>ucal-pg-performance-sedes-abierta-cpl-search_conversion_mundo_comunicaciones_bidi_search_carreras-20240702</v>
      </c>
      <c r="AT199" s="2">
        <f>IFERROR(__xludf.DUMMYFUNCTION("""COMPUTED_VALUE"""),45524.0)</f>
        <v>45524</v>
      </c>
      <c r="AU199" s="1">
        <f>IFERROR(__xludf.DUMMYFUNCTION("""COMPUTED_VALUE"""),1.0)</f>
        <v>1</v>
      </c>
      <c r="AV199" s="1" t="str">
        <f>IFERROR(__xludf.DUMMYFUNCTION("""COMPUTED_VALUE"""),"NUEVO")</f>
        <v>NUEVO</v>
      </c>
      <c r="AW199" s="1" t="str">
        <f>IFERROR(__xludf.DUMMYFUNCTION("""COMPUTED_VALUE"""),"SI")</f>
        <v>SI</v>
      </c>
      <c r="AX199" s="1"/>
      <c r="AY199" s="1" t="str">
        <f>IFERROR(__xludf.DUMMYFUNCTION("""COMPUTED_VALUE"""),"PAGO COMPLETO")</f>
        <v>PAGO COMPLETO</v>
      </c>
      <c r="AZ199" s="5">
        <f>IFERROR(__xludf.DUMMYFUNCTION("""COMPUTED_VALUE"""),45623.0)</f>
        <v>45623</v>
      </c>
      <c r="BA199" s="1">
        <f>IFERROR(__xludf.DUMMYFUNCTION("""COMPUTED_VALUE"""),0.0)</f>
        <v>0</v>
      </c>
      <c r="BB199" s="1">
        <f>IFERROR(__xludf.DUMMYFUNCTION("""COMPUTED_VALUE"""),0.0)</f>
        <v>0</v>
      </c>
      <c r="BC199" s="4">
        <f>IFERROR(__xludf.DUMMYFUNCTION("""COMPUTED_VALUE"""),0.0)</f>
        <v>0</v>
      </c>
      <c r="BD199" s="4">
        <f>IFERROR(__xludf.DUMMYFUNCTION("""COMPUTED_VALUE"""),0.0)</f>
        <v>0</v>
      </c>
      <c r="BE199" s="1">
        <f>IFERROR(__xludf.DUMMYFUNCTION("""COMPUTED_VALUE"""),11.0)</f>
        <v>11</v>
      </c>
      <c r="BF199" s="6">
        <f>IFERROR(__xludf.DUMMYFUNCTION("""COMPUTED_VALUE"""),1.0)</f>
        <v>1</v>
      </c>
      <c r="BG199" s="1">
        <f>IFERROR(__xludf.DUMMYFUNCTION("""COMPUTED_VALUE"""),1.0)</f>
        <v>1</v>
      </c>
      <c r="BH199" s="1" t="str">
        <f>IFERROR(__xludf.DUMMYFUNCTION("""COMPUTED_VALUE"""),"0")</f>
        <v>0</v>
      </c>
      <c r="BI199" s="4">
        <f>IFERROR(__xludf.DUMMYFUNCTION("""COMPUTED_VALUE"""),0.0)</f>
        <v>0</v>
      </c>
      <c r="BJ199" s="1">
        <f>IFERROR(__xludf.DUMMYFUNCTION("""COMPUTED_VALUE"""),0.0)</f>
        <v>0</v>
      </c>
      <c r="BK199" s="4">
        <f>IFERROR(__xludf.DUMMYFUNCTION("""COMPUTED_VALUE"""),0.0)</f>
        <v>0</v>
      </c>
      <c r="BL199" s="1">
        <f>IFERROR(__xludf.DUMMYFUNCTION("""COMPUTED_VALUE"""),1600.0)</f>
        <v>1600</v>
      </c>
      <c r="BM199" s="1">
        <f>IFERROR(__xludf.DUMMYFUNCTION("""COMPUTED_VALUE"""),48.0)</f>
        <v>48</v>
      </c>
      <c r="BN199" s="2">
        <f>IFERROR(__xludf.DUMMYFUNCTION("""COMPUTED_VALUE"""),45621.0)</f>
        <v>45621</v>
      </c>
      <c r="BO199" s="1">
        <f>IFERROR(__xludf.DUMMYFUNCTION("""COMPUTED_VALUE"""),11.0)</f>
        <v>11</v>
      </c>
      <c r="BP199" s="1">
        <f>IFERROR(__xludf.DUMMYFUNCTION("""COMPUTED_VALUE"""),2024.0)</f>
        <v>2024</v>
      </c>
    </row>
    <row r="200">
      <c r="A200" s="1">
        <f>IFERROR(__xludf.DUMMYFUNCTION("""COMPUTED_VALUE"""),199.0)</f>
        <v>199</v>
      </c>
      <c r="B200" s="1">
        <f>IFERROR(__xludf.DUMMYFUNCTION("""COMPUTED_VALUE"""),4817843.0)</f>
        <v>4817843</v>
      </c>
      <c r="C200" s="1" t="str">
        <f>IFERROR(__xludf.DUMMYFUNCTION("""COMPUTED_VALUE"""),"2025-1")</f>
        <v>2025-1</v>
      </c>
      <c r="D200" s="1" t="str">
        <f>IFERROR(__xludf.DUMMYFUNCTION("""COMPUTED_VALUE"""),"Admisión de Alto Rendimiento")</f>
        <v>Admisión de Alto Rendimiento</v>
      </c>
      <c r="E200" s="2">
        <f>IFERROR(__xludf.DUMMYFUNCTION("""COMPUTED_VALUE"""),45623.0)</f>
        <v>45623</v>
      </c>
      <c r="F200" s="1" t="str">
        <f>IFERROR(__xludf.DUMMYFUNCTION("""COMPUTED_VALUE"""),"KELLY YUMIRA")</f>
        <v>KELLY YUMIRA</v>
      </c>
      <c r="G200" s="1" t="str">
        <f>IFERROR(__xludf.DUMMYFUNCTION("""COMPUTED_VALUE"""),"COSINGA VILLEGAS")</f>
        <v>COSINGA VILLEGAS</v>
      </c>
      <c r="H200" s="1" t="str">
        <f>IFERROR(__xludf.DUMMYFUNCTION("""COMPUTED_VALUE"""),"Comunicación Audiovisual y Cine")</f>
        <v>Comunicación Audiovisual y Cine</v>
      </c>
      <c r="I200" s="1" t="str">
        <f>IFERROR(__xludf.DUMMYFUNCTION("""COMPUTED_VALUE"""),"Pago Link")</f>
        <v>Pago Link</v>
      </c>
      <c r="J200" s="1" t="str">
        <f>IFERROR(__xludf.DUMMYFUNCTION("""COMPUTED_VALUE"""),"Diurno")</f>
        <v>Diurno</v>
      </c>
      <c r="K200" s="1" t="str">
        <f>IFERROR(__xludf.DUMMYFUNCTION("""COMPUTED_VALUE"""),"NUEVO")</f>
        <v>NUEVO</v>
      </c>
      <c r="L200" s="1">
        <f>IFERROR(__xludf.DUMMYFUNCTION("""COMPUTED_VALUE"""),0.0)</f>
        <v>0</v>
      </c>
      <c r="M200" s="1">
        <f>IFERROR(__xludf.DUMMYFUNCTION("""COMPUTED_VALUE"""),0.0)</f>
        <v>0</v>
      </c>
      <c r="N200" s="1" t="str">
        <f>IFERROR(__xludf.DUMMYFUNCTION("""COMPUTED_VALUE"""),"BECA")</f>
        <v>BECA</v>
      </c>
      <c r="O200" s="1" t="str">
        <f>IFERROR(__xludf.DUMMYFUNCTION("""COMPUTED_VALUE"""),"BECA CARRERAS CORE")</f>
        <v>BECA CARRERAS CORE</v>
      </c>
      <c r="P200" s="4">
        <f>IFERROR(__xludf.DUMMYFUNCTION("""COMPUTED_VALUE"""),0.0)</f>
        <v>0</v>
      </c>
      <c r="Q200" s="4">
        <f>IFERROR(__xludf.DUMMYFUNCTION("""COMPUTED_VALUE"""),0.0)</f>
        <v>0</v>
      </c>
      <c r="R200" s="4">
        <f>IFERROR(__xludf.DUMMYFUNCTION("""COMPUTED_VALUE"""),1525.0)</f>
        <v>1525</v>
      </c>
      <c r="S200" s="4">
        <f>IFERROR(__xludf.DUMMYFUNCTION("""COMPUTED_VALUE"""),1250.0)</f>
        <v>1250</v>
      </c>
      <c r="T200" s="1" t="str">
        <f>IFERROR(__xludf.DUMMYFUNCTION("""COMPUTED_VALUE"""),"Visita Guiada")</f>
        <v>Visita Guiada</v>
      </c>
      <c r="U200" s="1" t="str">
        <f>IFERROR(__xludf.DUMMYFUNCTION("""COMPUTED_VALUE"""),"FABIOLA")</f>
        <v>FABIOLA</v>
      </c>
      <c r="V200" s="1" t="str">
        <f>IFERROR(__xludf.DUMMYFUNCTION("""COMPUTED_VALUE"""),"Ninguno")</f>
        <v>Ninguno</v>
      </c>
      <c r="W200" s="1" t="str">
        <f>IFERROR(__xludf.DUMMYFUNCTION("""COMPUTED_VALUE"""),"Metodología de enseñanza")</f>
        <v>Metodología de enseñanza</v>
      </c>
      <c r="X200" s="1" t="str">
        <f>IFERROR(__xludf.DUMMYFUNCTION("""COMPUTED_VALUE"""),"le gusta la metodologia")</f>
        <v>le gusta la metodologia</v>
      </c>
      <c r="Y200" s="1" t="str">
        <f>IFERROR(__xludf.DUMMYFUNCTION("""COMPUTED_VALUE"""),"PAGO FRACCIONADO")</f>
        <v>PAGO FRACCIONADO</v>
      </c>
      <c r="Z200" s="1">
        <f>IFERROR(__xludf.DUMMYFUNCTION("""COMPUTED_VALUE"""),600.0)</f>
        <v>600</v>
      </c>
      <c r="AA200" s="1" t="str">
        <f>IFERROR(__xludf.DUMMYFUNCTION("""COMPUTED_VALUE"""),"30/11/2024")</f>
        <v>30/11/2024</v>
      </c>
      <c r="AB200" s="1">
        <f>IFERROR(__xludf.DUMMYFUNCTION("""COMPUTED_VALUE"""),0.0)</f>
        <v>0</v>
      </c>
      <c r="AC200" s="1">
        <f>IFERROR(__xludf.DUMMYFUNCTION("""COMPUTED_VALUE"""),0.0)</f>
        <v>0</v>
      </c>
      <c r="AD200" s="1" t="str">
        <f>IFERROR(__xludf.DUMMYFUNCTION("""COMPUTED_VALUE"""),"Cinthia Mariella Orosco")</f>
        <v>Cinthia Mariella Orosco</v>
      </c>
      <c r="AE200" s="1" t="str">
        <f>IFERROR(__xludf.DUMMYFUNCTION("""COMPUTED_VALUE"""),"0")</f>
        <v>0</v>
      </c>
      <c r="AF200" s="1">
        <f>IFERROR(__xludf.DUMMYFUNCTION("""COMPUTED_VALUE"""),2024.0)</f>
        <v>2024</v>
      </c>
      <c r="AG200" s="1">
        <f>IFERROR(__xludf.DUMMYFUNCTION("""COMPUTED_VALUE"""),1278761.0)</f>
        <v>1278761</v>
      </c>
      <c r="AH200" s="1">
        <f>IFERROR(__xludf.DUMMYFUNCTION("""COMPUTED_VALUE"""),17.0)</f>
        <v>17</v>
      </c>
      <c r="AI200" s="1" t="str">
        <f>IFERROR(__xludf.DUMMYFUNCTION("""COMPUTED_VALUE"""),"0000402118")</f>
        <v>0000402118</v>
      </c>
      <c r="AJ200" s="1">
        <f>IFERROR(__xludf.DUMMYFUNCTION("""COMPUTED_VALUE"""),6.1148411E7)</f>
        <v>61148411</v>
      </c>
      <c r="AK200" s="1">
        <f>IFERROR(__xludf.DUMMYFUNCTION("""COMPUTED_VALUE"""),9.51117889E8)</f>
        <v>951117889</v>
      </c>
      <c r="AL200" s="1" t="str">
        <f>IFERROR(__xludf.DUMMYFUNCTION("""COMPUTED_VALUE"""),"Yumirakelly06@gmail.com")</f>
        <v>Yumirakelly06@gmail.com</v>
      </c>
      <c r="AM200" s="1" t="str">
        <f>IFERROR(__xludf.DUMMYFUNCTION("""COMPUTED_VALUE"""),"FEMENINO")</f>
        <v>FEMENINO</v>
      </c>
      <c r="AN200" s="1">
        <f>IFERROR(__xludf.DUMMYFUNCTION("""COMPUTED_VALUE"""),1525.0)</f>
        <v>1525</v>
      </c>
      <c r="AO200" s="1">
        <f>IFERROR(__xludf.DUMMYFUNCTION("""COMPUTED_VALUE"""),150.0)</f>
        <v>150</v>
      </c>
      <c r="AP200" s="1" t="str">
        <f>IFERROR(__xludf.DUMMYFUNCTION("""COMPUTED_VALUE"""),"FORMULARIO")</f>
        <v>FORMULARIO</v>
      </c>
      <c r="AQ200" s="1" t="str">
        <f>IFERROR(__xludf.DUMMYFUNCTION("""COMPUTED_VALUE"""),"SEARCH CARRERA")</f>
        <v>SEARCH CARRERA</v>
      </c>
      <c r="AR200" s="1" t="str">
        <f>IFERROR(__xludf.DUMMYFUNCTION("""COMPUTED_VALUE"""),"NUEVO")</f>
        <v>NUEVO</v>
      </c>
      <c r="AS200" s="1" t="str">
        <f>IFERROR(__xludf.DUMMYFUNCTION("""COMPUTED_VALUE"""),"ucal-pg-performance-sedes-abierta-cpl-search_conversion_mundo_comunicaciones_reactivacion-20241105")</f>
        <v>ucal-pg-performance-sedes-abierta-cpl-search_conversion_mundo_comunicaciones_reactivacion-20241105</v>
      </c>
      <c r="AT200" s="2">
        <f>IFERROR(__xludf.DUMMYFUNCTION("""COMPUTED_VALUE"""),45617.0)</f>
        <v>45617</v>
      </c>
      <c r="AU200" s="1">
        <f>IFERROR(__xludf.DUMMYFUNCTION("""COMPUTED_VALUE"""),1.0)</f>
        <v>1</v>
      </c>
      <c r="AV200" s="1" t="str">
        <f>IFERROR(__xludf.DUMMYFUNCTION("""COMPUTED_VALUE"""),"NUEVO")</f>
        <v>NUEVO</v>
      </c>
      <c r="AW200" s="1" t="str">
        <f>IFERROR(__xludf.DUMMYFUNCTION("""COMPUTED_VALUE"""),"SI")</f>
        <v>SI</v>
      </c>
      <c r="AX200" s="1"/>
      <c r="AY200" s="1" t="str">
        <f>IFERROR(__xludf.DUMMYFUNCTION("""COMPUTED_VALUE"""),"PAGO COMPLETO")</f>
        <v>PAGO COMPLETO</v>
      </c>
      <c r="AZ200" s="5">
        <f>IFERROR(__xludf.DUMMYFUNCTION("""COMPUTED_VALUE"""),45626.0)</f>
        <v>45626</v>
      </c>
      <c r="BA200" s="1">
        <f>IFERROR(__xludf.DUMMYFUNCTION("""COMPUTED_VALUE"""),550.0)</f>
        <v>550</v>
      </c>
      <c r="BB200" s="1">
        <f>IFERROR(__xludf.DUMMYFUNCTION("""COMPUTED_VALUE"""),0.0)</f>
        <v>0</v>
      </c>
      <c r="BC200" s="4">
        <f>IFERROR(__xludf.DUMMYFUNCTION("""COMPUTED_VALUE"""),0.0)</f>
        <v>0</v>
      </c>
      <c r="BD200" s="4">
        <f>IFERROR(__xludf.DUMMYFUNCTION("""COMPUTED_VALUE"""),100.0)</f>
        <v>100</v>
      </c>
      <c r="BE200" s="1">
        <f>IFERROR(__xludf.DUMMYFUNCTION("""COMPUTED_VALUE"""),11.0)</f>
        <v>11</v>
      </c>
      <c r="BF200" s="6">
        <f>IFERROR(__xludf.DUMMYFUNCTION("""COMPUTED_VALUE"""),1.0)</f>
        <v>1</v>
      </c>
      <c r="BG200" s="1">
        <f>IFERROR(__xludf.DUMMYFUNCTION("""COMPUTED_VALUE"""),1.0)</f>
        <v>1</v>
      </c>
      <c r="BH200" s="1" t="str">
        <f>IFERROR(__xludf.DUMMYFUNCTION("""COMPUTED_VALUE"""),"0")</f>
        <v>0</v>
      </c>
      <c r="BI200" s="4">
        <f>IFERROR(__xludf.DUMMYFUNCTION("""COMPUTED_VALUE"""),1250.0)</f>
        <v>1250</v>
      </c>
      <c r="BJ200" s="1">
        <f>IFERROR(__xludf.DUMMYFUNCTION("""COMPUTED_VALUE"""),0.0)</f>
        <v>0</v>
      </c>
      <c r="BK200" s="4">
        <f>IFERROR(__xludf.DUMMYFUNCTION("""COMPUTED_VALUE"""),100.0)</f>
        <v>100</v>
      </c>
      <c r="BL200" s="1">
        <f>IFERROR(__xludf.DUMMYFUNCTION("""COMPUTED_VALUE"""),1230.0)</f>
        <v>1230</v>
      </c>
      <c r="BM200" s="1">
        <f>IFERROR(__xludf.DUMMYFUNCTION("""COMPUTED_VALUE"""),48.0)</f>
        <v>48</v>
      </c>
      <c r="BN200" s="2">
        <f>IFERROR(__xludf.DUMMYFUNCTION("""COMPUTED_VALUE"""),45621.0)</f>
        <v>45621</v>
      </c>
      <c r="BO200" s="1">
        <f>IFERROR(__xludf.DUMMYFUNCTION("""COMPUTED_VALUE"""),11.0)</f>
        <v>11</v>
      </c>
      <c r="BP200" s="1">
        <f>IFERROR(__xludf.DUMMYFUNCTION("""COMPUTED_VALUE"""),2024.0)</f>
        <v>2024</v>
      </c>
    </row>
    <row r="201">
      <c r="A201" s="1">
        <f>IFERROR(__xludf.DUMMYFUNCTION("""COMPUTED_VALUE"""),200.0)</f>
        <v>200</v>
      </c>
      <c r="B201" s="1">
        <f>IFERROR(__xludf.DUMMYFUNCTION("""COMPUTED_VALUE"""),4826638.0)</f>
        <v>4826638</v>
      </c>
      <c r="C201" s="1" t="str">
        <f>IFERROR(__xludf.DUMMYFUNCTION("""COMPUTED_VALUE"""),"2025-1")</f>
        <v>2025-1</v>
      </c>
      <c r="D201" s="1" t="str">
        <f>IFERROR(__xludf.DUMMYFUNCTION("""COMPUTED_VALUE"""),"Admisión Extraordinaria (Traslados)")</f>
        <v>Admisión Extraordinaria (Traslados)</v>
      </c>
      <c r="E201" s="2">
        <f>IFERROR(__xludf.DUMMYFUNCTION("""COMPUTED_VALUE"""),45624.0)</f>
        <v>45624</v>
      </c>
      <c r="F201" s="1" t="str">
        <f>IFERROR(__xludf.DUMMYFUNCTION("""COMPUTED_VALUE"""),"MIA STEFANIA ")</f>
        <v>MIA STEFANIA </v>
      </c>
      <c r="G201" s="1" t="str">
        <f>IFERROR(__xludf.DUMMYFUNCTION("""COMPUTED_VALUE"""),"CARRION SALAZAR")</f>
        <v>CARRION SALAZAR</v>
      </c>
      <c r="H201" s="1" t="str">
        <f>IFERROR(__xludf.DUMMYFUNCTION("""COMPUTED_VALUE"""),"Arquitectura")</f>
        <v>Arquitectura</v>
      </c>
      <c r="I201" s="1" t="str">
        <f>IFERROR(__xludf.DUMMYFUNCTION("""COMPUTED_VALUE"""),"Pago Link")</f>
        <v>Pago Link</v>
      </c>
      <c r="J201" s="1" t="str">
        <f>IFERROR(__xludf.DUMMYFUNCTION("""COMPUTED_VALUE"""),"Diurno")</f>
        <v>Diurno</v>
      </c>
      <c r="K201" s="1" t="str">
        <f>IFERROR(__xludf.DUMMYFUNCTION("""COMPUTED_VALUE"""),"TRASLADO")</f>
        <v>TRASLADO</v>
      </c>
      <c r="L201" s="1">
        <f>IFERROR(__xludf.DUMMYFUNCTION("""COMPUTED_VALUE"""),1.0)</f>
        <v>1</v>
      </c>
      <c r="M201" s="1">
        <f>IFERROR(__xludf.DUMMYFUNCTION("""COMPUTED_VALUE"""),0.0)</f>
        <v>0</v>
      </c>
      <c r="N201" s="1" t="str">
        <f>IFERROR(__xludf.DUMMYFUNCTION("""COMPUTED_VALUE"""),"RECA")</f>
        <v>RECA</v>
      </c>
      <c r="O201" s="1" t="str">
        <f>IFERROR(__xludf.DUMMYFUNCTION("""COMPUTED_VALUE"""),"RECA TRASLADO CON CONVA")</f>
        <v>RECA TRASLADO CON CONVA</v>
      </c>
      <c r="P201" s="4">
        <f>IFERROR(__xludf.DUMMYFUNCTION("""COMPUTED_VALUE"""),0.0)</f>
        <v>0</v>
      </c>
      <c r="Q201" s="4">
        <f>IFERROR(__xludf.DUMMYFUNCTION("""COMPUTED_VALUE"""),0.0)</f>
        <v>0</v>
      </c>
      <c r="R201" s="4">
        <f>IFERROR(__xludf.DUMMYFUNCTION("""COMPUTED_VALUE"""),1600.0)</f>
        <v>1600</v>
      </c>
      <c r="S201" s="4">
        <f>IFERROR(__xludf.DUMMYFUNCTION("""COMPUTED_VALUE"""),1200.0)</f>
        <v>1200</v>
      </c>
      <c r="T201" s="1" t="str">
        <f>IFERROR(__xludf.DUMMYFUNCTION("""COMPUTED_VALUE"""),"Visita guiada - refirio")</f>
        <v>Visita guiada - refirio</v>
      </c>
      <c r="U201" s="1" t="str">
        <f>IFERROR(__xludf.DUMMYFUNCTION("""COMPUTED_VALUE"""),"FABIOLA")</f>
        <v>FABIOLA</v>
      </c>
      <c r="V201" s="1" t="str">
        <f>IFERROR(__xludf.DUMMYFUNCTION("""COMPUTED_VALUE"""),"Ninguno")</f>
        <v>Ninguno</v>
      </c>
      <c r="W201" s="1" t="str">
        <f>IFERROR(__xludf.DUMMYFUNCTION("""COMPUTED_VALUE"""),"Malla curricular")</f>
        <v>Malla curricular</v>
      </c>
      <c r="X201" s="1" t="str">
        <f>IFERROR(__xludf.DUMMYFUNCTION("""COMPUTED_VALUE"""),"alumna tiene reca por ser conva")</f>
        <v>alumna tiene reca por ser conva</v>
      </c>
      <c r="Y201" s="1" t="str">
        <f>IFERROR(__xludf.DUMMYFUNCTION("""COMPUTED_VALUE"""),"PAGO FRACCIONADO")</f>
        <v>PAGO FRACCIONADO</v>
      </c>
      <c r="Z201" s="1">
        <f>IFERROR(__xludf.DUMMYFUNCTION("""COMPUTED_VALUE"""),550.0)</f>
        <v>550</v>
      </c>
      <c r="AA201" s="1" t="str">
        <f>IFERROR(__xludf.DUMMYFUNCTION("""COMPUTED_VALUE"""),"15/12/2024")</f>
        <v>15/12/2024</v>
      </c>
      <c r="AB201" s="1">
        <f>IFERROR(__xludf.DUMMYFUNCTION("""COMPUTED_VALUE"""),0.0)</f>
        <v>0</v>
      </c>
      <c r="AC201" s="1">
        <f>IFERROR(__xludf.DUMMYFUNCTION("""COMPUTED_VALUE"""),0.0)</f>
        <v>0</v>
      </c>
      <c r="AD201" s="1" t="str">
        <f>IFERROR(__xludf.DUMMYFUNCTION("""COMPUTED_VALUE"""),"Rosa Ugarte")</f>
        <v>Rosa Ugarte</v>
      </c>
      <c r="AE201" s="1" t="str">
        <f>IFERROR(__xludf.DUMMYFUNCTION("""COMPUTED_VALUE"""),"Universidad San Martin de Porres")</f>
        <v>Universidad San Martin de Porres</v>
      </c>
      <c r="AF201" s="1">
        <f>IFERROR(__xludf.DUMMYFUNCTION("""COMPUTED_VALUE"""),2015.0)</f>
        <v>2015</v>
      </c>
      <c r="AG201" s="1">
        <f>IFERROR(__xludf.DUMMYFUNCTION("""COMPUTED_VALUE"""),1009075.0)</f>
        <v>1009075</v>
      </c>
      <c r="AH201" s="1">
        <f>IFERROR(__xludf.DUMMYFUNCTION("""COMPUTED_VALUE"""),26.0)</f>
        <v>26</v>
      </c>
      <c r="AI201" s="1" t="str">
        <f>IFERROR(__xludf.DUMMYFUNCTION("""COMPUTED_VALUE"""),"0000402157")</f>
        <v>0000402157</v>
      </c>
      <c r="AJ201" s="1">
        <f>IFERROR(__xludf.DUMMYFUNCTION("""COMPUTED_VALUE"""),7.6334784E7)</f>
        <v>76334784</v>
      </c>
      <c r="AK201" s="1">
        <f>IFERROR(__xludf.DUMMYFUNCTION("""COMPUTED_VALUE"""),9.58496143E8)</f>
        <v>958496143</v>
      </c>
      <c r="AL201" s="1" t="str">
        <f>IFERROR(__xludf.DUMMYFUNCTION("""COMPUTED_VALUE"""),"miastecarsal@gmail.com")</f>
        <v>miastecarsal@gmail.com</v>
      </c>
      <c r="AM201" s="1" t="str">
        <f>IFERROR(__xludf.DUMMYFUNCTION("""COMPUTED_VALUE"""),"FEMENINO")</f>
        <v>FEMENINO</v>
      </c>
      <c r="AN201" s="1">
        <f>IFERROR(__xludf.DUMMYFUNCTION("""COMPUTED_VALUE"""),1775.0)</f>
        <v>1775</v>
      </c>
      <c r="AO201" s="1">
        <f>IFERROR(__xludf.DUMMYFUNCTION("""COMPUTED_VALUE"""),430.0)</f>
        <v>430</v>
      </c>
      <c r="AP201" s="1" t="str">
        <f>IFERROR(__xludf.DUMMYFUNCTION("""COMPUTED_VALUE"""),"INBOUND")</f>
        <v>INBOUND</v>
      </c>
      <c r="AQ201" s="1" t="str">
        <f>IFERROR(__xludf.DUMMYFUNCTION("""COMPUTED_VALUE"""),"INBOUND")</f>
        <v>INBOUND</v>
      </c>
      <c r="AR201" s="1" t="str">
        <f>IFERROR(__xludf.DUMMYFUNCTION("""COMPUTED_VALUE"""),"NUEVO")</f>
        <v>NUEVO</v>
      </c>
      <c r="AS201" s="1"/>
      <c r="AT201" s="2">
        <f>IFERROR(__xludf.DUMMYFUNCTION("""COMPUTED_VALUE"""),45622.0)</f>
        <v>45622</v>
      </c>
      <c r="AU201" s="1">
        <f>IFERROR(__xludf.DUMMYFUNCTION("""COMPUTED_VALUE"""),1.0)</f>
        <v>1</v>
      </c>
      <c r="AV201" s="1" t="str">
        <f>IFERROR(__xludf.DUMMYFUNCTION("""COMPUTED_VALUE"""),"TRASLADO")</f>
        <v>TRASLADO</v>
      </c>
      <c r="AW201" s="1" t="str">
        <f>IFERROR(__xludf.DUMMYFUNCTION("""COMPUTED_VALUE"""),"SI")</f>
        <v>SI</v>
      </c>
      <c r="AX201" s="1"/>
      <c r="AY201" s="1" t="str">
        <f>IFERROR(__xludf.DUMMYFUNCTION("""COMPUTED_VALUE"""),"PAGO COMPLETO")</f>
        <v>PAGO COMPLETO</v>
      </c>
      <c r="AZ201" s="5">
        <f>IFERROR(__xludf.DUMMYFUNCTION("""COMPUTED_VALUE"""),45631.0)</f>
        <v>45631</v>
      </c>
      <c r="BA201" s="1">
        <f>IFERROR(__xludf.DUMMYFUNCTION("""COMPUTED_VALUE"""),550.0)</f>
        <v>550</v>
      </c>
      <c r="BB201" s="1">
        <f>IFERROR(__xludf.DUMMYFUNCTION("""COMPUTED_VALUE"""),0.0)</f>
        <v>0</v>
      </c>
      <c r="BC201" s="4">
        <f>IFERROR(__xludf.DUMMYFUNCTION("""COMPUTED_VALUE"""),0.0)</f>
        <v>0</v>
      </c>
      <c r="BD201" s="4">
        <f>IFERROR(__xludf.DUMMYFUNCTION("""COMPUTED_VALUE"""),100.0)</f>
        <v>100</v>
      </c>
      <c r="BE201" s="1">
        <f>IFERROR(__xludf.DUMMYFUNCTION("""COMPUTED_VALUE"""),11.0)</f>
        <v>11</v>
      </c>
      <c r="BF201" s="6">
        <f>IFERROR(__xludf.DUMMYFUNCTION("""COMPUTED_VALUE"""),1.0)</f>
        <v>1</v>
      </c>
      <c r="BG201" s="1">
        <f>IFERROR(__xludf.DUMMYFUNCTION("""COMPUTED_VALUE"""),1.0)</f>
        <v>1</v>
      </c>
      <c r="BH201" s="1" t="str">
        <f>IFERROR(__xludf.DUMMYFUNCTION("""COMPUTED_VALUE"""),"1")</f>
        <v>1</v>
      </c>
      <c r="BI201" s="4">
        <f>IFERROR(__xludf.DUMMYFUNCTION("""COMPUTED_VALUE"""),1200.0)</f>
        <v>1200</v>
      </c>
      <c r="BJ201" s="1">
        <f>IFERROR(__xludf.DUMMYFUNCTION("""COMPUTED_VALUE"""),0.0)</f>
        <v>0</v>
      </c>
      <c r="BK201" s="4">
        <f>IFERROR(__xludf.DUMMYFUNCTION("""COMPUTED_VALUE"""),1300.0)</f>
        <v>1300</v>
      </c>
      <c r="BL201" s="1">
        <f>IFERROR(__xludf.DUMMYFUNCTION("""COMPUTED_VALUE"""),940.0)</f>
        <v>940</v>
      </c>
      <c r="BM201" s="1">
        <f>IFERROR(__xludf.DUMMYFUNCTION("""COMPUTED_VALUE"""),48.0)</f>
        <v>48</v>
      </c>
      <c r="BN201" s="2">
        <f>IFERROR(__xludf.DUMMYFUNCTION("""COMPUTED_VALUE"""),45621.0)</f>
        <v>45621</v>
      </c>
      <c r="BO201" s="1">
        <f>IFERROR(__xludf.DUMMYFUNCTION("""COMPUTED_VALUE"""),11.0)</f>
        <v>11</v>
      </c>
      <c r="BP201" s="1">
        <f>IFERROR(__xludf.DUMMYFUNCTION("""COMPUTED_VALUE"""),2024.0)</f>
        <v>2024</v>
      </c>
    </row>
    <row r="202">
      <c r="A202" s="1">
        <f>IFERROR(__xludf.DUMMYFUNCTION("""COMPUTED_VALUE"""),201.0)</f>
        <v>201</v>
      </c>
      <c r="B202" s="1">
        <f>IFERROR(__xludf.DUMMYFUNCTION("""COMPUTED_VALUE"""),4765546.0)</f>
        <v>4765546</v>
      </c>
      <c r="C202" s="1" t="str">
        <f>IFERROR(__xludf.DUMMYFUNCTION("""COMPUTED_VALUE"""),"2025-1")</f>
        <v>2025-1</v>
      </c>
      <c r="D202" s="1" t="str">
        <f>IFERROR(__xludf.DUMMYFUNCTION("""COMPUTED_VALUE"""),"Admisión de Alto Rendimiento")</f>
        <v>Admisión de Alto Rendimiento</v>
      </c>
      <c r="E202" s="2">
        <f>IFERROR(__xludf.DUMMYFUNCTION("""COMPUTED_VALUE"""),45624.0)</f>
        <v>45624</v>
      </c>
      <c r="F202" s="1" t="str">
        <f>IFERROR(__xludf.DUMMYFUNCTION("""COMPUTED_VALUE"""),"OBED RONALDINHO ")</f>
        <v>OBED RONALDINHO </v>
      </c>
      <c r="G202" s="1" t="str">
        <f>IFERROR(__xludf.DUMMYFUNCTION("""COMPUTED_VALUE"""),"SAMANEZ GOMERO")</f>
        <v>SAMANEZ GOMERO</v>
      </c>
      <c r="H202" s="1" t="str">
        <f>IFERROR(__xludf.DUMMYFUNCTION("""COMPUTED_VALUE"""),"Comunicación y Publicidad Transmedia")</f>
        <v>Comunicación y Publicidad Transmedia</v>
      </c>
      <c r="I202" s="1" t="str">
        <f>IFERROR(__xludf.DUMMYFUNCTION("""COMPUTED_VALUE"""),"CARGO")</f>
        <v>CARGO</v>
      </c>
      <c r="J202" s="1" t="str">
        <f>IFERROR(__xludf.DUMMYFUNCTION("""COMPUTED_VALUE"""),"Diurno")</f>
        <v>Diurno</v>
      </c>
      <c r="K202" s="1" t="str">
        <f>IFERROR(__xludf.DUMMYFUNCTION("""COMPUTED_VALUE"""),"NUEVO")</f>
        <v>NUEVO</v>
      </c>
      <c r="L202" s="1">
        <f>IFERROR(__xludf.DUMMYFUNCTION("""COMPUTED_VALUE"""),0.0)</f>
        <v>0</v>
      </c>
      <c r="M202" s="1">
        <f>IFERROR(__xludf.DUMMYFUNCTION("""COMPUTED_VALUE"""),0.0)</f>
        <v>0</v>
      </c>
      <c r="N202" s="1" t="str">
        <f>IFERROR(__xludf.DUMMYFUNCTION("""COMPUTED_VALUE"""),"BECA")</f>
        <v>BECA</v>
      </c>
      <c r="O202" s="1" t="str">
        <f>IFERROR(__xludf.DUMMYFUNCTION("""COMPUTED_VALUE"""),"BECA CARRERAS CORE")</f>
        <v>BECA CARRERAS CORE</v>
      </c>
      <c r="P202" s="4">
        <f>IFERROR(__xludf.DUMMYFUNCTION("""COMPUTED_VALUE"""),0.0)</f>
        <v>0</v>
      </c>
      <c r="Q202" s="4">
        <f>IFERROR(__xludf.DUMMYFUNCTION("""COMPUTED_VALUE"""),0.0)</f>
        <v>0</v>
      </c>
      <c r="R202" s="4">
        <f>IFERROR(__xludf.DUMMYFUNCTION("""COMPUTED_VALUE"""),1150.0)</f>
        <v>1150</v>
      </c>
      <c r="S202" s="4">
        <f>IFERROR(__xludf.DUMMYFUNCTION("""COMPUTED_VALUE"""),1000.0)</f>
        <v>1000</v>
      </c>
      <c r="T202" s="1" t="str">
        <f>IFERROR(__xludf.DUMMYFUNCTION("""COMPUTED_VALUE"""),"NINGUNO")</f>
        <v>NINGUNO</v>
      </c>
      <c r="U202" s="1" t="str">
        <f>IFERROR(__xludf.DUMMYFUNCTION("""COMPUTED_VALUE"""),"FABIOLA")</f>
        <v>FABIOLA</v>
      </c>
      <c r="V202" s="1" t="str">
        <f>IFERROR(__xludf.DUMMYFUNCTION("""COMPUTED_VALUE"""),"Ninguno")</f>
        <v>Ninguno</v>
      </c>
      <c r="W202" s="1" t="str">
        <f>IFERROR(__xludf.DUMMYFUNCTION("""COMPUTED_VALUE"""),"Otros")</f>
        <v>Otros</v>
      </c>
      <c r="X202" s="1" t="str">
        <f>IFERROR(__xludf.DUMMYFUNCTION("""COMPUTED_VALUE"""),"-")</f>
        <v>-</v>
      </c>
      <c r="Y202" s="1" t="str">
        <f>IFERROR(__xludf.DUMMYFUNCTION("""COMPUTED_VALUE"""),"PAGO COMPLETO")</f>
        <v>PAGO COMPLETO</v>
      </c>
      <c r="Z202" s="1">
        <f>IFERROR(__xludf.DUMMYFUNCTION("""COMPUTED_VALUE"""),0.0)</f>
        <v>0</v>
      </c>
      <c r="AA202" s="1" t="str">
        <f>IFERROR(__xludf.DUMMYFUNCTION("""COMPUTED_VALUE"""),"-")</f>
        <v>-</v>
      </c>
      <c r="AB202" s="1">
        <f>IFERROR(__xludf.DUMMYFUNCTION("""COMPUTED_VALUE"""),1.0)</f>
        <v>1</v>
      </c>
      <c r="AC202" s="1">
        <f>IFERROR(__xludf.DUMMYFUNCTION("""COMPUTED_VALUE"""),0.0)</f>
        <v>0</v>
      </c>
      <c r="AD202" s="1" t="str">
        <f>IFERROR(__xludf.DUMMYFUNCTION("""COMPUTED_VALUE"""),"Stefano Napuri")</f>
        <v>Stefano Napuri</v>
      </c>
      <c r="AE202" s="1" t="str">
        <f>IFERROR(__xludf.DUMMYFUNCTION("""COMPUTED_VALUE"""),"0")</f>
        <v>0</v>
      </c>
      <c r="AF202" s="1">
        <f>IFERROR(__xludf.DUMMYFUNCTION("""COMPUTED_VALUE"""),2023.0)</f>
        <v>2023</v>
      </c>
      <c r="AG202" s="1">
        <f>IFERROR(__xludf.DUMMYFUNCTION("""COMPUTED_VALUE"""),1054352.0)</f>
        <v>1054352</v>
      </c>
      <c r="AH202" s="1">
        <f>IFERROR(__xludf.DUMMYFUNCTION("""COMPUTED_VALUE"""),18.0)</f>
        <v>18</v>
      </c>
      <c r="AI202" s="1" t="str">
        <f>IFERROR(__xludf.DUMMYFUNCTION("""COMPUTED_VALUE"""),"0000402145")</f>
        <v>0000402145</v>
      </c>
      <c r="AJ202" s="1">
        <f>IFERROR(__xludf.DUMMYFUNCTION("""COMPUTED_VALUE"""),6.0762668E7)</f>
        <v>60762668</v>
      </c>
      <c r="AK202" s="1">
        <f>IFERROR(__xludf.DUMMYFUNCTION("""COMPUTED_VALUE"""),9.7114728E8)</f>
        <v>971147280</v>
      </c>
      <c r="AL202" s="1" t="str">
        <f>IFERROR(__xludf.DUMMYFUNCTION("""COMPUTED_VALUE"""),"obedsamanez@gmail.com")</f>
        <v>obedsamanez@gmail.com</v>
      </c>
      <c r="AM202" s="1" t="str">
        <f>IFERROR(__xludf.DUMMYFUNCTION("""COMPUTED_VALUE"""),"MASCULINO")</f>
        <v>MASCULINO</v>
      </c>
      <c r="AN202" s="1">
        <f>IFERROR(__xludf.DUMMYFUNCTION("""COMPUTED_VALUE"""),1350.0)</f>
        <v>1350</v>
      </c>
      <c r="AO202" s="1">
        <f>IFERROR(__xludf.DUMMYFUNCTION("""COMPUTED_VALUE"""),0.0)</f>
        <v>0</v>
      </c>
      <c r="AP202" s="1" t="str">
        <f>IFERROR(__xludf.DUMMYFUNCTION("""COMPUTED_VALUE"""),"FORMULARIO")</f>
        <v>FORMULARIO</v>
      </c>
      <c r="AQ202" s="1" t="str">
        <f>IFERROR(__xludf.DUMMYFUNCTION("""COMPUTED_VALUE"""),"SEARCH MARCA")</f>
        <v>SEARCH MARCA</v>
      </c>
      <c r="AR202" s="1" t="str">
        <f>IFERROR(__xludf.DUMMYFUNCTION("""COMPUTED_VALUE"""),"NUEVO")</f>
        <v>NUEVO</v>
      </c>
      <c r="AS202" s="1" t="str">
        <f>IFERROR(__xludf.DUMMYFUNCTION("""COMPUTED_VALUE"""),"ucal-pg-performance-sedes-abierta-cpl-search_conversion_marca-20240401")</f>
        <v>ucal-pg-performance-sedes-abierta-cpl-search_conversion_marca-20240401</v>
      </c>
      <c r="AT202" s="2">
        <f>IFERROR(__xludf.DUMMYFUNCTION("""COMPUTED_VALUE"""),45587.0)</f>
        <v>45587</v>
      </c>
      <c r="AU202" s="1">
        <f>IFERROR(__xludf.DUMMYFUNCTION("""COMPUTED_VALUE"""),1.0)</f>
        <v>1</v>
      </c>
      <c r="AV202" s="1" t="str">
        <f>IFERROR(__xludf.DUMMYFUNCTION("""COMPUTED_VALUE"""),"NUEVO")</f>
        <v>NUEVO</v>
      </c>
      <c r="AW202" s="1" t="str">
        <f>IFERROR(__xludf.DUMMYFUNCTION("""COMPUTED_VALUE"""),"SI")</f>
        <v>SI</v>
      </c>
      <c r="AX202" s="1"/>
      <c r="AY202" s="1" t="str">
        <f>IFERROR(__xludf.DUMMYFUNCTION("""COMPUTED_VALUE"""),"PAGO COMPLETO")</f>
        <v>PAGO COMPLETO</v>
      </c>
      <c r="AZ202" s="5">
        <f>IFERROR(__xludf.DUMMYFUNCTION("""COMPUTED_VALUE"""),45624.0)</f>
        <v>45624</v>
      </c>
      <c r="BA202" s="1">
        <f>IFERROR(__xludf.DUMMYFUNCTION("""COMPUTED_VALUE"""),0.0)</f>
        <v>0</v>
      </c>
      <c r="BB202" s="1">
        <f>IFERROR(__xludf.DUMMYFUNCTION("""COMPUTED_VALUE"""),0.0)</f>
        <v>0</v>
      </c>
      <c r="BC202" s="4">
        <f>IFERROR(__xludf.DUMMYFUNCTION("""COMPUTED_VALUE"""),0.0)</f>
        <v>0</v>
      </c>
      <c r="BD202" s="4">
        <f>IFERROR(__xludf.DUMMYFUNCTION("""COMPUTED_VALUE"""),0.0)</f>
        <v>0</v>
      </c>
      <c r="BE202" s="1">
        <f>IFERROR(__xludf.DUMMYFUNCTION("""COMPUTED_VALUE"""),11.0)</f>
        <v>11</v>
      </c>
      <c r="BF202" s="6">
        <f>IFERROR(__xludf.DUMMYFUNCTION("""COMPUTED_VALUE"""),1.0)</f>
        <v>1</v>
      </c>
      <c r="BG202" s="1">
        <f>IFERROR(__xludf.DUMMYFUNCTION("""COMPUTED_VALUE"""),1.0)</f>
        <v>1</v>
      </c>
      <c r="BH202" s="1" t="str">
        <f>IFERROR(__xludf.DUMMYFUNCTION("""COMPUTED_VALUE"""),"0")</f>
        <v>0</v>
      </c>
      <c r="BI202" s="4">
        <f>IFERROR(__xludf.DUMMYFUNCTION("""COMPUTED_VALUE"""),0.0)</f>
        <v>0</v>
      </c>
      <c r="BJ202" s="1">
        <f>IFERROR(__xludf.DUMMYFUNCTION("""COMPUTED_VALUE"""),0.0)</f>
        <v>0</v>
      </c>
      <c r="BK202" s="4">
        <f>IFERROR(__xludf.DUMMYFUNCTION("""COMPUTED_VALUE"""),0.0)</f>
        <v>0</v>
      </c>
      <c r="BL202" s="1">
        <f>IFERROR(__xludf.DUMMYFUNCTION("""COMPUTED_VALUE"""),1000.0)</f>
        <v>1000</v>
      </c>
      <c r="BM202" s="1">
        <f>IFERROR(__xludf.DUMMYFUNCTION("""COMPUTED_VALUE"""),48.0)</f>
        <v>48</v>
      </c>
      <c r="BN202" s="2">
        <f>IFERROR(__xludf.DUMMYFUNCTION("""COMPUTED_VALUE"""),45621.0)</f>
        <v>45621</v>
      </c>
      <c r="BO202" s="1">
        <f>IFERROR(__xludf.DUMMYFUNCTION("""COMPUTED_VALUE"""),11.0)</f>
        <v>11</v>
      </c>
      <c r="BP202" s="1">
        <f>IFERROR(__xludf.DUMMYFUNCTION("""COMPUTED_VALUE"""),2024.0)</f>
        <v>2024</v>
      </c>
    </row>
    <row r="203">
      <c r="A203" s="1">
        <f>IFERROR(__xludf.DUMMYFUNCTION("""COMPUTED_VALUE"""),202.0)</f>
        <v>202</v>
      </c>
      <c r="B203" s="1">
        <f>IFERROR(__xludf.DUMMYFUNCTION("""COMPUTED_VALUE"""),4826826.0)</f>
        <v>4826826</v>
      </c>
      <c r="C203" s="1" t="str">
        <f>IFERROR(__xludf.DUMMYFUNCTION("""COMPUTED_VALUE"""),"2025-1")</f>
        <v>2025-1</v>
      </c>
      <c r="D203" s="1" t="str">
        <f>IFERROR(__xludf.DUMMYFUNCTION("""COMPUTED_VALUE"""),"Admisión Ordinaria")</f>
        <v>Admisión Ordinaria</v>
      </c>
      <c r="E203" s="2">
        <f>IFERROR(__xludf.DUMMYFUNCTION("""COMPUTED_VALUE"""),45624.0)</f>
        <v>45624</v>
      </c>
      <c r="F203" s="1" t="str">
        <f>IFERROR(__xludf.DUMMYFUNCTION("""COMPUTED_VALUE"""),"GLEDIS VERANICE ")</f>
        <v>GLEDIS VERANICE </v>
      </c>
      <c r="G203" s="1" t="str">
        <f>IFERROR(__xludf.DUMMYFUNCTION("""COMPUTED_VALUE"""),"LAVADO MARTEL")</f>
        <v>LAVADO MARTEL</v>
      </c>
      <c r="H203" s="1" t="str">
        <f>IFERROR(__xludf.DUMMYFUNCTION("""COMPUTED_VALUE"""),"Psicología")</f>
        <v>Psicología</v>
      </c>
      <c r="I203" s="1" t="str">
        <f>IFERROR(__xludf.DUMMYFUNCTION("""COMPUTED_VALUE"""),"CARGO")</f>
        <v>CARGO</v>
      </c>
      <c r="J203" s="1" t="str">
        <f>IFERROR(__xludf.DUMMYFUNCTION("""COMPUTED_VALUE"""),"Diurno")</f>
        <v>Diurno</v>
      </c>
      <c r="K203" s="1" t="str">
        <f>IFERROR(__xludf.DUMMYFUNCTION("""COMPUTED_VALUE"""),"NUEVO")</f>
        <v>NUEVO</v>
      </c>
      <c r="L203" s="1">
        <f>IFERROR(__xludf.DUMMYFUNCTION("""COMPUTED_VALUE"""),0.0)</f>
        <v>0</v>
      </c>
      <c r="M203" s="1">
        <f>IFERROR(__xludf.DUMMYFUNCTION("""COMPUTED_VALUE"""),0.0)</f>
        <v>0</v>
      </c>
      <c r="N203" s="1" t="str">
        <f>IFERROR(__xludf.DUMMYFUNCTION("""COMPUTED_VALUE"""),"BECA")</f>
        <v>BECA</v>
      </c>
      <c r="O203" s="1" t="str">
        <f>IFERROR(__xludf.DUMMYFUNCTION("""COMPUTED_VALUE"""),"BECA CARRERAS NUEVAS")</f>
        <v>BECA CARRERAS NUEVAS</v>
      </c>
      <c r="P203" s="4">
        <f>IFERROR(__xludf.DUMMYFUNCTION("""COMPUTED_VALUE"""),0.0)</f>
        <v>0</v>
      </c>
      <c r="Q203" s="4">
        <f>IFERROR(__xludf.DUMMYFUNCTION("""COMPUTED_VALUE"""),0.0)</f>
        <v>0</v>
      </c>
      <c r="R203" s="4">
        <f>IFERROR(__xludf.DUMMYFUNCTION("""COMPUTED_VALUE"""),1050.0)</f>
        <v>1050</v>
      </c>
      <c r="S203" s="4">
        <f>IFERROR(__xludf.DUMMYFUNCTION("""COMPUTED_VALUE"""),850.0)</f>
        <v>850</v>
      </c>
      <c r="T203" s="1" t="str">
        <f>IFERROR(__xludf.DUMMYFUNCTION("""COMPUTED_VALUE"""),"NINGUNO")</f>
        <v>NINGUNO</v>
      </c>
      <c r="U203" s="1" t="str">
        <f>IFERROR(__xludf.DUMMYFUNCTION("""COMPUTED_VALUE"""),"FABIOLA")</f>
        <v>FABIOLA</v>
      </c>
      <c r="V203" s="1" t="str">
        <f>IFERROR(__xludf.DUMMYFUNCTION("""COMPUTED_VALUE"""),"Ninguno")</f>
        <v>Ninguno</v>
      </c>
      <c r="W203" s="1" t="str">
        <f>IFERROR(__xludf.DUMMYFUNCTION("""COMPUTED_VALUE"""),"Prestigio de la institución")</f>
        <v>Prestigio de la institución</v>
      </c>
      <c r="X203" s="1" t="str">
        <f>IFERROR(__xludf.DUMMYFUNCTION("""COMPUTED_VALUE"""),"-")</f>
        <v>-</v>
      </c>
      <c r="Y203" s="1" t="str">
        <f>IFERROR(__xludf.DUMMYFUNCTION("""COMPUTED_VALUE"""),"PAGO COMPLETO")</f>
        <v>PAGO COMPLETO</v>
      </c>
      <c r="Z203" s="1">
        <f>IFERROR(__xludf.DUMMYFUNCTION("""COMPUTED_VALUE"""),0.0)</f>
        <v>0</v>
      </c>
      <c r="AA203" s="1" t="str">
        <f>IFERROR(__xludf.DUMMYFUNCTION("""COMPUTED_VALUE"""),"-")</f>
        <v>-</v>
      </c>
      <c r="AB203" s="1">
        <f>IFERROR(__xludf.DUMMYFUNCTION("""COMPUTED_VALUE"""),0.0)</f>
        <v>0</v>
      </c>
      <c r="AC203" s="1">
        <f>IFERROR(__xludf.DUMMYFUNCTION("""COMPUTED_VALUE"""),0.0)</f>
        <v>0</v>
      </c>
      <c r="AD203" s="1" t="str">
        <f>IFERROR(__xludf.DUMMYFUNCTION("""COMPUTED_VALUE"""),"Andrea Araujo Antara")</f>
        <v>Andrea Araujo Antara</v>
      </c>
      <c r="AE203" s="1" t="str">
        <f>IFERROR(__xludf.DUMMYFUNCTION("""COMPUTED_VALUE"""),"0")</f>
        <v>0</v>
      </c>
      <c r="AF203" s="1">
        <f>IFERROR(__xludf.DUMMYFUNCTION("""COMPUTED_VALUE"""),2020.0)</f>
        <v>2020</v>
      </c>
      <c r="AG203" s="1">
        <f>IFERROR(__xludf.DUMMYFUNCTION("""COMPUTED_VALUE"""),1459395.0)</f>
        <v>1459395</v>
      </c>
      <c r="AH203" s="1">
        <f>IFERROR(__xludf.DUMMYFUNCTION("""COMPUTED_VALUE"""),23.0)</f>
        <v>23</v>
      </c>
      <c r="AI203" s="1" t="str">
        <f>IFERROR(__xludf.DUMMYFUNCTION("""COMPUTED_VALUE"""),"0000402004")</f>
        <v>0000402004</v>
      </c>
      <c r="AJ203" s="1">
        <f>IFERROR(__xludf.DUMMYFUNCTION("""COMPUTED_VALUE"""),7.3590093E7)</f>
        <v>73590093</v>
      </c>
      <c r="AK203" s="1">
        <f>IFERROR(__xludf.DUMMYFUNCTION("""COMPUTED_VALUE"""),9.93594065E8)</f>
        <v>993594065</v>
      </c>
      <c r="AL203" s="1" t="str">
        <f>IFERROR(__xludf.DUMMYFUNCTION("""COMPUTED_VALUE"""),"gledislavado@gmail.com")</f>
        <v>gledislavado@gmail.com</v>
      </c>
      <c r="AM203" s="1" t="str">
        <f>IFERROR(__xludf.DUMMYFUNCTION("""COMPUTED_VALUE"""),"FEMENINO")</f>
        <v>FEMENINO</v>
      </c>
      <c r="AN203" s="1">
        <f>IFERROR(__xludf.DUMMYFUNCTION("""COMPUTED_VALUE"""),1350.0)</f>
        <v>1350</v>
      </c>
      <c r="AO203" s="1">
        <f>IFERROR(__xludf.DUMMYFUNCTION("""COMPUTED_VALUE"""),0.0)</f>
        <v>0</v>
      </c>
      <c r="AP203" s="1" t="str">
        <f>IFERROR(__xludf.DUMMYFUNCTION("""COMPUTED_VALUE"""),"FORMULARIO")</f>
        <v>FORMULARIO</v>
      </c>
      <c r="AQ203" s="1" t="str">
        <f>IFERROR(__xludf.DUMMYFUNCTION("""COMPUTED_VALUE"""),"SEARCH CARRERA")</f>
        <v>SEARCH CARRERA</v>
      </c>
      <c r="AR203" s="1" t="str">
        <f>IFERROR(__xludf.DUMMYFUNCTION("""COMPUTED_VALUE"""),"NUEVO")</f>
        <v>NUEVO</v>
      </c>
      <c r="AS203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203" s="2">
        <f>IFERROR(__xludf.DUMMYFUNCTION("""COMPUTED_VALUE"""),45622.0)</f>
        <v>45622</v>
      </c>
      <c r="AU203" s="1">
        <f>IFERROR(__xludf.DUMMYFUNCTION("""COMPUTED_VALUE"""),1.0)</f>
        <v>1</v>
      </c>
      <c r="AV203" s="1" t="str">
        <f>IFERROR(__xludf.DUMMYFUNCTION("""COMPUTED_VALUE"""),"NUEVO")</f>
        <v>NUEVO</v>
      </c>
      <c r="AW203" s="1" t="str">
        <f>IFERROR(__xludf.DUMMYFUNCTION("""COMPUTED_VALUE"""),"SI")</f>
        <v>SI</v>
      </c>
      <c r="AX203" s="1"/>
      <c r="AY203" s="1" t="str">
        <f>IFERROR(__xludf.DUMMYFUNCTION("""COMPUTED_VALUE"""),"PAGO COMPLETO")</f>
        <v>PAGO COMPLETO</v>
      </c>
      <c r="AZ203" s="5">
        <f>IFERROR(__xludf.DUMMYFUNCTION("""COMPUTED_VALUE"""),45624.0)</f>
        <v>45624</v>
      </c>
      <c r="BA203" s="1">
        <f>IFERROR(__xludf.DUMMYFUNCTION("""COMPUTED_VALUE"""),0.0)</f>
        <v>0</v>
      </c>
      <c r="BB203" s="1">
        <f>IFERROR(__xludf.DUMMYFUNCTION("""COMPUTED_VALUE"""),0.0)</f>
        <v>0</v>
      </c>
      <c r="BC203" s="4">
        <f>IFERROR(__xludf.DUMMYFUNCTION("""COMPUTED_VALUE"""),0.0)</f>
        <v>0</v>
      </c>
      <c r="BD203" s="4">
        <f>IFERROR(__xludf.DUMMYFUNCTION("""COMPUTED_VALUE"""),0.0)</f>
        <v>0</v>
      </c>
      <c r="BE203" s="1">
        <f>IFERROR(__xludf.DUMMYFUNCTION("""COMPUTED_VALUE"""),11.0)</f>
        <v>11</v>
      </c>
      <c r="BF203" s="6">
        <f>IFERROR(__xludf.DUMMYFUNCTION("""COMPUTED_VALUE"""),1.0)</f>
        <v>1</v>
      </c>
      <c r="BG203" s="1">
        <f>IFERROR(__xludf.DUMMYFUNCTION("""COMPUTED_VALUE"""),1.0)</f>
        <v>1</v>
      </c>
      <c r="BH203" s="1" t="str">
        <f>IFERROR(__xludf.DUMMYFUNCTION("""COMPUTED_VALUE"""),"0")</f>
        <v>0</v>
      </c>
      <c r="BI203" s="4">
        <f>IFERROR(__xludf.DUMMYFUNCTION("""COMPUTED_VALUE"""),0.0)</f>
        <v>0</v>
      </c>
      <c r="BJ203" s="1">
        <f>IFERROR(__xludf.DUMMYFUNCTION("""COMPUTED_VALUE"""),0.0)</f>
        <v>0</v>
      </c>
      <c r="BK203" s="4">
        <f>IFERROR(__xludf.DUMMYFUNCTION("""COMPUTED_VALUE"""),0.0)</f>
        <v>0</v>
      </c>
      <c r="BL203" s="1">
        <f>IFERROR(__xludf.DUMMYFUNCTION("""COMPUTED_VALUE"""),850.0)</f>
        <v>850</v>
      </c>
      <c r="BM203" s="1">
        <f>IFERROR(__xludf.DUMMYFUNCTION("""COMPUTED_VALUE"""),48.0)</f>
        <v>48</v>
      </c>
      <c r="BN203" s="2">
        <f>IFERROR(__xludf.DUMMYFUNCTION("""COMPUTED_VALUE"""),45621.0)</f>
        <v>45621</v>
      </c>
      <c r="BO203" s="1">
        <f>IFERROR(__xludf.DUMMYFUNCTION("""COMPUTED_VALUE"""),11.0)</f>
        <v>11</v>
      </c>
      <c r="BP203" s="1">
        <f>IFERROR(__xludf.DUMMYFUNCTION("""COMPUTED_VALUE"""),2024.0)</f>
        <v>2024</v>
      </c>
    </row>
    <row r="204">
      <c r="A204" s="1">
        <f>IFERROR(__xludf.DUMMYFUNCTION("""COMPUTED_VALUE"""),203.0)</f>
        <v>203</v>
      </c>
      <c r="B204" s="1">
        <f>IFERROR(__xludf.DUMMYFUNCTION("""COMPUTED_VALUE"""),4825234.0)</f>
        <v>4825234</v>
      </c>
      <c r="C204" s="1" t="str">
        <f>IFERROR(__xludf.DUMMYFUNCTION("""COMPUTED_VALUE"""),"2025-1")</f>
        <v>2025-1</v>
      </c>
      <c r="D204" s="1" t="str">
        <f>IFERROR(__xludf.DUMMYFUNCTION("""COMPUTED_VALUE"""),"Admisión Ordinaria")</f>
        <v>Admisión Ordinaria</v>
      </c>
      <c r="E204" s="2">
        <f>IFERROR(__xludf.DUMMYFUNCTION("""COMPUTED_VALUE"""),45624.0)</f>
        <v>45624</v>
      </c>
      <c r="F204" s="1" t="str">
        <f>IFERROR(__xludf.DUMMYFUNCTION("""COMPUTED_VALUE"""),"YAMELLINE YESHIRA")</f>
        <v>YAMELLINE YESHIRA</v>
      </c>
      <c r="G204" s="1" t="str">
        <f>IFERROR(__xludf.DUMMYFUNCTION("""COMPUTED_VALUE""")," FLORES CAYOTOPA")</f>
        <v> FLORES CAYOTOPA</v>
      </c>
      <c r="H204" s="1" t="str">
        <f>IFERROR(__xludf.DUMMYFUNCTION("""COMPUTED_VALUE"""),"Arquitectura de Interiores")</f>
        <v>Arquitectura de Interiores</v>
      </c>
      <c r="I204" s="1" t="str">
        <f>IFERROR(__xludf.DUMMYFUNCTION("""COMPUTED_VALUE"""),"POS")</f>
        <v>POS</v>
      </c>
      <c r="J204" s="1" t="str">
        <f>IFERROR(__xludf.DUMMYFUNCTION("""COMPUTED_VALUE"""),"Diurno")</f>
        <v>Diurno</v>
      </c>
      <c r="K204" s="1" t="str">
        <f>IFERROR(__xludf.DUMMYFUNCTION("""COMPUTED_VALUE"""),"NUEVO")</f>
        <v>NUEVO</v>
      </c>
      <c r="L204" s="1">
        <f>IFERROR(__xludf.DUMMYFUNCTION("""COMPUTED_VALUE"""),0.0)</f>
        <v>0</v>
      </c>
      <c r="M204" s="1">
        <f>IFERROR(__xludf.DUMMYFUNCTION("""COMPUTED_VALUE"""),0.0)</f>
        <v>0</v>
      </c>
      <c r="N204" s="1" t="str">
        <f>IFERROR(__xludf.DUMMYFUNCTION("""COMPUTED_VALUE"""),"BECA")</f>
        <v>BECA</v>
      </c>
      <c r="O204" s="1" t="str">
        <f>IFERROR(__xludf.DUMMYFUNCTION("""COMPUTED_VALUE"""),"BECA CARRERAS CORE")</f>
        <v>BECA CARRERAS CORE</v>
      </c>
      <c r="P204" s="4">
        <f>IFERROR(__xludf.DUMMYFUNCTION("""COMPUTED_VALUE"""),0.0)</f>
        <v>0</v>
      </c>
      <c r="Q204" s="4">
        <f>IFERROR(__xludf.DUMMYFUNCTION("""COMPUTED_VALUE"""),0.0)</f>
        <v>0</v>
      </c>
      <c r="R204" s="4">
        <f>IFERROR(__xludf.DUMMYFUNCTION("""COMPUTED_VALUE"""),1500.0)</f>
        <v>1500</v>
      </c>
      <c r="S204" s="4">
        <f>IFERROR(__xludf.DUMMYFUNCTION("""COMPUTED_VALUE"""),1200.0)</f>
        <v>1200</v>
      </c>
      <c r="T204" s="1" t="str">
        <f>IFERROR(__xludf.DUMMYFUNCTION("""COMPUTED_VALUE"""),"Visita Guiada")</f>
        <v>Visita Guiada</v>
      </c>
      <c r="U204" s="1" t="str">
        <f>IFERROR(__xludf.DUMMYFUNCTION("""COMPUTED_VALUE"""),"FABIOLA")</f>
        <v>FABIOLA</v>
      </c>
      <c r="V204" s="1" t="str">
        <f>IFERROR(__xludf.DUMMYFUNCTION("""COMPUTED_VALUE"""),"Ninguno")</f>
        <v>Ninguno</v>
      </c>
      <c r="W204" s="1" t="str">
        <f>IFERROR(__xludf.DUMMYFUNCTION("""COMPUTED_VALUE"""),"Metodología de enseñanza")</f>
        <v>Metodología de enseñanza</v>
      </c>
      <c r="X204" s="1" t="str">
        <f>IFERROR(__xludf.DUMMYFUNCTION("""COMPUTED_VALUE"""),"-")</f>
        <v>-</v>
      </c>
      <c r="Y204" s="1" t="str">
        <f>IFERROR(__xludf.DUMMYFUNCTION("""COMPUTED_VALUE"""),"PAGO FRACCIONADO")</f>
        <v>PAGO FRACCIONADO</v>
      </c>
      <c r="Z204" s="1">
        <f>IFERROR(__xludf.DUMMYFUNCTION("""COMPUTED_VALUE"""),550.0)</f>
        <v>550</v>
      </c>
      <c r="AA204" s="1" t="str">
        <f>IFERROR(__xludf.DUMMYFUNCTION("""COMPUTED_VALUE"""),"6/12/2024")</f>
        <v>6/12/2024</v>
      </c>
      <c r="AB204" s="1">
        <f>IFERROR(__xludf.DUMMYFUNCTION("""COMPUTED_VALUE"""),0.0)</f>
        <v>0</v>
      </c>
      <c r="AC204" s="1">
        <f>IFERROR(__xludf.DUMMYFUNCTION("""COMPUTED_VALUE"""),0.0)</f>
        <v>0</v>
      </c>
      <c r="AD204" s="1" t="str">
        <f>IFERROR(__xludf.DUMMYFUNCTION("""COMPUTED_VALUE"""),"Ingrid Guillermo Rivera")</f>
        <v>Ingrid Guillermo Rivera</v>
      </c>
      <c r="AE204" s="1" t="str">
        <f>IFERROR(__xludf.DUMMYFUNCTION("""COMPUTED_VALUE"""),"0")</f>
        <v>0</v>
      </c>
      <c r="AF204" s="1">
        <f>IFERROR(__xludf.DUMMYFUNCTION("""COMPUTED_VALUE"""),2021.0)</f>
        <v>2021</v>
      </c>
      <c r="AG204" s="1">
        <f>IFERROR(__xludf.DUMMYFUNCTION("""COMPUTED_VALUE"""),1487933.0)</f>
        <v>1487933</v>
      </c>
      <c r="AH204" s="1">
        <f>IFERROR(__xludf.DUMMYFUNCTION("""COMPUTED_VALUE"""),19.0)</f>
        <v>19</v>
      </c>
      <c r="AI204" s="1" t="str">
        <f>IFERROR(__xludf.DUMMYFUNCTION("""COMPUTED_VALUE"""),"0000402213")</f>
        <v>0000402213</v>
      </c>
      <c r="AJ204" s="1">
        <f>IFERROR(__xludf.DUMMYFUNCTION("""COMPUTED_VALUE"""),7.7469831E7)</f>
        <v>77469831</v>
      </c>
      <c r="AK204" s="1">
        <f>IFERROR(__xludf.DUMMYFUNCTION("""COMPUTED_VALUE"""),9.5005441E8)</f>
        <v>950054410</v>
      </c>
      <c r="AL204" s="1" t="str">
        <f>IFERROR(__xludf.DUMMYFUNCTION("""COMPUTED_VALUE"""),"yfloresc05@gmail.com")</f>
        <v>yfloresc05@gmail.com</v>
      </c>
      <c r="AM204" s="1" t="str">
        <f>IFERROR(__xludf.DUMMYFUNCTION("""COMPUTED_VALUE"""),"FEMENINO")</f>
        <v>FEMENINO</v>
      </c>
      <c r="AN204" s="1">
        <f>IFERROR(__xludf.DUMMYFUNCTION("""COMPUTED_VALUE"""),1775.0)</f>
        <v>1775</v>
      </c>
      <c r="AO204" s="1">
        <f>IFERROR(__xludf.DUMMYFUNCTION("""COMPUTED_VALUE"""),440.0)</f>
        <v>440</v>
      </c>
      <c r="AP204" s="1" t="str">
        <f>IFERROR(__xludf.DUMMYFUNCTION("""COMPUTED_VALUE"""),"BIDIRECCIONAL")</f>
        <v>BIDIRECCIONAL</v>
      </c>
      <c r="AQ204" s="1" t="str">
        <f>IFERROR(__xludf.DUMMYFUNCTION("""COMPUTED_VALUE"""),"SEARCH CARRERA")</f>
        <v>SEARCH CARRERA</v>
      </c>
      <c r="AR204" s="1" t="str">
        <f>IFERROR(__xludf.DUMMYFUNCTION("""COMPUTED_VALUE"""),"NUEVO")</f>
        <v>NUEVO</v>
      </c>
      <c r="AS204" s="1" t="str">
        <f>IFERROR(__xludf.DUMMYFUNCTION("""COMPUTED_VALUE"""),"ucal-pg-performance-sedes-abierta-cpl-search_conversion_mundo_negocios_reactivacion-20241105")</f>
        <v>ucal-pg-performance-sedes-abierta-cpl-search_conversion_mundo_negocios_reactivacion-20241105</v>
      </c>
      <c r="AT204" s="2">
        <f>IFERROR(__xludf.DUMMYFUNCTION("""COMPUTED_VALUE"""),45622.0)</f>
        <v>45622</v>
      </c>
      <c r="AU204" s="1">
        <f>IFERROR(__xludf.DUMMYFUNCTION("""COMPUTED_VALUE"""),1.0)</f>
        <v>1</v>
      </c>
      <c r="AV204" s="1" t="str">
        <f>IFERROR(__xludf.DUMMYFUNCTION("""COMPUTED_VALUE"""),"NUEVO")</f>
        <v>NUEVO</v>
      </c>
      <c r="AW204" s="1" t="str">
        <f>IFERROR(__xludf.DUMMYFUNCTION("""COMPUTED_VALUE"""),"SI")</f>
        <v>SI</v>
      </c>
      <c r="AX204" s="1"/>
      <c r="AY204" s="1" t="str">
        <f>IFERROR(__xludf.DUMMYFUNCTION("""COMPUTED_VALUE"""),"PAGO COMPLETO")</f>
        <v>PAGO COMPLETO</v>
      </c>
      <c r="AZ204" s="5">
        <f>IFERROR(__xludf.DUMMYFUNCTION("""COMPUTED_VALUE"""),45631.0)</f>
        <v>45631</v>
      </c>
      <c r="BA204" s="1">
        <f>IFERROR(__xludf.DUMMYFUNCTION("""COMPUTED_VALUE"""),550.0)</f>
        <v>550</v>
      </c>
      <c r="BB204" s="1">
        <f>IFERROR(__xludf.DUMMYFUNCTION("""COMPUTED_VALUE"""),0.0)</f>
        <v>0</v>
      </c>
      <c r="BC204" s="4">
        <f>IFERROR(__xludf.DUMMYFUNCTION("""COMPUTED_VALUE"""),0.0)</f>
        <v>0</v>
      </c>
      <c r="BD204" s="4">
        <f>IFERROR(__xludf.DUMMYFUNCTION("""COMPUTED_VALUE"""),100.0)</f>
        <v>100</v>
      </c>
      <c r="BE204" s="1">
        <f>IFERROR(__xludf.DUMMYFUNCTION("""COMPUTED_VALUE"""),11.0)</f>
        <v>11</v>
      </c>
      <c r="BF204" s="6">
        <f>IFERROR(__xludf.DUMMYFUNCTION("""COMPUTED_VALUE"""),1.0)</f>
        <v>1</v>
      </c>
      <c r="BG204" s="1">
        <f>IFERROR(__xludf.DUMMYFUNCTION("""COMPUTED_VALUE"""),1.0)</f>
        <v>1</v>
      </c>
      <c r="BH204" s="1" t="str">
        <f>IFERROR(__xludf.DUMMYFUNCTION("""COMPUTED_VALUE"""),"0")</f>
        <v>0</v>
      </c>
      <c r="BI204" s="4">
        <f>IFERROR(__xludf.DUMMYFUNCTION("""COMPUTED_VALUE"""),1200.0)</f>
        <v>1200</v>
      </c>
      <c r="BJ204" s="1">
        <f>IFERROR(__xludf.DUMMYFUNCTION("""COMPUTED_VALUE"""),0.0)</f>
        <v>0</v>
      </c>
      <c r="BK204" s="4">
        <f>IFERROR(__xludf.DUMMYFUNCTION("""COMPUTED_VALUE"""),100.0)</f>
        <v>100</v>
      </c>
      <c r="BL204" s="1">
        <f>IFERROR(__xludf.DUMMYFUNCTION("""COMPUTED_VALUE"""),1180.0)</f>
        <v>1180</v>
      </c>
      <c r="BM204" s="1">
        <f>IFERROR(__xludf.DUMMYFUNCTION("""COMPUTED_VALUE"""),48.0)</f>
        <v>48</v>
      </c>
      <c r="BN204" s="2">
        <f>IFERROR(__xludf.DUMMYFUNCTION("""COMPUTED_VALUE"""),45621.0)</f>
        <v>45621</v>
      </c>
      <c r="BO204" s="1">
        <f>IFERROR(__xludf.DUMMYFUNCTION("""COMPUTED_VALUE"""),11.0)</f>
        <v>11</v>
      </c>
      <c r="BP204" s="1">
        <f>IFERROR(__xludf.DUMMYFUNCTION("""COMPUTED_VALUE"""),2024.0)</f>
        <v>2024</v>
      </c>
    </row>
    <row r="205">
      <c r="A205" s="1">
        <f>IFERROR(__xludf.DUMMYFUNCTION("""COMPUTED_VALUE"""),204.0)</f>
        <v>204</v>
      </c>
      <c r="B205" s="1">
        <f>IFERROR(__xludf.DUMMYFUNCTION("""COMPUTED_VALUE"""),1208778.0)</f>
        <v>1208778</v>
      </c>
      <c r="C205" s="1" t="str">
        <f>IFERROR(__xludf.DUMMYFUNCTION("""COMPUTED_VALUE"""),"2025-1")</f>
        <v>2025-1</v>
      </c>
      <c r="D205" s="1" t="str">
        <f>IFERROR(__xludf.DUMMYFUNCTION("""COMPUTED_VALUE"""),"Admisión Extraordinaria (Traslados)")</f>
        <v>Admisión Extraordinaria (Traslados)</v>
      </c>
      <c r="E205" s="2">
        <f>IFERROR(__xludf.DUMMYFUNCTION("""COMPUTED_VALUE"""),45624.0)</f>
        <v>45624</v>
      </c>
      <c r="F205" s="1" t="str">
        <f>IFERROR(__xludf.DUMMYFUNCTION("""COMPUTED_VALUE"""),"ANTONELLA ROUSE")</f>
        <v>ANTONELLA ROUSE</v>
      </c>
      <c r="G205" s="1" t="str">
        <f>IFERROR(__xludf.DUMMYFUNCTION("""COMPUTED_VALUE"""),"RODRIGUEZ HUAMAN")</f>
        <v>RODRIGUEZ HUAMAN</v>
      </c>
      <c r="H205" s="1" t="str">
        <f>IFERROR(__xludf.DUMMYFUNCTION("""COMPUTED_VALUE"""),"Arquitectura")</f>
        <v>Arquitectura</v>
      </c>
      <c r="I205" s="1" t="str">
        <f>IFERROR(__xludf.DUMMYFUNCTION("""COMPUTED_VALUE"""),"Pago Link")</f>
        <v>Pago Link</v>
      </c>
      <c r="J205" s="1" t="str">
        <f>IFERROR(__xludf.DUMMYFUNCTION("""COMPUTED_VALUE"""),"Diurno")</f>
        <v>Diurno</v>
      </c>
      <c r="K205" s="1" t="str">
        <f>IFERROR(__xludf.DUMMYFUNCTION("""COMPUTED_VALUE"""),"TRASLADO")</f>
        <v>TRASLADO</v>
      </c>
      <c r="L205" s="1">
        <f>IFERROR(__xludf.DUMMYFUNCTION("""COMPUTED_VALUE"""),1.0)</f>
        <v>1</v>
      </c>
      <c r="M205" s="1">
        <f>IFERROR(__xludf.DUMMYFUNCTION("""COMPUTED_VALUE"""),0.0)</f>
        <v>0</v>
      </c>
      <c r="N205" s="1" t="str">
        <f>IFERROR(__xludf.DUMMYFUNCTION("""COMPUTED_VALUE"""),"RECA")</f>
        <v>RECA</v>
      </c>
      <c r="O205" s="1" t="str">
        <f>IFERROR(__xludf.DUMMYFUNCTION("""COMPUTED_VALUE"""),"RECA TRASLADO CON CONVA")</f>
        <v>RECA TRASLADO CON CONVA</v>
      </c>
      <c r="P205" s="4">
        <f>IFERROR(__xludf.DUMMYFUNCTION("""COMPUTED_VALUE"""),0.0)</f>
        <v>0</v>
      </c>
      <c r="Q205" s="4">
        <f>IFERROR(__xludf.DUMMYFUNCTION("""COMPUTED_VALUE"""),0.0)</f>
        <v>0</v>
      </c>
      <c r="R205" s="4">
        <f>IFERROR(__xludf.DUMMYFUNCTION("""COMPUTED_VALUE"""),1600.0)</f>
        <v>1600</v>
      </c>
      <c r="S205" s="4">
        <f>IFERROR(__xludf.DUMMYFUNCTION("""COMPUTED_VALUE"""),1200.0)</f>
        <v>1200</v>
      </c>
      <c r="T205" s="1" t="str">
        <f>IFERROR(__xludf.DUMMYFUNCTION("""COMPUTED_VALUE"""),"Visita Guiada")</f>
        <v>Visita Guiada</v>
      </c>
      <c r="U205" s="1" t="str">
        <f>IFERROR(__xludf.DUMMYFUNCTION("""COMPUTED_VALUE"""),"FABIOLA")</f>
        <v>FABIOLA</v>
      </c>
      <c r="V205" s="1" t="str">
        <f>IFERROR(__xludf.DUMMYFUNCTION("""COMPUTED_VALUE"""),"Ninguno")</f>
        <v>Ninguno</v>
      </c>
      <c r="W205" s="1" t="str">
        <f>IFERROR(__xludf.DUMMYFUNCTION("""COMPUTED_VALUE"""),"Prestigio de la institución")</f>
        <v>Prestigio de la institución</v>
      </c>
      <c r="X205" s="1" t="str">
        <f>IFERROR(__xludf.DUMMYFUNCTION("""COMPUTED_VALUE"""),"Alumna le encanto la universidad por los espacios para su carrera ")</f>
        <v>Alumna le encanto la universidad por los espacios para su carrera </v>
      </c>
      <c r="Y205" s="1" t="str">
        <f>IFERROR(__xludf.DUMMYFUNCTION("""COMPUTED_VALUE"""),"PAGO FRACCIONADO")</f>
        <v>PAGO FRACCIONADO</v>
      </c>
      <c r="Z205" s="1">
        <f>IFERROR(__xludf.DUMMYFUNCTION("""COMPUTED_VALUE"""),550.0)</f>
        <v>550</v>
      </c>
      <c r="AA205" s="1" t="str">
        <f>IFERROR(__xludf.DUMMYFUNCTION("""COMPUTED_VALUE"""),"15/12/2024")</f>
        <v>15/12/2024</v>
      </c>
      <c r="AB205" s="1">
        <f>IFERROR(__xludf.DUMMYFUNCTION("""COMPUTED_VALUE"""),1.0)</f>
        <v>1</v>
      </c>
      <c r="AC205" s="1">
        <f>IFERROR(__xludf.DUMMYFUNCTION("""COMPUTED_VALUE"""),0.0)</f>
        <v>0</v>
      </c>
      <c r="AD205" s="1" t="str">
        <f>IFERROR(__xludf.DUMMYFUNCTION("""COMPUTED_VALUE"""),"Rosa Ugarte")</f>
        <v>Rosa Ugarte</v>
      </c>
      <c r="AE205" s="1" t="str">
        <f>IFERROR(__xludf.DUMMYFUNCTION("""COMPUTED_VALUE"""),"Universidad San Martin de Porres")</f>
        <v>Universidad San Martin de Porres</v>
      </c>
      <c r="AF205" s="1">
        <f>IFERROR(__xludf.DUMMYFUNCTION("""COMPUTED_VALUE"""),2014.0)</f>
        <v>2014</v>
      </c>
      <c r="AG205" s="1">
        <f>IFERROR(__xludf.DUMMYFUNCTION("""COMPUTED_VALUE"""),1070176.0)</f>
        <v>1070176</v>
      </c>
      <c r="AH205" s="1">
        <f>IFERROR(__xludf.DUMMYFUNCTION("""COMPUTED_VALUE"""),27.0)</f>
        <v>27</v>
      </c>
      <c r="AI205" s="1" t="str">
        <f>IFERROR(__xludf.DUMMYFUNCTION("""COMPUTED_VALUE"""),"0000402225")</f>
        <v>0000402225</v>
      </c>
      <c r="AJ205" s="1">
        <f>IFERROR(__xludf.DUMMYFUNCTION("""COMPUTED_VALUE"""),7.0047098E7)</f>
        <v>70047098</v>
      </c>
      <c r="AK205" s="1">
        <f>IFERROR(__xludf.DUMMYFUNCTION("""COMPUTED_VALUE"""),9.87195908E8)</f>
        <v>987195908</v>
      </c>
      <c r="AL205" s="1" t="str">
        <f>IFERROR(__xludf.DUMMYFUNCTION("""COMPUTED_VALUE"""),"Antonella_0097@hotmail.com")</f>
        <v>Antonella_0097@hotmail.com</v>
      </c>
      <c r="AM205" s="1" t="str">
        <f>IFERROR(__xludf.DUMMYFUNCTION("""COMPUTED_VALUE"""),"FEMENINO")</f>
        <v>FEMENINO</v>
      </c>
      <c r="AN205" s="1">
        <f>IFERROR(__xludf.DUMMYFUNCTION("""COMPUTED_VALUE"""),1600.0)</f>
        <v>1600</v>
      </c>
      <c r="AO205" s="1">
        <f>IFERROR(__xludf.DUMMYFUNCTION("""COMPUTED_VALUE"""),240.0)</f>
        <v>240</v>
      </c>
      <c r="AP205" s="1" t="str">
        <f>IFERROR(__xludf.DUMMYFUNCTION("""COMPUTED_VALUE"""),"OUTBOUND")</f>
        <v>OUTBOUND</v>
      </c>
      <c r="AQ205" s="1" t="str">
        <f>IFERROR(__xludf.DUMMYFUNCTION("""COMPUTED_VALUE"""),"OUTBOUND")</f>
        <v>OUTBOUND</v>
      </c>
      <c r="AR205" s="1" t="str">
        <f>IFERROR(__xludf.DUMMYFUNCTION("""COMPUTED_VALUE"""),"NUEVO")</f>
        <v>NUEVO</v>
      </c>
      <c r="AS205" s="1"/>
      <c r="AT205" s="2">
        <f>IFERROR(__xludf.DUMMYFUNCTION("""COMPUTED_VALUE"""),45623.0)</f>
        <v>45623</v>
      </c>
      <c r="AU205" s="1">
        <f>IFERROR(__xludf.DUMMYFUNCTION("""COMPUTED_VALUE"""),1.0)</f>
        <v>1</v>
      </c>
      <c r="AV205" s="1" t="str">
        <f>IFERROR(__xludf.DUMMYFUNCTION("""COMPUTED_VALUE"""),"TRASLADO")</f>
        <v>TRASLADO</v>
      </c>
      <c r="AW205" s="1" t="str">
        <f>IFERROR(__xludf.DUMMYFUNCTION("""COMPUTED_VALUE"""),"SI")</f>
        <v>SI</v>
      </c>
      <c r="AX205" s="1"/>
      <c r="AY205" s="1" t="str">
        <f>IFERROR(__xludf.DUMMYFUNCTION("""COMPUTED_VALUE"""),"PAGO COMPLETO")</f>
        <v>PAGO COMPLETO</v>
      </c>
      <c r="AZ205" s="5">
        <f>IFERROR(__xludf.DUMMYFUNCTION("""COMPUTED_VALUE"""),45638.0)</f>
        <v>45638</v>
      </c>
      <c r="BA205" s="1">
        <f>IFERROR(__xludf.DUMMYFUNCTION("""COMPUTED_VALUE"""),550.0)</f>
        <v>550</v>
      </c>
      <c r="BB205" s="1">
        <f>IFERROR(__xludf.DUMMYFUNCTION("""COMPUTED_VALUE"""),0.0)</f>
        <v>0</v>
      </c>
      <c r="BC205" s="4">
        <f>IFERROR(__xludf.DUMMYFUNCTION("""COMPUTED_VALUE"""),0.0)</f>
        <v>0</v>
      </c>
      <c r="BD205" s="4">
        <f>IFERROR(__xludf.DUMMYFUNCTION("""COMPUTED_VALUE"""),100.0)</f>
        <v>100</v>
      </c>
      <c r="BE205" s="1">
        <f>IFERROR(__xludf.DUMMYFUNCTION("""COMPUTED_VALUE"""),11.0)</f>
        <v>11</v>
      </c>
      <c r="BF205" s="6">
        <f>IFERROR(__xludf.DUMMYFUNCTION("""COMPUTED_VALUE"""),1.0)</f>
        <v>1</v>
      </c>
      <c r="BG205" s="1">
        <f>IFERROR(__xludf.DUMMYFUNCTION("""COMPUTED_VALUE"""),1.0)</f>
        <v>1</v>
      </c>
      <c r="BH205" s="1" t="str">
        <f>IFERROR(__xludf.DUMMYFUNCTION("""COMPUTED_VALUE"""),"0")</f>
        <v>0</v>
      </c>
      <c r="BI205" s="4">
        <f>IFERROR(__xludf.DUMMYFUNCTION("""COMPUTED_VALUE"""),1200.0)</f>
        <v>1200</v>
      </c>
      <c r="BJ205" s="1">
        <f>IFERROR(__xludf.DUMMYFUNCTION("""COMPUTED_VALUE"""),0.0)</f>
        <v>0</v>
      </c>
      <c r="BK205" s="4">
        <f>IFERROR(__xludf.DUMMYFUNCTION("""COMPUTED_VALUE"""),100.0)</f>
        <v>100</v>
      </c>
      <c r="BL205" s="1">
        <f>IFERROR(__xludf.DUMMYFUNCTION("""COMPUTED_VALUE"""),1180.0)</f>
        <v>1180</v>
      </c>
      <c r="BM205" s="1">
        <f>IFERROR(__xludf.DUMMYFUNCTION("""COMPUTED_VALUE"""),48.0)</f>
        <v>48</v>
      </c>
      <c r="BN205" s="2">
        <f>IFERROR(__xludf.DUMMYFUNCTION("""COMPUTED_VALUE"""),45621.0)</f>
        <v>45621</v>
      </c>
      <c r="BO205" s="1">
        <f>IFERROR(__xludf.DUMMYFUNCTION("""COMPUTED_VALUE"""),11.0)</f>
        <v>11</v>
      </c>
      <c r="BP205" s="1">
        <f>IFERROR(__xludf.DUMMYFUNCTION("""COMPUTED_VALUE"""),2024.0)</f>
        <v>2024</v>
      </c>
    </row>
    <row r="206">
      <c r="A206" s="1">
        <f>IFERROR(__xludf.DUMMYFUNCTION("""COMPUTED_VALUE"""),205.0)</f>
        <v>205</v>
      </c>
      <c r="B206" s="1">
        <f>IFERROR(__xludf.DUMMYFUNCTION("""COMPUTED_VALUE"""),1331121.0)</f>
        <v>1331121</v>
      </c>
      <c r="C206" s="1" t="str">
        <f>IFERROR(__xludf.DUMMYFUNCTION("""COMPUTED_VALUE"""),"2025-1")</f>
        <v>2025-1</v>
      </c>
      <c r="D206" s="1" t="str">
        <f>IFERROR(__xludf.DUMMYFUNCTION("""COMPUTED_VALUE"""),"Admisión Extraordinaria (Traslados)")</f>
        <v>Admisión Extraordinaria (Traslados)</v>
      </c>
      <c r="E206" s="2">
        <f>IFERROR(__xludf.DUMMYFUNCTION("""COMPUTED_VALUE"""),45625.0)</f>
        <v>45625</v>
      </c>
      <c r="F206" s="1" t="str">
        <f>IFERROR(__xludf.DUMMYFUNCTION("""COMPUTED_VALUE"""),"MAGGY ANTHONELL")</f>
        <v>MAGGY ANTHONELL</v>
      </c>
      <c r="G206" s="1" t="str">
        <f>IFERROR(__xludf.DUMMYFUNCTION("""COMPUTED_VALUE"""),"BRAVO QUINTANA")</f>
        <v>BRAVO QUINTANA</v>
      </c>
      <c r="H206" s="1" t="str">
        <f>IFERROR(__xludf.DUMMYFUNCTION("""COMPUTED_VALUE"""),"Arquitectura de Interiores")</f>
        <v>Arquitectura de Interiores</v>
      </c>
      <c r="I206" s="1" t="str">
        <f>IFERROR(__xludf.DUMMYFUNCTION("""COMPUTED_VALUE"""),"CARGO")</f>
        <v>CARGO</v>
      </c>
      <c r="J206" s="1" t="str">
        <f>IFERROR(__xludf.DUMMYFUNCTION("""COMPUTED_VALUE"""),"Diurno")</f>
        <v>Diurno</v>
      </c>
      <c r="K206" s="1" t="str">
        <f>IFERROR(__xludf.DUMMYFUNCTION("""COMPUTED_VALUE"""),"TRASLADO")</f>
        <v>TRASLADO</v>
      </c>
      <c r="L206" s="1">
        <f>IFERROR(__xludf.DUMMYFUNCTION("""COMPUTED_VALUE"""),1.0)</f>
        <v>1</v>
      </c>
      <c r="M206" s="1">
        <f>IFERROR(__xludf.DUMMYFUNCTION("""COMPUTED_VALUE"""),0.0)</f>
        <v>0</v>
      </c>
      <c r="N206" s="1" t="str">
        <f>IFERROR(__xludf.DUMMYFUNCTION("""COMPUTED_VALUE"""),"RECA")</f>
        <v>RECA</v>
      </c>
      <c r="O206" s="1" t="str">
        <f>IFERROR(__xludf.DUMMYFUNCTION("""COMPUTED_VALUE"""),"RECA TRASLADO CON CONVA")</f>
        <v>RECA TRASLADO CON CONVA</v>
      </c>
      <c r="P206" s="4">
        <f>IFERROR(__xludf.DUMMYFUNCTION("""COMPUTED_VALUE"""),0.0)</f>
        <v>0</v>
      </c>
      <c r="Q206" s="4">
        <f>IFERROR(__xludf.DUMMYFUNCTION("""COMPUTED_VALUE"""),0.0)</f>
        <v>0</v>
      </c>
      <c r="R206" s="4">
        <f>IFERROR(__xludf.DUMMYFUNCTION("""COMPUTED_VALUE"""),900.0)</f>
        <v>900</v>
      </c>
      <c r="S206" s="4">
        <f>IFERROR(__xludf.DUMMYFUNCTION("""COMPUTED_VALUE"""),900.0)</f>
        <v>900</v>
      </c>
      <c r="T206" s="1" t="str">
        <f>IFERROR(__xludf.DUMMYFUNCTION("""COMPUTED_VALUE"""),"PALANCA 500")</f>
        <v>PALANCA 500</v>
      </c>
      <c r="U206" s="1" t="str">
        <f>IFERROR(__xludf.DUMMYFUNCTION("""COMPUTED_VALUE"""),"FABIOLA")</f>
        <v>FABIOLA</v>
      </c>
      <c r="V206" s="1" t="str">
        <f>IFERROR(__xludf.DUMMYFUNCTION("""COMPUTED_VALUE"""),"Ninguno")</f>
        <v>Ninguno</v>
      </c>
      <c r="W206" s="1" t="str">
        <f>IFERROR(__xludf.DUMMYFUNCTION("""COMPUTED_VALUE"""),"Convenios internacionales")</f>
        <v>Convenios internacionales</v>
      </c>
      <c r="X206" s="1" t="str">
        <f>IFERROR(__xludf.DUMMYFUNCTION("""COMPUTED_VALUE"""),"alumna paga primera cuota 500 y luego reca 900")</f>
        <v>alumna paga primera cuota 500 y luego reca 900</v>
      </c>
      <c r="Y206" s="1" t="str">
        <f>IFERROR(__xludf.DUMMYFUNCTION("""COMPUTED_VALUE"""),"PAGO COMPLETO")</f>
        <v>PAGO COMPLETO</v>
      </c>
      <c r="Z206" s="1">
        <f>IFERROR(__xludf.DUMMYFUNCTION("""COMPUTED_VALUE"""),0.0)</f>
        <v>0</v>
      </c>
      <c r="AA206" s="1" t="str">
        <f>IFERROR(__xludf.DUMMYFUNCTION("""COMPUTED_VALUE"""),"-")</f>
        <v>-</v>
      </c>
      <c r="AB206" s="1">
        <f>IFERROR(__xludf.DUMMYFUNCTION("""COMPUTED_VALUE"""),1.0)</f>
        <v>1</v>
      </c>
      <c r="AC206" s="1">
        <f>IFERROR(__xludf.DUMMYFUNCTION("""COMPUTED_VALUE"""),0.0)</f>
        <v>0</v>
      </c>
      <c r="AD206" s="1" t="str">
        <f>IFERROR(__xludf.DUMMYFUNCTION("""COMPUTED_VALUE"""),"Fiorella Lanegra")</f>
        <v>Fiorella Lanegra</v>
      </c>
      <c r="AE206" s="1" t="str">
        <f>IFERROR(__xludf.DUMMYFUNCTION("""COMPUTED_VALUE"""),"Cibertec")</f>
        <v>Cibertec</v>
      </c>
      <c r="AF206" s="1">
        <f>IFERROR(__xludf.DUMMYFUNCTION("""COMPUTED_VALUE"""),2020.0)</f>
        <v>2020</v>
      </c>
      <c r="AG206" s="1">
        <f>IFERROR(__xludf.DUMMYFUNCTION("""COMPUTED_VALUE"""),286385.0)</f>
        <v>286385</v>
      </c>
      <c r="AH206" s="1">
        <f>IFERROR(__xludf.DUMMYFUNCTION("""COMPUTED_VALUE"""),20.0)</f>
        <v>20</v>
      </c>
      <c r="AI206" s="1" t="str">
        <f>IFERROR(__xludf.DUMMYFUNCTION("""COMPUTED_VALUE"""),"0000402134")</f>
        <v>0000402134</v>
      </c>
      <c r="AJ206" s="1">
        <f>IFERROR(__xludf.DUMMYFUNCTION("""COMPUTED_VALUE"""),7.2386989E7)</f>
        <v>72386989</v>
      </c>
      <c r="AK206" s="1">
        <f>IFERROR(__xludf.DUMMYFUNCTION("""COMPUTED_VALUE"""),9.43648135E8)</f>
        <v>943648135</v>
      </c>
      <c r="AL206" s="1" t="str">
        <f>IFERROR(__xludf.DUMMYFUNCTION("""COMPUTED_VALUE"""),"maggy.bravo94@gmail.com")</f>
        <v>maggy.bravo94@gmail.com</v>
      </c>
      <c r="AM206" s="1" t="str">
        <f>IFERROR(__xludf.DUMMYFUNCTION("""COMPUTED_VALUE"""),"FEMENINO")</f>
        <v>FEMENINO</v>
      </c>
      <c r="AN206" s="1">
        <f>IFERROR(__xludf.DUMMYFUNCTION("""COMPUTED_VALUE"""),1350.0)</f>
        <v>1350</v>
      </c>
      <c r="AO206" s="1">
        <f>IFERROR(__xludf.DUMMYFUNCTION("""COMPUTED_VALUE"""),0.0)</f>
        <v>0</v>
      </c>
      <c r="AP206" s="1" t="str">
        <f>IFERROR(__xludf.DUMMYFUNCTION("""COMPUTED_VALUE"""),"FORMULARIO")</f>
        <v>FORMULARIO</v>
      </c>
      <c r="AQ206" s="1" t="str">
        <f>IFERROR(__xludf.DUMMYFUNCTION("""COMPUTED_VALUE"""),"ORGANICO")</f>
        <v>ORGANICO</v>
      </c>
      <c r="AR206" s="1" t="str">
        <f>IFERROR(__xludf.DUMMYFUNCTION("""COMPUTED_VALUE"""),"HEREDADO")</f>
        <v>HEREDADO</v>
      </c>
      <c r="AS206" s="1"/>
      <c r="AT206" s="2">
        <f>IFERROR(__xludf.DUMMYFUNCTION("""COMPUTED_VALUE"""),45492.0)</f>
        <v>45492</v>
      </c>
      <c r="AU206" s="1">
        <f>IFERROR(__xludf.DUMMYFUNCTION("""COMPUTED_VALUE"""),1.0)</f>
        <v>1</v>
      </c>
      <c r="AV206" s="1" t="str">
        <f>IFERROR(__xludf.DUMMYFUNCTION("""COMPUTED_VALUE"""),"TRASLADO")</f>
        <v>TRASLADO</v>
      </c>
      <c r="AW206" s="1" t="str">
        <f>IFERROR(__xludf.DUMMYFUNCTION("""COMPUTED_VALUE"""),"SI")</f>
        <v>SI</v>
      </c>
      <c r="AX206" s="1"/>
      <c r="AY206" s="1" t="str">
        <f>IFERROR(__xludf.DUMMYFUNCTION("""COMPUTED_VALUE"""),"PAGO COMPLETO")</f>
        <v>PAGO COMPLETO</v>
      </c>
      <c r="AZ206" s="5">
        <f>IFERROR(__xludf.DUMMYFUNCTION("""COMPUTED_VALUE"""),45625.0)</f>
        <v>45625</v>
      </c>
      <c r="BA206" s="1">
        <f>IFERROR(__xludf.DUMMYFUNCTION("""COMPUTED_VALUE"""),0.0)</f>
        <v>0</v>
      </c>
      <c r="BB206" s="1">
        <f>IFERROR(__xludf.DUMMYFUNCTION("""COMPUTED_VALUE"""),0.0)</f>
        <v>0</v>
      </c>
      <c r="BC206" s="4">
        <f>IFERROR(__xludf.DUMMYFUNCTION("""COMPUTED_VALUE"""),0.0)</f>
        <v>0</v>
      </c>
      <c r="BD206" s="4">
        <f>IFERROR(__xludf.DUMMYFUNCTION("""COMPUTED_VALUE"""),400.0)</f>
        <v>400</v>
      </c>
      <c r="BE206" s="1">
        <f>IFERROR(__xludf.DUMMYFUNCTION("""COMPUTED_VALUE"""),11.0)</f>
        <v>11</v>
      </c>
      <c r="BF206" s="6">
        <f>IFERROR(__xludf.DUMMYFUNCTION("""COMPUTED_VALUE"""),1.0)</f>
        <v>1</v>
      </c>
      <c r="BG206" s="1">
        <f>IFERROR(__xludf.DUMMYFUNCTION("""COMPUTED_VALUE"""),1.0)</f>
        <v>1</v>
      </c>
      <c r="BH206" s="1" t="str">
        <f>IFERROR(__xludf.DUMMYFUNCTION("""COMPUTED_VALUE"""),"1")</f>
        <v>1</v>
      </c>
      <c r="BI206" s="4">
        <f>IFERROR(__xludf.DUMMYFUNCTION("""COMPUTED_VALUE"""),400.0)</f>
        <v>400</v>
      </c>
      <c r="BJ206" s="1">
        <f>IFERROR(__xludf.DUMMYFUNCTION("""COMPUTED_VALUE"""),0.0)</f>
        <v>0</v>
      </c>
      <c r="BK206" s="4">
        <f>IFERROR(__xludf.DUMMYFUNCTION("""COMPUTED_VALUE"""),400.0)</f>
        <v>400</v>
      </c>
      <c r="BL206" s="1">
        <f>IFERROR(__xludf.DUMMYFUNCTION("""COMPUTED_VALUE"""),820.0)</f>
        <v>820</v>
      </c>
      <c r="BM206" s="1">
        <f>IFERROR(__xludf.DUMMYFUNCTION("""COMPUTED_VALUE"""),48.0)</f>
        <v>48</v>
      </c>
      <c r="BN206" s="2">
        <f>IFERROR(__xludf.DUMMYFUNCTION("""COMPUTED_VALUE"""),45621.0)</f>
        <v>45621</v>
      </c>
      <c r="BO206" s="1">
        <f>IFERROR(__xludf.DUMMYFUNCTION("""COMPUTED_VALUE"""),11.0)</f>
        <v>11</v>
      </c>
      <c r="BP206" s="1">
        <f>IFERROR(__xludf.DUMMYFUNCTION("""COMPUTED_VALUE"""),2024.0)</f>
        <v>2024</v>
      </c>
    </row>
    <row r="207">
      <c r="A207" s="1">
        <f>IFERROR(__xludf.DUMMYFUNCTION("""COMPUTED_VALUE"""),206.0)</f>
        <v>206</v>
      </c>
      <c r="B207" s="1">
        <f>IFERROR(__xludf.DUMMYFUNCTION("""COMPUTED_VALUE"""),635745.0)</f>
        <v>635745</v>
      </c>
      <c r="C207" s="1" t="str">
        <f>IFERROR(__xludf.DUMMYFUNCTION("""COMPUTED_VALUE"""),"2025-1")</f>
        <v>2025-1</v>
      </c>
      <c r="D207" s="1" t="str">
        <f>IFERROR(__xludf.DUMMYFUNCTION("""COMPUTED_VALUE"""),"Admisión Extraordinaria (Traslados)")</f>
        <v>Admisión Extraordinaria (Traslados)</v>
      </c>
      <c r="E207" s="2">
        <f>IFERROR(__xludf.DUMMYFUNCTION("""COMPUTED_VALUE"""),45625.0)</f>
        <v>45625</v>
      </c>
      <c r="F207" s="1" t="str">
        <f>IFERROR(__xludf.DUMMYFUNCTION("""COMPUTED_VALUE"""),"KAREN ARACELY ")</f>
        <v>KAREN ARACELY </v>
      </c>
      <c r="G207" s="1" t="str">
        <f>IFERROR(__xludf.DUMMYFUNCTION("""COMPUTED_VALUE"""),"MEDINA CABRERA")</f>
        <v>MEDINA CABRERA</v>
      </c>
      <c r="H207" s="1" t="str">
        <f>IFERROR(__xludf.DUMMYFUNCTION("""COMPUTED_VALUE"""),"Arquitectura")</f>
        <v>Arquitectura</v>
      </c>
      <c r="I207" s="1" t="str">
        <f>IFERROR(__xludf.DUMMYFUNCTION("""COMPUTED_VALUE"""),"POS")</f>
        <v>POS</v>
      </c>
      <c r="J207" s="1" t="str">
        <f>IFERROR(__xludf.DUMMYFUNCTION("""COMPUTED_VALUE"""),"Diurno")</f>
        <v>Diurno</v>
      </c>
      <c r="K207" s="1" t="str">
        <f>IFERROR(__xludf.DUMMYFUNCTION("""COMPUTED_VALUE"""),"TRASLADO")</f>
        <v>TRASLADO</v>
      </c>
      <c r="L207" s="1">
        <f>IFERROR(__xludf.DUMMYFUNCTION("""COMPUTED_VALUE"""),1.0)</f>
        <v>1</v>
      </c>
      <c r="M207" s="1">
        <f>IFERROR(__xludf.DUMMYFUNCTION("""COMPUTED_VALUE"""),0.0)</f>
        <v>0</v>
      </c>
      <c r="N207" s="1" t="str">
        <f>IFERROR(__xludf.DUMMYFUNCTION("""COMPUTED_VALUE"""),"RECA")</f>
        <v>RECA</v>
      </c>
      <c r="O207" s="1" t="str">
        <f>IFERROR(__xludf.DUMMYFUNCTION("""COMPUTED_VALUE"""),"RECA TRASLADO CON CONVA")</f>
        <v>RECA TRASLADO CON CONVA</v>
      </c>
      <c r="P207" s="4">
        <f>IFERROR(__xludf.DUMMYFUNCTION("""COMPUTED_VALUE"""),0.0)</f>
        <v>0</v>
      </c>
      <c r="Q207" s="4">
        <f>IFERROR(__xludf.DUMMYFUNCTION("""COMPUTED_VALUE"""),0.0)</f>
        <v>0</v>
      </c>
      <c r="R207" s="4">
        <f>IFERROR(__xludf.DUMMYFUNCTION("""COMPUTED_VALUE"""),1600.0)</f>
        <v>1600</v>
      </c>
      <c r="S207" s="4">
        <f>IFERROR(__xludf.DUMMYFUNCTION("""COMPUTED_VALUE"""),1200.0)</f>
        <v>1200</v>
      </c>
      <c r="T207" s="1" t="str">
        <f>IFERROR(__xludf.DUMMYFUNCTION("""COMPUTED_VALUE"""),"Visita guiada - refirio")</f>
        <v>Visita guiada - refirio</v>
      </c>
      <c r="U207" s="1" t="str">
        <f>IFERROR(__xludf.DUMMYFUNCTION("""COMPUTED_VALUE"""),"FABIOLA")</f>
        <v>FABIOLA</v>
      </c>
      <c r="V207" s="1" t="str">
        <f>IFERROR(__xludf.DUMMYFUNCTION("""COMPUTED_VALUE"""),"Ninguno")</f>
        <v>Ninguno</v>
      </c>
      <c r="W207" s="1" t="str">
        <f>IFERROR(__xludf.DUMMYFUNCTION("""COMPUTED_VALUE"""),"Metodología de enseñanza")</f>
        <v>Metodología de enseñanza</v>
      </c>
      <c r="X207" s="1" t="str">
        <f>IFERROR(__xludf.DUMMYFUNCTION("""COMPUTED_VALUE"""),"-")</f>
        <v>-</v>
      </c>
      <c r="Y207" s="1" t="str">
        <f>IFERROR(__xludf.DUMMYFUNCTION("""COMPUTED_VALUE"""),"PAGO FRACCIONADO")</f>
        <v>PAGO FRACCIONADO</v>
      </c>
      <c r="Z207" s="1">
        <f>IFERROR(__xludf.DUMMYFUNCTION("""COMPUTED_VALUE"""),550.0)</f>
        <v>550</v>
      </c>
      <c r="AA207" s="1" t="str">
        <f>IFERROR(__xludf.DUMMYFUNCTION("""COMPUTED_VALUE"""),"15/12/2024")</f>
        <v>15/12/2024</v>
      </c>
      <c r="AB207" s="1">
        <f>IFERROR(__xludf.DUMMYFUNCTION("""COMPUTED_VALUE"""),0.0)</f>
        <v>0</v>
      </c>
      <c r="AC207" s="1">
        <f>IFERROR(__xludf.DUMMYFUNCTION("""COMPUTED_VALUE"""),0.0)</f>
        <v>0</v>
      </c>
      <c r="AD207" s="1" t="str">
        <f>IFERROR(__xludf.DUMMYFUNCTION("""COMPUTED_VALUE"""),"Ingrid Guillermo Rivera")</f>
        <v>Ingrid Guillermo Rivera</v>
      </c>
      <c r="AE207" s="1" t="str">
        <f>IFERROR(__xludf.DUMMYFUNCTION("""COMPUTED_VALUE"""),"Universidad San Martin de Porres")</f>
        <v>Universidad San Martin de Porres</v>
      </c>
      <c r="AF207" s="1">
        <f>IFERROR(__xludf.DUMMYFUNCTION("""COMPUTED_VALUE"""),2020.0)</f>
        <v>2020</v>
      </c>
      <c r="AG207" s="1">
        <f>IFERROR(__xludf.DUMMYFUNCTION("""COMPUTED_VALUE"""),1508019.0)</f>
        <v>1508019</v>
      </c>
      <c r="AH207" s="1">
        <f>IFERROR(__xludf.DUMMYFUNCTION("""COMPUTED_VALUE"""),24.0)</f>
        <v>24</v>
      </c>
      <c r="AI207" s="1" t="str">
        <f>IFERROR(__xludf.DUMMYFUNCTION("""COMPUTED_VALUE"""),"0000383443")</f>
        <v>0000383443</v>
      </c>
      <c r="AJ207" s="1">
        <f>IFERROR(__xludf.DUMMYFUNCTION("""COMPUTED_VALUE"""),7.2294509E7)</f>
        <v>72294509</v>
      </c>
      <c r="AK207" s="1">
        <f>IFERROR(__xludf.DUMMYFUNCTION("""COMPUTED_VALUE"""),9.92775245E8)</f>
        <v>992775245</v>
      </c>
      <c r="AL207" s="1" t="str">
        <f>IFERROR(__xludf.DUMMYFUNCTION("""COMPUTED_VALUE"""),"ka.medina24@gmail.com")</f>
        <v>ka.medina24@gmail.com</v>
      </c>
      <c r="AM207" s="1" t="str">
        <f>IFERROR(__xludf.DUMMYFUNCTION("""COMPUTED_VALUE"""),"MASCULINO")</f>
        <v>MASCULINO</v>
      </c>
      <c r="AN207" s="1">
        <f>IFERROR(__xludf.DUMMYFUNCTION("""COMPUTED_VALUE"""),1350.0)</f>
        <v>1350</v>
      </c>
      <c r="AO207" s="1">
        <f>IFERROR(__xludf.DUMMYFUNCTION("""COMPUTED_VALUE"""),0.0)</f>
        <v>0</v>
      </c>
      <c r="AP207" s="1" t="str">
        <f>IFERROR(__xludf.DUMMYFUNCTION("""COMPUTED_VALUE"""),"FORMULARIO")</f>
        <v>FORMULARIO</v>
      </c>
      <c r="AQ207" s="1" t="str">
        <f>IFERROR(__xludf.DUMMYFUNCTION("""COMPUTED_VALUE"""),"SEARCH MARCA")</f>
        <v>SEARCH MARCA</v>
      </c>
      <c r="AR207" s="1" t="str">
        <f>IFERROR(__xludf.DUMMYFUNCTION("""COMPUTED_VALUE"""),"HEREDADO")</f>
        <v>HEREDADO</v>
      </c>
      <c r="AS207" s="1" t="str">
        <f>IFERROR(__xludf.DUMMYFUNCTION("""COMPUTED_VALUE"""),"ucal-pg-performance-sedes-abierta-cpl-extensiones_traslados_marca-20240401")</f>
        <v>ucal-pg-performance-sedes-abierta-cpl-extensiones_traslados_marca-20240401</v>
      </c>
      <c r="AT207" s="2">
        <f>IFERROR(__xludf.DUMMYFUNCTION("""COMPUTED_VALUE"""),45619.0)</f>
        <v>45619</v>
      </c>
      <c r="AU207" s="1">
        <f>IFERROR(__xludf.DUMMYFUNCTION("""COMPUTED_VALUE"""),1.0)</f>
        <v>1</v>
      </c>
      <c r="AV207" s="1" t="str">
        <f>IFERROR(__xludf.DUMMYFUNCTION("""COMPUTED_VALUE"""),"TRASLADO")</f>
        <v>TRASLADO</v>
      </c>
      <c r="AW207" s="1" t="str">
        <f>IFERROR(__xludf.DUMMYFUNCTION("""COMPUTED_VALUE"""),"SI")</f>
        <v>SI</v>
      </c>
      <c r="AX207" s="1"/>
      <c r="AY207" s="1" t="str">
        <f>IFERROR(__xludf.DUMMYFUNCTION("""COMPUTED_VALUE"""),"PAGO COMPLETO")</f>
        <v>PAGO COMPLETO</v>
      </c>
      <c r="AZ207" s="5">
        <f>IFERROR(__xludf.DUMMYFUNCTION("""COMPUTED_VALUE"""),45645.0)</f>
        <v>45645</v>
      </c>
      <c r="BA207" s="1">
        <f>IFERROR(__xludf.DUMMYFUNCTION("""COMPUTED_VALUE"""),550.0)</f>
        <v>550</v>
      </c>
      <c r="BB207" s="1">
        <f>IFERROR(__xludf.DUMMYFUNCTION("""COMPUTED_VALUE"""),0.0)</f>
        <v>0</v>
      </c>
      <c r="BC207" s="4">
        <f>IFERROR(__xludf.DUMMYFUNCTION("""COMPUTED_VALUE"""),0.0)</f>
        <v>0</v>
      </c>
      <c r="BD207" s="4">
        <f>IFERROR(__xludf.DUMMYFUNCTION("""COMPUTED_VALUE"""),100.0)</f>
        <v>100</v>
      </c>
      <c r="BE207" s="1">
        <f>IFERROR(__xludf.DUMMYFUNCTION("""COMPUTED_VALUE"""),11.0)</f>
        <v>11</v>
      </c>
      <c r="BF207" s="6">
        <f>IFERROR(__xludf.DUMMYFUNCTION("""COMPUTED_VALUE"""),1.0)</f>
        <v>1</v>
      </c>
      <c r="BG207" s="1">
        <f>IFERROR(__xludf.DUMMYFUNCTION("""COMPUTED_VALUE"""),1.0)</f>
        <v>1</v>
      </c>
      <c r="BH207" s="1" t="str">
        <f>IFERROR(__xludf.DUMMYFUNCTION("""COMPUTED_VALUE"""),"1")</f>
        <v>1</v>
      </c>
      <c r="BI207" s="4">
        <f>IFERROR(__xludf.DUMMYFUNCTION("""COMPUTED_VALUE"""),1200.0)</f>
        <v>1200</v>
      </c>
      <c r="BJ207" s="1">
        <f>IFERROR(__xludf.DUMMYFUNCTION("""COMPUTED_VALUE"""),0.0)</f>
        <v>0</v>
      </c>
      <c r="BK207" s="4">
        <f>IFERROR(__xludf.DUMMYFUNCTION("""COMPUTED_VALUE"""),1300.0)</f>
        <v>1300</v>
      </c>
      <c r="BL207" s="1">
        <f>IFERROR(__xludf.DUMMYFUNCTION("""COMPUTED_VALUE"""),940.0)</f>
        <v>940</v>
      </c>
      <c r="BM207" s="1">
        <f>IFERROR(__xludf.DUMMYFUNCTION("""COMPUTED_VALUE"""),48.0)</f>
        <v>48</v>
      </c>
      <c r="BN207" s="2">
        <f>IFERROR(__xludf.DUMMYFUNCTION("""COMPUTED_VALUE"""),45621.0)</f>
        <v>45621</v>
      </c>
      <c r="BO207" s="1">
        <f>IFERROR(__xludf.DUMMYFUNCTION("""COMPUTED_VALUE"""),11.0)</f>
        <v>11</v>
      </c>
      <c r="BP207" s="1">
        <f>IFERROR(__xludf.DUMMYFUNCTION("""COMPUTED_VALUE"""),2024.0)</f>
        <v>2024</v>
      </c>
    </row>
    <row r="208">
      <c r="A208" s="1">
        <f>IFERROR(__xludf.DUMMYFUNCTION("""COMPUTED_VALUE"""),207.0)</f>
        <v>207</v>
      </c>
      <c r="B208" s="1">
        <f>IFERROR(__xludf.DUMMYFUNCTION("""COMPUTED_VALUE"""),310076.0)</f>
        <v>310076</v>
      </c>
      <c r="C208" s="1" t="str">
        <f>IFERROR(__xludf.DUMMYFUNCTION("""COMPUTED_VALUE"""),"2025-1")</f>
        <v>2025-1</v>
      </c>
      <c r="D208" s="1" t="str">
        <f>IFERROR(__xludf.DUMMYFUNCTION("""COMPUTED_VALUE"""),"Admisión Ordinaria")</f>
        <v>Admisión Ordinaria</v>
      </c>
      <c r="E208" s="2">
        <f>IFERROR(__xludf.DUMMYFUNCTION("""COMPUTED_VALUE"""),45625.0)</f>
        <v>45625</v>
      </c>
      <c r="F208" s="1" t="str">
        <f>IFERROR(__xludf.DUMMYFUNCTION("""COMPUTED_VALUE"""),"SOFIA YAMILE ")</f>
        <v>SOFIA YAMILE </v>
      </c>
      <c r="G208" s="1" t="str">
        <f>IFERROR(__xludf.DUMMYFUNCTION("""COMPUTED_VALUE"""),"ESTRELLA LEYVA")</f>
        <v>ESTRELLA LEYVA</v>
      </c>
      <c r="H208" s="1" t="str">
        <f>IFERROR(__xludf.DUMMYFUNCTION("""COMPUTED_VALUE"""),"Comunicación y Publicidad Transmedia")</f>
        <v>Comunicación y Publicidad Transmedia</v>
      </c>
      <c r="I208" s="1" t="str">
        <f>IFERROR(__xludf.DUMMYFUNCTION("""COMPUTED_VALUE"""),"CARGO")</f>
        <v>CARGO</v>
      </c>
      <c r="J208" s="1" t="str">
        <f>IFERROR(__xludf.DUMMYFUNCTION("""COMPUTED_VALUE"""),"Diurno")</f>
        <v>Diurno</v>
      </c>
      <c r="K208" s="1" t="str">
        <f>IFERROR(__xludf.DUMMYFUNCTION("""COMPUTED_VALUE"""),"NUEVO")</f>
        <v>NUEVO</v>
      </c>
      <c r="L208" s="1">
        <f>IFERROR(__xludf.DUMMYFUNCTION("""COMPUTED_VALUE"""),0.0)</f>
        <v>0</v>
      </c>
      <c r="M208" s="1">
        <f>IFERROR(__xludf.DUMMYFUNCTION("""COMPUTED_VALUE"""),0.0)</f>
        <v>0</v>
      </c>
      <c r="N208" s="1" t="str">
        <f>IFERROR(__xludf.DUMMYFUNCTION("""COMPUTED_VALUE"""),"BECA")</f>
        <v>BECA</v>
      </c>
      <c r="O208" s="1" t="str">
        <f>IFERROR(__xludf.DUMMYFUNCTION("""COMPUTED_VALUE"""),"BECA CARRERAS CORE")</f>
        <v>BECA CARRERAS CORE</v>
      </c>
      <c r="P208" s="4">
        <f>IFERROR(__xludf.DUMMYFUNCTION("""COMPUTED_VALUE"""),0.0)</f>
        <v>0</v>
      </c>
      <c r="Q208" s="4">
        <f>IFERROR(__xludf.DUMMYFUNCTION("""COMPUTED_VALUE"""),0.0)</f>
        <v>0</v>
      </c>
      <c r="R208" s="4">
        <f>IFERROR(__xludf.DUMMYFUNCTION("""COMPUTED_VALUE"""),1600.0)</f>
        <v>1600</v>
      </c>
      <c r="S208" s="4">
        <f>IFERROR(__xludf.DUMMYFUNCTION("""COMPUTED_VALUE"""),1280.0)</f>
        <v>1280</v>
      </c>
      <c r="T208" s="1" t="str">
        <f>IFERROR(__xludf.DUMMYFUNCTION("""COMPUTED_VALUE"""),"NINGUNO")</f>
        <v>NINGUNO</v>
      </c>
      <c r="U208" s="1" t="str">
        <f>IFERROR(__xludf.DUMMYFUNCTION("""COMPUTED_VALUE"""),"FABIOLA")</f>
        <v>FABIOLA</v>
      </c>
      <c r="V208" s="1" t="str">
        <f>IFERROR(__xludf.DUMMYFUNCTION("""COMPUTED_VALUE"""),"Ninguno")</f>
        <v>Ninguno</v>
      </c>
      <c r="W208" s="1" t="str">
        <f>IFERROR(__xludf.DUMMYFUNCTION("""COMPUTED_VALUE"""),"Malla curricular")</f>
        <v>Malla curricular</v>
      </c>
      <c r="X208" s="1" t="str">
        <f>IFERROR(__xludf.DUMMYFUNCTION("""COMPUTED_VALUE"""),"-")</f>
        <v>-</v>
      </c>
      <c r="Y208" s="1" t="str">
        <f>IFERROR(__xludf.DUMMYFUNCTION("""COMPUTED_VALUE"""),"PAGO COMPLETO")</f>
        <v>PAGO COMPLETO</v>
      </c>
      <c r="Z208" s="1">
        <f>IFERROR(__xludf.DUMMYFUNCTION("""COMPUTED_VALUE"""),0.0)</f>
        <v>0</v>
      </c>
      <c r="AA208" s="1" t="str">
        <f>IFERROR(__xludf.DUMMYFUNCTION("""COMPUTED_VALUE"""),"-")</f>
        <v>-</v>
      </c>
      <c r="AB208" s="1">
        <f>IFERROR(__xludf.DUMMYFUNCTION("""COMPUTED_VALUE"""),0.0)</f>
        <v>0</v>
      </c>
      <c r="AC208" s="1">
        <f>IFERROR(__xludf.DUMMYFUNCTION("""COMPUTED_VALUE"""),0.0)</f>
        <v>0</v>
      </c>
      <c r="AD208" s="1" t="str">
        <f>IFERROR(__xludf.DUMMYFUNCTION("""COMPUTED_VALUE"""),"Fiorella Lanegra")</f>
        <v>Fiorella Lanegra</v>
      </c>
      <c r="AE208" s="1" t="str">
        <f>IFERROR(__xludf.DUMMYFUNCTION("""COMPUTED_VALUE"""),"0")</f>
        <v>0</v>
      </c>
      <c r="AF208" s="1">
        <f>IFERROR(__xludf.DUMMYFUNCTION("""COMPUTED_VALUE"""),2012.0)</f>
        <v>2012</v>
      </c>
      <c r="AG208" s="1">
        <f>IFERROR(__xludf.DUMMYFUNCTION("""COMPUTED_VALUE"""),1056746.0)</f>
        <v>1056746</v>
      </c>
      <c r="AH208" s="1">
        <f>IFERROR(__xludf.DUMMYFUNCTION("""COMPUTED_VALUE"""),28.0)</f>
        <v>28</v>
      </c>
      <c r="AI208" s="1" t="str">
        <f>IFERROR(__xludf.DUMMYFUNCTION("""COMPUTED_VALUE"""),"0000402266")</f>
        <v>0000402266</v>
      </c>
      <c r="AJ208" s="1">
        <f>IFERROR(__xludf.DUMMYFUNCTION("""COMPUTED_VALUE"""),7.7270589E7)</f>
        <v>77270589</v>
      </c>
      <c r="AK208" s="1">
        <f>IFERROR(__xludf.DUMMYFUNCTION("""COMPUTED_VALUE"""),9.68283594E8)</f>
        <v>968283594</v>
      </c>
      <c r="AL208" s="1" t="str">
        <f>IFERROR(__xludf.DUMMYFUNCTION("""COMPUTED_VALUE"""),"sofia.estrella962@gmail.com")</f>
        <v>sofia.estrella962@gmail.com</v>
      </c>
      <c r="AM208" s="1" t="str">
        <f>IFERROR(__xludf.DUMMYFUNCTION("""COMPUTED_VALUE"""),"FEMENINO")</f>
        <v>FEMENINO</v>
      </c>
      <c r="AN208" s="1">
        <f>IFERROR(__xludf.DUMMYFUNCTION("""COMPUTED_VALUE"""),1600.0)</f>
        <v>1600</v>
      </c>
      <c r="AO208" s="1">
        <f>IFERROR(__xludf.DUMMYFUNCTION("""COMPUTED_VALUE"""),300.0)</f>
        <v>300</v>
      </c>
      <c r="AP208" s="1" t="str">
        <f>IFERROR(__xludf.DUMMYFUNCTION("""COMPUTED_VALUE"""),"BIDIRECCIONAL")</f>
        <v>BIDIRECCIONAL</v>
      </c>
      <c r="AQ208" s="1" t="str">
        <f>IFERROR(__xludf.DUMMYFUNCTION("""COMPUTED_VALUE"""),"ORGANICO")</f>
        <v>ORGANICO</v>
      </c>
      <c r="AR208" s="1" t="str">
        <f>IFERROR(__xludf.DUMMYFUNCTION("""COMPUTED_VALUE"""),"HEREDADO")</f>
        <v>HEREDADO</v>
      </c>
      <c r="AS208" s="1"/>
      <c r="AT208" s="2">
        <f>IFERROR(__xludf.DUMMYFUNCTION("""COMPUTED_VALUE"""),45622.0)</f>
        <v>45622</v>
      </c>
      <c r="AU208" s="1">
        <f>IFERROR(__xludf.DUMMYFUNCTION("""COMPUTED_VALUE"""),1.0)</f>
        <v>1</v>
      </c>
      <c r="AV208" s="1" t="str">
        <f>IFERROR(__xludf.DUMMYFUNCTION("""COMPUTED_VALUE"""),"NUEVO")</f>
        <v>NUEVO</v>
      </c>
      <c r="AW208" s="1" t="str">
        <f>IFERROR(__xludf.DUMMYFUNCTION("""COMPUTED_VALUE"""),"SI")</f>
        <v>SI</v>
      </c>
      <c r="AX208" s="1"/>
      <c r="AY208" s="1" t="str">
        <f>IFERROR(__xludf.DUMMYFUNCTION("""COMPUTED_VALUE"""),"PAGO COMPLETO")</f>
        <v>PAGO COMPLETO</v>
      </c>
      <c r="AZ208" s="5">
        <f>IFERROR(__xludf.DUMMYFUNCTION("""COMPUTED_VALUE"""),45625.0)</f>
        <v>45625</v>
      </c>
      <c r="BA208" s="1">
        <f>IFERROR(__xludf.DUMMYFUNCTION("""COMPUTED_VALUE"""),0.0)</f>
        <v>0</v>
      </c>
      <c r="BB208" s="1">
        <f>IFERROR(__xludf.DUMMYFUNCTION("""COMPUTED_VALUE"""),0.0)</f>
        <v>0</v>
      </c>
      <c r="BC208" s="4">
        <f>IFERROR(__xludf.DUMMYFUNCTION("""COMPUTED_VALUE"""),0.0)</f>
        <v>0</v>
      </c>
      <c r="BD208" s="4">
        <f>IFERROR(__xludf.DUMMYFUNCTION("""COMPUTED_VALUE"""),0.0)</f>
        <v>0</v>
      </c>
      <c r="BE208" s="1">
        <f>IFERROR(__xludf.DUMMYFUNCTION("""COMPUTED_VALUE"""),11.0)</f>
        <v>11</v>
      </c>
      <c r="BF208" s="6">
        <f>IFERROR(__xludf.DUMMYFUNCTION("""COMPUTED_VALUE"""),1.0)</f>
        <v>1</v>
      </c>
      <c r="BG208" s="1">
        <f>IFERROR(__xludf.DUMMYFUNCTION("""COMPUTED_VALUE"""),1.0)</f>
        <v>1</v>
      </c>
      <c r="BH208" s="1" t="str">
        <f>IFERROR(__xludf.DUMMYFUNCTION("""COMPUTED_VALUE"""),"0")</f>
        <v>0</v>
      </c>
      <c r="BI208" s="4">
        <f>IFERROR(__xludf.DUMMYFUNCTION("""COMPUTED_VALUE"""),0.0)</f>
        <v>0</v>
      </c>
      <c r="BJ208" s="1">
        <f>IFERROR(__xludf.DUMMYFUNCTION("""COMPUTED_VALUE"""),0.0)</f>
        <v>0</v>
      </c>
      <c r="BK208" s="4">
        <f>IFERROR(__xludf.DUMMYFUNCTION("""COMPUTED_VALUE"""),0.0)</f>
        <v>0</v>
      </c>
      <c r="BL208" s="1">
        <f>IFERROR(__xludf.DUMMYFUNCTION("""COMPUTED_VALUE"""),1280.0)</f>
        <v>1280</v>
      </c>
      <c r="BM208" s="1">
        <f>IFERROR(__xludf.DUMMYFUNCTION("""COMPUTED_VALUE"""),48.0)</f>
        <v>48</v>
      </c>
      <c r="BN208" s="2">
        <f>IFERROR(__xludf.DUMMYFUNCTION("""COMPUTED_VALUE"""),45621.0)</f>
        <v>45621</v>
      </c>
      <c r="BO208" s="1">
        <f>IFERROR(__xludf.DUMMYFUNCTION("""COMPUTED_VALUE"""),11.0)</f>
        <v>11</v>
      </c>
      <c r="BP208" s="1">
        <f>IFERROR(__xludf.DUMMYFUNCTION("""COMPUTED_VALUE"""),2024.0)</f>
        <v>2024</v>
      </c>
    </row>
    <row r="209">
      <c r="A209" s="1">
        <f>IFERROR(__xludf.DUMMYFUNCTION("""COMPUTED_VALUE"""),208.0)</f>
        <v>208</v>
      </c>
      <c r="B209" s="1">
        <f>IFERROR(__xludf.DUMMYFUNCTION("""COMPUTED_VALUE"""),2656278.0)</f>
        <v>2656278</v>
      </c>
      <c r="C209" s="1" t="str">
        <f>IFERROR(__xludf.DUMMYFUNCTION("""COMPUTED_VALUE"""),"2025-1")</f>
        <v>2025-1</v>
      </c>
      <c r="D209" s="1" t="str">
        <f>IFERROR(__xludf.DUMMYFUNCTION("""COMPUTED_VALUE"""),"Admisión Ordinaria")</f>
        <v>Admisión Ordinaria</v>
      </c>
      <c r="E209" s="2">
        <f>IFERROR(__xludf.DUMMYFUNCTION("""COMPUTED_VALUE"""),45625.0)</f>
        <v>45625</v>
      </c>
      <c r="F209" s="1" t="str">
        <f>IFERROR(__xludf.DUMMYFUNCTION("""COMPUTED_VALUE"""),"WALTER SEBASTIAN ")</f>
        <v>WALTER SEBASTIAN </v>
      </c>
      <c r="G209" s="1" t="str">
        <f>IFERROR(__xludf.DUMMYFUNCTION("""COMPUTED_VALUE"""),"ESTRELLA LEYVA")</f>
        <v>ESTRELLA LEYVA</v>
      </c>
      <c r="H209" s="1" t="str">
        <f>IFERROR(__xludf.DUMMYFUNCTION("""COMPUTED_VALUE"""),"Diseño Gráfico Publicitario")</f>
        <v>Diseño Gráfico Publicitario</v>
      </c>
      <c r="I209" s="1" t="str">
        <f>IFERROR(__xludf.DUMMYFUNCTION("""COMPUTED_VALUE"""),"CARGO")</f>
        <v>CARGO</v>
      </c>
      <c r="J209" s="1" t="str">
        <f>IFERROR(__xludf.DUMMYFUNCTION("""COMPUTED_VALUE"""),"Diurno")</f>
        <v>Diurno</v>
      </c>
      <c r="K209" s="1" t="str">
        <f>IFERROR(__xludf.DUMMYFUNCTION("""COMPUTED_VALUE"""),"NUEVO")</f>
        <v>NUEVO</v>
      </c>
      <c r="L209" s="1">
        <f>IFERROR(__xludf.DUMMYFUNCTION("""COMPUTED_VALUE"""),0.0)</f>
        <v>0</v>
      </c>
      <c r="M209" s="1">
        <f>IFERROR(__xludf.DUMMYFUNCTION("""COMPUTED_VALUE"""),0.0)</f>
        <v>0</v>
      </c>
      <c r="N209" s="1" t="str">
        <f>IFERROR(__xludf.DUMMYFUNCTION("""COMPUTED_VALUE"""),"BECA")</f>
        <v>BECA</v>
      </c>
      <c r="O209" s="1" t="str">
        <f>IFERROR(__xludf.DUMMYFUNCTION("""COMPUTED_VALUE"""),"BECA CARRERAS CORE")</f>
        <v>BECA CARRERAS CORE</v>
      </c>
      <c r="P209" s="4">
        <f>IFERROR(__xludf.DUMMYFUNCTION("""COMPUTED_VALUE"""),0.0)</f>
        <v>0</v>
      </c>
      <c r="Q209" s="4">
        <f>IFERROR(__xludf.DUMMYFUNCTION("""COMPUTED_VALUE"""),0.0)</f>
        <v>0</v>
      </c>
      <c r="R209" s="4">
        <f>IFERROR(__xludf.DUMMYFUNCTION("""COMPUTED_VALUE"""),1250.0)</f>
        <v>1250</v>
      </c>
      <c r="S209" s="4">
        <f>IFERROR(__xludf.DUMMYFUNCTION("""COMPUTED_VALUE"""),1000.0)</f>
        <v>1000</v>
      </c>
      <c r="T209" s="1" t="str">
        <f>IFERROR(__xludf.DUMMYFUNCTION("""COMPUTED_VALUE"""),"NINGUNO")</f>
        <v>NINGUNO</v>
      </c>
      <c r="U209" s="1" t="str">
        <f>IFERROR(__xludf.DUMMYFUNCTION("""COMPUTED_VALUE"""),"FABIOLA")</f>
        <v>FABIOLA</v>
      </c>
      <c r="V209" s="1" t="str">
        <f>IFERROR(__xludf.DUMMYFUNCTION("""COMPUTED_VALUE"""),"Ninguno")</f>
        <v>Ninguno</v>
      </c>
      <c r="W209" s="1" t="str">
        <f>IFERROR(__xludf.DUMMYFUNCTION("""COMPUTED_VALUE"""),"Prestigio de la institución")</f>
        <v>Prestigio de la institución</v>
      </c>
      <c r="X209" s="1" t="str">
        <f>IFERROR(__xludf.DUMMYFUNCTION("""COMPUTED_VALUE"""),"-")</f>
        <v>-</v>
      </c>
      <c r="Y209" s="1" t="str">
        <f>IFERROR(__xludf.DUMMYFUNCTION("""COMPUTED_VALUE"""),"PAGO COMPLETO")</f>
        <v>PAGO COMPLETO</v>
      </c>
      <c r="Z209" s="1">
        <f>IFERROR(__xludf.DUMMYFUNCTION("""COMPUTED_VALUE"""),0.0)</f>
        <v>0</v>
      </c>
      <c r="AA209" s="1" t="str">
        <f>IFERROR(__xludf.DUMMYFUNCTION("""COMPUTED_VALUE"""),"-")</f>
        <v>-</v>
      </c>
      <c r="AB209" s="1">
        <f>IFERROR(__xludf.DUMMYFUNCTION("""COMPUTED_VALUE"""),0.0)</f>
        <v>0</v>
      </c>
      <c r="AC209" s="1">
        <f>IFERROR(__xludf.DUMMYFUNCTION("""COMPUTED_VALUE"""),0.0)</f>
        <v>0</v>
      </c>
      <c r="AD209" s="1" t="str">
        <f>IFERROR(__xludf.DUMMYFUNCTION("""COMPUTED_VALUE"""),"Andrea Araujo Antara")</f>
        <v>Andrea Araujo Antara</v>
      </c>
      <c r="AE209" s="1" t="str">
        <f>IFERROR(__xludf.DUMMYFUNCTION("""COMPUTED_VALUE"""),"Universidad Autonoma")</f>
        <v>Universidad Autonoma</v>
      </c>
      <c r="AF209" s="1">
        <f>IFERROR(__xludf.DUMMYFUNCTION("""COMPUTED_VALUE"""),2016.0)</f>
        <v>2016</v>
      </c>
      <c r="AG209" s="1">
        <f>IFERROR(__xludf.DUMMYFUNCTION("""COMPUTED_VALUE"""),1490416.0)</f>
        <v>1490416</v>
      </c>
      <c r="AH209" s="1">
        <f>IFERROR(__xludf.DUMMYFUNCTION("""COMPUTED_VALUE"""),25.0)</f>
        <v>25</v>
      </c>
      <c r="AI209" s="1" t="str">
        <f>IFERROR(__xludf.DUMMYFUNCTION("""COMPUTED_VALUE"""),"2019004534")</f>
        <v>2019004534</v>
      </c>
      <c r="AJ209" s="1">
        <f>IFERROR(__xludf.DUMMYFUNCTION("""COMPUTED_VALUE"""),7.727059E7)</f>
        <v>77270590</v>
      </c>
      <c r="AK209" s="1">
        <f>IFERROR(__xludf.DUMMYFUNCTION("""COMPUTED_VALUE"""),9.37705011E8)</f>
        <v>937705011</v>
      </c>
      <c r="AL209" s="1" t="str">
        <f>IFERROR(__xludf.DUMMYFUNCTION("""COMPUTED_VALUE"""),"tv.enswitch@gmail.com")</f>
        <v>tv.enswitch@gmail.com</v>
      </c>
      <c r="AM209" s="1" t="str">
        <f>IFERROR(__xludf.DUMMYFUNCTION("""COMPUTED_VALUE"""),"MASCULINO")</f>
        <v>MASCULINO</v>
      </c>
      <c r="AN209" s="1">
        <f>IFERROR(__xludf.DUMMYFUNCTION("""COMPUTED_VALUE"""),1850.0)</f>
        <v>1850</v>
      </c>
      <c r="AO209" s="1">
        <f>IFERROR(__xludf.DUMMYFUNCTION("""COMPUTED_VALUE"""),560.0)</f>
        <v>560</v>
      </c>
      <c r="AP209" s="1" t="str">
        <f>IFERROR(__xludf.DUMMYFUNCTION("""COMPUTED_VALUE"""),"BIDIRECCIONAL")</f>
        <v>BIDIRECCIONAL</v>
      </c>
      <c r="AQ209" s="1" t="str">
        <f>IFERROR(__xludf.DUMMYFUNCTION("""COMPUTED_VALUE"""),"ORGANICO")</f>
        <v>ORGANICO</v>
      </c>
      <c r="AR209" s="1" t="str">
        <f>IFERROR(__xludf.DUMMYFUNCTION("""COMPUTED_VALUE"""),"HEREDADO")</f>
        <v>HEREDADO</v>
      </c>
      <c r="AS209" s="1"/>
      <c r="AT209" s="2">
        <f>IFERROR(__xludf.DUMMYFUNCTION("""COMPUTED_VALUE"""),45622.0)</f>
        <v>45622</v>
      </c>
      <c r="AU209" s="1">
        <f>IFERROR(__xludf.DUMMYFUNCTION("""COMPUTED_VALUE"""),1.0)</f>
        <v>1</v>
      </c>
      <c r="AV209" s="1" t="str">
        <f>IFERROR(__xludf.DUMMYFUNCTION("""COMPUTED_VALUE"""),"NUEVO")</f>
        <v>NUEVO</v>
      </c>
      <c r="AW209" s="1" t="str">
        <f>IFERROR(__xludf.DUMMYFUNCTION("""COMPUTED_VALUE"""),"SI")</f>
        <v>SI</v>
      </c>
      <c r="AX209" s="1"/>
      <c r="AY209" s="1" t="str">
        <f>IFERROR(__xludf.DUMMYFUNCTION("""COMPUTED_VALUE"""),"PAGO COMPLETO")</f>
        <v>PAGO COMPLETO</v>
      </c>
      <c r="AZ209" s="5">
        <f>IFERROR(__xludf.DUMMYFUNCTION("""COMPUTED_VALUE"""),45625.0)</f>
        <v>45625</v>
      </c>
      <c r="BA209" s="1">
        <f>IFERROR(__xludf.DUMMYFUNCTION("""COMPUTED_VALUE"""),0.0)</f>
        <v>0</v>
      </c>
      <c r="BB209" s="1">
        <f>IFERROR(__xludf.DUMMYFUNCTION("""COMPUTED_VALUE"""),0.0)</f>
        <v>0</v>
      </c>
      <c r="BC209" s="4">
        <f>IFERROR(__xludf.DUMMYFUNCTION("""COMPUTED_VALUE"""),0.0)</f>
        <v>0</v>
      </c>
      <c r="BD209" s="4">
        <f>IFERROR(__xludf.DUMMYFUNCTION("""COMPUTED_VALUE"""),0.0)</f>
        <v>0</v>
      </c>
      <c r="BE209" s="1">
        <f>IFERROR(__xludf.DUMMYFUNCTION("""COMPUTED_VALUE"""),11.0)</f>
        <v>11</v>
      </c>
      <c r="BF209" s="6">
        <f>IFERROR(__xludf.DUMMYFUNCTION("""COMPUTED_VALUE"""),1.0)</f>
        <v>1</v>
      </c>
      <c r="BG209" s="1">
        <f>IFERROR(__xludf.DUMMYFUNCTION("""COMPUTED_VALUE"""),1.0)</f>
        <v>1</v>
      </c>
      <c r="BH209" s="1" t="str">
        <f>IFERROR(__xludf.DUMMYFUNCTION("""COMPUTED_VALUE"""),"0")</f>
        <v>0</v>
      </c>
      <c r="BI209" s="4">
        <f>IFERROR(__xludf.DUMMYFUNCTION("""COMPUTED_VALUE"""),0.0)</f>
        <v>0</v>
      </c>
      <c r="BJ209" s="1">
        <f>IFERROR(__xludf.DUMMYFUNCTION("""COMPUTED_VALUE"""),0.0)</f>
        <v>0</v>
      </c>
      <c r="BK209" s="4">
        <f>IFERROR(__xludf.DUMMYFUNCTION("""COMPUTED_VALUE"""),0.0)</f>
        <v>0</v>
      </c>
      <c r="BL209" s="1">
        <f>IFERROR(__xludf.DUMMYFUNCTION("""COMPUTED_VALUE"""),1000.0)</f>
        <v>1000</v>
      </c>
      <c r="BM209" s="1">
        <f>IFERROR(__xludf.DUMMYFUNCTION("""COMPUTED_VALUE"""),48.0)</f>
        <v>48</v>
      </c>
      <c r="BN209" s="2">
        <f>IFERROR(__xludf.DUMMYFUNCTION("""COMPUTED_VALUE"""),45621.0)</f>
        <v>45621</v>
      </c>
      <c r="BO209" s="1">
        <f>IFERROR(__xludf.DUMMYFUNCTION("""COMPUTED_VALUE"""),11.0)</f>
        <v>11</v>
      </c>
      <c r="BP209" s="1">
        <f>IFERROR(__xludf.DUMMYFUNCTION("""COMPUTED_VALUE"""),2024.0)</f>
        <v>2024</v>
      </c>
    </row>
    <row r="210">
      <c r="A210" s="1">
        <f>IFERROR(__xludf.DUMMYFUNCTION("""COMPUTED_VALUE"""),209.0)</f>
        <v>209</v>
      </c>
      <c r="B210" s="1">
        <f>IFERROR(__xludf.DUMMYFUNCTION("""COMPUTED_VALUE"""),4827970.0)</f>
        <v>4827970</v>
      </c>
      <c r="C210" s="1" t="str">
        <f>IFERROR(__xludf.DUMMYFUNCTION("""COMPUTED_VALUE"""),"2025-1")</f>
        <v>2025-1</v>
      </c>
      <c r="D210" s="1" t="str">
        <f>IFERROR(__xludf.DUMMYFUNCTION("""COMPUTED_VALUE"""),"Admisión Ordinaria")</f>
        <v>Admisión Ordinaria</v>
      </c>
      <c r="E210" s="2">
        <f>IFERROR(__xludf.DUMMYFUNCTION("""COMPUTED_VALUE"""),45625.0)</f>
        <v>45625</v>
      </c>
      <c r="F210" s="1" t="str">
        <f>IFERROR(__xludf.DUMMYFUNCTION("""COMPUTED_VALUE"""),"JANET SANDRA ")</f>
        <v>JANET SANDRA </v>
      </c>
      <c r="G210" s="1" t="str">
        <f>IFERROR(__xludf.DUMMYFUNCTION("""COMPUTED_VALUE"""),"QUINO VILLENA")</f>
        <v>QUINO VILLENA</v>
      </c>
      <c r="H210" s="1" t="str">
        <f>IFERROR(__xludf.DUMMYFUNCTION("""COMPUTED_VALUE"""),"Psicología")</f>
        <v>Psicología</v>
      </c>
      <c r="I210" s="1" t="str">
        <f>IFERROR(__xludf.DUMMYFUNCTION("""COMPUTED_VALUE"""),"CARGO")</f>
        <v>CARGO</v>
      </c>
      <c r="J210" s="1" t="str">
        <f>IFERROR(__xludf.DUMMYFUNCTION("""COMPUTED_VALUE"""),"Nocturno - A distancia")</f>
        <v>Nocturno - A distancia</v>
      </c>
      <c r="K210" s="1" t="str">
        <f>IFERROR(__xludf.DUMMYFUNCTION("""COMPUTED_VALUE"""),"NUEVO")</f>
        <v>NUEVO</v>
      </c>
      <c r="L210" s="1">
        <f>IFERROR(__xludf.DUMMYFUNCTION("""COMPUTED_VALUE"""),0.0)</f>
        <v>0</v>
      </c>
      <c r="M210" s="1">
        <f>IFERROR(__xludf.DUMMYFUNCTION("""COMPUTED_VALUE"""),0.0)</f>
        <v>0</v>
      </c>
      <c r="N210" s="1" t="str">
        <f>IFERROR(__xludf.DUMMYFUNCTION("""COMPUTED_VALUE"""),"ESCALA DISTANCIA")</f>
        <v>ESCALA DISTANCIA</v>
      </c>
      <c r="O210" s="1" t="str">
        <f>IFERROR(__xludf.DUMMYFUNCTION("""COMPUTED_VALUE"""),"ESCALA DISTANCIA REGULAR")</f>
        <v>ESCALA DISTANCIA REGULAR</v>
      </c>
      <c r="P210" s="4">
        <f>IFERROR(__xludf.DUMMYFUNCTION("""COMPUTED_VALUE"""),0.0)</f>
        <v>0</v>
      </c>
      <c r="Q210" s="4">
        <f>IFERROR(__xludf.DUMMYFUNCTION("""COMPUTED_VALUE"""),0.0)</f>
        <v>0</v>
      </c>
      <c r="R210" s="4">
        <f>IFERROR(__xludf.DUMMYFUNCTION("""COMPUTED_VALUE"""),950.0)</f>
        <v>950</v>
      </c>
      <c r="S210" s="4">
        <f>IFERROR(__xludf.DUMMYFUNCTION("""COMPUTED_VALUE"""),950.0)</f>
        <v>950</v>
      </c>
      <c r="T210" s="1" t="str">
        <f>IFERROR(__xludf.DUMMYFUNCTION("""COMPUTED_VALUE"""),"PALANCA 700")</f>
        <v>PALANCA 700</v>
      </c>
      <c r="U210" s="1" t="str">
        <f>IFERROR(__xludf.DUMMYFUNCTION("""COMPUTED_VALUE"""),"FABIOLA")</f>
        <v>FABIOLA</v>
      </c>
      <c r="V210" s="1" t="str">
        <f>IFERROR(__xludf.DUMMYFUNCTION("""COMPUTED_VALUE"""),"Ninguno")</f>
        <v>Ninguno</v>
      </c>
      <c r="W210" s="1" t="str">
        <f>IFERROR(__xludf.DUMMYFUNCTION("""COMPUTED_VALUE"""),"Prestigio de la institución")</f>
        <v>Prestigio de la institución</v>
      </c>
      <c r="X210" s="1" t="str">
        <f>IFERROR(__xludf.DUMMYFUNCTION("""COMPUTED_VALUE"""),"Alumna pagara 700 en la primera cuota luego reca de 950 // es de psicologia remoto")</f>
        <v>Alumna pagara 700 en la primera cuota luego reca de 950 // es de psicologia remoto</v>
      </c>
      <c r="Y210" s="1" t="str">
        <f>IFERROR(__xludf.DUMMYFUNCTION("""COMPUTED_VALUE"""),"PAGO COMPLETO")</f>
        <v>PAGO COMPLETO</v>
      </c>
      <c r="Z210" s="1">
        <f>IFERROR(__xludf.DUMMYFUNCTION("""COMPUTED_VALUE"""),0.0)</f>
        <v>0</v>
      </c>
      <c r="AA210" s="1" t="str">
        <f>IFERROR(__xludf.DUMMYFUNCTION("""COMPUTED_VALUE"""),"-")</f>
        <v>-</v>
      </c>
      <c r="AB210" s="1">
        <f>IFERROR(__xludf.DUMMYFUNCTION("""COMPUTED_VALUE"""),0.0)</f>
        <v>0</v>
      </c>
      <c r="AC210" s="1">
        <f>IFERROR(__xludf.DUMMYFUNCTION("""COMPUTED_VALUE"""),0.0)</f>
        <v>0</v>
      </c>
      <c r="AD210" s="1" t="str">
        <f>IFERROR(__xludf.DUMMYFUNCTION("""COMPUTED_VALUE"""),"Cinthia Mariella Orosco")</f>
        <v>Cinthia Mariella Orosco</v>
      </c>
      <c r="AE210" s="1" t="str">
        <f>IFERROR(__xludf.DUMMYFUNCTION("""COMPUTED_VALUE"""),"0")</f>
        <v>0</v>
      </c>
      <c r="AF210" s="1">
        <f>IFERROR(__xludf.DUMMYFUNCTION("""COMPUTED_VALUE"""),2020.0)</f>
        <v>2020</v>
      </c>
      <c r="AG210" s="1">
        <f>IFERROR(__xludf.DUMMYFUNCTION("""COMPUTED_VALUE"""),325472.0)</f>
        <v>325472</v>
      </c>
      <c r="AH210" s="1">
        <f>IFERROR(__xludf.DUMMYFUNCTION("""COMPUTED_VALUE"""),47.0)</f>
        <v>47</v>
      </c>
      <c r="AI210" s="1" t="str">
        <f>IFERROR(__xludf.DUMMYFUNCTION("""COMPUTED_VALUE"""),"0000402340")</f>
        <v>0000402340</v>
      </c>
      <c r="AJ210" s="1">
        <f>IFERROR(__xludf.DUMMYFUNCTION("""COMPUTED_VALUE"""),1.0347728E7)</f>
        <v>10347728</v>
      </c>
      <c r="AK210" s="1">
        <f>IFERROR(__xludf.DUMMYFUNCTION("""COMPUTED_VALUE"""),9.93494202E8)</f>
        <v>993494202</v>
      </c>
      <c r="AL210" s="1" t="str">
        <f>IFERROR(__xludf.DUMMYFUNCTION("""COMPUTED_VALUE"""),"sandravania28@gmail.com")</f>
        <v>sandravania28@gmail.com</v>
      </c>
      <c r="AM210" s="1" t="str">
        <f>IFERROR(__xludf.DUMMYFUNCTION("""COMPUTED_VALUE"""),"FEMENINO")</f>
        <v>FEMENINO</v>
      </c>
      <c r="AN210" s="1">
        <f>IFERROR(__xludf.DUMMYFUNCTION("""COMPUTED_VALUE"""),1350.0)</f>
        <v>1350</v>
      </c>
      <c r="AO210" s="1">
        <f>IFERROR(__xludf.DUMMYFUNCTION("""COMPUTED_VALUE"""),0.0)</f>
        <v>0</v>
      </c>
      <c r="AP210" s="1" t="str">
        <f>IFERROR(__xludf.DUMMYFUNCTION("""COMPUTED_VALUE"""),"FORMULARIO")</f>
        <v>FORMULARIO</v>
      </c>
      <c r="AQ210" s="1" t="str">
        <f>IFERROR(__xludf.DUMMYFUNCTION("""COMPUTED_VALUE"""),"SEARCH CARRERA")</f>
        <v>SEARCH CARRERA</v>
      </c>
      <c r="AR210" s="1" t="str">
        <f>IFERROR(__xludf.DUMMYFUNCTION("""COMPUTED_VALUE"""),"NUEVO")</f>
        <v>NUEVO</v>
      </c>
      <c r="AS210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210" s="2">
        <f>IFERROR(__xludf.DUMMYFUNCTION("""COMPUTED_VALUE"""),45623.0)</f>
        <v>45623</v>
      </c>
      <c r="AU210" s="1">
        <f>IFERROR(__xludf.DUMMYFUNCTION("""COMPUTED_VALUE"""),1.0)</f>
        <v>1</v>
      </c>
      <c r="AV210" s="1" t="str">
        <f>IFERROR(__xludf.DUMMYFUNCTION("""COMPUTED_VALUE"""),"NUEVO")</f>
        <v>NUEVO</v>
      </c>
      <c r="AW210" s="1" t="str">
        <f>IFERROR(__xludf.DUMMYFUNCTION("""COMPUTED_VALUE"""),"SI")</f>
        <v>SI</v>
      </c>
      <c r="AX210" s="1"/>
      <c r="AY210" s="1" t="str">
        <f>IFERROR(__xludf.DUMMYFUNCTION("""COMPUTED_VALUE"""),"PAGO COMPLETO")</f>
        <v>PAGO COMPLETO</v>
      </c>
      <c r="AZ210" s="5">
        <f>IFERROR(__xludf.DUMMYFUNCTION("""COMPUTED_VALUE"""),45625.0)</f>
        <v>45625</v>
      </c>
      <c r="BA210" s="1">
        <f>IFERROR(__xludf.DUMMYFUNCTION("""COMPUTED_VALUE"""),0.0)</f>
        <v>0</v>
      </c>
      <c r="BB210" s="1">
        <f>IFERROR(__xludf.DUMMYFUNCTION("""COMPUTED_VALUE"""),0.0)</f>
        <v>0</v>
      </c>
      <c r="BC210" s="4">
        <f>IFERROR(__xludf.DUMMYFUNCTION("""COMPUTED_VALUE"""),0.0)</f>
        <v>0</v>
      </c>
      <c r="BD210" s="4">
        <f>IFERROR(__xludf.DUMMYFUNCTION("""COMPUTED_VALUE"""),250.0)</f>
        <v>250</v>
      </c>
      <c r="BE210" s="1">
        <f>IFERROR(__xludf.DUMMYFUNCTION("""COMPUTED_VALUE"""),11.0)</f>
        <v>11</v>
      </c>
      <c r="BF210" s="6">
        <f>IFERROR(__xludf.DUMMYFUNCTION("""COMPUTED_VALUE"""),1.0)</f>
        <v>1</v>
      </c>
      <c r="BG210" s="1">
        <f>IFERROR(__xludf.DUMMYFUNCTION("""COMPUTED_VALUE"""),1.0)</f>
        <v>1</v>
      </c>
      <c r="BH210" s="1" t="str">
        <f>IFERROR(__xludf.DUMMYFUNCTION("""COMPUTED_VALUE"""),"0")</f>
        <v>0</v>
      </c>
      <c r="BI210" s="4">
        <f>IFERROR(__xludf.DUMMYFUNCTION("""COMPUTED_VALUE"""),250.0)</f>
        <v>250</v>
      </c>
      <c r="BJ210" s="1">
        <f>IFERROR(__xludf.DUMMYFUNCTION("""COMPUTED_VALUE"""),0.0)</f>
        <v>0</v>
      </c>
      <c r="BK210" s="4">
        <f>IFERROR(__xludf.DUMMYFUNCTION("""COMPUTED_VALUE"""),250.0)</f>
        <v>250</v>
      </c>
      <c r="BL210" s="1">
        <f>IFERROR(__xludf.DUMMYFUNCTION("""COMPUTED_VALUE"""),900.0)</f>
        <v>900</v>
      </c>
      <c r="BM210" s="1">
        <f>IFERROR(__xludf.DUMMYFUNCTION("""COMPUTED_VALUE"""),48.0)</f>
        <v>48</v>
      </c>
      <c r="BN210" s="2">
        <f>IFERROR(__xludf.DUMMYFUNCTION("""COMPUTED_VALUE"""),45621.0)</f>
        <v>45621</v>
      </c>
      <c r="BO210" s="1">
        <f>IFERROR(__xludf.DUMMYFUNCTION("""COMPUTED_VALUE"""),11.0)</f>
        <v>11</v>
      </c>
      <c r="BP210" s="1">
        <f>IFERROR(__xludf.DUMMYFUNCTION("""COMPUTED_VALUE"""),2024.0)</f>
        <v>2024</v>
      </c>
    </row>
    <row r="211">
      <c r="A211" s="1">
        <f>IFERROR(__xludf.DUMMYFUNCTION("""COMPUTED_VALUE"""),210.0)</f>
        <v>210</v>
      </c>
      <c r="B211" s="1">
        <f>IFERROR(__xludf.DUMMYFUNCTION("""COMPUTED_VALUE"""),1690720.0)</f>
        <v>1690720</v>
      </c>
      <c r="C211" s="1" t="str">
        <f>IFERROR(__xludf.DUMMYFUNCTION("""COMPUTED_VALUE"""),"2025-1")</f>
        <v>2025-1</v>
      </c>
      <c r="D211" s="1" t="str">
        <f>IFERROR(__xludf.DUMMYFUNCTION("""COMPUTED_VALUE"""),"Admisión Ordinaria")</f>
        <v>Admisión Ordinaria</v>
      </c>
      <c r="E211" s="2">
        <f>IFERROR(__xludf.DUMMYFUNCTION("""COMPUTED_VALUE"""),45625.0)</f>
        <v>45625</v>
      </c>
      <c r="F211" s="1" t="str">
        <f>IFERROR(__xludf.DUMMYFUNCTION("""COMPUTED_VALUE"""),"DIRGHAM YAZID ")</f>
        <v>DIRGHAM YAZID </v>
      </c>
      <c r="G211" s="1" t="str">
        <f>IFERROR(__xludf.DUMMYFUNCTION("""COMPUTED_VALUE"""),"LERZUNDI SUÁREZ")</f>
        <v>LERZUNDI SUÁREZ</v>
      </c>
      <c r="H211" s="1" t="str">
        <f>IFERROR(__xludf.DUMMYFUNCTION("""COMPUTED_VALUE"""),"Comunicación Audiovisual y Cine")</f>
        <v>Comunicación Audiovisual y Cine</v>
      </c>
      <c r="I211" s="1" t="str">
        <f>IFERROR(__xludf.DUMMYFUNCTION("""COMPUTED_VALUE"""),"CARGO")</f>
        <v>CARGO</v>
      </c>
      <c r="J211" s="1" t="str">
        <f>IFERROR(__xludf.DUMMYFUNCTION("""COMPUTED_VALUE"""),"Diurno")</f>
        <v>Diurno</v>
      </c>
      <c r="K211" s="1" t="str">
        <f>IFERROR(__xludf.DUMMYFUNCTION("""COMPUTED_VALUE"""),"NUEVO")</f>
        <v>NUEVO</v>
      </c>
      <c r="L211" s="1">
        <f>IFERROR(__xludf.DUMMYFUNCTION("""COMPUTED_VALUE"""),0.0)</f>
        <v>0</v>
      </c>
      <c r="M211" s="1">
        <f>IFERROR(__xludf.DUMMYFUNCTION("""COMPUTED_VALUE"""),0.0)</f>
        <v>0</v>
      </c>
      <c r="N211" s="1" t="str">
        <f>IFERROR(__xludf.DUMMYFUNCTION("""COMPUTED_VALUE"""),"BECA")</f>
        <v>BECA</v>
      </c>
      <c r="O211" s="1" t="str">
        <f>IFERROR(__xludf.DUMMYFUNCTION("""COMPUTED_VALUE"""),"BECA CARRERAS CORE")</f>
        <v>BECA CARRERAS CORE</v>
      </c>
      <c r="P211" s="4">
        <f>IFERROR(__xludf.DUMMYFUNCTION("""COMPUTED_VALUE"""),0.0)</f>
        <v>0</v>
      </c>
      <c r="Q211" s="4">
        <f>IFERROR(__xludf.DUMMYFUNCTION("""COMPUTED_VALUE"""),0.0)</f>
        <v>0</v>
      </c>
      <c r="R211" s="4">
        <f>IFERROR(__xludf.DUMMYFUNCTION("""COMPUTED_VALUE"""),1150.0)</f>
        <v>1150</v>
      </c>
      <c r="S211" s="4">
        <f>IFERROR(__xludf.DUMMYFUNCTION("""COMPUTED_VALUE"""),1000.0)</f>
        <v>1000</v>
      </c>
      <c r="T211" s="1" t="str">
        <f>IFERROR(__xludf.DUMMYFUNCTION("""COMPUTED_VALUE"""),"NINGUNO")</f>
        <v>NINGUNO</v>
      </c>
      <c r="U211" s="1" t="str">
        <f>IFERROR(__xludf.DUMMYFUNCTION("""COMPUTED_VALUE"""),"FABIOLA")</f>
        <v>FABIOLA</v>
      </c>
      <c r="V211" s="1" t="str">
        <f>IFERROR(__xludf.DUMMYFUNCTION("""COMPUTED_VALUE"""),"Ninguno")</f>
        <v>Ninguno</v>
      </c>
      <c r="W211" s="1" t="str">
        <f>IFERROR(__xludf.DUMMYFUNCTION("""COMPUTED_VALUE"""),"Prestigio de la institución")</f>
        <v>Prestigio de la institución</v>
      </c>
      <c r="X211" s="1" t="str">
        <f>IFERROR(__xludf.DUMMYFUNCTION("""COMPUTED_VALUE"""),"-")</f>
        <v>-</v>
      </c>
      <c r="Y211" s="1" t="str">
        <f>IFERROR(__xludf.DUMMYFUNCTION("""COMPUTED_VALUE"""),"PAGO COMPLETO")</f>
        <v>PAGO COMPLETO</v>
      </c>
      <c r="Z211" s="1">
        <f>IFERROR(__xludf.DUMMYFUNCTION("""COMPUTED_VALUE"""),0.0)</f>
        <v>0</v>
      </c>
      <c r="AA211" s="1" t="str">
        <f>IFERROR(__xludf.DUMMYFUNCTION("""COMPUTED_VALUE"""),"-")</f>
        <v>-</v>
      </c>
      <c r="AB211" s="1">
        <f>IFERROR(__xludf.DUMMYFUNCTION("""COMPUTED_VALUE"""),0.0)</f>
        <v>0</v>
      </c>
      <c r="AC211" s="1">
        <f>IFERROR(__xludf.DUMMYFUNCTION("""COMPUTED_VALUE"""),0.0)</f>
        <v>0</v>
      </c>
      <c r="AD211" s="1" t="str">
        <f>IFERROR(__xludf.DUMMYFUNCTION("""COMPUTED_VALUE"""),"Andrea Araujo Antara")</f>
        <v>Andrea Araujo Antara</v>
      </c>
      <c r="AE211" s="1" t="str">
        <f>IFERROR(__xludf.DUMMYFUNCTION("""COMPUTED_VALUE"""),"0")</f>
        <v>0</v>
      </c>
      <c r="AF211" s="1">
        <f>IFERROR(__xludf.DUMMYFUNCTION("""COMPUTED_VALUE"""),2022.0)</f>
        <v>2022</v>
      </c>
      <c r="AG211" s="1">
        <f>IFERROR(__xludf.DUMMYFUNCTION("""COMPUTED_VALUE"""),1306331.0)</f>
        <v>1306331</v>
      </c>
      <c r="AH211" s="1">
        <f>IFERROR(__xludf.DUMMYFUNCTION("""COMPUTED_VALUE"""),18.0)</f>
        <v>18</v>
      </c>
      <c r="AI211" s="1" t="str">
        <f>IFERROR(__xludf.DUMMYFUNCTION("""COMPUTED_VALUE"""),"0000402366")</f>
        <v>0000402366</v>
      </c>
      <c r="AJ211" s="1">
        <f>IFERROR(__xludf.DUMMYFUNCTION("""COMPUTED_VALUE"""),7.0927704E7)</f>
        <v>70927704</v>
      </c>
      <c r="AK211" s="1">
        <f>IFERROR(__xludf.DUMMYFUNCTION("""COMPUTED_VALUE"""),9.36968166E8)</f>
        <v>936968166</v>
      </c>
      <c r="AL211" s="1" t="str">
        <f>IFERROR(__xludf.DUMMYFUNCTION("""COMPUTED_VALUE"""),"dirghamlerzundi4@gmail.com")</f>
        <v>dirghamlerzundi4@gmail.com</v>
      </c>
      <c r="AM211" s="1" t="str">
        <f>IFERROR(__xludf.DUMMYFUNCTION("""COMPUTED_VALUE"""),"MASCULINO")</f>
        <v>MASCULINO</v>
      </c>
      <c r="AN211" s="1">
        <f>IFERROR(__xludf.DUMMYFUNCTION("""COMPUTED_VALUE"""),1350.0)</f>
        <v>1350</v>
      </c>
      <c r="AO211" s="1">
        <f>IFERROR(__xludf.DUMMYFUNCTION("""COMPUTED_VALUE"""),0.0)</f>
        <v>0</v>
      </c>
      <c r="AP211" s="1" t="str">
        <f>IFERROR(__xludf.DUMMYFUNCTION("""COMPUTED_VALUE"""),"BIDIRECCIONAL")</f>
        <v>BIDIRECCIONAL</v>
      </c>
      <c r="AQ211" s="1" t="str">
        <f>IFERROR(__xludf.DUMMYFUNCTION("""COMPUTED_VALUE"""),"ORGANICO")</f>
        <v>ORGANICO</v>
      </c>
      <c r="AR211" s="1" t="str">
        <f>IFERROR(__xludf.DUMMYFUNCTION("""COMPUTED_VALUE"""),"NUEVO")</f>
        <v>NUEVO</v>
      </c>
      <c r="AS211" s="1"/>
      <c r="AT211" s="2">
        <f>IFERROR(__xludf.DUMMYFUNCTION("""COMPUTED_VALUE"""),45625.0)</f>
        <v>45625</v>
      </c>
      <c r="AU211" s="1">
        <f>IFERROR(__xludf.DUMMYFUNCTION("""COMPUTED_VALUE"""),1.0)</f>
        <v>1</v>
      </c>
      <c r="AV211" s="1" t="str">
        <f>IFERROR(__xludf.DUMMYFUNCTION("""COMPUTED_VALUE"""),"NUEVO")</f>
        <v>NUEVO</v>
      </c>
      <c r="AW211" s="1" t="str">
        <f>IFERROR(__xludf.DUMMYFUNCTION("""COMPUTED_VALUE"""),"SI")</f>
        <v>SI</v>
      </c>
      <c r="AX211" s="1"/>
      <c r="AY211" s="1" t="str">
        <f>IFERROR(__xludf.DUMMYFUNCTION("""COMPUTED_VALUE"""),"PAGO COMPLETO")</f>
        <v>PAGO COMPLETO</v>
      </c>
      <c r="AZ211" s="5">
        <f>IFERROR(__xludf.DUMMYFUNCTION("""COMPUTED_VALUE"""),45625.0)</f>
        <v>45625</v>
      </c>
      <c r="BA211" s="1">
        <f>IFERROR(__xludf.DUMMYFUNCTION("""COMPUTED_VALUE"""),0.0)</f>
        <v>0</v>
      </c>
      <c r="BB211" s="1">
        <f>IFERROR(__xludf.DUMMYFUNCTION("""COMPUTED_VALUE"""),0.0)</f>
        <v>0</v>
      </c>
      <c r="BC211" s="4">
        <f>IFERROR(__xludf.DUMMYFUNCTION("""COMPUTED_VALUE"""),0.0)</f>
        <v>0</v>
      </c>
      <c r="BD211" s="4">
        <f>IFERROR(__xludf.DUMMYFUNCTION("""COMPUTED_VALUE"""),0.0)</f>
        <v>0</v>
      </c>
      <c r="BE211" s="1">
        <f>IFERROR(__xludf.DUMMYFUNCTION("""COMPUTED_VALUE"""),11.0)</f>
        <v>11</v>
      </c>
      <c r="BF211" s="6">
        <f>IFERROR(__xludf.DUMMYFUNCTION("""COMPUTED_VALUE"""),1.0)</f>
        <v>1</v>
      </c>
      <c r="BG211" s="1">
        <f>IFERROR(__xludf.DUMMYFUNCTION("""COMPUTED_VALUE"""),1.0)</f>
        <v>1</v>
      </c>
      <c r="BH211" s="1" t="str">
        <f>IFERROR(__xludf.DUMMYFUNCTION("""COMPUTED_VALUE"""),"0")</f>
        <v>0</v>
      </c>
      <c r="BI211" s="4">
        <f>IFERROR(__xludf.DUMMYFUNCTION("""COMPUTED_VALUE"""),0.0)</f>
        <v>0</v>
      </c>
      <c r="BJ211" s="1">
        <f>IFERROR(__xludf.DUMMYFUNCTION("""COMPUTED_VALUE"""),0.0)</f>
        <v>0</v>
      </c>
      <c r="BK211" s="4">
        <f>IFERROR(__xludf.DUMMYFUNCTION("""COMPUTED_VALUE"""),0.0)</f>
        <v>0</v>
      </c>
      <c r="BL211" s="1">
        <f>IFERROR(__xludf.DUMMYFUNCTION("""COMPUTED_VALUE"""),1000.0)</f>
        <v>1000</v>
      </c>
      <c r="BM211" s="1">
        <f>IFERROR(__xludf.DUMMYFUNCTION("""COMPUTED_VALUE"""),48.0)</f>
        <v>48</v>
      </c>
      <c r="BN211" s="2">
        <f>IFERROR(__xludf.DUMMYFUNCTION("""COMPUTED_VALUE"""),45621.0)</f>
        <v>45621</v>
      </c>
      <c r="BO211" s="1">
        <f>IFERROR(__xludf.DUMMYFUNCTION("""COMPUTED_VALUE"""),11.0)</f>
        <v>11</v>
      </c>
      <c r="BP211" s="1">
        <f>IFERROR(__xludf.DUMMYFUNCTION("""COMPUTED_VALUE"""),2024.0)</f>
        <v>2024</v>
      </c>
    </row>
    <row r="212">
      <c r="A212" s="1">
        <f>IFERROR(__xludf.DUMMYFUNCTION("""COMPUTED_VALUE"""),211.0)</f>
        <v>211</v>
      </c>
      <c r="B212" s="1">
        <f>IFERROR(__xludf.DUMMYFUNCTION("""COMPUTED_VALUE"""),2376490.0)</f>
        <v>2376490</v>
      </c>
      <c r="C212" s="1" t="str">
        <f>IFERROR(__xludf.DUMMYFUNCTION("""COMPUTED_VALUE"""),"2025-1")</f>
        <v>2025-1</v>
      </c>
      <c r="D212" s="1" t="str">
        <f>IFERROR(__xludf.DUMMYFUNCTION("""COMPUTED_VALUE"""),"Admisión Ordinaria")</f>
        <v>Admisión Ordinaria</v>
      </c>
      <c r="E212" s="2">
        <f>IFERROR(__xludf.DUMMYFUNCTION("""COMPUTED_VALUE"""),45625.0)</f>
        <v>45625</v>
      </c>
      <c r="F212" s="1" t="str">
        <f>IFERROR(__xludf.DUMMYFUNCTION("""COMPUTED_VALUE"""),"LUCERO CELESTE ")</f>
        <v>LUCERO CELESTE </v>
      </c>
      <c r="G212" s="1" t="str">
        <f>IFERROR(__xludf.DUMMYFUNCTION("""COMPUTED_VALUE"""),"CABELLO SALAZAR")</f>
        <v>CABELLO SALAZAR</v>
      </c>
      <c r="H212" s="1" t="str">
        <f>IFERROR(__xludf.DUMMYFUNCTION("""COMPUTED_VALUE"""),"Comunicación y Publicidad Transmedia")</f>
        <v>Comunicación y Publicidad Transmedia</v>
      </c>
      <c r="I212" s="1" t="str">
        <f>IFERROR(__xludf.DUMMYFUNCTION("""COMPUTED_VALUE"""),"Pago Link")</f>
        <v>Pago Link</v>
      </c>
      <c r="J212" s="1" t="str">
        <f>IFERROR(__xludf.DUMMYFUNCTION("""COMPUTED_VALUE"""),"Diurno")</f>
        <v>Diurno</v>
      </c>
      <c r="K212" s="1" t="str">
        <f>IFERROR(__xludf.DUMMYFUNCTION("""COMPUTED_VALUE"""),"NUEVO")</f>
        <v>NUEVO</v>
      </c>
      <c r="L212" s="1">
        <f>IFERROR(__xludf.DUMMYFUNCTION("""COMPUTED_VALUE"""),0.0)</f>
        <v>0</v>
      </c>
      <c r="M212" s="1">
        <f>IFERROR(__xludf.DUMMYFUNCTION("""COMPUTED_VALUE"""),0.0)</f>
        <v>0</v>
      </c>
      <c r="N212" s="1" t="str">
        <f>IFERROR(__xludf.DUMMYFUNCTION("""COMPUTED_VALUE"""),"BECA")</f>
        <v>BECA</v>
      </c>
      <c r="O212" s="1" t="str">
        <f>IFERROR(__xludf.DUMMYFUNCTION("""COMPUTED_VALUE"""),"BECA CARRERAS CORE")</f>
        <v>BECA CARRERAS CORE</v>
      </c>
      <c r="P212" s="4">
        <f>IFERROR(__xludf.DUMMYFUNCTION("""COMPUTED_VALUE"""),0.0)</f>
        <v>0</v>
      </c>
      <c r="Q212" s="4">
        <f>IFERROR(__xludf.DUMMYFUNCTION("""COMPUTED_VALUE"""),0.0)</f>
        <v>0</v>
      </c>
      <c r="R212" s="4">
        <f>IFERROR(__xludf.DUMMYFUNCTION("""COMPUTED_VALUE"""),1150.0)</f>
        <v>1150</v>
      </c>
      <c r="S212" s="4">
        <f>IFERROR(__xludf.DUMMYFUNCTION("""COMPUTED_VALUE"""),1000.0)</f>
        <v>1000</v>
      </c>
      <c r="T212" s="1" t="str">
        <f>IFERROR(__xludf.DUMMYFUNCTION("""COMPUTED_VALUE"""),"NINGUNO")</f>
        <v>NINGUNO</v>
      </c>
      <c r="U212" s="1" t="str">
        <f>IFERROR(__xludf.DUMMYFUNCTION("""COMPUTED_VALUE"""),"FABIOLA")</f>
        <v>FABIOLA</v>
      </c>
      <c r="V212" s="1" t="str">
        <f>IFERROR(__xludf.DUMMYFUNCTION("""COMPUTED_VALUE"""),"Ninguno")</f>
        <v>Ninguno</v>
      </c>
      <c r="W212" s="1" t="str">
        <f>IFERROR(__xludf.DUMMYFUNCTION("""COMPUTED_VALUE"""),"Beca")</f>
        <v>Beca</v>
      </c>
      <c r="X212" s="1" t="str">
        <f>IFERROR(__xludf.DUMMYFUNCTION("""COMPUTED_VALUE"""),"-")</f>
        <v>-</v>
      </c>
      <c r="Y212" s="1" t="str">
        <f>IFERROR(__xludf.DUMMYFUNCTION("""COMPUTED_VALUE"""),"PAGO FRACCIONADO")</f>
        <v>PAGO FRACCIONADO</v>
      </c>
      <c r="Z212" s="1">
        <f>IFERROR(__xludf.DUMMYFUNCTION("""COMPUTED_VALUE"""),500.0)</f>
        <v>500</v>
      </c>
      <c r="AA212" s="1" t="str">
        <f>IFERROR(__xludf.DUMMYFUNCTION("""COMPUTED_VALUE"""),"15/12/2024")</f>
        <v>15/12/2024</v>
      </c>
      <c r="AB212" s="1">
        <f>IFERROR(__xludf.DUMMYFUNCTION("""COMPUTED_VALUE"""),0.0)</f>
        <v>0</v>
      </c>
      <c r="AC212" s="1">
        <f>IFERROR(__xludf.DUMMYFUNCTION("""COMPUTED_VALUE"""),0.0)</f>
        <v>0</v>
      </c>
      <c r="AD212" s="1" t="str">
        <f>IFERROR(__xludf.DUMMYFUNCTION("""COMPUTED_VALUE"""),"Ingrid Guillermo Rivera")</f>
        <v>Ingrid Guillermo Rivera</v>
      </c>
      <c r="AE212" s="1" t="str">
        <f>IFERROR(__xludf.DUMMYFUNCTION("""COMPUTED_VALUE"""),"0")</f>
        <v>0</v>
      </c>
      <c r="AF212" s="1">
        <f>IFERROR(__xludf.DUMMYFUNCTION("""COMPUTED_VALUE"""),2022.0)</f>
        <v>2022</v>
      </c>
      <c r="AG212" s="1">
        <f>IFERROR(__xludf.DUMMYFUNCTION("""COMPUTED_VALUE"""),900829.0)</f>
        <v>900829</v>
      </c>
      <c r="AH212" s="1">
        <f>IFERROR(__xludf.DUMMYFUNCTION("""COMPUTED_VALUE"""),18.0)</f>
        <v>18</v>
      </c>
      <c r="AI212" s="1" t="str">
        <f>IFERROR(__xludf.DUMMYFUNCTION("""COMPUTED_VALUE"""),"0000402385")</f>
        <v>0000402385</v>
      </c>
      <c r="AJ212" s="1">
        <f>IFERROR(__xludf.DUMMYFUNCTION("""COMPUTED_VALUE"""),6.0737372E7)</f>
        <v>60737372</v>
      </c>
      <c r="AK212" s="1">
        <f>IFERROR(__xludf.DUMMYFUNCTION("""COMPUTED_VALUE"""),9.03503016E8)</f>
        <v>903503016</v>
      </c>
      <c r="AL212" s="1" t="str">
        <f>IFERROR(__xludf.DUMMYFUNCTION("""COMPUTED_VALUE"""),"lucero.cabsalazar06@gmail.com")</f>
        <v>lucero.cabsalazar06@gmail.com</v>
      </c>
      <c r="AM212" s="1" t="str">
        <f>IFERROR(__xludf.DUMMYFUNCTION("""COMPUTED_VALUE"""),"FEMENINO")</f>
        <v>FEMENINO</v>
      </c>
      <c r="AN212" s="1">
        <f>IFERROR(__xludf.DUMMYFUNCTION("""COMPUTED_VALUE"""),1350.0)</f>
        <v>1350</v>
      </c>
      <c r="AO212" s="1">
        <f>IFERROR(__xludf.DUMMYFUNCTION("""COMPUTED_VALUE"""),0.0)</f>
        <v>0</v>
      </c>
      <c r="AP212" s="1" t="str">
        <f>IFERROR(__xludf.DUMMYFUNCTION("""COMPUTED_VALUE"""),"OUTBOUND")</f>
        <v>OUTBOUND</v>
      </c>
      <c r="AQ212" s="1" t="str">
        <f>IFERROR(__xludf.DUMMYFUNCTION("""COMPUTED_VALUE"""),"OUTBOUND")</f>
        <v>OUTBOUND</v>
      </c>
      <c r="AR212" s="1" t="str">
        <f>IFERROR(__xludf.DUMMYFUNCTION("""COMPUTED_VALUE"""),"HEREDADO")</f>
        <v>HEREDADO</v>
      </c>
      <c r="AS212" s="1"/>
      <c r="AT212" s="2">
        <f>IFERROR(__xludf.DUMMYFUNCTION("""COMPUTED_VALUE"""),45624.0)</f>
        <v>45624</v>
      </c>
      <c r="AU212" s="1">
        <f>IFERROR(__xludf.DUMMYFUNCTION("""COMPUTED_VALUE"""),1.0)</f>
        <v>1</v>
      </c>
      <c r="AV212" s="1" t="str">
        <f>IFERROR(__xludf.DUMMYFUNCTION("""COMPUTED_VALUE"""),"NUEVO")</f>
        <v>NUEVO</v>
      </c>
      <c r="AW212" s="1" t="str">
        <f>IFERROR(__xludf.DUMMYFUNCTION("""COMPUTED_VALUE"""),"SI")</f>
        <v>SI</v>
      </c>
      <c r="AX212" s="1"/>
      <c r="AY212" s="1" t="str">
        <f>IFERROR(__xludf.DUMMYFUNCTION("""COMPUTED_VALUE"""),"PAGO COMPLETO")</f>
        <v>PAGO COMPLETO</v>
      </c>
      <c r="AZ212" s="5">
        <f>IFERROR(__xludf.DUMMYFUNCTION("""COMPUTED_VALUE"""),45639.0)</f>
        <v>45639</v>
      </c>
      <c r="BA212" s="1">
        <f>IFERROR(__xludf.DUMMYFUNCTION("""COMPUTED_VALUE"""),500.0)</f>
        <v>500</v>
      </c>
      <c r="BB212" s="1">
        <f>IFERROR(__xludf.DUMMYFUNCTION("""COMPUTED_VALUE"""),0.0)</f>
        <v>0</v>
      </c>
      <c r="BC212" s="4">
        <f>IFERROR(__xludf.DUMMYFUNCTION("""COMPUTED_VALUE"""),0.0)</f>
        <v>0</v>
      </c>
      <c r="BD212" s="4">
        <f>IFERROR(__xludf.DUMMYFUNCTION("""COMPUTED_VALUE"""),0.0)</f>
        <v>0</v>
      </c>
      <c r="BE212" s="1">
        <f>IFERROR(__xludf.DUMMYFUNCTION("""COMPUTED_VALUE"""),11.0)</f>
        <v>11</v>
      </c>
      <c r="BF212" s="6">
        <f>IFERROR(__xludf.DUMMYFUNCTION("""COMPUTED_VALUE"""),1.0)</f>
        <v>1</v>
      </c>
      <c r="BG212" s="1">
        <f>IFERROR(__xludf.DUMMYFUNCTION("""COMPUTED_VALUE"""),1.0)</f>
        <v>1</v>
      </c>
      <c r="BH212" s="1" t="str">
        <f>IFERROR(__xludf.DUMMYFUNCTION("""COMPUTED_VALUE"""),"0")</f>
        <v>0</v>
      </c>
      <c r="BI212" s="4">
        <f>IFERROR(__xludf.DUMMYFUNCTION("""COMPUTED_VALUE"""),1000.0)</f>
        <v>1000</v>
      </c>
      <c r="BJ212" s="1">
        <f>IFERROR(__xludf.DUMMYFUNCTION("""COMPUTED_VALUE"""),0.0)</f>
        <v>0</v>
      </c>
      <c r="BK212" s="4">
        <f>IFERROR(__xludf.DUMMYFUNCTION("""COMPUTED_VALUE"""),0.0)</f>
        <v>0</v>
      </c>
      <c r="BL212" s="1">
        <f>IFERROR(__xludf.DUMMYFUNCTION("""COMPUTED_VALUE"""),1000.0)</f>
        <v>1000</v>
      </c>
      <c r="BM212" s="1">
        <f>IFERROR(__xludf.DUMMYFUNCTION("""COMPUTED_VALUE"""),48.0)</f>
        <v>48</v>
      </c>
      <c r="BN212" s="2">
        <f>IFERROR(__xludf.DUMMYFUNCTION("""COMPUTED_VALUE"""),45621.0)</f>
        <v>45621</v>
      </c>
      <c r="BO212" s="1">
        <f>IFERROR(__xludf.DUMMYFUNCTION("""COMPUTED_VALUE"""),11.0)</f>
        <v>11</v>
      </c>
      <c r="BP212" s="1">
        <f>IFERROR(__xludf.DUMMYFUNCTION("""COMPUTED_VALUE"""),2024.0)</f>
        <v>2024</v>
      </c>
    </row>
    <row r="213">
      <c r="A213" s="1">
        <f>IFERROR(__xludf.DUMMYFUNCTION("""COMPUTED_VALUE"""),212.0)</f>
        <v>212</v>
      </c>
      <c r="B213" s="1">
        <f>IFERROR(__xludf.DUMMYFUNCTION("""COMPUTED_VALUE"""),1831582.0)</f>
        <v>1831582</v>
      </c>
      <c r="C213" s="1" t="str">
        <f>IFERROR(__xludf.DUMMYFUNCTION("""COMPUTED_VALUE"""),"2025-1")</f>
        <v>2025-1</v>
      </c>
      <c r="D213" s="1" t="str">
        <f>IFERROR(__xludf.DUMMYFUNCTION("""COMPUTED_VALUE"""),"Admisión Extraordinaria (Traslados)")</f>
        <v>Admisión Extraordinaria (Traslados)</v>
      </c>
      <c r="E213" s="2">
        <f>IFERROR(__xludf.DUMMYFUNCTION("""COMPUTED_VALUE"""),45625.0)</f>
        <v>45625</v>
      </c>
      <c r="F213" s="1" t="str">
        <f>IFERROR(__xludf.DUMMYFUNCTION("""COMPUTED_VALUE"""),"KINVERLY ARIANA ")</f>
        <v>KINVERLY ARIANA </v>
      </c>
      <c r="G213" s="1" t="str">
        <f>IFERROR(__xludf.DUMMYFUNCTION("""COMPUTED_VALUE"""),"FERNANDEZ ANYOZA")</f>
        <v>FERNANDEZ ANYOZA</v>
      </c>
      <c r="H213" s="1" t="str">
        <f>IFERROR(__xludf.DUMMYFUNCTION("""COMPUTED_VALUE"""),"Arquitectura")</f>
        <v>Arquitectura</v>
      </c>
      <c r="I213" s="1" t="str">
        <f>IFERROR(__xludf.DUMMYFUNCTION("""COMPUTED_VALUE"""),"CARGO")</f>
        <v>CARGO</v>
      </c>
      <c r="J213" s="1" t="str">
        <f>IFERROR(__xludf.DUMMYFUNCTION("""COMPUTED_VALUE"""),"Diurno")</f>
        <v>Diurno</v>
      </c>
      <c r="K213" s="1" t="str">
        <f>IFERROR(__xludf.DUMMYFUNCTION("""COMPUTED_VALUE"""),"TRASLADO")</f>
        <v>TRASLADO</v>
      </c>
      <c r="L213" s="1">
        <f>IFERROR(__xludf.DUMMYFUNCTION("""COMPUTED_VALUE"""),1.0)</f>
        <v>1</v>
      </c>
      <c r="M213" s="1">
        <f>IFERROR(__xludf.DUMMYFUNCTION("""COMPUTED_VALUE"""),0.0)</f>
        <v>0</v>
      </c>
      <c r="N213" s="1" t="str">
        <f>IFERROR(__xludf.DUMMYFUNCTION("""COMPUTED_VALUE"""),"RECA")</f>
        <v>RECA</v>
      </c>
      <c r="O213" s="1" t="str">
        <f>IFERROR(__xludf.DUMMYFUNCTION("""COMPUTED_VALUE"""),"RECA TRASLADO CON CONVA")</f>
        <v>RECA TRASLADO CON CONVA</v>
      </c>
      <c r="P213" s="4">
        <f>IFERROR(__xludf.DUMMYFUNCTION("""COMPUTED_VALUE"""),0.0)</f>
        <v>0</v>
      </c>
      <c r="Q213" s="4">
        <f>IFERROR(__xludf.DUMMYFUNCTION("""COMPUTED_VALUE"""),0.0)</f>
        <v>0</v>
      </c>
      <c r="R213" s="4">
        <f>IFERROR(__xludf.DUMMYFUNCTION("""COMPUTED_VALUE"""),900.0)</f>
        <v>900</v>
      </c>
      <c r="S213" s="4">
        <f>IFERROR(__xludf.DUMMYFUNCTION("""COMPUTED_VALUE"""),900.0)</f>
        <v>900</v>
      </c>
      <c r="T213" s="1" t="str">
        <f>IFERROR(__xludf.DUMMYFUNCTION("""COMPUTED_VALUE"""),"NINGUNO")</f>
        <v>NINGUNO</v>
      </c>
      <c r="U213" s="1" t="str">
        <f>IFERROR(__xludf.DUMMYFUNCTION("""COMPUTED_VALUE"""),"FABIOLA")</f>
        <v>FABIOLA</v>
      </c>
      <c r="V213" s="1" t="str">
        <f>IFERROR(__xludf.DUMMYFUNCTION("""COMPUTED_VALUE"""),"Ninguno")</f>
        <v>Ninguno</v>
      </c>
      <c r="W213" s="1" t="str">
        <f>IFERROR(__xludf.DUMMYFUNCTION("""COMPUTED_VALUE"""),"Malla curricular")</f>
        <v>Malla curricular</v>
      </c>
      <c r="X213" s="1" t="str">
        <f>IFERROR(__xludf.DUMMYFUNCTION("""COMPUTED_VALUE"""),"-")</f>
        <v>-</v>
      </c>
      <c r="Y213" s="1" t="str">
        <f>IFERROR(__xludf.DUMMYFUNCTION("""COMPUTED_VALUE"""),"PAGO COMPLETO")</f>
        <v>PAGO COMPLETO</v>
      </c>
      <c r="Z213" s="1">
        <f>IFERROR(__xludf.DUMMYFUNCTION("""COMPUTED_VALUE"""),0.0)</f>
        <v>0</v>
      </c>
      <c r="AA213" s="1" t="str">
        <f>IFERROR(__xludf.DUMMYFUNCTION("""COMPUTED_VALUE"""),"-")</f>
        <v>-</v>
      </c>
      <c r="AB213" s="1">
        <f>IFERROR(__xludf.DUMMYFUNCTION("""COMPUTED_VALUE"""),0.0)</f>
        <v>0</v>
      </c>
      <c r="AC213" s="1">
        <f>IFERROR(__xludf.DUMMYFUNCTION("""COMPUTED_VALUE"""),0.0)</f>
        <v>0</v>
      </c>
      <c r="AD213" s="1" t="str">
        <f>IFERROR(__xludf.DUMMYFUNCTION("""COMPUTED_VALUE"""),"Fiorella Lanegra")</f>
        <v>Fiorella Lanegra</v>
      </c>
      <c r="AE213" s="1" t="str">
        <f>IFERROR(__xludf.DUMMYFUNCTION("""COMPUTED_VALUE"""),"Sensico - (Chiclayo)")</f>
        <v>Sensico - (Chiclayo)</v>
      </c>
      <c r="AF213" s="1">
        <f>IFERROR(__xludf.DUMMYFUNCTION("""COMPUTED_VALUE"""),2017.0)</f>
        <v>2017</v>
      </c>
      <c r="AG213" s="1">
        <f>IFERROR(__xludf.DUMMYFUNCTION("""COMPUTED_VALUE"""),1226901.0)</f>
        <v>1226901</v>
      </c>
      <c r="AH213" s="1">
        <f>IFERROR(__xludf.DUMMYFUNCTION("""COMPUTED_VALUE"""),24.0)</f>
        <v>24</v>
      </c>
      <c r="AI213" s="1" t="str">
        <f>IFERROR(__xludf.DUMMYFUNCTION("""COMPUTED_VALUE"""),"0000402274")</f>
        <v>0000402274</v>
      </c>
      <c r="AJ213" s="1">
        <f>IFERROR(__xludf.DUMMYFUNCTION("""COMPUTED_VALUE"""),7.578443E7)</f>
        <v>75784430</v>
      </c>
      <c r="AK213" s="1">
        <f>IFERROR(__xludf.DUMMYFUNCTION("""COMPUTED_VALUE"""),9.7642687E8)</f>
        <v>976426870</v>
      </c>
      <c r="AL213" s="1" t="str">
        <f>IFERROR(__xludf.DUMMYFUNCTION("""COMPUTED_VALUE"""),"Kafa_fer@hotmail.com")</f>
        <v>Kafa_fer@hotmail.com</v>
      </c>
      <c r="AM213" s="1" t="str">
        <f>IFERROR(__xludf.DUMMYFUNCTION("""COMPUTED_VALUE"""),"FEMENINO")</f>
        <v>FEMENINO</v>
      </c>
      <c r="AN213" s="1">
        <f>IFERROR(__xludf.DUMMYFUNCTION("""COMPUTED_VALUE"""),1775.0)</f>
        <v>1775</v>
      </c>
      <c r="AO213" s="1">
        <f>IFERROR(__xludf.DUMMYFUNCTION("""COMPUTED_VALUE"""),360.0)</f>
        <v>360</v>
      </c>
      <c r="AP213" s="1" t="str">
        <f>IFERROR(__xludf.DUMMYFUNCTION("""COMPUTED_VALUE"""),"BIDIRECCIONAL")</f>
        <v>BIDIRECCIONAL</v>
      </c>
      <c r="AQ213" s="1" t="str">
        <f>IFERROR(__xludf.DUMMYFUNCTION("""COMPUTED_VALUE"""),"ORGANICO")</f>
        <v>ORGANICO</v>
      </c>
      <c r="AR213" s="1" t="str">
        <f>IFERROR(__xludf.DUMMYFUNCTION("""COMPUTED_VALUE"""),"NUEVO")</f>
        <v>NUEVO</v>
      </c>
      <c r="AS213" s="1"/>
      <c r="AT213" s="2">
        <f>IFERROR(__xludf.DUMMYFUNCTION("""COMPUTED_VALUE"""),45576.0)</f>
        <v>45576</v>
      </c>
      <c r="AU213" s="1">
        <f>IFERROR(__xludf.DUMMYFUNCTION("""COMPUTED_VALUE"""),1.0)</f>
        <v>1</v>
      </c>
      <c r="AV213" s="1" t="str">
        <f>IFERROR(__xludf.DUMMYFUNCTION("""COMPUTED_VALUE"""),"TRASLADO")</f>
        <v>TRASLADO</v>
      </c>
      <c r="AW213" s="1" t="str">
        <f>IFERROR(__xludf.DUMMYFUNCTION("""COMPUTED_VALUE"""),"SI")</f>
        <v>SI</v>
      </c>
      <c r="AX213" s="1"/>
      <c r="AY213" s="1" t="str">
        <f>IFERROR(__xludf.DUMMYFUNCTION("""COMPUTED_VALUE"""),"PAGO COMPLETO")</f>
        <v>PAGO COMPLETO</v>
      </c>
      <c r="AZ213" s="5">
        <f>IFERROR(__xludf.DUMMYFUNCTION("""COMPUTED_VALUE"""),45625.0)</f>
        <v>45625</v>
      </c>
      <c r="BA213" s="1">
        <f>IFERROR(__xludf.DUMMYFUNCTION("""COMPUTED_VALUE"""),0.0)</f>
        <v>0</v>
      </c>
      <c r="BB213" s="1">
        <f>IFERROR(__xludf.DUMMYFUNCTION("""COMPUTED_VALUE"""),0.0)</f>
        <v>0</v>
      </c>
      <c r="BC213" s="4">
        <f>IFERROR(__xludf.DUMMYFUNCTION("""COMPUTED_VALUE"""),0.0)</f>
        <v>0</v>
      </c>
      <c r="BD213" s="4">
        <f>IFERROR(__xludf.DUMMYFUNCTION("""COMPUTED_VALUE"""),0.0)</f>
        <v>0</v>
      </c>
      <c r="BE213" s="1">
        <f>IFERROR(__xludf.DUMMYFUNCTION("""COMPUTED_VALUE"""),11.0)</f>
        <v>11</v>
      </c>
      <c r="BF213" s="6">
        <f>IFERROR(__xludf.DUMMYFUNCTION("""COMPUTED_VALUE"""),1.0)</f>
        <v>1</v>
      </c>
      <c r="BG213" s="1">
        <f>IFERROR(__xludf.DUMMYFUNCTION("""COMPUTED_VALUE"""),1.0)</f>
        <v>1</v>
      </c>
      <c r="BH213" s="1" t="str">
        <f>IFERROR(__xludf.DUMMYFUNCTION("""COMPUTED_VALUE"""),"1")</f>
        <v>1</v>
      </c>
      <c r="BI213" s="4">
        <f>IFERROR(__xludf.DUMMYFUNCTION("""COMPUTED_VALUE"""),0.0)</f>
        <v>0</v>
      </c>
      <c r="BJ213" s="1">
        <f>IFERROR(__xludf.DUMMYFUNCTION("""COMPUTED_VALUE"""),0.0)</f>
        <v>0</v>
      </c>
      <c r="BK213" s="4">
        <f>IFERROR(__xludf.DUMMYFUNCTION("""COMPUTED_VALUE"""),0.0)</f>
        <v>0</v>
      </c>
      <c r="BL213" s="1">
        <f>IFERROR(__xludf.DUMMYFUNCTION("""COMPUTED_VALUE"""),900.0)</f>
        <v>900</v>
      </c>
      <c r="BM213" s="1">
        <f>IFERROR(__xludf.DUMMYFUNCTION("""COMPUTED_VALUE"""),48.0)</f>
        <v>48</v>
      </c>
      <c r="BN213" s="2">
        <f>IFERROR(__xludf.DUMMYFUNCTION("""COMPUTED_VALUE"""),45621.0)</f>
        <v>45621</v>
      </c>
      <c r="BO213" s="1">
        <f>IFERROR(__xludf.DUMMYFUNCTION("""COMPUTED_VALUE"""),11.0)</f>
        <v>11</v>
      </c>
      <c r="BP213" s="1">
        <f>IFERROR(__xludf.DUMMYFUNCTION("""COMPUTED_VALUE"""),2024.0)</f>
        <v>2024</v>
      </c>
    </row>
    <row r="214">
      <c r="A214" s="1">
        <f>IFERROR(__xludf.DUMMYFUNCTION("""COMPUTED_VALUE"""),213.0)</f>
        <v>213</v>
      </c>
      <c r="B214" s="1">
        <f>IFERROR(__xludf.DUMMYFUNCTION("""COMPUTED_VALUE"""),3307459.0)</f>
        <v>3307459</v>
      </c>
      <c r="C214" s="1" t="str">
        <f>IFERROR(__xludf.DUMMYFUNCTION("""COMPUTED_VALUE"""),"2025-1")</f>
        <v>2025-1</v>
      </c>
      <c r="D214" s="1" t="str">
        <f>IFERROR(__xludf.DUMMYFUNCTION("""COMPUTED_VALUE"""),"Admisión Ordinaria")</f>
        <v>Admisión Ordinaria</v>
      </c>
      <c r="E214" s="2">
        <f>IFERROR(__xludf.DUMMYFUNCTION("""COMPUTED_VALUE"""),45626.0)</f>
        <v>45626</v>
      </c>
      <c r="F214" s="1" t="str">
        <f>IFERROR(__xludf.DUMMYFUNCTION("""COMPUTED_VALUE"""),"LUCIANA PAOLA ")</f>
        <v>LUCIANA PAOLA </v>
      </c>
      <c r="G214" s="1" t="str">
        <f>IFERROR(__xludf.DUMMYFUNCTION("""COMPUTED_VALUE"""),"FIGUEROA RAMIREZ")</f>
        <v>FIGUEROA RAMIREZ</v>
      </c>
      <c r="H214" s="1" t="str">
        <f>IFERROR(__xludf.DUMMYFUNCTION("""COMPUTED_VALUE"""),"Diseño Gráfico Publicitario")</f>
        <v>Diseño Gráfico Publicitario</v>
      </c>
      <c r="I214" s="1" t="str">
        <f>IFERROR(__xludf.DUMMYFUNCTION("""COMPUTED_VALUE"""),"Pago Link")</f>
        <v>Pago Link</v>
      </c>
      <c r="J214" s="1" t="str">
        <f>IFERROR(__xludf.DUMMYFUNCTION("""COMPUTED_VALUE"""),"Diurno")</f>
        <v>Diurno</v>
      </c>
      <c r="K214" s="1" t="str">
        <f>IFERROR(__xludf.DUMMYFUNCTION("""COMPUTED_VALUE"""),"NUEVO")</f>
        <v>NUEVO</v>
      </c>
      <c r="L214" s="1">
        <f>IFERROR(__xludf.DUMMYFUNCTION("""COMPUTED_VALUE"""),0.0)</f>
        <v>0</v>
      </c>
      <c r="M214" s="1">
        <f>IFERROR(__xludf.DUMMYFUNCTION("""COMPUTED_VALUE"""),0.0)</f>
        <v>0</v>
      </c>
      <c r="N214" s="1" t="str">
        <f>IFERROR(__xludf.DUMMYFUNCTION("""COMPUTED_VALUE"""),"BECA")</f>
        <v>BECA</v>
      </c>
      <c r="O214" s="1" t="str">
        <f>IFERROR(__xludf.DUMMYFUNCTION("""COMPUTED_VALUE"""),"BECA CARRERAS CORE")</f>
        <v>BECA CARRERAS CORE</v>
      </c>
      <c r="P214" s="4">
        <f>IFERROR(__xludf.DUMMYFUNCTION("""COMPUTED_VALUE"""),0.0)</f>
        <v>0</v>
      </c>
      <c r="Q214" s="4">
        <f>IFERROR(__xludf.DUMMYFUNCTION("""COMPUTED_VALUE"""),0.0)</f>
        <v>0</v>
      </c>
      <c r="R214" s="4">
        <f>IFERROR(__xludf.DUMMYFUNCTION("""COMPUTED_VALUE"""),1150.0)</f>
        <v>1150</v>
      </c>
      <c r="S214" s="4">
        <f>IFERROR(__xludf.DUMMYFUNCTION("""COMPUTED_VALUE"""),950.0)</f>
        <v>950</v>
      </c>
      <c r="T214" s="1" t="str">
        <f>IFERROR(__xludf.DUMMYFUNCTION("""COMPUTED_VALUE"""),"Refirio")</f>
        <v>Refirio</v>
      </c>
      <c r="U214" s="1" t="str">
        <f>IFERROR(__xludf.DUMMYFUNCTION("""COMPUTED_VALUE"""),"FABIOLA")</f>
        <v>FABIOLA</v>
      </c>
      <c r="V214" s="1" t="str">
        <f>IFERROR(__xludf.DUMMYFUNCTION("""COMPUTED_VALUE"""),"Ninguno")</f>
        <v>Ninguno</v>
      </c>
      <c r="W214" s="1" t="str">
        <f>IFERROR(__xludf.DUMMYFUNCTION("""COMPUTED_VALUE"""),"Convenios internacionales")</f>
        <v>Convenios internacionales</v>
      </c>
      <c r="X214" s="1" t="str">
        <f>IFERROR(__xludf.DUMMYFUNCTION("""COMPUTED_VALUE"""),"No se realizo descuento de 100 soles de visita ")</f>
        <v>No se realizo descuento de 100 soles de visita </v>
      </c>
      <c r="Y214" s="1" t="str">
        <f>IFERROR(__xludf.DUMMYFUNCTION("""COMPUTED_VALUE"""),"PAGO FRACCIONADO")</f>
        <v>PAGO FRACCIONADO</v>
      </c>
      <c r="Z214" s="1">
        <f>IFERROR(__xludf.DUMMYFUNCTION("""COMPUTED_VALUE"""),285.0)</f>
        <v>285</v>
      </c>
      <c r="AA214" s="1" t="str">
        <f>IFERROR(__xludf.DUMMYFUNCTION("""COMPUTED_VALUE"""),"30/11/2024")</f>
        <v>30/11/2024</v>
      </c>
      <c r="AB214" s="1">
        <f>IFERROR(__xludf.DUMMYFUNCTION("""COMPUTED_VALUE"""),0.0)</f>
        <v>0</v>
      </c>
      <c r="AC214" s="1">
        <f>IFERROR(__xludf.DUMMYFUNCTION("""COMPUTED_VALUE"""),0.0)</f>
        <v>0</v>
      </c>
      <c r="AD214" s="1" t="str">
        <f>IFERROR(__xludf.DUMMYFUNCTION("""COMPUTED_VALUE"""),"Andrea Araujo Antara")</f>
        <v>Andrea Araujo Antara</v>
      </c>
      <c r="AE214" s="1" t="str">
        <f>IFERROR(__xludf.DUMMYFUNCTION("""COMPUTED_VALUE"""),"0")</f>
        <v>0</v>
      </c>
      <c r="AF214" s="1">
        <f>IFERROR(__xludf.DUMMYFUNCTION("""COMPUTED_VALUE"""),2024.0)</f>
        <v>2024</v>
      </c>
      <c r="AG214" s="1">
        <f>IFERROR(__xludf.DUMMYFUNCTION("""COMPUTED_VALUE"""),583203.0)</f>
        <v>583203</v>
      </c>
      <c r="AH214" s="1">
        <f>IFERROR(__xludf.DUMMYFUNCTION("""COMPUTED_VALUE"""),16.0)</f>
        <v>16</v>
      </c>
      <c r="AI214" s="1" t="str">
        <f>IFERROR(__xludf.DUMMYFUNCTION("""COMPUTED_VALUE"""),"0000399214")</f>
        <v>0000399214</v>
      </c>
      <c r="AJ214" s="1">
        <f>IFERROR(__xludf.DUMMYFUNCTION("""COMPUTED_VALUE"""),6.1271934E7)</f>
        <v>61271934</v>
      </c>
      <c r="AK214" s="1">
        <f>IFERROR(__xludf.DUMMYFUNCTION("""COMPUTED_VALUE"""),9.01873424E8)</f>
        <v>901873424</v>
      </c>
      <c r="AL214" s="1" t="str">
        <f>IFERROR(__xludf.DUMMYFUNCTION("""COMPUTED_VALUE"""),"lucianapaola088@gmail.com")</f>
        <v>lucianapaola088@gmail.com</v>
      </c>
      <c r="AM214" s="1" t="str">
        <f>IFERROR(__xludf.DUMMYFUNCTION("""COMPUTED_VALUE"""),"FEMENINO")</f>
        <v>FEMENINO</v>
      </c>
      <c r="AN214" s="1">
        <f>IFERROR(__xludf.DUMMYFUNCTION("""COMPUTED_VALUE"""),1350.0)</f>
        <v>1350</v>
      </c>
      <c r="AO214" s="1">
        <f>IFERROR(__xludf.DUMMYFUNCTION("""COMPUTED_VALUE"""),0.0)</f>
        <v>0</v>
      </c>
      <c r="AP214" s="1" t="str">
        <f>IFERROR(__xludf.DUMMYFUNCTION("""COMPUTED_VALUE"""),"FORMULARIO")</f>
        <v>FORMULARIO</v>
      </c>
      <c r="AQ214" s="1" t="str">
        <f>IFERROR(__xludf.DUMMYFUNCTION("""COMPUTED_VALUE"""),"SEARCH MARCA")</f>
        <v>SEARCH MARCA</v>
      </c>
      <c r="AR214" s="1" t="str">
        <f>IFERROR(__xludf.DUMMYFUNCTION("""COMPUTED_VALUE"""),"NUEVO")</f>
        <v>NUEVO</v>
      </c>
      <c r="AS214" s="1" t="str">
        <f>IFERROR(__xludf.DUMMYFUNCTION("""COMPUTED_VALUE"""),"ucal-pg-performance-sedes-abierta-cpl-search_conversion_marca-20240401")</f>
        <v>ucal-pg-performance-sedes-abierta-cpl-search_conversion_marca-20240401</v>
      </c>
      <c r="AT214" s="2">
        <f>IFERROR(__xludf.DUMMYFUNCTION("""COMPUTED_VALUE"""),45586.0)</f>
        <v>45586</v>
      </c>
      <c r="AU214" s="1">
        <f>IFERROR(__xludf.DUMMYFUNCTION("""COMPUTED_VALUE"""),1.0)</f>
        <v>1</v>
      </c>
      <c r="AV214" s="1" t="str">
        <f>IFERROR(__xludf.DUMMYFUNCTION("""COMPUTED_VALUE"""),"NUEVO")</f>
        <v>NUEVO</v>
      </c>
      <c r="AW214" s="1" t="str">
        <f>IFERROR(__xludf.DUMMYFUNCTION("""COMPUTED_VALUE"""),"SI")</f>
        <v>SI</v>
      </c>
      <c r="AX214" s="1"/>
      <c r="AY214" s="1" t="str">
        <f>IFERROR(__xludf.DUMMYFUNCTION("""COMPUTED_VALUE"""),"PAGO COMPLETO")</f>
        <v>PAGO COMPLETO</v>
      </c>
      <c r="AZ214" s="5">
        <f>IFERROR(__xludf.DUMMYFUNCTION("""COMPUTED_VALUE"""),45626.0)</f>
        <v>45626</v>
      </c>
      <c r="BA214" s="1">
        <f>IFERROR(__xludf.DUMMYFUNCTION("""COMPUTED_VALUE"""),665.0)</f>
        <v>665</v>
      </c>
      <c r="BB214" s="1">
        <f>IFERROR(__xludf.DUMMYFUNCTION("""COMPUTED_VALUE"""),0.0)</f>
        <v>0</v>
      </c>
      <c r="BC214" s="4">
        <f>IFERROR(__xludf.DUMMYFUNCTION("""COMPUTED_VALUE"""),0.0)</f>
        <v>0</v>
      </c>
      <c r="BD214" s="4">
        <f>IFERROR(__xludf.DUMMYFUNCTION("""COMPUTED_VALUE"""),0.0)</f>
        <v>0</v>
      </c>
      <c r="BE214" s="1">
        <f>IFERROR(__xludf.DUMMYFUNCTION("""COMPUTED_VALUE"""),11.0)</f>
        <v>11</v>
      </c>
      <c r="BF214" s="6">
        <f>IFERROR(__xludf.DUMMYFUNCTION("""COMPUTED_VALUE"""),1.0)</f>
        <v>1</v>
      </c>
      <c r="BG214" s="1">
        <f>IFERROR(__xludf.DUMMYFUNCTION("""COMPUTED_VALUE"""),0.0)</f>
        <v>0</v>
      </c>
      <c r="BH214" s="1" t="str">
        <f>IFERROR(__xludf.DUMMYFUNCTION("""COMPUTED_VALUE"""),"0")</f>
        <v>0</v>
      </c>
      <c r="BI214" s="4">
        <f>IFERROR(__xludf.DUMMYFUNCTION("""COMPUTED_VALUE"""),950.0)</f>
        <v>950</v>
      </c>
      <c r="BJ214" s="1">
        <f>IFERROR(__xludf.DUMMYFUNCTION("""COMPUTED_VALUE"""),0.0)</f>
        <v>0</v>
      </c>
      <c r="BK214" s="4">
        <f>IFERROR(__xludf.DUMMYFUNCTION("""COMPUTED_VALUE"""),950.0)</f>
        <v>950</v>
      </c>
      <c r="BL214" s="1">
        <f>IFERROR(__xludf.DUMMYFUNCTION("""COMPUTED_VALUE"""),760.0)</f>
        <v>760</v>
      </c>
      <c r="BM214" s="1">
        <f>IFERROR(__xludf.DUMMYFUNCTION("""COMPUTED_VALUE"""),48.0)</f>
        <v>48</v>
      </c>
      <c r="BN214" s="2">
        <f>IFERROR(__xludf.DUMMYFUNCTION("""COMPUTED_VALUE"""),45621.0)</f>
        <v>45621</v>
      </c>
      <c r="BO214" s="1">
        <f>IFERROR(__xludf.DUMMYFUNCTION("""COMPUTED_VALUE"""),11.0)</f>
        <v>11</v>
      </c>
      <c r="BP214" s="1">
        <f>IFERROR(__xludf.DUMMYFUNCTION("""COMPUTED_VALUE"""),2024.0)</f>
        <v>2024</v>
      </c>
    </row>
    <row r="215">
      <c r="A215" s="1">
        <f>IFERROR(__xludf.DUMMYFUNCTION("""COMPUTED_VALUE"""),214.0)</f>
        <v>214</v>
      </c>
      <c r="B215" s="1">
        <f>IFERROR(__xludf.DUMMYFUNCTION("""COMPUTED_VALUE"""),1007633.0)</f>
        <v>1007633</v>
      </c>
      <c r="C215" s="1" t="str">
        <f>IFERROR(__xludf.DUMMYFUNCTION("""COMPUTED_VALUE"""),"2025-1")</f>
        <v>2025-1</v>
      </c>
      <c r="D215" s="1" t="str">
        <f>IFERROR(__xludf.DUMMYFUNCTION("""COMPUTED_VALUE"""),"Admisión de Alto Rendimiento")</f>
        <v>Admisión de Alto Rendimiento</v>
      </c>
      <c r="E215" s="2">
        <f>IFERROR(__xludf.DUMMYFUNCTION("""COMPUTED_VALUE"""),45626.0)</f>
        <v>45626</v>
      </c>
      <c r="F215" s="1" t="str">
        <f>IFERROR(__xludf.DUMMYFUNCTION("""COMPUTED_VALUE"""),"VALERIA ALEJANDRA ")</f>
        <v>VALERIA ALEJANDRA </v>
      </c>
      <c r="G215" s="1" t="str">
        <f>IFERROR(__xludf.DUMMYFUNCTION("""COMPUTED_VALUE"""),"RIVEROS FLORES")</f>
        <v>RIVEROS FLORES</v>
      </c>
      <c r="H215" s="1" t="str">
        <f>IFERROR(__xludf.DUMMYFUNCTION("""COMPUTED_VALUE"""),"Comunicación Audiovisual y Cine")</f>
        <v>Comunicación Audiovisual y Cine</v>
      </c>
      <c r="I215" s="1" t="str">
        <f>IFERROR(__xludf.DUMMYFUNCTION("""COMPUTED_VALUE"""),"POS")</f>
        <v>POS</v>
      </c>
      <c r="J215" s="1" t="str">
        <f>IFERROR(__xludf.DUMMYFUNCTION("""COMPUTED_VALUE"""),"Diurno")</f>
        <v>Diurno</v>
      </c>
      <c r="K215" s="1" t="str">
        <f>IFERROR(__xludf.DUMMYFUNCTION("""COMPUTED_VALUE"""),"NUEVO")</f>
        <v>NUEVO</v>
      </c>
      <c r="L215" s="1">
        <f>IFERROR(__xludf.DUMMYFUNCTION("""COMPUTED_VALUE"""),0.0)</f>
        <v>0</v>
      </c>
      <c r="M215" s="1">
        <f>IFERROR(__xludf.DUMMYFUNCTION("""COMPUTED_VALUE"""),0.0)</f>
        <v>0</v>
      </c>
      <c r="N215" s="1" t="str">
        <f>IFERROR(__xludf.DUMMYFUNCTION("""COMPUTED_VALUE"""),"BECA")</f>
        <v>BECA</v>
      </c>
      <c r="O215" s="1" t="str">
        <f>IFERROR(__xludf.DUMMYFUNCTION("""COMPUTED_VALUE"""),"BECA CARRERAS CORE")</f>
        <v>BECA CARRERAS CORE</v>
      </c>
      <c r="P215" s="4">
        <f>IFERROR(__xludf.DUMMYFUNCTION("""COMPUTED_VALUE"""),0.0)</f>
        <v>0</v>
      </c>
      <c r="Q215" s="4">
        <f>IFERROR(__xludf.DUMMYFUNCTION("""COMPUTED_VALUE"""),0.0)</f>
        <v>0</v>
      </c>
      <c r="R215" s="4">
        <f>IFERROR(__xludf.DUMMYFUNCTION("""COMPUTED_VALUE"""),1150.0)</f>
        <v>1150</v>
      </c>
      <c r="S215" s="4">
        <f>IFERROR(__xludf.DUMMYFUNCTION("""COMPUTED_VALUE"""),1000.0)</f>
        <v>1000</v>
      </c>
      <c r="T215" s="1" t="str">
        <f>IFERROR(__xludf.DUMMYFUNCTION("""COMPUTED_VALUE"""),"NINGUNO")</f>
        <v>NINGUNO</v>
      </c>
      <c r="U215" s="1" t="str">
        <f>IFERROR(__xludf.DUMMYFUNCTION("""COMPUTED_VALUE"""),"FABIOLA")</f>
        <v>FABIOLA</v>
      </c>
      <c r="V215" s="1" t="str">
        <f>IFERROR(__xludf.DUMMYFUNCTION("""COMPUTED_VALUE"""),"Ninguno")</f>
        <v>Ninguno</v>
      </c>
      <c r="W215" s="1" t="str">
        <f>IFERROR(__xludf.DUMMYFUNCTION("""COMPUTED_VALUE"""),"Egresados")</f>
        <v>Egresados</v>
      </c>
      <c r="X215" s="1" t="str">
        <f>IFERROR(__xludf.DUMMYFUNCTION("""COMPUTED_VALUE"""),"-")</f>
        <v>-</v>
      </c>
      <c r="Y215" s="1" t="str">
        <f>IFERROR(__xludf.DUMMYFUNCTION("""COMPUTED_VALUE"""),"PAGO COMPLETO")</f>
        <v>PAGO COMPLETO</v>
      </c>
      <c r="Z215" s="1">
        <f>IFERROR(__xludf.DUMMYFUNCTION("""COMPUTED_VALUE"""),0.0)</f>
        <v>0</v>
      </c>
      <c r="AA215" s="1" t="str">
        <f>IFERROR(__xludf.DUMMYFUNCTION("""COMPUTED_VALUE"""),"-")</f>
        <v>-</v>
      </c>
      <c r="AB215" s="1">
        <f>IFERROR(__xludf.DUMMYFUNCTION("""COMPUTED_VALUE"""),0.0)</f>
        <v>0</v>
      </c>
      <c r="AC215" s="1">
        <f>IFERROR(__xludf.DUMMYFUNCTION("""COMPUTED_VALUE"""),0.0)</f>
        <v>0</v>
      </c>
      <c r="AD215" s="1" t="str">
        <f>IFERROR(__xludf.DUMMYFUNCTION("""COMPUTED_VALUE"""),"Ingrid Guillermo Rivera")</f>
        <v>Ingrid Guillermo Rivera</v>
      </c>
      <c r="AE215" s="1" t="str">
        <f>IFERROR(__xludf.DUMMYFUNCTION("""COMPUTED_VALUE"""),"0")</f>
        <v>0</v>
      </c>
      <c r="AF215" s="1">
        <f>IFERROR(__xludf.DUMMYFUNCTION("""COMPUTED_VALUE"""),2024.0)</f>
        <v>2024</v>
      </c>
      <c r="AG215" s="1">
        <f>IFERROR(__xludf.DUMMYFUNCTION("""COMPUTED_VALUE"""),1558725.0)</f>
        <v>1558725</v>
      </c>
      <c r="AH215" s="1">
        <f>IFERROR(__xludf.DUMMYFUNCTION("""COMPUTED_VALUE"""),16.0)</f>
        <v>16</v>
      </c>
      <c r="AI215" s="1" t="str">
        <f>IFERROR(__xludf.DUMMYFUNCTION("""COMPUTED_VALUE"""),"0000385084")</f>
        <v>0000385084</v>
      </c>
      <c r="AJ215" s="1">
        <f>IFERROR(__xludf.DUMMYFUNCTION("""COMPUTED_VALUE"""),6.1355158E7)</f>
        <v>61355158</v>
      </c>
      <c r="AK215" s="1">
        <f>IFERROR(__xludf.DUMMYFUNCTION("""COMPUTED_VALUE"""),9.92416079E8)</f>
        <v>992416079</v>
      </c>
      <c r="AL215" s="1" t="str">
        <f>IFERROR(__xludf.DUMMYFUNCTION("""COMPUTED_VALUE"""),"ainohav.of@gmail.com")</f>
        <v>ainohav.of@gmail.com</v>
      </c>
      <c r="AM215" s="1" t="str">
        <f>IFERROR(__xludf.DUMMYFUNCTION("""COMPUTED_VALUE"""),"FEMENINO")</f>
        <v>FEMENINO</v>
      </c>
      <c r="AN215" s="1">
        <f>IFERROR(__xludf.DUMMYFUNCTION("""COMPUTED_VALUE"""),1350.0)</f>
        <v>1350</v>
      </c>
      <c r="AO215" s="1">
        <f>IFERROR(__xludf.DUMMYFUNCTION("""COMPUTED_VALUE"""),0.0)</f>
        <v>0</v>
      </c>
      <c r="AP215" s="1" t="str">
        <f>IFERROR(__xludf.DUMMYFUNCTION("""COMPUTED_VALUE"""),"FORMULARIO")</f>
        <v>FORMULARIO</v>
      </c>
      <c r="AQ215" s="1" t="str">
        <f>IFERROR(__xludf.DUMMYFUNCTION("""COMPUTED_VALUE"""),"NO SUFICIENCIA")</f>
        <v>NO SUFICIENCIA</v>
      </c>
      <c r="AR215" s="1" t="str">
        <f>IFERROR(__xludf.DUMMYFUNCTION("""COMPUTED_VALUE"""),"NUEVO")</f>
        <v>NUEVO</v>
      </c>
      <c r="AS215" s="1" t="str">
        <f>IFERROR(__xludf.DUMMYFUNCTION("""COMPUTED_VALUE"""),"ucal-pg-performance-sedes-demografico-cpl-link_ads_conversion_mundo_comunicaciones-20240426")</f>
        <v>ucal-pg-performance-sedes-demografico-cpl-link_ads_conversion_mundo_comunicaciones-20240426</v>
      </c>
      <c r="AT215" s="2">
        <f>IFERROR(__xludf.DUMMYFUNCTION("""COMPUTED_VALUE"""),45431.0)</f>
        <v>45431</v>
      </c>
      <c r="AU215" s="1">
        <f>IFERROR(__xludf.DUMMYFUNCTION("""COMPUTED_VALUE"""),1.0)</f>
        <v>1</v>
      </c>
      <c r="AV215" s="1" t="str">
        <f>IFERROR(__xludf.DUMMYFUNCTION("""COMPUTED_VALUE"""),"NUEVO")</f>
        <v>NUEVO</v>
      </c>
      <c r="AW215" s="1" t="str">
        <f>IFERROR(__xludf.DUMMYFUNCTION("""COMPUTED_VALUE"""),"SI")</f>
        <v>SI</v>
      </c>
      <c r="AX215" s="1"/>
      <c r="AY215" s="1" t="str">
        <f>IFERROR(__xludf.DUMMYFUNCTION("""COMPUTED_VALUE"""),"PAGO COMPLETO")</f>
        <v>PAGO COMPLETO</v>
      </c>
      <c r="AZ215" s="5">
        <f>IFERROR(__xludf.DUMMYFUNCTION("""COMPUTED_VALUE"""),45626.0)</f>
        <v>45626</v>
      </c>
      <c r="BA215" s="1">
        <f>IFERROR(__xludf.DUMMYFUNCTION("""COMPUTED_VALUE"""),0.0)</f>
        <v>0</v>
      </c>
      <c r="BB215" s="1">
        <f>IFERROR(__xludf.DUMMYFUNCTION("""COMPUTED_VALUE"""),0.0)</f>
        <v>0</v>
      </c>
      <c r="BC215" s="4">
        <f>IFERROR(__xludf.DUMMYFUNCTION("""COMPUTED_VALUE"""),0.0)</f>
        <v>0</v>
      </c>
      <c r="BD215" s="4">
        <f>IFERROR(__xludf.DUMMYFUNCTION("""COMPUTED_VALUE"""),0.0)</f>
        <v>0</v>
      </c>
      <c r="BE215" s="1">
        <f>IFERROR(__xludf.DUMMYFUNCTION("""COMPUTED_VALUE"""),11.0)</f>
        <v>11</v>
      </c>
      <c r="BF215" s="6">
        <f>IFERROR(__xludf.DUMMYFUNCTION("""COMPUTED_VALUE"""),1.0)</f>
        <v>1</v>
      </c>
      <c r="BG215" s="1">
        <f>IFERROR(__xludf.DUMMYFUNCTION("""COMPUTED_VALUE"""),1.0)</f>
        <v>1</v>
      </c>
      <c r="BH215" s="1" t="str">
        <f>IFERROR(__xludf.DUMMYFUNCTION("""COMPUTED_VALUE"""),"0")</f>
        <v>0</v>
      </c>
      <c r="BI215" s="4">
        <f>IFERROR(__xludf.DUMMYFUNCTION("""COMPUTED_VALUE"""),0.0)</f>
        <v>0</v>
      </c>
      <c r="BJ215" s="1">
        <f>IFERROR(__xludf.DUMMYFUNCTION("""COMPUTED_VALUE"""),0.0)</f>
        <v>0</v>
      </c>
      <c r="BK215" s="4">
        <f>IFERROR(__xludf.DUMMYFUNCTION("""COMPUTED_VALUE"""),0.0)</f>
        <v>0</v>
      </c>
      <c r="BL215" s="1">
        <f>IFERROR(__xludf.DUMMYFUNCTION("""COMPUTED_VALUE"""),1000.0)</f>
        <v>1000</v>
      </c>
      <c r="BM215" s="1">
        <f>IFERROR(__xludf.DUMMYFUNCTION("""COMPUTED_VALUE"""),48.0)</f>
        <v>48</v>
      </c>
      <c r="BN215" s="2">
        <f>IFERROR(__xludf.DUMMYFUNCTION("""COMPUTED_VALUE"""),45621.0)</f>
        <v>45621</v>
      </c>
      <c r="BO215" s="1">
        <f>IFERROR(__xludf.DUMMYFUNCTION("""COMPUTED_VALUE"""),11.0)</f>
        <v>11</v>
      </c>
      <c r="BP215" s="1">
        <f>IFERROR(__xludf.DUMMYFUNCTION("""COMPUTED_VALUE"""),2024.0)</f>
        <v>2024</v>
      </c>
    </row>
    <row r="216">
      <c r="A216" s="1">
        <f>IFERROR(__xludf.DUMMYFUNCTION("""COMPUTED_VALUE"""),215.0)</f>
        <v>215</v>
      </c>
      <c r="B216" s="1">
        <f>IFERROR(__xludf.DUMMYFUNCTION("""COMPUTED_VALUE"""),992203.0)</f>
        <v>992203</v>
      </c>
      <c r="C216" s="1" t="str">
        <f>IFERROR(__xludf.DUMMYFUNCTION("""COMPUTED_VALUE"""),"2025-1")</f>
        <v>2025-1</v>
      </c>
      <c r="D216" s="1" t="str">
        <f>IFERROR(__xludf.DUMMYFUNCTION("""COMPUTED_VALUE"""),"Admisión de Alto Rendimiento")</f>
        <v>Admisión de Alto Rendimiento</v>
      </c>
      <c r="E216" s="2">
        <f>IFERROR(__xludf.DUMMYFUNCTION("""COMPUTED_VALUE"""),45626.0)</f>
        <v>45626</v>
      </c>
      <c r="F216" s="1" t="str">
        <f>IFERROR(__xludf.DUMMYFUNCTION("""COMPUTED_VALUE"""),"JAIRO JOAQUIN")</f>
        <v>JAIRO JOAQUIN</v>
      </c>
      <c r="G216" s="1" t="str">
        <f>IFERROR(__xludf.DUMMYFUNCTION("""COMPUTED_VALUE"""),"PAUCAR PONTE")</f>
        <v>PAUCAR PONTE</v>
      </c>
      <c r="H216" s="1" t="str">
        <f>IFERROR(__xludf.DUMMYFUNCTION("""COMPUTED_VALUE"""),"Comunicación Audiovisual y Cine")</f>
        <v>Comunicación Audiovisual y Cine</v>
      </c>
      <c r="I216" s="1" t="str">
        <f>IFERROR(__xludf.DUMMYFUNCTION("""COMPUTED_VALUE"""),"POS")</f>
        <v>POS</v>
      </c>
      <c r="J216" s="1" t="str">
        <f>IFERROR(__xludf.DUMMYFUNCTION("""COMPUTED_VALUE"""),"Diurno")</f>
        <v>Diurno</v>
      </c>
      <c r="K216" s="1" t="str">
        <f>IFERROR(__xludf.DUMMYFUNCTION("""COMPUTED_VALUE"""),"NUEVO")</f>
        <v>NUEVO</v>
      </c>
      <c r="L216" s="1">
        <f>IFERROR(__xludf.DUMMYFUNCTION("""COMPUTED_VALUE"""),0.0)</f>
        <v>0</v>
      </c>
      <c r="M216" s="1">
        <f>IFERROR(__xludf.DUMMYFUNCTION("""COMPUTED_VALUE"""),0.0)</f>
        <v>0</v>
      </c>
      <c r="N216" s="1" t="str">
        <f>IFERROR(__xludf.DUMMYFUNCTION("""COMPUTED_VALUE"""),"BECA")</f>
        <v>BECA</v>
      </c>
      <c r="O216" s="1" t="str">
        <f>IFERROR(__xludf.DUMMYFUNCTION("""COMPUTED_VALUE"""),"BECA DGP")</f>
        <v>BECA DGP</v>
      </c>
      <c r="P216" s="4">
        <f>IFERROR(__xludf.DUMMYFUNCTION("""COMPUTED_VALUE"""),0.0)</f>
        <v>0</v>
      </c>
      <c r="Q216" s="4">
        <f>IFERROR(__xludf.DUMMYFUNCTION("""COMPUTED_VALUE"""),0.0)</f>
        <v>0</v>
      </c>
      <c r="R216" s="4">
        <f>IFERROR(__xludf.DUMMYFUNCTION("""COMPUTED_VALUE"""),1500.0)</f>
        <v>1500</v>
      </c>
      <c r="S216" s="4">
        <f>IFERROR(__xludf.DUMMYFUNCTION("""COMPUTED_VALUE"""),1200.0)</f>
        <v>1200</v>
      </c>
      <c r="T216" s="1" t="str">
        <f>IFERROR(__xludf.DUMMYFUNCTION("""COMPUTED_VALUE"""),"NINGUNO")</f>
        <v>NINGUNO</v>
      </c>
      <c r="U216" s="1" t="str">
        <f>IFERROR(__xludf.DUMMYFUNCTION("""COMPUTED_VALUE"""),"FABIOLA")</f>
        <v>FABIOLA</v>
      </c>
      <c r="V216" s="1" t="str">
        <f>IFERROR(__xludf.DUMMYFUNCTION("""COMPUTED_VALUE"""),"Ninguno")</f>
        <v>Ninguno</v>
      </c>
      <c r="W216" s="1" t="str">
        <f>IFERROR(__xludf.DUMMYFUNCTION("""COMPUTED_VALUE"""),"Bolsa Laboral")</f>
        <v>Bolsa Laboral</v>
      </c>
      <c r="X216" s="1" t="str">
        <f>IFERROR(__xludf.DUMMYFUNCTION("""COMPUTED_VALUE"""),"-")</f>
        <v>-</v>
      </c>
      <c r="Y216" s="1" t="str">
        <f>IFERROR(__xludf.DUMMYFUNCTION("""COMPUTED_VALUE"""),"PAGO COMPLETO")</f>
        <v>PAGO COMPLETO</v>
      </c>
      <c r="Z216" s="1">
        <f>IFERROR(__xludf.DUMMYFUNCTION("""COMPUTED_VALUE"""),0.0)</f>
        <v>0</v>
      </c>
      <c r="AA216" s="1" t="str">
        <f>IFERROR(__xludf.DUMMYFUNCTION("""COMPUTED_VALUE"""),"-")</f>
        <v>-</v>
      </c>
      <c r="AB216" s="1">
        <f>IFERROR(__xludf.DUMMYFUNCTION("""COMPUTED_VALUE"""),0.0)</f>
        <v>0</v>
      </c>
      <c r="AC216" s="1">
        <f>IFERROR(__xludf.DUMMYFUNCTION("""COMPUTED_VALUE"""),0.0)</f>
        <v>0</v>
      </c>
      <c r="AD216" s="1" t="str">
        <f>IFERROR(__xludf.DUMMYFUNCTION("""COMPUTED_VALUE"""),"Daniel Zapata")</f>
        <v>Daniel Zapata</v>
      </c>
      <c r="AE216" s="1" t="str">
        <f>IFERROR(__xludf.DUMMYFUNCTION("""COMPUTED_VALUE"""),"0")</f>
        <v>0</v>
      </c>
      <c r="AF216" s="1">
        <f>IFERROR(__xludf.DUMMYFUNCTION("""COMPUTED_VALUE"""),2024.0)</f>
        <v>2024</v>
      </c>
      <c r="AG216" s="1">
        <f>IFERROR(__xludf.DUMMYFUNCTION("""COMPUTED_VALUE"""),1485523.0)</f>
        <v>1485523</v>
      </c>
      <c r="AH216" s="1">
        <f>IFERROR(__xludf.DUMMYFUNCTION("""COMPUTED_VALUE"""),16.0)</f>
        <v>16</v>
      </c>
      <c r="AI216" s="1" t="str">
        <f>IFERROR(__xludf.DUMMYFUNCTION("""COMPUTED_VALUE"""),"0000402475")</f>
        <v>0000402475</v>
      </c>
      <c r="AJ216" s="1">
        <f>IFERROR(__xludf.DUMMYFUNCTION("""COMPUTED_VALUE"""),7.1191823E7)</f>
        <v>71191823</v>
      </c>
      <c r="AK216" s="1">
        <f>IFERROR(__xludf.DUMMYFUNCTION("""COMPUTED_VALUE"""),9.88350945E8)</f>
        <v>988350945</v>
      </c>
      <c r="AL216" s="1" t="str">
        <f>IFERROR(__xludf.DUMMYFUNCTION("""COMPUTED_VALUE"""),"jppj1564@gmail.com")</f>
        <v>jppj1564@gmail.com</v>
      </c>
      <c r="AM216" s="1" t="str">
        <f>IFERROR(__xludf.DUMMYFUNCTION("""COMPUTED_VALUE"""),"MASCULINO")</f>
        <v>MASCULINO</v>
      </c>
      <c r="AN216" s="1">
        <f>IFERROR(__xludf.DUMMYFUNCTION("""COMPUTED_VALUE"""),1775.0)</f>
        <v>1775</v>
      </c>
      <c r="AO216" s="1">
        <f>IFERROR(__xludf.DUMMYFUNCTION("""COMPUTED_VALUE"""),420.0)</f>
        <v>420</v>
      </c>
      <c r="AP216" s="1" t="str">
        <f>IFERROR(__xludf.DUMMYFUNCTION("""COMPUTED_VALUE"""),"BIDIRECCIONAL")</f>
        <v>BIDIRECCIONAL</v>
      </c>
      <c r="AQ216" s="1" t="str">
        <f>IFERROR(__xludf.DUMMYFUNCTION("""COMPUTED_VALUE"""),"SEARCH MARCA")</f>
        <v>SEARCH MARCA</v>
      </c>
      <c r="AR216" s="1" t="str">
        <f>IFERROR(__xludf.DUMMYFUNCTION("""COMPUTED_VALUE"""),"HEREDADO")</f>
        <v>HEREDADO</v>
      </c>
      <c r="AS216" s="1" t="str">
        <f>IFERROR(__xludf.DUMMYFUNCTION("""COMPUTED_VALUE"""),"ucal-pg-performance-sedes-abierta-cpl-search_conversion_marca-20240401")</f>
        <v>ucal-pg-performance-sedes-abierta-cpl-search_conversion_marca-20240401</v>
      </c>
      <c r="AT216" s="2">
        <f>IFERROR(__xludf.DUMMYFUNCTION("""COMPUTED_VALUE"""),45606.0)</f>
        <v>45606</v>
      </c>
      <c r="AU216" s="1">
        <f>IFERROR(__xludf.DUMMYFUNCTION("""COMPUTED_VALUE"""),1.0)</f>
        <v>1</v>
      </c>
      <c r="AV216" s="1" t="str">
        <f>IFERROR(__xludf.DUMMYFUNCTION("""COMPUTED_VALUE"""),"NUEVO")</f>
        <v>NUEVO</v>
      </c>
      <c r="AW216" s="1" t="str">
        <f>IFERROR(__xludf.DUMMYFUNCTION("""COMPUTED_VALUE"""),"SI")</f>
        <v>SI</v>
      </c>
      <c r="AX216" s="1"/>
      <c r="AY216" s="1" t="str">
        <f>IFERROR(__xludf.DUMMYFUNCTION("""COMPUTED_VALUE"""),"PAGO COMPLETO")</f>
        <v>PAGO COMPLETO</v>
      </c>
      <c r="AZ216" s="5">
        <f>IFERROR(__xludf.DUMMYFUNCTION("""COMPUTED_VALUE"""),45626.0)</f>
        <v>45626</v>
      </c>
      <c r="BA216" s="1">
        <f>IFERROR(__xludf.DUMMYFUNCTION("""COMPUTED_VALUE"""),0.0)</f>
        <v>0</v>
      </c>
      <c r="BB216" s="1">
        <f>IFERROR(__xludf.DUMMYFUNCTION("""COMPUTED_VALUE"""),0.0)</f>
        <v>0</v>
      </c>
      <c r="BC216" s="4">
        <f>IFERROR(__xludf.DUMMYFUNCTION("""COMPUTED_VALUE"""),0.0)</f>
        <v>0</v>
      </c>
      <c r="BD216" s="4">
        <f>IFERROR(__xludf.DUMMYFUNCTION("""COMPUTED_VALUE"""),0.0)</f>
        <v>0</v>
      </c>
      <c r="BE216" s="1">
        <f>IFERROR(__xludf.DUMMYFUNCTION("""COMPUTED_VALUE"""),11.0)</f>
        <v>11</v>
      </c>
      <c r="BF216" s="6">
        <f>IFERROR(__xludf.DUMMYFUNCTION("""COMPUTED_VALUE"""),1.0)</f>
        <v>1</v>
      </c>
      <c r="BG216" s="1">
        <f>IFERROR(__xludf.DUMMYFUNCTION("""COMPUTED_VALUE"""),1.0)</f>
        <v>1</v>
      </c>
      <c r="BH216" s="1" t="str">
        <f>IFERROR(__xludf.DUMMYFUNCTION("""COMPUTED_VALUE"""),"0")</f>
        <v>0</v>
      </c>
      <c r="BI216" s="4">
        <f>IFERROR(__xludf.DUMMYFUNCTION("""COMPUTED_VALUE"""),0.0)</f>
        <v>0</v>
      </c>
      <c r="BJ216" s="1">
        <f>IFERROR(__xludf.DUMMYFUNCTION("""COMPUTED_VALUE"""),0.0)</f>
        <v>0</v>
      </c>
      <c r="BK216" s="4">
        <f>IFERROR(__xludf.DUMMYFUNCTION("""COMPUTED_VALUE"""),0.0)</f>
        <v>0</v>
      </c>
      <c r="BL216" s="1">
        <f>IFERROR(__xludf.DUMMYFUNCTION("""COMPUTED_VALUE"""),1200.0)</f>
        <v>1200</v>
      </c>
      <c r="BM216" s="1">
        <f>IFERROR(__xludf.DUMMYFUNCTION("""COMPUTED_VALUE"""),48.0)</f>
        <v>48</v>
      </c>
      <c r="BN216" s="2">
        <f>IFERROR(__xludf.DUMMYFUNCTION("""COMPUTED_VALUE"""),45621.0)</f>
        <v>45621</v>
      </c>
      <c r="BO216" s="1">
        <f>IFERROR(__xludf.DUMMYFUNCTION("""COMPUTED_VALUE"""),11.0)</f>
        <v>11</v>
      </c>
      <c r="BP216" s="1">
        <f>IFERROR(__xludf.DUMMYFUNCTION("""COMPUTED_VALUE"""),2024.0)</f>
        <v>2024</v>
      </c>
    </row>
    <row r="217">
      <c r="A217" s="1">
        <f>IFERROR(__xludf.DUMMYFUNCTION("""COMPUTED_VALUE"""),216.0)</f>
        <v>216</v>
      </c>
      <c r="B217" s="1">
        <f>IFERROR(__xludf.DUMMYFUNCTION("""COMPUTED_VALUE"""),2303475.0)</f>
        <v>2303475</v>
      </c>
      <c r="C217" s="1" t="str">
        <f>IFERROR(__xludf.DUMMYFUNCTION("""COMPUTED_VALUE"""),"2025-1")</f>
        <v>2025-1</v>
      </c>
      <c r="D217" s="1" t="str">
        <f>IFERROR(__xludf.DUMMYFUNCTION("""COMPUTED_VALUE"""),"Admisión de Alto Rendimiento")</f>
        <v>Admisión de Alto Rendimiento</v>
      </c>
      <c r="E217" s="2">
        <f>IFERROR(__xludf.DUMMYFUNCTION("""COMPUTED_VALUE"""),45626.0)</f>
        <v>45626</v>
      </c>
      <c r="F217" s="1" t="str">
        <f>IFERROR(__xludf.DUMMYFUNCTION("""COMPUTED_VALUE"""),"OSKAR JAVIER ")</f>
        <v>OSKAR JAVIER </v>
      </c>
      <c r="G217" s="1" t="str">
        <f>IFERROR(__xludf.DUMMYFUNCTION("""COMPUTED_VALUE"""),"LEÓN PRADO")</f>
        <v>LEÓN PRADO</v>
      </c>
      <c r="H217" s="1" t="str">
        <f>IFERROR(__xludf.DUMMYFUNCTION("""COMPUTED_VALUE"""),"Comunicación Audiovisual y Cine")</f>
        <v>Comunicación Audiovisual y Cine</v>
      </c>
      <c r="I217" s="1" t="str">
        <f>IFERROR(__xludf.DUMMYFUNCTION("""COMPUTED_VALUE"""),"POS")</f>
        <v>POS</v>
      </c>
      <c r="J217" s="1" t="str">
        <f>IFERROR(__xludf.DUMMYFUNCTION("""COMPUTED_VALUE"""),"Diurno")</f>
        <v>Diurno</v>
      </c>
      <c r="K217" s="1" t="str">
        <f>IFERROR(__xludf.DUMMYFUNCTION("""COMPUTED_VALUE"""),"NUEVO")</f>
        <v>NUEVO</v>
      </c>
      <c r="L217" s="1">
        <f>IFERROR(__xludf.DUMMYFUNCTION("""COMPUTED_VALUE"""),0.0)</f>
        <v>0</v>
      </c>
      <c r="M217" s="1">
        <f>IFERROR(__xludf.DUMMYFUNCTION("""COMPUTED_VALUE"""),0.0)</f>
        <v>0</v>
      </c>
      <c r="N217" s="1" t="str">
        <f>IFERROR(__xludf.DUMMYFUNCTION("""COMPUTED_VALUE"""),"RECA")</f>
        <v>RECA</v>
      </c>
      <c r="O217" s="1" t="str">
        <f>IFERROR(__xludf.DUMMYFUNCTION("""COMPUTED_VALUE"""),"RECATEGORIZACIÓN")</f>
        <v>RECATEGORIZACIÓN</v>
      </c>
      <c r="P217" s="4">
        <f>IFERROR(__xludf.DUMMYFUNCTION("""COMPUTED_VALUE"""),0.0)</f>
        <v>0</v>
      </c>
      <c r="Q217" s="4">
        <f>IFERROR(__xludf.DUMMYFUNCTION("""COMPUTED_VALUE"""),0.0)</f>
        <v>0</v>
      </c>
      <c r="R217" s="4">
        <f>IFERROR(__xludf.DUMMYFUNCTION("""COMPUTED_VALUE"""),1600.0)</f>
        <v>1600</v>
      </c>
      <c r="S217" s="4">
        <f>IFERROR(__xludf.DUMMYFUNCTION("""COMPUTED_VALUE"""),1150.0)</f>
        <v>1150</v>
      </c>
      <c r="T217" s="1" t="str">
        <f>IFERROR(__xludf.DUMMYFUNCTION("""COMPUTED_VALUE"""),"NINGUNO")</f>
        <v>NINGUNO</v>
      </c>
      <c r="U217" s="1" t="str">
        <f>IFERROR(__xludf.DUMMYFUNCTION("""COMPUTED_VALUE"""),"SEBAS Y RODRI")</f>
        <v>SEBAS Y RODRI</v>
      </c>
      <c r="V217" s="1" t="str">
        <f>IFERROR(__xludf.DUMMYFUNCTION("""COMPUTED_VALUE"""),"Ninguno")</f>
        <v>Ninguno</v>
      </c>
      <c r="W217" s="1" t="str">
        <f>IFERROR(__xludf.DUMMYFUNCTION("""COMPUTED_VALUE"""),"Metodología de enseñanza")</f>
        <v>Metodología de enseñanza</v>
      </c>
      <c r="X217" s="1" t="str">
        <f>IFERROR(__xludf.DUMMYFUNCTION("""COMPUTED_VALUE"""),"METODOLOGIA")</f>
        <v>METODOLOGIA</v>
      </c>
      <c r="Y217" s="1" t="str">
        <f>IFERROR(__xludf.DUMMYFUNCTION("""COMPUTED_VALUE"""),"PAGO COMPLETO")</f>
        <v>PAGO COMPLETO</v>
      </c>
      <c r="Z217" s="1">
        <f>IFERROR(__xludf.DUMMYFUNCTION("""COMPUTED_VALUE"""),0.0)</f>
        <v>0</v>
      </c>
      <c r="AA217" s="1" t="str">
        <f>IFERROR(__xludf.DUMMYFUNCTION("""COMPUTED_VALUE"""),"-")</f>
        <v>-</v>
      </c>
      <c r="AB217" s="1">
        <f>IFERROR(__xludf.DUMMYFUNCTION("""COMPUTED_VALUE"""),0.0)</f>
        <v>0</v>
      </c>
      <c r="AC217" s="1">
        <f>IFERROR(__xludf.DUMMYFUNCTION("""COMPUTED_VALUE"""),0.0)</f>
        <v>0</v>
      </c>
      <c r="AD217" s="1" t="str">
        <f>IFERROR(__xludf.DUMMYFUNCTION("""COMPUTED_VALUE"""),"Cinthia Mariella Orosco")</f>
        <v>Cinthia Mariella Orosco</v>
      </c>
      <c r="AE217" s="1" t="str">
        <f>IFERROR(__xludf.DUMMYFUNCTION("""COMPUTED_VALUE"""),"0")</f>
        <v>0</v>
      </c>
      <c r="AF217" s="1">
        <f>IFERROR(__xludf.DUMMYFUNCTION("""COMPUTED_VALUE"""),2024.0)</f>
        <v>2024</v>
      </c>
      <c r="AG217" s="1">
        <f>IFERROR(__xludf.DUMMYFUNCTION("""COMPUTED_VALUE"""),1464627.0)</f>
        <v>1464627</v>
      </c>
      <c r="AH217" s="1">
        <f>IFERROR(__xludf.DUMMYFUNCTION("""COMPUTED_VALUE"""),17.0)</f>
        <v>17</v>
      </c>
      <c r="AI217" s="1" t="str">
        <f>IFERROR(__xludf.DUMMYFUNCTION("""COMPUTED_VALUE"""),"0000402416")</f>
        <v>0000402416</v>
      </c>
      <c r="AJ217" s="1">
        <f>IFERROR(__xludf.DUMMYFUNCTION("""COMPUTED_VALUE"""),6.1136822E7)</f>
        <v>61136822</v>
      </c>
      <c r="AK217" s="1">
        <f>IFERROR(__xludf.DUMMYFUNCTION("""COMPUTED_VALUE"""),9.02092917E8)</f>
        <v>902092917</v>
      </c>
      <c r="AL217" s="1" t="str">
        <f>IFERROR(__xludf.DUMMYFUNCTION("""COMPUTED_VALUE"""),"oskarleonprado38@gmail.com")</f>
        <v>oskarleonprado38@gmail.com</v>
      </c>
      <c r="AM217" s="1" t="str">
        <f>IFERROR(__xludf.DUMMYFUNCTION("""COMPUTED_VALUE"""),"MASCULINO")</f>
        <v>MASCULINO</v>
      </c>
      <c r="AN217" s="1">
        <f>IFERROR(__xludf.DUMMYFUNCTION("""COMPUTED_VALUE"""),1600.0)</f>
        <v>1600</v>
      </c>
      <c r="AO217" s="1">
        <f>IFERROR(__xludf.DUMMYFUNCTION("""COMPUTED_VALUE"""),220.0)</f>
        <v>220</v>
      </c>
      <c r="AP217" s="1" t="str">
        <f>IFERROR(__xludf.DUMMYFUNCTION("""COMPUTED_VALUE"""),"OUTBOUND")</f>
        <v>OUTBOUND</v>
      </c>
      <c r="AQ217" s="1" t="str">
        <f>IFERROR(__xludf.DUMMYFUNCTION("""COMPUTED_VALUE"""),"OUTBOUND")</f>
        <v>OUTBOUND</v>
      </c>
      <c r="AR217" s="1" t="str">
        <f>IFERROR(__xludf.DUMMYFUNCTION("""COMPUTED_VALUE"""),"NUEVO")</f>
        <v>NUEVO</v>
      </c>
      <c r="AS217" s="1"/>
      <c r="AT217" s="2">
        <f>IFERROR(__xludf.DUMMYFUNCTION("""COMPUTED_VALUE"""),45625.0)</f>
        <v>45625</v>
      </c>
      <c r="AU217" s="1">
        <f>IFERROR(__xludf.DUMMYFUNCTION("""COMPUTED_VALUE"""),1.0)</f>
        <v>1</v>
      </c>
      <c r="AV217" s="1" t="str">
        <f>IFERROR(__xludf.DUMMYFUNCTION("""COMPUTED_VALUE"""),"NUEVO")</f>
        <v>NUEVO</v>
      </c>
      <c r="AW217" s="1" t="str">
        <f>IFERROR(__xludf.DUMMYFUNCTION("""COMPUTED_VALUE"""),"SI")</f>
        <v>SI</v>
      </c>
      <c r="AX217" s="1"/>
      <c r="AY217" s="1" t="str">
        <f>IFERROR(__xludf.DUMMYFUNCTION("""COMPUTED_VALUE"""),"PAGO COMPLETO")</f>
        <v>PAGO COMPLETO</v>
      </c>
      <c r="AZ217" s="5">
        <f>IFERROR(__xludf.DUMMYFUNCTION("""COMPUTED_VALUE"""),45626.0)</f>
        <v>45626</v>
      </c>
      <c r="BA217" s="1">
        <f>IFERROR(__xludf.DUMMYFUNCTION("""COMPUTED_VALUE"""),0.0)</f>
        <v>0</v>
      </c>
      <c r="BB217" s="1">
        <f>IFERROR(__xludf.DUMMYFUNCTION("""COMPUTED_VALUE"""),0.0)</f>
        <v>0</v>
      </c>
      <c r="BC217" s="4">
        <f>IFERROR(__xludf.DUMMYFUNCTION("""COMPUTED_VALUE"""),0.0)</f>
        <v>0</v>
      </c>
      <c r="BD217" s="4">
        <f>IFERROR(__xludf.DUMMYFUNCTION("""COMPUTED_VALUE"""),0.0)</f>
        <v>0</v>
      </c>
      <c r="BE217" s="1">
        <f>IFERROR(__xludf.DUMMYFUNCTION("""COMPUTED_VALUE"""),11.0)</f>
        <v>11</v>
      </c>
      <c r="BF217" s="6">
        <f>IFERROR(__xludf.DUMMYFUNCTION("""COMPUTED_VALUE"""),1.0)</f>
        <v>1</v>
      </c>
      <c r="BG217" s="1">
        <f>IFERROR(__xludf.DUMMYFUNCTION("""COMPUTED_VALUE"""),1.0)</f>
        <v>1</v>
      </c>
      <c r="BH217" s="1" t="str">
        <f>IFERROR(__xludf.DUMMYFUNCTION("""COMPUTED_VALUE"""),"0")</f>
        <v>0</v>
      </c>
      <c r="BI217" s="4">
        <f>IFERROR(__xludf.DUMMYFUNCTION("""COMPUTED_VALUE"""),0.0)</f>
        <v>0</v>
      </c>
      <c r="BJ217" s="1">
        <f>IFERROR(__xludf.DUMMYFUNCTION("""COMPUTED_VALUE"""),0.0)</f>
        <v>0</v>
      </c>
      <c r="BK217" s="4">
        <f>IFERROR(__xludf.DUMMYFUNCTION("""COMPUTED_VALUE"""),0.0)</f>
        <v>0</v>
      </c>
      <c r="BL217" s="1">
        <f>IFERROR(__xludf.DUMMYFUNCTION("""COMPUTED_VALUE"""),1150.0)</f>
        <v>1150</v>
      </c>
      <c r="BM217" s="1">
        <f>IFERROR(__xludf.DUMMYFUNCTION("""COMPUTED_VALUE"""),48.0)</f>
        <v>48</v>
      </c>
      <c r="BN217" s="2">
        <f>IFERROR(__xludf.DUMMYFUNCTION("""COMPUTED_VALUE"""),45621.0)</f>
        <v>45621</v>
      </c>
      <c r="BO217" s="1">
        <f>IFERROR(__xludf.DUMMYFUNCTION("""COMPUTED_VALUE"""),11.0)</f>
        <v>11</v>
      </c>
      <c r="BP217" s="1">
        <f>IFERROR(__xludf.DUMMYFUNCTION("""COMPUTED_VALUE"""),2024.0)</f>
        <v>2024</v>
      </c>
    </row>
    <row r="218">
      <c r="A218" s="1">
        <f>IFERROR(__xludf.DUMMYFUNCTION("""COMPUTED_VALUE"""),217.0)</f>
        <v>217</v>
      </c>
      <c r="B218" s="1">
        <f>IFERROR(__xludf.DUMMYFUNCTION("""COMPUTED_VALUE"""),4835672.0)</f>
        <v>4835672</v>
      </c>
      <c r="C218" s="1" t="str">
        <f>IFERROR(__xludf.DUMMYFUNCTION("""COMPUTED_VALUE"""),"2025-1")</f>
        <v>2025-1</v>
      </c>
      <c r="D218" s="1" t="str">
        <f>IFERROR(__xludf.DUMMYFUNCTION("""COMPUTED_VALUE"""),"Admisión de Alto Rendimiento")</f>
        <v>Admisión de Alto Rendimiento</v>
      </c>
      <c r="E218" s="2">
        <f>IFERROR(__xludf.DUMMYFUNCTION("""COMPUTED_VALUE"""),45626.0)</f>
        <v>45626</v>
      </c>
      <c r="F218" s="1" t="str">
        <f>IFERROR(__xludf.DUMMYFUNCTION("""COMPUTED_VALUE"""),"NATALY BRIGGITH ")</f>
        <v>NATALY BRIGGITH </v>
      </c>
      <c r="G218" s="1" t="str">
        <f>IFERROR(__xludf.DUMMYFUNCTION("""COMPUTED_VALUE"""),"VILLANUEVA VALDEZ")</f>
        <v>VILLANUEVA VALDEZ</v>
      </c>
      <c r="H218" s="1" t="str">
        <f>IFERROR(__xludf.DUMMYFUNCTION("""COMPUTED_VALUE"""),"Comunicación Audiovisual y Cine")</f>
        <v>Comunicación Audiovisual y Cine</v>
      </c>
      <c r="I218" s="1" t="str">
        <f>IFERROR(__xludf.DUMMYFUNCTION("""COMPUTED_VALUE"""),"CARGO")</f>
        <v>CARGO</v>
      </c>
      <c r="J218" s="1" t="str">
        <f>IFERROR(__xludf.DUMMYFUNCTION("""COMPUTED_VALUE"""),"Diurno")</f>
        <v>Diurno</v>
      </c>
      <c r="K218" s="1" t="str">
        <f>IFERROR(__xludf.DUMMYFUNCTION("""COMPUTED_VALUE"""),"NUEVO")</f>
        <v>NUEVO</v>
      </c>
      <c r="L218" s="1">
        <f>IFERROR(__xludf.DUMMYFUNCTION("""COMPUTED_VALUE"""),0.0)</f>
        <v>0</v>
      </c>
      <c r="M218" s="1">
        <f>IFERROR(__xludf.DUMMYFUNCTION("""COMPUTED_VALUE"""),0.0)</f>
        <v>0</v>
      </c>
      <c r="N218" s="1" t="str">
        <f>IFERROR(__xludf.DUMMYFUNCTION("""COMPUTED_VALUE"""),"BECA")</f>
        <v>BECA</v>
      </c>
      <c r="O218" s="1" t="str">
        <f>IFERROR(__xludf.DUMMYFUNCTION("""COMPUTED_VALUE"""),"BECA CARRERAS CORE")</f>
        <v>BECA CARRERAS CORE</v>
      </c>
      <c r="P218" s="4">
        <f>IFERROR(__xludf.DUMMYFUNCTION("""COMPUTED_VALUE"""),0.0)</f>
        <v>0</v>
      </c>
      <c r="Q218" s="4">
        <f>IFERROR(__xludf.DUMMYFUNCTION("""COMPUTED_VALUE"""),0.0)</f>
        <v>0</v>
      </c>
      <c r="R218" s="4">
        <f>IFERROR(__xludf.DUMMYFUNCTION("""COMPUTED_VALUE"""),1150.0)</f>
        <v>1150</v>
      </c>
      <c r="S218" s="4">
        <f>IFERROR(__xludf.DUMMYFUNCTION("""COMPUTED_VALUE"""),1000.0)</f>
        <v>1000</v>
      </c>
      <c r="T218" s="1" t="str">
        <f>IFERROR(__xludf.DUMMYFUNCTION("""COMPUTED_VALUE"""),"NINGUNO")</f>
        <v>NINGUNO</v>
      </c>
      <c r="U218" s="1" t="str">
        <f>IFERROR(__xludf.DUMMYFUNCTION("""COMPUTED_VALUE"""),"FABIOLA")</f>
        <v>FABIOLA</v>
      </c>
      <c r="V218" s="1" t="str">
        <f>IFERROR(__xludf.DUMMYFUNCTION("""COMPUTED_VALUE"""),"Ninguno")</f>
        <v>Ninguno</v>
      </c>
      <c r="W218" s="1" t="str">
        <f>IFERROR(__xludf.DUMMYFUNCTION("""COMPUTED_VALUE"""),"Malla curricular")</f>
        <v>Malla curricular</v>
      </c>
      <c r="X218" s="1" t="str">
        <f>IFERROR(__xludf.DUMMYFUNCTION("""COMPUTED_VALUE"""),"le gusta la malla curricular y que seamos la unica universidad que tiene cine")</f>
        <v>le gusta la malla curricular y que seamos la unica universidad que tiene cine</v>
      </c>
      <c r="Y218" s="1" t="str">
        <f>IFERROR(__xludf.DUMMYFUNCTION("""COMPUTED_VALUE"""),"PAGO COMPLETO")</f>
        <v>PAGO COMPLETO</v>
      </c>
      <c r="Z218" s="1">
        <f>IFERROR(__xludf.DUMMYFUNCTION("""COMPUTED_VALUE"""),0.0)</f>
        <v>0</v>
      </c>
      <c r="AA218" s="1" t="str">
        <f>IFERROR(__xludf.DUMMYFUNCTION("""COMPUTED_VALUE"""),"-")</f>
        <v>-</v>
      </c>
      <c r="AB218" s="1">
        <f>IFERROR(__xludf.DUMMYFUNCTION("""COMPUTED_VALUE"""),0.0)</f>
        <v>0</v>
      </c>
      <c r="AC218" s="1">
        <f>IFERROR(__xludf.DUMMYFUNCTION("""COMPUTED_VALUE"""),0.0)</f>
        <v>0</v>
      </c>
      <c r="AD218" s="1" t="str">
        <f>IFERROR(__xludf.DUMMYFUNCTION("""COMPUTED_VALUE"""),"Cinthia Mariella Orosco")</f>
        <v>Cinthia Mariella Orosco</v>
      </c>
      <c r="AE218" s="1" t="str">
        <f>IFERROR(__xludf.DUMMYFUNCTION("""COMPUTED_VALUE"""),"0")</f>
        <v>0</v>
      </c>
      <c r="AF218" s="1">
        <f>IFERROR(__xludf.DUMMYFUNCTION("""COMPUTED_VALUE"""),2024.0)</f>
        <v>2024</v>
      </c>
      <c r="AG218" s="1">
        <f>IFERROR(__xludf.DUMMYFUNCTION("""COMPUTED_VALUE"""),544130.0)</f>
        <v>544130</v>
      </c>
      <c r="AH218" s="1">
        <f>IFERROR(__xludf.DUMMYFUNCTION("""COMPUTED_VALUE"""),17.0)</f>
        <v>17</v>
      </c>
      <c r="AI218" s="1" t="str">
        <f>IFERROR(__xludf.DUMMYFUNCTION("""COMPUTED_VALUE"""),"0000040165")</f>
        <v>0000040165</v>
      </c>
      <c r="AJ218" s="1">
        <f>IFERROR(__xludf.DUMMYFUNCTION("""COMPUTED_VALUE"""),6.1154861E7)</f>
        <v>61154861</v>
      </c>
      <c r="AK218" s="1">
        <f>IFERROR(__xludf.DUMMYFUNCTION("""COMPUTED_VALUE"""),9.24333417E8)</f>
        <v>924333417</v>
      </c>
      <c r="AL218" s="1" t="str">
        <f>IFERROR(__xludf.DUMMYFUNCTION("""COMPUTED_VALUE"""),"natalybrigi15@gmail.com")</f>
        <v>natalybrigi15@gmail.com</v>
      </c>
      <c r="AM218" s="1" t="str">
        <f>IFERROR(__xludf.DUMMYFUNCTION("""COMPUTED_VALUE"""),"FEMENINO")</f>
        <v>FEMENINO</v>
      </c>
      <c r="AN218" s="1">
        <f>IFERROR(__xludf.DUMMYFUNCTION("""COMPUTED_VALUE"""),1350.0)</f>
        <v>1350</v>
      </c>
      <c r="AO218" s="1">
        <f>IFERROR(__xludf.DUMMYFUNCTION("""COMPUTED_VALUE"""),0.0)</f>
        <v>0</v>
      </c>
      <c r="AP218" s="1" t="str">
        <f>IFERROR(__xludf.DUMMYFUNCTION("""COMPUTED_VALUE"""),"OUTBOUND")</f>
        <v>OUTBOUND</v>
      </c>
      <c r="AQ218" s="1" t="str">
        <f>IFERROR(__xludf.DUMMYFUNCTION("""COMPUTED_VALUE"""),"OUTBOUND")</f>
        <v>OUTBOUND</v>
      </c>
      <c r="AR218" s="1" t="str">
        <f>IFERROR(__xludf.DUMMYFUNCTION("""COMPUTED_VALUE"""),"NUEVO")</f>
        <v>NUEVO</v>
      </c>
      <c r="AS218" s="1"/>
      <c r="AT218" s="2">
        <f>IFERROR(__xludf.DUMMYFUNCTION("""COMPUTED_VALUE"""),45625.0)</f>
        <v>45625</v>
      </c>
      <c r="AU218" s="1">
        <f>IFERROR(__xludf.DUMMYFUNCTION("""COMPUTED_VALUE"""),1.0)</f>
        <v>1</v>
      </c>
      <c r="AV218" s="1" t="str">
        <f>IFERROR(__xludf.DUMMYFUNCTION("""COMPUTED_VALUE"""),"NUEVO")</f>
        <v>NUEVO</v>
      </c>
      <c r="AW218" s="1" t="str">
        <f>IFERROR(__xludf.DUMMYFUNCTION("""COMPUTED_VALUE"""),"SI")</f>
        <v>SI</v>
      </c>
      <c r="AX218" s="1"/>
      <c r="AY218" s="1" t="str">
        <f>IFERROR(__xludf.DUMMYFUNCTION("""COMPUTED_VALUE"""),"PAGO COMPLETO")</f>
        <v>PAGO COMPLETO</v>
      </c>
      <c r="AZ218" s="5">
        <f>IFERROR(__xludf.DUMMYFUNCTION("""COMPUTED_VALUE"""),45626.0)</f>
        <v>45626</v>
      </c>
      <c r="BA218" s="1">
        <f>IFERROR(__xludf.DUMMYFUNCTION("""COMPUTED_VALUE"""),0.0)</f>
        <v>0</v>
      </c>
      <c r="BB218" s="1">
        <f>IFERROR(__xludf.DUMMYFUNCTION("""COMPUTED_VALUE"""),0.0)</f>
        <v>0</v>
      </c>
      <c r="BC218" s="4">
        <f>IFERROR(__xludf.DUMMYFUNCTION("""COMPUTED_VALUE"""),0.0)</f>
        <v>0</v>
      </c>
      <c r="BD218" s="4">
        <f>IFERROR(__xludf.DUMMYFUNCTION("""COMPUTED_VALUE"""),0.0)</f>
        <v>0</v>
      </c>
      <c r="BE218" s="1">
        <f>IFERROR(__xludf.DUMMYFUNCTION("""COMPUTED_VALUE"""),11.0)</f>
        <v>11</v>
      </c>
      <c r="BF218" s="6">
        <f>IFERROR(__xludf.DUMMYFUNCTION("""COMPUTED_VALUE"""),1.0)</f>
        <v>1</v>
      </c>
      <c r="BG218" s="1">
        <f>IFERROR(__xludf.DUMMYFUNCTION("""COMPUTED_VALUE"""),1.0)</f>
        <v>1</v>
      </c>
      <c r="BH218" s="1" t="str">
        <f>IFERROR(__xludf.DUMMYFUNCTION("""COMPUTED_VALUE"""),"0")</f>
        <v>0</v>
      </c>
      <c r="BI218" s="4">
        <f>IFERROR(__xludf.DUMMYFUNCTION("""COMPUTED_VALUE"""),0.0)</f>
        <v>0</v>
      </c>
      <c r="BJ218" s="1">
        <f>IFERROR(__xludf.DUMMYFUNCTION("""COMPUTED_VALUE"""),0.0)</f>
        <v>0</v>
      </c>
      <c r="BK218" s="4">
        <f>IFERROR(__xludf.DUMMYFUNCTION("""COMPUTED_VALUE"""),0.0)</f>
        <v>0</v>
      </c>
      <c r="BL218" s="1">
        <f>IFERROR(__xludf.DUMMYFUNCTION("""COMPUTED_VALUE"""),1000.0)</f>
        <v>1000</v>
      </c>
      <c r="BM218" s="1">
        <f>IFERROR(__xludf.DUMMYFUNCTION("""COMPUTED_VALUE"""),48.0)</f>
        <v>48</v>
      </c>
      <c r="BN218" s="2">
        <f>IFERROR(__xludf.DUMMYFUNCTION("""COMPUTED_VALUE"""),45621.0)</f>
        <v>45621</v>
      </c>
      <c r="BO218" s="1">
        <f>IFERROR(__xludf.DUMMYFUNCTION("""COMPUTED_VALUE"""),11.0)</f>
        <v>11</v>
      </c>
      <c r="BP218" s="1">
        <f>IFERROR(__xludf.DUMMYFUNCTION("""COMPUTED_VALUE"""),2024.0)</f>
        <v>2024</v>
      </c>
    </row>
    <row r="219">
      <c r="A219" s="1">
        <f>IFERROR(__xludf.DUMMYFUNCTION("""COMPUTED_VALUE"""),218.0)</f>
        <v>218</v>
      </c>
      <c r="B219" s="1">
        <f>IFERROR(__xludf.DUMMYFUNCTION("""COMPUTED_VALUE"""),4743396.0)</f>
        <v>4743396</v>
      </c>
      <c r="C219" s="1" t="str">
        <f>IFERROR(__xludf.DUMMYFUNCTION("""COMPUTED_VALUE"""),"2025-1")</f>
        <v>2025-1</v>
      </c>
      <c r="D219" s="1" t="str">
        <f>IFERROR(__xludf.DUMMYFUNCTION("""COMPUTED_VALUE"""),"Admisión de Alto Rendimiento")</f>
        <v>Admisión de Alto Rendimiento</v>
      </c>
      <c r="E219" s="2">
        <f>IFERROR(__xludf.DUMMYFUNCTION("""COMPUTED_VALUE"""),45626.0)</f>
        <v>45626</v>
      </c>
      <c r="F219" s="1" t="str">
        <f>IFERROR(__xludf.DUMMYFUNCTION("""COMPUTED_VALUE"""),"CRISTIANO ")</f>
        <v>CRISTIANO </v>
      </c>
      <c r="G219" s="1" t="str">
        <f>IFERROR(__xludf.DUMMYFUNCTION("""COMPUTED_VALUE"""),"ORIHUELA MENDOZA")</f>
        <v>ORIHUELA MENDOZA</v>
      </c>
      <c r="H219" s="1" t="str">
        <f>IFERROR(__xludf.DUMMYFUNCTION("""COMPUTED_VALUE"""),"Diseño Gráfico Publicitario")</f>
        <v>Diseño Gráfico Publicitario</v>
      </c>
      <c r="I219" s="1" t="str">
        <f>IFERROR(__xludf.DUMMYFUNCTION("""COMPUTED_VALUE"""),"POS")</f>
        <v>POS</v>
      </c>
      <c r="J219" s="1" t="str">
        <f>IFERROR(__xludf.DUMMYFUNCTION("""COMPUTED_VALUE"""),"Diurno")</f>
        <v>Diurno</v>
      </c>
      <c r="K219" s="1" t="str">
        <f>IFERROR(__xludf.DUMMYFUNCTION("""COMPUTED_VALUE"""),"NUEVO")</f>
        <v>NUEVO</v>
      </c>
      <c r="L219" s="1">
        <f>IFERROR(__xludf.DUMMYFUNCTION("""COMPUTED_VALUE"""),0.0)</f>
        <v>0</v>
      </c>
      <c r="M219" s="1">
        <f>IFERROR(__xludf.DUMMYFUNCTION("""COMPUTED_VALUE"""),0.0)</f>
        <v>0</v>
      </c>
      <c r="N219" s="1" t="str">
        <f>IFERROR(__xludf.DUMMYFUNCTION("""COMPUTED_VALUE"""),"BECA")</f>
        <v>BECA</v>
      </c>
      <c r="O219" s="1" t="str">
        <f>IFERROR(__xludf.DUMMYFUNCTION("""COMPUTED_VALUE"""),"BECA CARRERAS CORE")</f>
        <v>BECA CARRERAS CORE</v>
      </c>
      <c r="P219" s="4">
        <f>IFERROR(__xludf.DUMMYFUNCTION("""COMPUTED_VALUE"""),0.0)</f>
        <v>0</v>
      </c>
      <c r="Q219" s="4">
        <f>IFERROR(__xludf.DUMMYFUNCTION("""COMPUTED_VALUE"""),0.0)</f>
        <v>0</v>
      </c>
      <c r="R219" s="4">
        <f>IFERROR(__xludf.DUMMYFUNCTION("""COMPUTED_VALUE"""),1050.0)</f>
        <v>1050</v>
      </c>
      <c r="S219" s="4">
        <f>IFERROR(__xludf.DUMMYFUNCTION("""COMPUTED_VALUE"""),850.0)</f>
        <v>850</v>
      </c>
      <c r="T219" s="1" t="str">
        <f>IFERROR(__xludf.DUMMYFUNCTION("""COMPUTED_VALUE"""),"Visita Guiada")</f>
        <v>Visita Guiada</v>
      </c>
      <c r="U219" s="1" t="str">
        <f>IFERROR(__xludf.DUMMYFUNCTION("""COMPUTED_VALUE"""),"FABIOLA")</f>
        <v>FABIOLA</v>
      </c>
      <c r="V219" s="1" t="str">
        <f>IFERROR(__xludf.DUMMYFUNCTION("""COMPUTED_VALUE"""),"Ninguno")</f>
        <v>Ninguno</v>
      </c>
      <c r="W219" s="1" t="str">
        <f>IFERROR(__xludf.DUMMYFUNCTION("""COMPUTED_VALUE"""),"Metodología de enseñanza")</f>
        <v>Metodología de enseñanza</v>
      </c>
      <c r="X219" s="1" t="str">
        <f>IFERROR(__xludf.DUMMYFUNCTION("""COMPUTED_VALUE"""),"metodologia")</f>
        <v>metodologia</v>
      </c>
      <c r="Y219" s="1" t="str">
        <f>IFERROR(__xludf.DUMMYFUNCTION("""COMPUTED_VALUE"""),"PAGO COMPLETO")</f>
        <v>PAGO COMPLETO</v>
      </c>
      <c r="Z219" s="1">
        <f>IFERROR(__xludf.DUMMYFUNCTION("""COMPUTED_VALUE"""),0.0)</f>
        <v>0</v>
      </c>
      <c r="AA219" s="1" t="str">
        <f>IFERROR(__xludf.DUMMYFUNCTION("""COMPUTED_VALUE"""),"-")</f>
        <v>-</v>
      </c>
      <c r="AB219" s="1">
        <f>IFERROR(__xludf.DUMMYFUNCTION("""COMPUTED_VALUE"""),0.0)</f>
        <v>0</v>
      </c>
      <c r="AC219" s="1">
        <f>IFERROR(__xludf.DUMMYFUNCTION("""COMPUTED_VALUE"""),0.0)</f>
        <v>0</v>
      </c>
      <c r="AD219" s="1" t="str">
        <f>IFERROR(__xludf.DUMMYFUNCTION("""COMPUTED_VALUE"""),"Cinthia Mariella Orosco")</f>
        <v>Cinthia Mariella Orosco</v>
      </c>
      <c r="AE219" s="1" t="str">
        <f>IFERROR(__xludf.DUMMYFUNCTION("""COMPUTED_VALUE"""),"0")</f>
        <v>0</v>
      </c>
      <c r="AF219" s="1">
        <f>IFERROR(__xludf.DUMMYFUNCTION("""COMPUTED_VALUE"""),2024.0)</f>
        <v>2024</v>
      </c>
      <c r="AG219" s="1">
        <f>IFERROR(__xludf.DUMMYFUNCTION("""COMPUTED_VALUE"""),340315.0)</f>
        <v>340315</v>
      </c>
      <c r="AH219" s="1">
        <f>IFERROR(__xludf.DUMMYFUNCTION("""COMPUTED_VALUE"""),16.0)</f>
        <v>16</v>
      </c>
      <c r="AI219" s="1" t="str">
        <f>IFERROR(__xludf.DUMMYFUNCTION("""COMPUTED_VALUE"""),"0000402492")</f>
        <v>0000402492</v>
      </c>
      <c r="AJ219" s="1">
        <f>IFERROR(__xludf.DUMMYFUNCTION("""COMPUTED_VALUE"""),6.1363222E7)</f>
        <v>61363222</v>
      </c>
      <c r="AK219" s="1">
        <f>IFERROR(__xludf.DUMMYFUNCTION("""COMPUTED_VALUE"""),9.50434518E8)</f>
        <v>950434518</v>
      </c>
      <c r="AL219" s="1" t="str">
        <f>IFERROR(__xludf.DUMMYFUNCTION("""COMPUTED_VALUE"""),"sinedicion200@gmail.com")</f>
        <v>sinedicion200@gmail.com</v>
      </c>
      <c r="AM219" s="1" t="str">
        <f>IFERROR(__xludf.DUMMYFUNCTION("""COMPUTED_VALUE"""),"MASCULINO")</f>
        <v>MASCULINO</v>
      </c>
      <c r="AN219" s="1">
        <f>IFERROR(__xludf.DUMMYFUNCTION("""COMPUTED_VALUE"""),1350.0)</f>
        <v>1350</v>
      </c>
      <c r="AO219" s="1">
        <f>IFERROR(__xludf.DUMMYFUNCTION("""COMPUTED_VALUE"""),0.0)</f>
        <v>0</v>
      </c>
      <c r="AP219" s="1" t="str">
        <f>IFERROR(__xludf.DUMMYFUNCTION("""COMPUTED_VALUE"""),"COLEGIOS")</f>
        <v>COLEGIOS</v>
      </c>
      <c r="AQ219" s="1" t="str">
        <f>IFERROR(__xludf.DUMMYFUNCTION("""COMPUTED_VALUE"""),"COLEGIOS")</f>
        <v>COLEGIOS</v>
      </c>
      <c r="AR219" s="1" t="str">
        <f>IFERROR(__xludf.DUMMYFUNCTION("""COMPUTED_VALUE"""),"NUEVO")</f>
        <v>NUEVO</v>
      </c>
      <c r="AS219" s="1"/>
      <c r="AT219" s="2">
        <f>IFERROR(__xludf.DUMMYFUNCTION("""COMPUTED_VALUE"""),45526.0)</f>
        <v>45526</v>
      </c>
      <c r="AU219" s="1">
        <f>IFERROR(__xludf.DUMMYFUNCTION("""COMPUTED_VALUE"""),1.0)</f>
        <v>1</v>
      </c>
      <c r="AV219" s="1" t="str">
        <f>IFERROR(__xludf.DUMMYFUNCTION("""COMPUTED_VALUE"""),"NUEVO")</f>
        <v>NUEVO</v>
      </c>
      <c r="AW219" s="1" t="str">
        <f>IFERROR(__xludf.DUMMYFUNCTION("""COMPUTED_VALUE"""),"SI")</f>
        <v>SI</v>
      </c>
      <c r="AX219" s="1"/>
      <c r="AY219" s="1" t="str">
        <f>IFERROR(__xludf.DUMMYFUNCTION("""COMPUTED_VALUE"""),"PAGO COMPLETO")</f>
        <v>PAGO COMPLETO</v>
      </c>
      <c r="AZ219" s="5">
        <f>IFERROR(__xludf.DUMMYFUNCTION("""COMPUTED_VALUE"""),45626.0)</f>
        <v>45626</v>
      </c>
      <c r="BA219" s="1">
        <f>IFERROR(__xludf.DUMMYFUNCTION("""COMPUTED_VALUE"""),0.0)</f>
        <v>0</v>
      </c>
      <c r="BB219" s="1">
        <f>IFERROR(__xludf.DUMMYFUNCTION("""COMPUTED_VALUE"""),0.0)</f>
        <v>0</v>
      </c>
      <c r="BC219" s="4">
        <f>IFERROR(__xludf.DUMMYFUNCTION("""COMPUTED_VALUE"""),0.0)</f>
        <v>0</v>
      </c>
      <c r="BD219" s="4">
        <f>IFERROR(__xludf.DUMMYFUNCTION("""COMPUTED_VALUE"""),100.0)</f>
        <v>100</v>
      </c>
      <c r="BE219" s="1">
        <f>IFERROR(__xludf.DUMMYFUNCTION("""COMPUTED_VALUE"""),11.0)</f>
        <v>11</v>
      </c>
      <c r="BF219" s="6">
        <f>IFERROR(__xludf.DUMMYFUNCTION("""COMPUTED_VALUE"""),1.0)</f>
        <v>1</v>
      </c>
      <c r="BG219" s="1">
        <f>IFERROR(__xludf.DUMMYFUNCTION("""COMPUTED_VALUE"""),1.0)</f>
        <v>1</v>
      </c>
      <c r="BH219" s="1" t="str">
        <f>IFERROR(__xludf.DUMMYFUNCTION("""COMPUTED_VALUE"""),"0")</f>
        <v>0</v>
      </c>
      <c r="BI219" s="4">
        <f>IFERROR(__xludf.DUMMYFUNCTION("""COMPUTED_VALUE"""),100.0)</f>
        <v>100</v>
      </c>
      <c r="BJ219" s="1">
        <f>IFERROR(__xludf.DUMMYFUNCTION("""COMPUTED_VALUE"""),0.0)</f>
        <v>0</v>
      </c>
      <c r="BK219" s="4">
        <f>IFERROR(__xludf.DUMMYFUNCTION("""COMPUTED_VALUE"""),100.0)</f>
        <v>100</v>
      </c>
      <c r="BL219" s="1">
        <f>IFERROR(__xludf.DUMMYFUNCTION("""COMPUTED_VALUE"""),830.0)</f>
        <v>830</v>
      </c>
      <c r="BM219" s="1">
        <f>IFERROR(__xludf.DUMMYFUNCTION("""COMPUTED_VALUE"""),48.0)</f>
        <v>48</v>
      </c>
      <c r="BN219" s="2">
        <f>IFERROR(__xludf.DUMMYFUNCTION("""COMPUTED_VALUE"""),45621.0)</f>
        <v>45621</v>
      </c>
      <c r="BO219" s="1">
        <f>IFERROR(__xludf.DUMMYFUNCTION("""COMPUTED_VALUE"""),11.0)</f>
        <v>11</v>
      </c>
      <c r="BP219" s="1">
        <f>IFERROR(__xludf.DUMMYFUNCTION("""COMPUTED_VALUE"""),2024.0)</f>
        <v>2024</v>
      </c>
    </row>
    <row r="220">
      <c r="A220" s="1">
        <f>IFERROR(__xludf.DUMMYFUNCTION("""COMPUTED_VALUE"""),219.0)</f>
        <v>219</v>
      </c>
      <c r="B220" s="1">
        <f>IFERROR(__xludf.DUMMYFUNCTION("""COMPUTED_VALUE"""),2058831.0)</f>
        <v>2058831</v>
      </c>
      <c r="C220" s="1" t="str">
        <f>IFERROR(__xludf.DUMMYFUNCTION("""COMPUTED_VALUE"""),"2025-1")</f>
        <v>2025-1</v>
      </c>
      <c r="D220" s="1" t="str">
        <f>IFERROR(__xludf.DUMMYFUNCTION("""COMPUTED_VALUE"""),"Admisión de Alto Rendimiento")</f>
        <v>Admisión de Alto Rendimiento</v>
      </c>
      <c r="E220" s="2">
        <f>IFERROR(__xludf.DUMMYFUNCTION("""COMPUTED_VALUE"""),45626.0)</f>
        <v>45626</v>
      </c>
      <c r="F220" s="1" t="str">
        <f>IFERROR(__xludf.DUMMYFUNCTION("""COMPUTED_VALUE"""),"BILLY JOEL")</f>
        <v>BILLY JOEL</v>
      </c>
      <c r="G220" s="1" t="str">
        <f>IFERROR(__xludf.DUMMYFUNCTION("""COMPUTED_VALUE"""),"ASCENCIO SUAREZ")</f>
        <v>ASCENCIO SUAREZ</v>
      </c>
      <c r="H220" s="1" t="str">
        <f>IFERROR(__xludf.DUMMYFUNCTION("""COMPUTED_VALUE"""),"Comunicación Audiovisual y Cine")</f>
        <v>Comunicación Audiovisual y Cine</v>
      </c>
      <c r="I220" s="1" t="str">
        <f>IFERROR(__xludf.DUMMYFUNCTION("""COMPUTED_VALUE"""),"POS")</f>
        <v>POS</v>
      </c>
      <c r="J220" s="1" t="str">
        <f>IFERROR(__xludf.DUMMYFUNCTION("""COMPUTED_VALUE"""),"Diurno")</f>
        <v>Diurno</v>
      </c>
      <c r="K220" s="1" t="str">
        <f>IFERROR(__xludf.DUMMYFUNCTION("""COMPUTED_VALUE"""),"NUEVO")</f>
        <v>NUEVO</v>
      </c>
      <c r="L220" s="1">
        <f>IFERROR(__xludf.DUMMYFUNCTION("""COMPUTED_VALUE"""),0.0)</f>
        <v>0</v>
      </c>
      <c r="M220" s="1">
        <f>IFERROR(__xludf.DUMMYFUNCTION("""COMPUTED_VALUE"""),0.0)</f>
        <v>0</v>
      </c>
      <c r="N220" s="1" t="str">
        <f>IFERROR(__xludf.DUMMYFUNCTION("""COMPUTED_VALUE"""),"BECA")</f>
        <v>BECA</v>
      </c>
      <c r="O220" s="1" t="str">
        <f>IFERROR(__xludf.DUMMYFUNCTION("""COMPUTED_VALUE"""),"BECA CARRERAS CORE")</f>
        <v>BECA CARRERAS CORE</v>
      </c>
      <c r="P220" s="4">
        <f>IFERROR(__xludf.DUMMYFUNCTION("""COMPUTED_VALUE"""),0.0)</f>
        <v>0</v>
      </c>
      <c r="Q220" s="4">
        <f>IFERROR(__xludf.DUMMYFUNCTION("""COMPUTED_VALUE"""),0.0)</f>
        <v>0</v>
      </c>
      <c r="R220" s="4">
        <f>IFERROR(__xludf.DUMMYFUNCTION("""COMPUTED_VALUE"""),1415.0)</f>
        <v>1415</v>
      </c>
      <c r="S220" s="4">
        <f>IFERROR(__xludf.DUMMYFUNCTION("""COMPUTED_VALUE"""),1150.0)</f>
        <v>1150</v>
      </c>
      <c r="T220" s="1" t="str">
        <f>IFERROR(__xludf.DUMMYFUNCTION("""COMPUTED_VALUE"""),"Visita Guiada")</f>
        <v>Visita Guiada</v>
      </c>
      <c r="U220" s="1" t="str">
        <f>IFERROR(__xludf.DUMMYFUNCTION("""COMPUTED_VALUE"""),"FABIOLA")</f>
        <v>FABIOLA</v>
      </c>
      <c r="V220" s="1" t="str">
        <f>IFERROR(__xludf.DUMMYFUNCTION("""COMPUTED_VALUE"""),"Ninguno")</f>
        <v>Ninguno</v>
      </c>
      <c r="W220" s="1" t="str">
        <f>IFERROR(__xludf.DUMMYFUNCTION("""COMPUTED_VALUE"""),"Metodología de enseñanza")</f>
        <v>Metodología de enseñanza</v>
      </c>
      <c r="X220" s="1" t="str">
        <f>IFERROR(__xludf.DUMMYFUNCTION("""COMPUTED_VALUE"""),"-")</f>
        <v>-</v>
      </c>
      <c r="Y220" s="1" t="str">
        <f>IFERROR(__xludf.DUMMYFUNCTION("""COMPUTED_VALUE"""),"PAGO COMPLETO")</f>
        <v>PAGO COMPLETO</v>
      </c>
      <c r="Z220" s="1">
        <f>IFERROR(__xludf.DUMMYFUNCTION("""COMPUTED_VALUE"""),0.0)</f>
        <v>0</v>
      </c>
      <c r="AA220" s="1" t="str">
        <f>IFERROR(__xludf.DUMMYFUNCTION("""COMPUTED_VALUE"""),"-")</f>
        <v>-</v>
      </c>
      <c r="AB220" s="1">
        <f>IFERROR(__xludf.DUMMYFUNCTION("""COMPUTED_VALUE"""),0.0)</f>
        <v>0</v>
      </c>
      <c r="AC220" s="1">
        <f>IFERROR(__xludf.DUMMYFUNCTION("""COMPUTED_VALUE"""),0.0)</f>
        <v>0</v>
      </c>
      <c r="AD220" s="1" t="str">
        <f>IFERROR(__xludf.DUMMYFUNCTION("""COMPUTED_VALUE"""),"Fiorella Lanegra")</f>
        <v>Fiorella Lanegra</v>
      </c>
      <c r="AE220" s="1" t="str">
        <f>IFERROR(__xludf.DUMMYFUNCTION("""COMPUTED_VALUE"""),"0")</f>
        <v>0</v>
      </c>
      <c r="AF220" s="1">
        <f>IFERROR(__xludf.DUMMYFUNCTION("""COMPUTED_VALUE"""),2024.0)</f>
        <v>2024</v>
      </c>
      <c r="AG220" s="1">
        <f>IFERROR(__xludf.DUMMYFUNCTION("""COMPUTED_VALUE"""),693515.0)</f>
        <v>693515</v>
      </c>
      <c r="AH220" s="1">
        <f>IFERROR(__xludf.DUMMYFUNCTION("""COMPUTED_VALUE"""),16.0)</f>
        <v>16</v>
      </c>
      <c r="AI220" s="1" t="str">
        <f>IFERROR(__xludf.DUMMYFUNCTION("""COMPUTED_VALUE"""),"0000402455")</f>
        <v>0000402455</v>
      </c>
      <c r="AJ220" s="1">
        <f>IFERROR(__xludf.DUMMYFUNCTION("""COMPUTED_VALUE"""),7.1165439E7)</f>
        <v>71165439</v>
      </c>
      <c r="AK220" s="1">
        <f>IFERROR(__xludf.DUMMYFUNCTION("""COMPUTED_VALUE"""),9.23459872E8)</f>
        <v>923459872</v>
      </c>
      <c r="AL220" s="1" t="str">
        <f>IFERROR(__xludf.DUMMYFUNCTION("""COMPUTED_VALUE"""),"zombichikito64@hotmail.com")</f>
        <v>zombichikito64@hotmail.com</v>
      </c>
      <c r="AM220" s="1" t="str">
        <f>IFERROR(__xludf.DUMMYFUNCTION("""COMPUTED_VALUE"""),"MASCULINO")</f>
        <v>MASCULINO</v>
      </c>
      <c r="AN220" s="1">
        <f>IFERROR(__xludf.DUMMYFUNCTION("""COMPUTED_VALUE"""),1600.0)</f>
        <v>1600</v>
      </c>
      <c r="AO220" s="1">
        <f>IFERROR(__xludf.DUMMYFUNCTION("""COMPUTED_VALUE"""),250.0)</f>
        <v>250</v>
      </c>
      <c r="AP220" s="1" t="str">
        <f>IFERROR(__xludf.DUMMYFUNCTION("""COMPUTED_VALUE"""),"BIDIRECCIONAL")</f>
        <v>BIDIRECCIONAL</v>
      </c>
      <c r="AQ220" s="1" t="str">
        <f>IFERROR(__xludf.DUMMYFUNCTION("""COMPUTED_VALUE"""),"SEARCH MARCA")</f>
        <v>SEARCH MARCA</v>
      </c>
      <c r="AR220" s="1" t="str">
        <f>IFERROR(__xludf.DUMMYFUNCTION("""COMPUTED_VALUE"""),"NUEVO")</f>
        <v>NUEVO</v>
      </c>
      <c r="AS220" s="1" t="str">
        <f>IFERROR(__xludf.DUMMYFUNCTION("""COMPUTED_VALUE"""),"ucal-pg-performance-sedes-abierta-cpl-search_conversion_marca-20240401")</f>
        <v>ucal-pg-performance-sedes-abierta-cpl-search_conversion_marca-20240401</v>
      </c>
      <c r="AT220" s="2">
        <f>IFERROR(__xludf.DUMMYFUNCTION("""COMPUTED_VALUE"""),45443.0)</f>
        <v>45443</v>
      </c>
      <c r="AU220" s="1">
        <f>IFERROR(__xludf.DUMMYFUNCTION("""COMPUTED_VALUE"""),1.0)</f>
        <v>1</v>
      </c>
      <c r="AV220" s="1" t="str">
        <f>IFERROR(__xludf.DUMMYFUNCTION("""COMPUTED_VALUE"""),"NUEVO")</f>
        <v>NUEVO</v>
      </c>
      <c r="AW220" s="1" t="str">
        <f>IFERROR(__xludf.DUMMYFUNCTION("""COMPUTED_VALUE"""),"SI")</f>
        <v>SI</v>
      </c>
      <c r="AX220" s="1"/>
      <c r="AY220" s="1" t="str">
        <f>IFERROR(__xludf.DUMMYFUNCTION("""COMPUTED_VALUE"""),"PAGO COMPLETO")</f>
        <v>PAGO COMPLETO</v>
      </c>
      <c r="AZ220" s="5">
        <f>IFERROR(__xludf.DUMMYFUNCTION("""COMPUTED_VALUE"""),45626.0)</f>
        <v>45626</v>
      </c>
      <c r="BA220" s="1">
        <f>IFERROR(__xludf.DUMMYFUNCTION("""COMPUTED_VALUE"""),0.0)</f>
        <v>0</v>
      </c>
      <c r="BB220" s="1">
        <f>IFERROR(__xludf.DUMMYFUNCTION("""COMPUTED_VALUE"""),0.0)</f>
        <v>0</v>
      </c>
      <c r="BC220" s="4">
        <f>IFERROR(__xludf.DUMMYFUNCTION("""COMPUTED_VALUE"""),0.0)</f>
        <v>0</v>
      </c>
      <c r="BD220" s="4">
        <f>IFERROR(__xludf.DUMMYFUNCTION("""COMPUTED_VALUE"""),100.0)</f>
        <v>100</v>
      </c>
      <c r="BE220" s="1">
        <f>IFERROR(__xludf.DUMMYFUNCTION("""COMPUTED_VALUE"""),11.0)</f>
        <v>11</v>
      </c>
      <c r="BF220" s="6">
        <f>IFERROR(__xludf.DUMMYFUNCTION("""COMPUTED_VALUE"""),1.0)</f>
        <v>1</v>
      </c>
      <c r="BG220" s="1">
        <f>IFERROR(__xludf.DUMMYFUNCTION("""COMPUTED_VALUE"""),1.0)</f>
        <v>1</v>
      </c>
      <c r="BH220" s="1" t="str">
        <f>IFERROR(__xludf.DUMMYFUNCTION("""COMPUTED_VALUE"""),"0")</f>
        <v>0</v>
      </c>
      <c r="BI220" s="4">
        <f>IFERROR(__xludf.DUMMYFUNCTION("""COMPUTED_VALUE"""),100.0)</f>
        <v>100</v>
      </c>
      <c r="BJ220" s="1">
        <f>IFERROR(__xludf.DUMMYFUNCTION("""COMPUTED_VALUE"""),0.0)</f>
        <v>0</v>
      </c>
      <c r="BK220" s="4">
        <f>IFERROR(__xludf.DUMMYFUNCTION("""COMPUTED_VALUE"""),100.0)</f>
        <v>100</v>
      </c>
      <c r="BL220" s="1">
        <f>IFERROR(__xludf.DUMMYFUNCTION("""COMPUTED_VALUE"""),1130.0)</f>
        <v>1130</v>
      </c>
      <c r="BM220" s="1">
        <f>IFERROR(__xludf.DUMMYFUNCTION("""COMPUTED_VALUE"""),48.0)</f>
        <v>48</v>
      </c>
      <c r="BN220" s="2">
        <f>IFERROR(__xludf.DUMMYFUNCTION("""COMPUTED_VALUE"""),45621.0)</f>
        <v>45621</v>
      </c>
      <c r="BO220" s="1">
        <f>IFERROR(__xludf.DUMMYFUNCTION("""COMPUTED_VALUE"""),11.0)</f>
        <v>11</v>
      </c>
      <c r="BP220" s="1">
        <f>IFERROR(__xludf.DUMMYFUNCTION("""COMPUTED_VALUE"""),2024.0)</f>
        <v>2024</v>
      </c>
    </row>
    <row r="221">
      <c r="A221" s="1">
        <f>IFERROR(__xludf.DUMMYFUNCTION("""COMPUTED_VALUE"""),220.0)</f>
        <v>220</v>
      </c>
      <c r="B221" s="1">
        <f>IFERROR(__xludf.DUMMYFUNCTION("""COMPUTED_VALUE"""),2521496.0)</f>
        <v>2521496</v>
      </c>
      <c r="C221" s="1" t="str">
        <f>IFERROR(__xludf.DUMMYFUNCTION("""COMPUTED_VALUE"""),"2025-1")</f>
        <v>2025-1</v>
      </c>
      <c r="D221" s="1" t="str">
        <f>IFERROR(__xludf.DUMMYFUNCTION("""COMPUTED_VALUE"""),"Admisión Ordinaria")</f>
        <v>Admisión Ordinaria</v>
      </c>
      <c r="E221" s="2">
        <f>IFERROR(__xludf.DUMMYFUNCTION("""COMPUTED_VALUE"""),45626.0)</f>
        <v>45626</v>
      </c>
      <c r="F221" s="1" t="str">
        <f>IFERROR(__xludf.DUMMYFUNCTION("""COMPUTED_VALUE"""),"JOAQUIN MARCELO")</f>
        <v>JOAQUIN MARCELO</v>
      </c>
      <c r="G221" s="1" t="str">
        <f>IFERROR(__xludf.DUMMYFUNCTION("""COMPUTED_VALUE"""),"TORRALBA GARCIA")</f>
        <v>TORRALBA GARCIA</v>
      </c>
      <c r="H221" s="1" t="str">
        <f>IFERROR(__xludf.DUMMYFUNCTION("""COMPUTED_VALUE"""),"Diseño Gráfico Publicitario")</f>
        <v>Diseño Gráfico Publicitario</v>
      </c>
      <c r="I221" s="1" t="str">
        <f>IFERROR(__xludf.DUMMYFUNCTION("""COMPUTED_VALUE"""),"POS")</f>
        <v>POS</v>
      </c>
      <c r="J221" s="1" t="str">
        <f>IFERROR(__xludf.DUMMYFUNCTION("""COMPUTED_VALUE"""),"Diurno")</f>
        <v>Diurno</v>
      </c>
      <c r="K221" s="1" t="str">
        <f>IFERROR(__xludf.DUMMYFUNCTION("""COMPUTED_VALUE"""),"NUEVO")</f>
        <v>NUEVO</v>
      </c>
      <c r="L221" s="1">
        <f>IFERROR(__xludf.DUMMYFUNCTION("""COMPUTED_VALUE"""),0.0)</f>
        <v>0</v>
      </c>
      <c r="M221" s="1">
        <f>IFERROR(__xludf.DUMMYFUNCTION("""COMPUTED_VALUE"""),0.0)</f>
        <v>0</v>
      </c>
      <c r="N221" s="1" t="str">
        <f>IFERROR(__xludf.DUMMYFUNCTION("""COMPUTED_VALUE"""),"BECA")</f>
        <v>BECA</v>
      </c>
      <c r="O221" s="1" t="str">
        <f>IFERROR(__xludf.DUMMYFUNCTION("""COMPUTED_VALUE"""),"BECA CARRERAS CORE")</f>
        <v>BECA CARRERAS CORE</v>
      </c>
      <c r="P221" s="4">
        <f>IFERROR(__xludf.DUMMYFUNCTION("""COMPUTED_VALUE"""),0.0)</f>
        <v>0</v>
      </c>
      <c r="Q221" s="4">
        <f>IFERROR(__xludf.DUMMYFUNCTION("""COMPUTED_VALUE"""),0.0)</f>
        <v>0</v>
      </c>
      <c r="R221" s="4">
        <f>IFERROR(__xludf.DUMMYFUNCTION("""COMPUTED_VALUE"""),1600.0)</f>
        <v>1600</v>
      </c>
      <c r="S221" s="4">
        <f>IFERROR(__xludf.DUMMYFUNCTION("""COMPUTED_VALUE"""),1280.0)</f>
        <v>1280</v>
      </c>
      <c r="T221" s="1" t="str">
        <f>IFERROR(__xludf.DUMMYFUNCTION("""COMPUTED_VALUE"""),"NINGUNO")</f>
        <v>NINGUNO</v>
      </c>
      <c r="U221" s="1" t="str">
        <f>IFERROR(__xludf.DUMMYFUNCTION("""COMPUTED_VALUE"""),"FABIOLA")</f>
        <v>FABIOLA</v>
      </c>
      <c r="V221" s="1" t="str">
        <f>IFERROR(__xludf.DUMMYFUNCTION("""COMPUTED_VALUE"""),"Ninguno")</f>
        <v>Ninguno</v>
      </c>
      <c r="W221" s="1" t="str">
        <f>IFERROR(__xludf.DUMMYFUNCTION("""COMPUTED_VALUE"""),"Malla curricular")</f>
        <v>Malla curricular</v>
      </c>
      <c r="X221" s="1" t="str">
        <f>IFERROR(__xludf.DUMMYFUNCTION("""COMPUTED_VALUE"""),"-")</f>
        <v>-</v>
      </c>
      <c r="Y221" s="1" t="str">
        <f>IFERROR(__xludf.DUMMYFUNCTION("""COMPUTED_VALUE"""),"PAGO COMPLETO")</f>
        <v>PAGO COMPLETO</v>
      </c>
      <c r="Z221" s="1">
        <f>IFERROR(__xludf.DUMMYFUNCTION("""COMPUTED_VALUE"""),0.0)</f>
        <v>0</v>
      </c>
      <c r="AA221" s="1" t="str">
        <f>IFERROR(__xludf.DUMMYFUNCTION("""COMPUTED_VALUE"""),"-")</f>
        <v>-</v>
      </c>
      <c r="AB221" s="1">
        <f>IFERROR(__xludf.DUMMYFUNCTION("""COMPUTED_VALUE"""),0.0)</f>
        <v>0</v>
      </c>
      <c r="AC221" s="1">
        <f>IFERROR(__xludf.DUMMYFUNCTION("""COMPUTED_VALUE"""),0.0)</f>
        <v>0</v>
      </c>
      <c r="AD221" s="1" t="str">
        <f>IFERROR(__xludf.DUMMYFUNCTION("""COMPUTED_VALUE"""),"Fiorella Lanegra")</f>
        <v>Fiorella Lanegra</v>
      </c>
      <c r="AE221" s="1" t="str">
        <f>IFERROR(__xludf.DUMMYFUNCTION("""COMPUTED_VALUE"""),"0")</f>
        <v>0</v>
      </c>
      <c r="AF221" s="1">
        <f>IFERROR(__xludf.DUMMYFUNCTION("""COMPUTED_VALUE"""),2022.0)</f>
        <v>2022</v>
      </c>
      <c r="AG221" s="1">
        <f>IFERROR(__xludf.DUMMYFUNCTION("""COMPUTED_VALUE"""),1307586.0)</f>
        <v>1307586</v>
      </c>
      <c r="AH221" s="1">
        <f>IFERROR(__xludf.DUMMYFUNCTION("""COMPUTED_VALUE"""),19.0)</f>
        <v>19</v>
      </c>
      <c r="AI221" s="1" t="str">
        <f>IFERROR(__xludf.DUMMYFUNCTION("""COMPUTED_VALUE"""),"0000402459")</f>
        <v>0000402459</v>
      </c>
      <c r="AJ221" s="1">
        <f>IFERROR(__xludf.DUMMYFUNCTION("""COMPUTED_VALUE"""),7.6022666E7)</f>
        <v>76022666</v>
      </c>
      <c r="AK221" s="1">
        <f>IFERROR(__xludf.DUMMYFUNCTION("""COMPUTED_VALUE"""),9.59493557E8)</f>
        <v>959493557</v>
      </c>
      <c r="AL221" s="1" t="str">
        <f>IFERROR(__xludf.DUMMYFUNCTION("""COMPUTED_VALUE"""),"jmtg0608@gmail.com")</f>
        <v>jmtg0608@gmail.com</v>
      </c>
      <c r="AM221" s="1" t="str">
        <f>IFERROR(__xludf.DUMMYFUNCTION("""COMPUTED_VALUE"""),"MASCULINO")</f>
        <v>MASCULINO</v>
      </c>
      <c r="AN221" s="1">
        <f>IFERROR(__xludf.DUMMYFUNCTION("""COMPUTED_VALUE"""),2425.0)</f>
        <v>2425</v>
      </c>
      <c r="AO221" s="1">
        <f>IFERROR(__xludf.DUMMYFUNCTION("""COMPUTED_VALUE"""),1060.0)</f>
        <v>1060</v>
      </c>
      <c r="AP221" s="1" t="str">
        <f>IFERROR(__xludf.DUMMYFUNCTION("""COMPUTED_VALUE"""),"EVENTOS")</f>
        <v>EVENTOS</v>
      </c>
      <c r="AQ221" s="1" t="str">
        <f>IFERROR(__xludf.DUMMYFUNCTION("""COMPUTED_VALUE"""),"EVENTOS")</f>
        <v>EVENTOS</v>
      </c>
      <c r="AR221" s="1" t="str">
        <f>IFERROR(__xludf.DUMMYFUNCTION("""COMPUTED_VALUE"""),"NUEVO")</f>
        <v>NUEVO</v>
      </c>
      <c r="AS221" s="1"/>
      <c r="AT221" s="2">
        <f>IFERROR(__xludf.DUMMYFUNCTION("""COMPUTED_VALUE"""),45623.0)</f>
        <v>45623</v>
      </c>
      <c r="AU221" s="1">
        <f>IFERROR(__xludf.DUMMYFUNCTION("""COMPUTED_VALUE"""),1.0)</f>
        <v>1</v>
      </c>
      <c r="AV221" s="1" t="str">
        <f>IFERROR(__xludf.DUMMYFUNCTION("""COMPUTED_VALUE"""),"NUEVO")</f>
        <v>NUEVO</v>
      </c>
      <c r="AW221" s="1" t="str">
        <f>IFERROR(__xludf.DUMMYFUNCTION("""COMPUTED_VALUE"""),"SI")</f>
        <v>SI</v>
      </c>
      <c r="AX221" s="1"/>
      <c r="AY221" s="1" t="str">
        <f>IFERROR(__xludf.DUMMYFUNCTION("""COMPUTED_VALUE"""),"PAGO COMPLETO")</f>
        <v>PAGO COMPLETO</v>
      </c>
      <c r="AZ221" s="5">
        <f>IFERROR(__xludf.DUMMYFUNCTION("""COMPUTED_VALUE"""),45626.0)</f>
        <v>45626</v>
      </c>
      <c r="BA221" s="1">
        <f>IFERROR(__xludf.DUMMYFUNCTION("""COMPUTED_VALUE"""),0.0)</f>
        <v>0</v>
      </c>
      <c r="BB221" s="1">
        <f>IFERROR(__xludf.DUMMYFUNCTION("""COMPUTED_VALUE"""),0.0)</f>
        <v>0</v>
      </c>
      <c r="BC221" s="4">
        <f>IFERROR(__xludf.DUMMYFUNCTION("""COMPUTED_VALUE"""),0.0)</f>
        <v>0</v>
      </c>
      <c r="BD221" s="4">
        <f>IFERROR(__xludf.DUMMYFUNCTION("""COMPUTED_VALUE"""),0.0)</f>
        <v>0</v>
      </c>
      <c r="BE221" s="1">
        <f>IFERROR(__xludf.DUMMYFUNCTION("""COMPUTED_VALUE"""),11.0)</f>
        <v>11</v>
      </c>
      <c r="BF221" s="6">
        <f>IFERROR(__xludf.DUMMYFUNCTION("""COMPUTED_VALUE"""),1.0)</f>
        <v>1</v>
      </c>
      <c r="BG221" s="1">
        <f>IFERROR(__xludf.DUMMYFUNCTION("""COMPUTED_VALUE"""),1.0)</f>
        <v>1</v>
      </c>
      <c r="BH221" s="1" t="str">
        <f>IFERROR(__xludf.DUMMYFUNCTION("""COMPUTED_VALUE"""),"0")</f>
        <v>0</v>
      </c>
      <c r="BI221" s="4">
        <f>IFERROR(__xludf.DUMMYFUNCTION("""COMPUTED_VALUE"""),0.0)</f>
        <v>0</v>
      </c>
      <c r="BJ221" s="1">
        <f>IFERROR(__xludf.DUMMYFUNCTION("""COMPUTED_VALUE"""),0.0)</f>
        <v>0</v>
      </c>
      <c r="BK221" s="4">
        <f>IFERROR(__xludf.DUMMYFUNCTION("""COMPUTED_VALUE"""),0.0)</f>
        <v>0</v>
      </c>
      <c r="BL221" s="1">
        <f>IFERROR(__xludf.DUMMYFUNCTION("""COMPUTED_VALUE"""),1280.0)</f>
        <v>1280</v>
      </c>
      <c r="BM221" s="1">
        <f>IFERROR(__xludf.DUMMYFUNCTION("""COMPUTED_VALUE"""),48.0)</f>
        <v>48</v>
      </c>
      <c r="BN221" s="2">
        <f>IFERROR(__xludf.DUMMYFUNCTION("""COMPUTED_VALUE"""),45621.0)</f>
        <v>45621</v>
      </c>
      <c r="BO221" s="1">
        <f>IFERROR(__xludf.DUMMYFUNCTION("""COMPUTED_VALUE"""),11.0)</f>
        <v>11</v>
      </c>
      <c r="BP221" s="1">
        <f>IFERROR(__xludf.DUMMYFUNCTION("""COMPUTED_VALUE"""),2024.0)</f>
        <v>2024</v>
      </c>
    </row>
    <row r="222">
      <c r="A222" s="1">
        <f>IFERROR(__xludf.DUMMYFUNCTION("""COMPUTED_VALUE"""),221.0)</f>
        <v>221</v>
      </c>
      <c r="B222" s="1">
        <f>IFERROR(__xludf.DUMMYFUNCTION("""COMPUTED_VALUE"""),1986760.0)</f>
        <v>1986760</v>
      </c>
      <c r="C222" s="1" t="str">
        <f>IFERROR(__xludf.DUMMYFUNCTION("""COMPUTED_VALUE"""),"2025-1")</f>
        <v>2025-1</v>
      </c>
      <c r="D222" s="1" t="str">
        <f>IFERROR(__xludf.DUMMYFUNCTION("""COMPUTED_VALUE"""),"Admisión de Alto Rendimiento")</f>
        <v>Admisión de Alto Rendimiento</v>
      </c>
      <c r="E222" s="2">
        <f>IFERROR(__xludf.DUMMYFUNCTION("""COMPUTED_VALUE"""),45626.0)</f>
        <v>45626</v>
      </c>
      <c r="F222" s="1" t="str">
        <f>IFERROR(__xludf.DUMMYFUNCTION("""COMPUTED_VALUE"""),"ALESSANDRA FIORELLA")</f>
        <v>ALESSANDRA FIORELLA</v>
      </c>
      <c r="G222" s="1" t="str">
        <f>IFERROR(__xludf.DUMMYFUNCTION("""COMPUTED_VALUE"""),"SANTOS FUENTES")</f>
        <v>SANTOS FUENTES</v>
      </c>
      <c r="H222" s="1" t="str">
        <f>IFERROR(__xludf.DUMMYFUNCTION("""COMPUTED_VALUE"""),"Arquitectura de Interiores")</f>
        <v>Arquitectura de Interiores</v>
      </c>
      <c r="I222" s="1" t="str">
        <f>IFERROR(__xludf.DUMMYFUNCTION("""COMPUTED_VALUE"""),"POS")</f>
        <v>POS</v>
      </c>
      <c r="J222" s="1" t="str">
        <f>IFERROR(__xludf.DUMMYFUNCTION("""COMPUTED_VALUE"""),"Diurno")</f>
        <v>Diurno</v>
      </c>
      <c r="K222" s="1" t="str">
        <f>IFERROR(__xludf.DUMMYFUNCTION("""COMPUTED_VALUE"""),"NUEVO")</f>
        <v>NUEVO</v>
      </c>
      <c r="L222" s="1">
        <f>IFERROR(__xludf.DUMMYFUNCTION("""COMPUTED_VALUE"""),0.0)</f>
        <v>0</v>
      </c>
      <c r="M222" s="1">
        <f>IFERROR(__xludf.DUMMYFUNCTION("""COMPUTED_VALUE"""),0.0)</f>
        <v>0</v>
      </c>
      <c r="N222" s="1" t="str">
        <f>IFERROR(__xludf.DUMMYFUNCTION("""COMPUTED_VALUE"""),"BECA")</f>
        <v>BECA</v>
      </c>
      <c r="O222" s="1" t="str">
        <f>IFERROR(__xludf.DUMMYFUNCTION("""COMPUTED_VALUE"""),"BECA CARRERAS CORE")</f>
        <v>BECA CARRERAS CORE</v>
      </c>
      <c r="P222" s="4">
        <f>IFERROR(__xludf.DUMMYFUNCTION("""COMPUTED_VALUE"""),0.0)</f>
        <v>0</v>
      </c>
      <c r="Q222" s="4">
        <f>IFERROR(__xludf.DUMMYFUNCTION("""COMPUTED_VALUE"""),0.0)</f>
        <v>0</v>
      </c>
      <c r="R222" s="4">
        <f>IFERROR(__xludf.DUMMYFUNCTION("""COMPUTED_VALUE"""),1600.0)</f>
        <v>1600</v>
      </c>
      <c r="S222" s="4">
        <f>IFERROR(__xludf.DUMMYFUNCTION("""COMPUTED_VALUE"""),1200.0)</f>
        <v>1200</v>
      </c>
      <c r="T222" s="1" t="str">
        <f>IFERROR(__xludf.DUMMYFUNCTION("""COMPUTED_VALUE"""),"Visita Guiada")</f>
        <v>Visita Guiada</v>
      </c>
      <c r="U222" s="1" t="str">
        <f>IFERROR(__xludf.DUMMYFUNCTION("""COMPUTED_VALUE"""),"FABIOLA")</f>
        <v>FABIOLA</v>
      </c>
      <c r="V222" s="1" t="str">
        <f>IFERROR(__xludf.DUMMYFUNCTION("""COMPUTED_VALUE"""),"Ninguno")</f>
        <v>Ninguno</v>
      </c>
      <c r="W222" s="1" t="str">
        <f>IFERROR(__xludf.DUMMYFUNCTION("""COMPUTED_VALUE"""),"Metodología de enseñanza")</f>
        <v>Metodología de enseñanza</v>
      </c>
      <c r="X222" s="1" t="str">
        <f>IFERROR(__xludf.DUMMYFUNCTION("""COMPUTED_VALUE"""),"SE LE HIZO DESCUENTO DE VISITA 100 SOLES EN LA PRIMERA BOLETA")</f>
        <v>SE LE HIZO DESCUENTO DE VISITA 100 SOLES EN LA PRIMERA BOLETA</v>
      </c>
      <c r="Y222" s="1" t="str">
        <f>IFERROR(__xludf.DUMMYFUNCTION("""COMPUTED_VALUE"""),"PAGO COMPLETO")</f>
        <v>PAGO COMPLETO</v>
      </c>
      <c r="Z222" s="1">
        <f>IFERROR(__xludf.DUMMYFUNCTION("""COMPUTED_VALUE"""),0.0)</f>
        <v>0</v>
      </c>
      <c r="AA222" s="1" t="str">
        <f>IFERROR(__xludf.DUMMYFUNCTION("""COMPUTED_VALUE"""),"-")</f>
        <v>-</v>
      </c>
      <c r="AB222" s="1">
        <f>IFERROR(__xludf.DUMMYFUNCTION("""COMPUTED_VALUE"""),0.0)</f>
        <v>0</v>
      </c>
      <c r="AC222" s="1">
        <f>IFERROR(__xludf.DUMMYFUNCTION("""COMPUTED_VALUE"""),0.0)</f>
        <v>0</v>
      </c>
      <c r="AD222" s="1" t="str">
        <f>IFERROR(__xludf.DUMMYFUNCTION("""COMPUTED_VALUE"""),"Fiorella Lanegra")</f>
        <v>Fiorella Lanegra</v>
      </c>
      <c r="AE222" s="1" t="str">
        <f>IFERROR(__xludf.DUMMYFUNCTION("""COMPUTED_VALUE"""),"0")</f>
        <v>0</v>
      </c>
      <c r="AF222" s="1">
        <f>IFERROR(__xludf.DUMMYFUNCTION("""COMPUTED_VALUE"""),2024.0)</f>
        <v>2024</v>
      </c>
      <c r="AG222" s="1">
        <f>IFERROR(__xludf.DUMMYFUNCTION("""COMPUTED_VALUE"""),1255074.0)</f>
        <v>1255074</v>
      </c>
      <c r="AH222" s="1">
        <f>IFERROR(__xludf.DUMMYFUNCTION("""COMPUTED_VALUE"""),17.0)</f>
        <v>17</v>
      </c>
      <c r="AI222" s="1" t="str">
        <f>IFERROR(__xludf.DUMMYFUNCTION("""COMPUTED_VALUE"""),"0000402451")</f>
        <v>0000402451</v>
      </c>
      <c r="AJ222" s="1">
        <f>IFERROR(__xludf.DUMMYFUNCTION("""COMPUTED_VALUE"""),6.1008106E7)</f>
        <v>61008106</v>
      </c>
      <c r="AK222" s="1">
        <f>IFERROR(__xludf.DUMMYFUNCTION("""COMPUTED_VALUE"""),9.26227338E8)</f>
        <v>926227338</v>
      </c>
      <c r="AL222" s="1" t="str">
        <f>IFERROR(__xludf.DUMMYFUNCTION("""COMPUTED_VALUE"""),"alessandrasantos21f@gmail.com")</f>
        <v>alessandrasantos21f@gmail.com</v>
      </c>
      <c r="AM222" s="1" t="str">
        <f>IFERROR(__xludf.DUMMYFUNCTION("""COMPUTED_VALUE"""),"FEMENINO")</f>
        <v>FEMENINO</v>
      </c>
      <c r="AN222" s="1">
        <f>IFERROR(__xludf.DUMMYFUNCTION("""COMPUTED_VALUE"""),2425.0)</f>
        <v>2425</v>
      </c>
      <c r="AO222" s="1">
        <f>IFERROR(__xludf.DUMMYFUNCTION("""COMPUTED_VALUE"""),280.0)</f>
        <v>280</v>
      </c>
      <c r="AP222" s="1" t="str">
        <f>IFERROR(__xludf.DUMMYFUNCTION("""COMPUTED_VALUE"""),"COLEGIOS")</f>
        <v>COLEGIOS</v>
      </c>
      <c r="AQ222" s="1" t="str">
        <f>IFERROR(__xludf.DUMMYFUNCTION("""COMPUTED_VALUE"""),"COLEGIOS")</f>
        <v>COLEGIOS</v>
      </c>
      <c r="AR222" s="1" t="str">
        <f>IFERROR(__xludf.DUMMYFUNCTION("""COMPUTED_VALUE"""),"HEREDADO")</f>
        <v>HEREDADO</v>
      </c>
      <c r="AS222" s="1"/>
      <c r="AT222" s="2">
        <f>IFERROR(__xludf.DUMMYFUNCTION("""COMPUTED_VALUE"""),45550.0)</f>
        <v>45550</v>
      </c>
      <c r="AU222" s="1">
        <f>IFERROR(__xludf.DUMMYFUNCTION("""COMPUTED_VALUE"""),1.0)</f>
        <v>1</v>
      </c>
      <c r="AV222" s="1" t="str">
        <f>IFERROR(__xludf.DUMMYFUNCTION("""COMPUTED_VALUE"""),"NUEVO")</f>
        <v>NUEVO</v>
      </c>
      <c r="AW222" s="1" t="str">
        <f>IFERROR(__xludf.DUMMYFUNCTION("""COMPUTED_VALUE"""),"SI")</f>
        <v>SI</v>
      </c>
      <c r="AX222" s="1"/>
      <c r="AY222" s="1" t="str">
        <f>IFERROR(__xludf.DUMMYFUNCTION("""COMPUTED_VALUE"""),"PAGO COMPLETO")</f>
        <v>PAGO COMPLETO</v>
      </c>
      <c r="AZ222" s="5">
        <f>IFERROR(__xludf.DUMMYFUNCTION("""COMPUTED_VALUE"""),45626.0)</f>
        <v>45626</v>
      </c>
      <c r="BA222" s="1">
        <f>IFERROR(__xludf.DUMMYFUNCTION("""COMPUTED_VALUE"""),0.0)</f>
        <v>0</v>
      </c>
      <c r="BB222" s="1">
        <f>IFERROR(__xludf.DUMMYFUNCTION("""COMPUTED_VALUE"""),0.0)</f>
        <v>0</v>
      </c>
      <c r="BC222" s="4">
        <f>IFERROR(__xludf.DUMMYFUNCTION("""COMPUTED_VALUE"""),0.0)</f>
        <v>0</v>
      </c>
      <c r="BD222" s="4">
        <f>IFERROR(__xludf.DUMMYFUNCTION("""COMPUTED_VALUE"""),100.0)</f>
        <v>100</v>
      </c>
      <c r="BE222" s="1">
        <f>IFERROR(__xludf.DUMMYFUNCTION("""COMPUTED_VALUE"""),11.0)</f>
        <v>11</v>
      </c>
      <c r="BF222" s="6">
        <f>IFERROR(__xludf.DUMMYFUNCTION("""COMPUTED_VALUE"""),1.0)</f>
        <v>1</v>
      </c>
      <c r="BG222" s="1">
        <f>IFERROR(__xludf.DUMMYFUNCTION("""COMPUTED_VALUE"""),1.0)</f>
        <v>1</v>
      </c>
      <c r="BH222" s="1" t="str">
        <f>IFERROR(__xludf.DUMMYFUNCTION("""COMPUTED_VALUE"""),"0")</f>
        <v>0</v>
      </c>
      <c r="BI222" s="4">
        <f>IFERROR(__xludf.DUMMYFUNCTION("""COMPUTED_VALUE"""),100.0)</f>
        <v>100</v>
      </c>
      <c r="BJ222" s="1">
        <f>IFERROR(__xludf.DUMMYFUNCTION("""COMPUTED_VALUE"""),0.0)</f>
        <v>0</v>
      </c>
      <c r="BK222" s="4">
        <f>IFERROR(__xludf.DUMMYFUNCTION("""COMPUTED_VALUE"""),100.0)</f>
        <v>100</v>
      </c>
      <c r="BL222" s="1">
        <f>IFERROR(__xludf.DUMMYFUNCTION("""COMPUTED_VALUE"""),1180.0)</f>
        <v>1180</v>
      </c>
      <c r="BM222" s="1">
        <f>IFERROR(__xludf.DUMMYFUNCTION("""COMPUTED_VALUE"""),48.0)</f>
        <v>48</v>
      </c>
      <c r="BN222" s="2">
        <f>IFERROR(__xludf.DUMMYFUNCTION("""COMPUTED_VALUE"""),45621.0)</f>
        <v>45621</v>
      </c>
      <c r="BO222" s="1">
        <f>IFERROR(__xludf.DUMMYFUNCTION("""COMPUTED_VALUE"""),11.0)</f>
        <v>11</v>
      </c>
      <c r="BP222" s="1">
        <f>IFERROR(__xludf.DUMMYFUNCTION("""COMPUTED_VALUE"""),2024.0)</f>
        <v>2024</v>
      </c>
    </row>
    <row r="223">
      <c r="A223" s="1">
        <f>IFERROR(__xludf.DUMMYFUNCTION("""COMPUTED_VALUE"""),222.0)</f>
        <v>222</v>
      </c>
      <c r="B223" s="1">
        <f>IFERROR(__xludf.DUMMYFUNCTION("""COMPUTED_VALUE"""),4827469.0)</f>
        <v>4827469</v>
      </c>
      <c r="C223" s="1" t="str">
        <f>IFERROR(__xludf.DUMMYFUNCTION("""COMPUTED_VALUE"""),"2025-1")</f>
        <v>2025-1</v>
      </c>
      <c r="D223" s="1" t="str">
        <f>IFERROR(__xludf.DUMMYFUNCTION("""COMPUTED_VALUE"""),"Admisión de Alto Rendimiento")</f>
        <v>Admisión de Alto Rendimiento</v>
      </c>
      <c r="E223" s="2">
        <f>IFERROR(__xludf.DUMMYFUNCTION("""COMPUTED_VALUE"""),45626.0)</f>
        <v>45626</v>
      </c>
      <c r="F223" s="1" t="str">
        <f>IFERROR(__xludf.DUMMYFUNCTION("""COMPUTED_VALUE"""),"MARÍA FERNANDA")</f>
        <v>MARÍA FERNANDA</v>
      </c>
      <c r="G223" s="1" t="str">
        <f>IFERROR(__xludf.DUMMYFUNCTION("""COMPUTED_VALUE"""),"CHALCO ARANDA")</f>
        <v>CHALCO ARANDA</v>
      </c>
      <c r="H223" s="1" t="str">
        <f>IFERROR(__xludf.DUMMYFUNCTION("""COMPUTED_VALUE"""),"Arquitectura")</f>
        <v>Arquitectura</v>
      </c>
      <c r="I223" s="1" t="str">
        <f>IFERROR(__xludf.DUMMYFUNCTION("""COMPUTED_VALUE"""),"Pago Link")</f>
        <v>Pago Link</v>
      </c>
      <c r="J223" s="1" t="str">
        <f>IFERROR(__xludf.DUMMYFUNCTION("""COMPUTED_VALUE"""),"Diurno")</f>
        <v>Diurno</v>
      </c>
      <c r="K223" s="1" t="str">
        <f>IFERROR(__xludf.DUMMYFUNCTION("""COMPUTED_VALUE"""),"NUEVO")</f>
        <v>NUEVO</v>
      </c>
      <c r="L223" s="1">
        <f>IFERROR(__xludf.DUMMYFUNCTION("""COMPUTED_VALUE"""),0.0)</f>
        <v>0</v>
      </c>
      <c r="M223" s="1">
        <f>IFERROR(__xludf.DUMMYFUNCTION("""COMPUTED_VALUE"""),0.0)</f>
        <v>0</v>
      </c>
      <c r="N223" s="1" t="str">
        <f>IFERROR(__xludf.DUMMYFUNCTION("""COMPUTED_VALUE"""),"BECA")</f>
        <v>BECA</v>
      </c>
      <c r="O223" s="1" t="str">
        <f>IFERROR(__xludf.DUMMYFUNCTION("""COMPUTED_VALUE"""),"BECA CARRERAS CORE")</f>
        <v>BECA CARRERAS CORE</v>
      </c>
      <c r="P223" s="4">
        <f>IFERROR(__xludf.DUMMYFUNCTION("""COMPUTED_VALUE"""),0.0)</f>
        <v>0</v>
      </c>
      <c r="Q223" s="4">
        <f>IFERROR(__xludf.DUMMYFUNCTION("""COMPUTED_VALUE"""),0.0)</f>
        <v>0</v>
      </c>
      <c r="R223" s="4">
        <f>IFERROR(__xludf.DUMMYFUNCTION("""COMPUTED_VALUE"""),1150.0)</f>
        <v>1150</v>
      </c>
      <c r="S223" s="4">
        <f>IFERROR(__xludf.DUMMYFUNCTION("""COMPUTED_VALUE"""),1000.0)</f>
        <v>1000</v>
      </c>
      <c r="T223" s="1" t="str">
        <f>IFERROR(__xludf.DUMMYFUNCTION("""COMPUTED_VALUE"""),"Visita Guiada")</f>
        <v>Visita Guiada</v>
      </c>
      <c r="U223" s="1" t="str">
        <f>IFERROR(__xludf.DUMMYFUNCTION("""COMPUTED_VALUE"""),"FABIOLA")</f>
        <v>FABIOLA</v>
      </c>
      <c r="V223" s="1" t="str">
        <f>IFERROR(__xludf.DUMMYFUNCTION("""COMPUTED_VALUE"""),"Ninguno")</f>
        <v>Ninguno</v>
      </c>
      <c r="W223" s="1" t="str">
        <f>IFERROR(__xludf.DUMMYFUNCTION("""COMPUTED_VALUE"""),"Equipos e instalaciones")</f>
        <v>Equipos e instalaciones</v>
      </c>
      <c r="X223" s="1" t="str">
        <f>IFERROR(__xludf.DUMMYFUNCTION("""COMPUTED_VALUE"""),"-")</f>
        <v>-</v>
      </c>
      <c r="Y223" s="1" t="str">
        <f>IFERROR(__xludf.DUMMYFUNCTION("""COMPUTED_VALUE"""),"PAGO COMPLETO")</f>
        <v>PAGO COMPLETO</v>
      </c>
      <c r="Z223" s="1">
        <f>IFERROR(__xludf.DUMMYFUNCTION("""COMPUTED_VALUE"""),0.0)</f>
        <v>0</v>
      </c>
      <c r="AA223" s="1" t="str">
        <f>IFERROR(__xludf.DUMMYFUNCTION("""COMPUTED_VALUE"""),"-")</f>
        <v>-</v>
      </c>
      <c r="AB223" s="1">
        <f>IFERROR(__xludf.DUMMYFUNCTION("""COMPUTED_VALUE"""),0.0)</f>
        <v>0</v>
      </c>
      <c r="AC223" s="1">
        <f>IFERROR(__xludf.DUMMYFUNCTION("""COMPUTED_VALUE"""),0.0)</f>
        <v>0</v>
      </c>
      <c r="AD223" s="1" t="str">
        <f>IFERROR(__xludf.DUMMYFUNCTION("""COMPUTED_VALUE"""),"Fiorella Lanegra")</f>
        <v>Fiorella Lanegra</v>
      </c>
      <c r="AE223" s="1" t="str">
        <f>IFERROR(__xludf.DUMMYFUNCTION("""COMPUTED_VALUE"""),"0")</f>
        <v>0</v>
      </c>
      <c r="AF223" s="1">
        <f>IFERROR(__xludf.DUMMYFUNCTION("""COMPUTED_VALUE"""),2024.0)</f>
        <v>2024</v>
      </c>
      <c r="AG223" s="1">
        <f>IFERROR(__xludf.DUMMYFUNCTION("""COMPUTED_VALUE"""),1774249.0)</f>
        <v>1774249</v>
      </c>
      <c r="AH223" s="1">
        <f>IFERROR(__xludf.DUMMYFUNCTION("""COMPUTED_VALUE"""),17.0)</f>
        <v>17</v>
      </c>
      <c r="AI223" s="1" t="str">
        <f>IFERROR(__xludf.DUMMYFUNCTION("""COMPUTED_VALUE"""),"0000402221")</f>
        <v>0000402221</v>
      </c>
      <c r="AJ223" s="1">
        <f>IFERROR(__xludf.DUMMYFUNCTION("""COMPUTED_VALUE"""),6.1235848E7)</f>
        <v>61235848</v>
      </c>
      <c r="AK223" s="1">
        <f>IFERROR(__xludf.DUMMYFUNCTION("""COMPUTED_VALUE"""),9.18263007E8)</f>
        <v>918263007</v>
      </c>
      <c r="AL223" s="1" t="str">
        <f>IFERROR(__xludf.DUMMYFUNCTION("""COMPUTED_VALUE"""),"maferchalcoaranda@gmail.com")</f>
        <v>maferchalcoaranda@gmail.com</v>
      </c>
      <c r="AM223" s="1" t="str">
        <f>IFERROR(__xludf.DUMMYFUNCTION("""COMPUTED_VALUE"""),"FEMENINO")</f>
        <v>FEMENINO</v>
      </c>
      <c r="AN223" s="1">
        <f>IFERROR(__xludf.DUMMYFUNCTION("""COMPUTED_VALUE"""),1525.0)</f>
        <v>1525</v>
      </c>
      <c r="AO223" s="1">
        <f>IFERROR(__xludf.DUMMYFUNCTION("""COMPUTED_VALUE"""),190.0)</f>
        <v>190</v>
      </c>
      <c r="AP223" s="1" t="str">
        <f>IFERROR(__xludf.DUMMYFUNCTION("""COMPUTED_VALUE"""),"BIDIRECCIONAL")</f>
        <v>BIDIRECCIONAL</v>
      </c>
      <c r="AQ223" s="1" t="str">
        <f>IFERROR(__xludf.DUMMYFUNCTION("""COMPUTED_VALUE"""),"SEARCH CARRERA")</f>
        <v>SEARCH CARRERA</v>
      </c>
      <c r="AR223" s="1" t="str">
        <f>IFERROR(__xludf.DUMMYFUNCTION("""COMPUTED_VALUE"""),"NUEVO")</f>
        <v>NUEVO</v>
      </c>
      <c r="AS223" s="1" t="str">
        <f>IFERROR(__xludf.DUMMYFUNCTION("""COMPUTED_VALUE"""),"ucal-pg-performance-sedes-abierta-cpl-search_conversion_mundo_arquitectura_bidi_search_carreras-20240702")</f>
        <v>ucal-pg-performance-sedes-abierta-cpl-search_conversion_mundo_arquitectura_bidi_search_carreras-20240702</v>
      </c>
      <c r="AT223" s="2">
        <f>IFERROR(__xludf.DUMMYFUNCTION("""COMPUTED_VALUE"""),45602.0)</f>
        <v>45602</v>
      </c>
      <c r="AU223" s="1">
        <f>IFERROR(__xludf.DUMMYFUNCTION("""COMPUTED_VALUE"""),1.0)</f>
        <v>1</v>
      </c>
      <c r="AV223" s="1" t="str">
        <f>IFERROR(__xludf.DUMMYFUNCTION("""COMPUTED_VALUE"""),"NUEVO")</f>
        <v>NUEVO</v>
      </c>
      <c r="AW223" s="1" t="str">
        <f>IFERROR(__xludf.DUMMYFUNCTION("""COMPUTED_VALUE"""),"SI")</f>
        <v>SI</v>
      </c>
      <c r="AX223" s="1"/>
      <c r="AY223" s="1" t="str">
        <f>IFERROR(__xludf.DUMMYFUNCTION("""COMPUTED_VALUE"""),"PAGO COMPLETO")</f>
        <v>PAGO COMPLETO</v>
      </c>
      <c r="AZ223" s="5">
        <f>IFERROR(__xludf.DUMMYFUNCTION("""COMPUTED_VALUE"""),45626.0)</f>
        <v>45626</v>
      </c>
      <c r="BA223" s="1">
        <f>IFERROR(__xludf.DUMMYFUNCTION("""COMPUTED_VALUE"""),0.0)</f>
        <v>0</v>
      </c>
      <c r="BB223" s="1">
        <f>IFERROR(__xludf.DUMMYFUNCTION("""COMPUTED_VALUE"""),0.0)</f>
        <v>0</v>
      </c>
      <c r="BC223" s="4">
        <f>IFERROR(__xludf.DUMMYFUNCTION("""COMPUTED_VALUE"""),0.0)</f>
        <v>0</v>
      </c>
      <c r="BD223" s="4">
        <f>IFERROR(__xludf.DUMMYFUNCTION("""COMPUTED_VALUE"""),100.0)</f>
        <v>100</v>
      </c>
      <c r="BE223" s="1">
        <f>IFERROR(__xludf.DUMMYFUNCTION("""COMPUTED_VALUE"""),11.0)</f>
        <v>11</v>
      </c>
      <c r="BF223" s="6">
        <f>IFERROR(__xludf.DUMMYFUNCTION("""COMPUTED_VALUE"""),1.0)</f>
        <v>1</v>
      </c>
      <c r="BG223" s="1">
        <f>IFERROR(__xludf.DUMMYFUNCTION("""COMPUTED_VALUE"""),1.0)</f>
        <v>1</v>
      </c>
      <c r="BH223" s="1" t="str">
        <f>IFERROR(__xludf.DUMMYFUNCTION("""COMPUTED_VALUE"""),"0")</f>
        <v>0</v>
      </c>
      <c r="BI223" s="4">
        <f>IFERROR(__xludf.DUMMYFUNCTION("""COMPUTED_VALUE"""),100.0)</f>
        <v>100</v>
      </c>
      <c r="BJ223" s="1">
        <f>IFERROR(__xludf.DUMMYFUNCTION("""COMPUTED_VALUE"""),0.0)</f>
        <v>0</v>
      </c>
      <c r="BK223" s="4">
        <f>IFERROR(__xludf.DUMMYFUNCTION("""COMPUTED_VALUE"""),100.0)</f>
        <v>100</v>
      </c>
      <c r="BL223" s="1">
        <f>IFERROR(__xludf.DUMMYFUNCTION("""COMPUTED_VALUE"""),980.0)</f>
        <v>980</v>
      </c>
      <c r="BM223" s="1">
        <f>IFERROR(__xludf.DUMMYFUNCTION("""COMPUTED_VALUE"""),48.0)</f>
        <v>48</v>
      </c>
      <c r="BN223" s="2">
        <f>IFERROR(__xludf.DUMMYFUNCTION("""COMPUTED_VALUE"""),45621.0)</f>
        <v>45621</v>
      </c>
      <c r="BO223" s="1">
        <f>IFERROR(__xludf.DUMMYFUNCTION("""COMPUTED_VALUE"""),11.0)</f>
        <v>11</v>
      </c>
      <c r="BP223" s="1">
        <f>IFERROR(__xludf.DUMMYFUNCTION("""COMPUTED_VALUE"""),2024.0)</f>
        <v>2024</v>
      </c>
    </row>
    <row r="224">
      <c r="A224" s="1">
        <f>IFERROR(__xludf.DUMMYFUNCTION("""COMPUTED_VALUE"""),223.0)</f>
        <v>223</v>
      </c>
      <c r="B224" s="1">
        <f>IFERROR(__xludf.DUMMYFUNCTION("""COMPUTED_VALUE"""),4836059.0)</f>
        <v>4836059</v>
      </c>
      <c r="C224" s="1" t="str">
        <f>IFERROR(__xludf.DUMMYFUNCTION("""COMPUTED_VALUE"""),"2025-1")</f>
        <v>2025-1</v>
      </c>
      <c r="D224" s="1" t="str">
        <f>IFERROR(__xludf.DUMMYFUNCTION("""COMPUTED_VALUE"""),"Admisión Ordinaria")</f>
        <v>Admisión Ordinaria</v>
      </c>
      <c r="E224" s="2">
        <f>IFERROR(__xludf.DUMMYFUNCTION("""COMPUTED_VALUE"""),45626.0)</f>
        <v>45626</v>
      </c>
      <c r="F224" s="1" t="str">
        <f>IFERROR(__xludf.DUMMYFUNCTION("""COMPUTED_VALUE""")," CAMILA STEPHANIE ")</f>
        <v> CAMILA STEPHANIE </v>
      </c>
      <c r="G224" s="1" t="str">
        <f>IFERROR(__xludf.DUMMYFUNCTION("""COMPUTED_VALUE"""),"LIMAYLLA SALDAÑA")</f>
        <v>LIMAYLLA SALDAÑA</v>
      </c>
      <c r="H224" s="1" t="str">
        <f>IFERROR(__xludf.DUMMYFUNCTION("""COMPUTED_VALUE"""),"Comunicación Audiovisual y Cine")</f>
        <v>Comunicación Audiovisual y Cine</v>
      </c>
      <c r="I224" s="1" t="str">
        <f>IFERROR(__xludf.DUMMYFUNCTION("""COMPUTED_VALUE"""),"POS")</f>
        <v>POS</v>
      </c>
      <c r="J224" s="1" t="str">
        <f>IFERROR(__xludf.DUMMYFUNCTION("""COMPUTED_VALUE"""),"Diurno")</f>
        <v>Diurno</v>
      </c>
      <c r="K224" s="1" t="str">
        <f>IFERROR(__xludf.DUMMYFUNCTION("""COMPUTED_VALUE"""),"NUEVO")</f>
        <v>NUEVO</v>
      </c>
      <c r="L224" s="1">
        <f>IFERROR(__xludf.DUMMYFUNCTION("""COMPUTED_VALUE"""),0.0)</f>
        <v>0</v>
      </c>
      <c r="M224" s="1">
        <f>IFERROR(__xludf.DUMMYFUNCTION("""COMPUTED_VALUE"""),0.0)</f>
        <v>0</v>
      </c>
      <c r="N224" s="1" t="str">
        <f>IFERROR(__xludf.DUMMYFUNCTION("""COMPUTED_VALUE"""),"BECA")</f>
        <v>BECA</v>
      </c>
      <c r="O224" s="1" t="str">
        <f>IFERROR(__xludf.DUMMYFUNCTION("""COMPUTED_VALUE"""),"BECA CARRERAS CORE")</f>
        <v>BECA CARRERAS CORE</v>
      </c>
      <c r="P224" s="4">
        <f>IFERROR(__xludf.DUMMYFUNCTION("""COMPUTED_VALUE"""),0.0)</f>
        <v>0</v>
      </c>
      <c r="Q224" s="4">
        <f>IFERROR(__xludf.DUMMYFUNCTION("""COMPUTED_VALUE"""),0.0)</f>
        <v>0</v>
      </c>
      <c r="R224" s="4">
        <f>IFERROR(__xludf.DUMMYFUNCTION("""COMPUTED_VALUE"""),1600.0)</f>
        <v>1600</v>
      </c>
      <c r="S224" s="4">
        <f>IFERROR(__xludf.DUMMYFUNCTION("""COMPUTED_VALUE"""),1200.0)</f>
        <v>1200</v>
      </c>
      <c r="T224" s="1" t="str">
        <f>IFERROR(__xludf.DUMMYFUNCTION("""COMPUTED_VALUE"""),"NINGUNO")</f>
        <v>NINGUNO</v>
      </c>
      <c r="U224" s="1" t="str">
        <f>IFERROR(__xludf.DUMMYFUNCTION("""COMPUTED_VALUE"""),"FABIOLA")</f>
        <v>FABIOLA</v>
      </c>
      <c r="V224" s="1" t="str">
        <f>IFERROR(__xludf.DUMMYFUNCTION("""COMPUTED_VALUE"""),"Ninguno")</f>
        <v>Ninguno</v>
      </c>
      <c r="W224" s="1" t="str">
        <f>IFERROR(__xludf.DUMMYFUNCTION("""COMPUTED_VALUE"""),"Malla curricular")</f>
        <v>Malla curricular</v>
      </c>
      <c r="X224" s="1" t="str">
        <f>IFERROR(__xludf.DUMMYFUNCTION("""COMPUTED_VALUE"""),"-")</f>
        <v>-</v>
      </c>
      <c r="Y224" s="1" t="str">
        <f>IFERROR(__xludf.DUMMYFUNCTION("""COMPUTED_VALUE"""),"PAGO COMPLETO")</f>
        <v>PAGO COMPLETO</v>
      </c>
      <c r="Z224" s="1">
        <f>IFERROR(__xludf.DUMMYFUNCTION("""COMPUTED_VALUE"""),0.0)</f>
        <v>0</v>
      </c>
      <c r="AA224" s="1" t="str">
        <f>IFERROR(__xludf.DUMMYFUNCTION("""COMPUTED_VALUE"""),"-")</f>
        <v>-</v>
      </c>
      <c r="AB224" s="1">
        <f>IFERROR(__xludf.DUMMYFUNCTION("""COMPUTED_VALUE"""),0.0)</f>
        <v>0</v>
      </c>
      <c r="AC224" s="1">
        <f>IFERROR(__xludf.DUMMYFUNCTION("""COMPUTED_VALUE"""),0.0)</f>
        <v>0</v>
      </c>
      <c r="AD224" s="1" t="str">
        <f>IFERROR(__xludf.DUMMYFUNCTION("""COMPUTED_VALUE"""),"Stefano Napuri")</f>
        <v>Stefano Napuri</v>
      </c>
      <c r="AE224" s="1" t="str">
        <f>IFERROR(__xludf.DUMMYFUNCTION("""COMPUTED_VALUE"""),"0")</f>
        <v>0</v>
      </c>
      <c r="AF224" s="1">
        <f>IFERROR(__xludf.DUMMYFUNCTION("""COMPUTED_VALUE"""),2022.0)</f>
        <v>2022</v>
      </c>
      <c r="AG224" s="1">
        <f>IFERROR(__xludf.DUMMYFUNCTION("""COMPUTED_VALUE"""),1319987.0)</f>
        <v>1319987</v>
      </c>
      <c r="AH224" s="1">
        <f>IFERROR(__xludf.DUMMYFUNCTION("""COMPUTED_VALUE"""),18.0)</f>
        <v>18</v>
      </c>
      <c r="AI224" s="1" t="str">
        <f>IFERROR(__xludf.DUMMYFUNCTION("""COMPUTED_VALUE"""),"0000402461")</f>
        <v>0000402461</v>
      </c>
      <c r="AJ224" s="1">
        <f>IFERROR(__xludf.DUMMYFUNCTION("""COMPUTED_VALUE"""),7.216923E7)</f>
        <v>72169230</v>
      </c>
      <c r="AK224" s="1">
        <f>IFERROR(__xludf.DUMMYFUNCTION("""COMPUTED_VALUE"""),9.01903529E8)</f>
        <v>901903529</v>
      </c>
      <c r="AL224" s="1" t="str">
        <f>IFERROR(__xludf.DUMMYFUNCTION("""COMPUTED_VALUE"""),"limayllacamila@gmail.com")</f>
        <v>limayllacamila@gmail.com</v>
      </c>
      <c r="AM224" s="1" t="str">
        <f>IFERROR(__xludf.DUMMYFUNCTION("""COMPUTED_VALUE"""),"FEMENINO")</f>
        <v>FEMENINO</v>
      </c>
      <c r="AN224" s="1">
        <f>IFERROR(__xludf.DUMMYFUNCTION("""COMPUTED_VALUE"""),1775.0)</f>
        <v>1775</v>
      </c>
      <c r="AO224" s="1">
        <f>IFERROR(__xludf.DUMMYFUNCTION("""COMPUTED_VALUE"""),535.0)</f>
        <v>535</v>
      </c>
      <c r="AP224" s="1" t="str">
        <f>IFERROR(__xludf.DUMMYFUNCTION("""COMPUTED_VALUE"""),"FORMULARIO")</f>
        <v>FORMULARIO</v>
      </c>
      <c r="AQ224" s="1" t="str">
        <f>IFERROR(__xludf.DUMMYFUNCTION("""COMPUTED_VALUE"""),"SEARCH MARCA")</f>
        <v>SEARCH MARCA</v>
      </c>
      <c r="AR224" s="1" t="str">
        <f>IFERROR(__xludf.DUMMYFUNCTION("""COMPUTED_VALUE"""),"NUEVO")</f>
        <v>NUEVO</v>
      </c>
      <c r="AS224" s="1" t="str">
        <f>IFERROR(__xludf.DUMMYFUNCTION("""COMPUTED_VALUE"""),"ucal-pg-performance-sedes-abierta-cpl-search_conversion_marca-20240401")</f>
        <v>ucal-pg-performance-sedes-abierta-cpl-search_conversion_marca-20240401</v>
      </c>
      <c r="AT224" s="2">
        <f>IFERROR(__xludf.DUMMYFUNCTION("""COMPUTED_VALUE"""),45626.0)</f>
        <v>45626</v>
      </c>
      <c r="AU224" s="1">
        <f>IFERROR(__xludf.DUMMYFUNCTION("""COMPUTED_VALUE"""),1.0)</f>
        <v>1</v>
      </c>
      <c r="AV224" s="1" t="str">
        <f>IFERROR(__xludf.DUMMYFUNCTION("""COMPUTED_VALUE"""),"NUEVO")</f>
        <v>NUEVO</v>
      </c>
      <c r="AW224" s="1" t="str">
        <f>IFERROR(__xludf.DUMMYFUNCTION("""COMPUTED_VALUE"""),"SI")</f>
        <v>SI</v>
      </c>
      <c r="AX224" s="1"/>
      <c r="AY224" s="1" t="str">
        <f>IFERROR(__xludf.DUMMYFUNCTION("""COMPUTED_VALUE"""),"PAGO COMPLETO")</f>
        <v>PAGO COMPLETO</v>
      </c>
      <c r="AZ224" s="5">
        <f>IFERROR(__xludf.DUMMYFUNCTION("""COMPUTED_VALUE"""),45626.0)</f>
        <v>45626</v>
      </c>
      <c r="BA224" s="1">
        <f>IFERROR(__xludf.DUMMYFUNCTION("""COMPUTED_VALUE"""),0.0)</f>
        <v>0</v>
      </c>
      <c r="BB224" s="1">
        <f>IFERROR(__xludf.DUMMYFUNCTION("""COMPUTED_VALUE"""),0.0)</f>
        <v>0</v>
      </c>
      <c r="BC224" s="4">
        <f>IFERROR(__xludf.DUMMYFUNCTION("""COMPUTED_VALUE"""),0.0)</f>
        <v>0</v>
      </c>
      <c r="BD224" s="4">
        <f>IFERROR(__xludf.DUMMYFUNCTION("""COMPUTED_VALUE"""),0.0)</f>
        <v>0</v>
      </c>
      <c r="BE224" s="1">
        <f>IFERROR(__xludf.DUMMYFUNCTION("""COMPUTED_VALUE"""),11.0)</f>
        <v>11</v>
      </c>
      <c r="BF224" s="6">
        <f>IFERROR(__xludf.DUMMYFUNCTION("""COMPUTED_VALUE"""),1.0)</f>
        <v>1</v>
      </c>
      <c r="BG224" s="1">
        <f>IFERROR(__xludf.DUMMYFUNCTION("""COMPUTED_VALUE"""),1.0)</f>
        <v>1</v>
      </c>
      <c r="BH224" s="1" t="str">
        <f>IFERROR(__xludf.DUMMYFUNCTION("""COMPUTED_VALUE"""),"0")</f>
        <v>0</v>
      </c>
      <c r="BI224" s="4">
        <f>IFERROR(__xludf.DUMMYFUNCTION("""COMPUTED_VALUE"""),0.0)</f>
        <v>0</v>
      </c>
      <c r="BJ224" s="1">
        <f>IFERROR(__xludf.DUMMYFUNCTION("""COMPUTED_VALUE"""),0.0)</f>
        <v>0</v>
      </c>
      <c r="BK224" s="4">
        <f>IFERROR(__xludf.DUMMYFUNCTION("""COMPUTED_VALUE"""),0.0)</f>
        <v>0</v>
      </c>
      <c r="BL224" s="1">
        <f>IFERROR(__xludf.DUMMYFUNCTION("""COMPUTED_VALUE"""),1200.0)</f>
        <v>1200</v>
      </c>
      <c r="BM224" s="1">
        <f>IFERROR(__xludf.DUMMYFUNCTION("""COMPUTED_VALUE"""),48.0)</f>
        <v>48</v>
      </c>
      <c r="BN224" s="2">
        <f>IFERROR(__xludf.DUMMYFUNCTION("""COMPUTED_VALUE"""),45621.0)</f>
        <v>45621</v>
      </c>
      <c r="BO224" s="1">
        <f>IFERROR(__xludf.DUMMYFUNCTION("""COMPUTED_VALUE"""),11.0)</f>
        <v>11</v>
      </c>
      <c r="BP224" s="1">
        <f>IFERROR(__xludf.DUMMYFUNCTION("""COMPUTED_VALUE"""),2024.0)</f>
        <v>2024</v>
      </c>
    </row>
    <row r="225">
      <c r="A225" s="1">
        <f>IFERROR(__xludf.DUMMYFUNCTION("""COMPUTED_VALUE"""),224.0)</f>
        <v>224</v>
      </c>
      <c r="B225" s="1">
        <f>IFERROR(__xludf.DUMMYFUNCTION("""COMPUTED_VALUE"""),4497767.0)</f>
        <v>4497767</v>
      </c>
      <c r="C225" s="1" t="str">
        <f>IFERROR(__xludf.DUMMYFUNCTION("""COMPUTED_VALUE"""),"2025-1")</f>
        <v>2025-1</v>
      </c>
      <c r="D225" s="1" t="str">
        <f>IFERROR(__xludf.DUMMYFUNCTION("""COMPUTED_VALUE"""),"Admisión Ordinaria")</f>
        <v>Admisión Ordinaria</v>
      </c>
      <c r="E225" s="2">
        <f>IFERROR(__xludf.DUMMYFUNCTION("""COMPUTED_VALUE"""),45626.0)</f>
        <v>45626</v>
      </c>
      <c r="F225" s="1" t="str">
        <f>IFERROR(__xludf.DUMMYFUNCTION("""COMPUTED_VALUE"""),"ANA VICTORIA ")</f>
        <v>ANA VICTORIA </v>
      </c>
      <c r="G225" s="1" t="str">
        <f>IFERROR(__xludf.DUMMYFUNCTION("""COMPUTED_VALUE"""),"CORCUERA DAWSON")</f>
        <v>CORCUERA DAWSON</v>
      </c>
      <c r="H225" s="1" t="str">
        <f>IFERROR(__xludf.DUMMYFUNCTION("""COMPUTED_VALUE"""),"Diseño Gráfico Publicitario")</f>
        <v>Diseño Gráfico Publicitario</v>
      </c>
      <c r="I225" s="1" t="str">
        <f>IFERROR(__xludf.DUMMYFUNCTION("""COMPUTED_VALUE"""),"CARGO")</f>
        <v>CARGO</v>
      </c>
      <c r="J225" s="1" t="str">
        <f>IFERROR(__xludf.DUMMYFUNCTION("""COMPUTED_VALUE"""),"Diurno")</f>
        <v>Diurno</v>
      </c>
      <c r="K225" s="1" t="str">
        <f>IFERROR(__xludf.DUMMYFUNCTION("""COMPUTED_VALUE"""),"NUEVO")</f>
        <v>NUEVO</v>
      </c>
      <c r="L225" s="1">
        <f>IFERROR(__xludf.DUMMYFUNCTION("""COMPUTED_VALUE"""),0.0)</f>
        <v>0</v>
      </c>
      <c r="M225" s="1">
        <f>IFERROR(__xludf.DUMMYFUNCTION("""COMPUTED_VALUE"""),0.0)</f>
        <v>0</v>
      </c>
      <c r="N225" s="1" t="str">
        <f>IFERROR(__xludf.DUMMYFUNCTION("""COMPUTED_VALUE"""),"BECA")</f>
        <v>BECA</v>
      </c>
      <c r="O225" s="1" t="str">
        <f>IFERROR(__xludf.DUMMYFUNCTION("""COMPUTED_VALUE"""),"BECA CARRERAS CORE")</f>
        <v>BECA CARRERAS CORE</v>
      </c>
      <c r="P225" s="4">
        <f>IFERROR(__xludf.DUMMYFUNCTION("""COMPUTED_VALUE"""),0.0)</f>
        <v>0</v>
      </c>
      <c r="Q225" s="4">
        <f>IFERROR(__xludf.DUMMYFUNCTION("""COMPUTED_VALUE"""),0.0)</f>
        <v>0</v>
      </c>
      <c r="R225" s="4">
        <f>IFERROR(__xludf.DUMMYFUNCTION("""COMPUTED_VALUE"""),1050.0)</f>
        <v>1050</v>
      </c>
      <c r="S225" s="4">
        <f>IFERROR(__xludf.DUMMYFUNCTION("""COMPUTED_VALUE"""),850.0)</f>
        <v>850</v>
      </c>
      <c r="T225" s="1" t="str">
        <f>IFERROR(__xludf.DUMMYFUNCTION("""COMPUTED_VALUE"""),"NINGUNO")</f>
        <v>NINGUNO</v>
      </c>
      <c r="U225" s="1" t="str">
        <f>IFERROR(__xludf.DUMMYFUNCTION("""COMPUTED_VALUE"""),"FABIOLA")</f>
        <v>FABIOLA</v>
      </c>
      <c r="V225" s="1" t="str">
        <f>IFERROR(__xludf.DUMMYFUNCTION("""COMPUTED_VALUE"""),"Ninguno")</f>
        <v>Ninguno</v>
      </c>
      <c r="W225" s="1" t="str">
        <f>IFERROR(__xludf.DUMMYFUNCTION("""COMPUTED_VALUE"""),"Malla curricular")</f>
        <v>Malla curricular</v>
      </c>
      <c r="X225" s="1" t="str">
        <f>IFERROR(__xludf.DUMMYFUNCTION("""COMPUTED_VALUE"""),"-")</f>
        <v>-</v>
      </c>
      <c r="Y225" s="1" t="str">
        <f>IFERROR(__xludf.DUMMYFUNCTION("""COMPUTED_VALUE"""),"PAGO COMPLETO")</f>
        <v>PAGO COMPLETO</v>
      </c>
      <c r="Z225" s="1">
        <f>IFERROR(__xludf.DUMMYFUNCTION("""COMPUTED_VALUE"""),0.0)</f>
        <v>0</v>
      </c>
      <c r="AA225" s="1" t="str">
        <f>IFERROR(__xludf.DUMMYFUNCTION("""COMPUTED_VALUE"""),"-")</f>
        <v>-</v>
      </c>
      <c r="AB225" s="1">
        <f>IFERROR(__xludf.DUMMYFUNCTION("""COMPUTED_VALUE"""),0.0)</f>
        <v>0</v>
      </c>
      <c r="AC225" s="1">
        <f>IFERROR(__xludf.DUMMYFUNCTION("""COMPUTED_VALUE"""),0.0)</f>
        <v>0</v>
      </c>
      <c r="AD225" s="1" t="str">
        <f>IFERROR(__xludf.DUMMYFUNCTION("""COMPUTED_VALUE"""),"Stefano Napuri")</f>
        <v>Stefano Napuri</v>
      </c>
      <c r="AE225" s="1" t="str">
        <f>IFERROR(__xludf.DUMMYFUNCTION("""COMPUTED_VALUE"""),"0")</f>
        <v>0</v>
      </c>
      <c r="AF225" s="1">
        <f>IFERROR(__xludf.DUMMYFUNCTION("""COMPUTED_VALUE"""),2024.0)</f>
        <v>2024</v>
      </c>
      <c r="AG225" s="1">
        <f>IFERROR(__xludf.DUMMYFUNCTION("""COMPUTED_VALUE"""),340224.0)</f>
        <v>340224</v>
      </c>
      <c r="AH225" s="1">
        <f>IFERROR(__xludf.DUMMYFUNCTION("""COMPUTED_VALUE"""),17.0)</f>
        <v>17</v>
      </c>
      <c r="AI225" s="1" t="str">
        <f>IFERROR(__xludf.DUMMYFUNCTION("""COMPUTED_VALUE"""),"0000402514")</f>
        <v>0000402514</v>
      </c>
      <c r="AJ225" s="1">
        <f>IFERROR(__xludf.DUMMYFUNCTION("""COMPUTED_VALUE"""),7.0735217E7)</f>
        <v>70735217</v>
      </c>
      <c r="AK225" s="1">
        <f>IFERROR(__xludf.DUMMYFUNCTION("""COMPUTED_VALUE"""),9.44783809E8)</f>
        <v>944783809</v>
      </c>
      <c r="AL225" s="1" t="str">
        <f>IFERROR(__xludf.DUMMYFUNCTION("""COMPUTED_VALUE"""),"anavcorcuerad@gmail.com")</f>
        <v>anavcorcuerad@gmail.com</v>
      </c>
      <c r="AM225" s="1" t="str">
        <f>IFERROR(__xludf.DUMMYFUNCTION("""COMPUTED_VALUE"""),"FEMENINO")</f>
        <v>FEMENINO</v>
      </c>
      <c r="AN225" s="1">
        <f>IFERROR(__xludf.DUMMYFUNCTION("""COMPUTED_VALUE"""),1350.0)</f>
        <v>1350</v>
      </c>
      <c r="AO225" s="1">
        <f>IFERROR(__xludf.DUMMYFUNCTION("""COMPUTED_VALUE"""),0.0)</f>
        <v>0</v>
      </c>
      <c r="AP225" s="1" t="str">
        <f>IFERROR(__xludf.DUMMYFUNCTION("""COMPUTED_VALUE"""),"FORMULARIO")</f>
        <v>FORMULARIO</v>
      </c>
      <c r="AQ225" s="1" t="str">
        <f>IFERROR(__xludf.DUMMYFUNCTION("""COMPUTED_VALUE"""),"SEARCH MARCA")</f>
        <v>SEARCH MARCA</v>
      </c>
      <c r="AR225" s="1" t="str">
        <f>IFERROR(__xludf.DUMMYFUNCTION("""COMPUTED_VALUE"""),"NUEVO")</f>
        <v>NUEVO</v>
      </c>
      <c r="AS225" s="1" t="str">
        <f>IFERROR(__xludf.DUMMYFUNCTION("""COMPUTED_VALUE"""),"ucal-pg-performance-sedes-abierta-cpl-extensiones_beca_25_marca-20240520")</f>
        <v>ucal-pg-performance-sedes-abierta-cpl-extensiones_beca_25_marca-20240520</v>
      </c>
      <c r="AT225" s="2">
        <f>IFERROR(__xludf.DUMMYFUNCTION("""COMPUTED_VALUE"""),45524.0)</f>
        <v>45524</v>
      </c>
      <c r="AU225" s="1">
        <f>IFERROR(__xludf.DUMMYFUNCTION("""COMPUTED_VALUE"""),1.0)</f>
        <v>1</v>
      </c>
      <c r="AV225" s="1" t="str">
        <f>IFERROR(__xludf.DUMMYFUNCTION("""COMPUTED_VALUE"""),"NUEVO")</f>
        <v>NUEVO</v>
      </c>
      <c r="AW225" s="1" t="str">
        <f>IFERROR(__xludf.DUMMYFUNCTION("""COMPUTED_VALUE"""),"SI")</f>
        <v>SI</v>
      </c>
      <c r="AX225" s="1"/>
      <c r="AY225" s="1" t="str">
        <f>IFERROR(__xludf.DUMMYFUNCTION("""COMPUTED_VALUE"""),"PAGO COMPLETO")</f>
        <v>PAGO COMPLETO</v>
      </c>
      <c r="AZ225" s="5">
        <f>IFERROR(__xludf.DUMMYFUNCTION("""COMPUTED_VALUE"""),45626.0)</f>
        <v>45626</v>
      </c>
      <c r="BA225" s="1">
        <f>IFERROR(__xludf.DUMMYFUNCTION("""COMPUTED_VALUE"""),0.0)</f>
        <v>0</v>
      </c>
      <c r="BB225" s="1">
        <f>IFERROR(__xludf.DUMMYFUNCTION("""COMPUTED_VALUE"""),0.0)</f>
        <v>0</v>
      </c>
      <c r="BC225" s="4">
        <f>IFERROR(__xludf.DUMMYFUNCTION("""COMPUTED_VALUE"""),0.0)</f>
        <v>0</v>
      </c>
      <c r="BD225" s="4">
        <f>IFERROR(__xludf.DUMMYFUNCTION("""COMPUTED_VALUE"""),0.0)</f>
        <v>0</v>
      </c>
      <c r="BE225" s="1">
        <f>IFERROR(__xludf.DUMMYFUNCTION("""COMPUTED_VALUE"""),11.0)</f>
        <v>11</v>
      </c>
      <c r="BF225" s="6">
        <f>IFERROR(__xludf.DUMMYFUNCTION("""COMPUTED_VALUE"""),1.0)</f>
        <v>1</v>
      </c>
      <c r="BG225" s="1">
        <f>IFERROR(__xludf.DUMMYFUNCTION("""COMPUTED_VALUE"""),1.0)</f>
        <v>1</v>
      </c>
      <c r="BH225" s="1" t="str">
        <f>IFERROR(__xludf.DUMMYFUNCTION("""COMPUTED_VALUE"""),"0")</f>
        <v>0</v>
      </c>
      <c r="BI225" s="4">
        <f>IFERROR(__xludf.DUMMYFUNCTION("""COMPUTED_VALUE"""),0.0)</f>
        <v>0</v>
      </c>
      <c r="BJ225" s="1">
        <f>IFERROR(__xludf.DUMMYFUNCTION("""COMPUTED_VALUE"""),0.0)</f>
        <v>0</v>
      </c>
      <c r="BK225" s="4">
        <f>IFERROR(__xludf.DUMMYFUNCTION("""COMPUTED_VALUE"""),0.0)</f>
        <v>0</v>
      </c>
      <c r="BL225" s="1">
        <f>IFERROR(__xludf.DUMMYFUNCTION("""COMPUTED_VALUE"""),850.0)</f>
        <v>850</v>
      </c>
      <c r="BM225" s="1">
        <f>IFERROR(__xludf.DUMMYFUNCTION("""COMPUTED_VALUE"""),48.0)</f>
        <v>48</v>
      </c>
      <c r="BN225" s="2">
        <f>IFERROR(__xludf.DUMMYFUNCTION("""COMPUTED_VALUE"""),45621.0)</f>
        <v>45621</v>
      </c>
      <c r="BO225" s="1">
        <f>IFERROR(__xludf.DUMMYFUNCTION("""COMPUTED_VALUE"""),11.0)</f>
        <v>11</v>
      </c>
      <c r="BP225" s="1">
        <f>IFERROR(__xludf.DUMMYFUNCTION("""COMPUTED_VALUE"""),2024.0)</f>
        <v>2024</v>
      </c>
    </row>
    <row r="226">
      <c r="A226" s="1">
        <f>IFERROR(__xludf.DUMMYFUNCTION("""COMPUTED_VALUE"""),225.0)</f>
        <v>225</v>
      </c>
      <c r="B226" s="1">
        <f>IFERROR(__xludf.DUMMYFUNCTION("""COMPUTED_VALUE"""),4837481.0)</f>
        <v>4837481</v>
      </c>
      <c r="C226" s="1" t="str">
        <f>IFERROR(__xludf.DUMMYFUNCTION("""COMPUTED_VALUE"""),"2025-1")</f>
        <v>2025-1</v>
      </c>
      <c r="D226" s="1" t="str">
        <f>IFERROR(__xludf.DUMMYFUNCTION("""COMPUTED_VALUE"""),"Admisión Ordinaria")</f>
        <v>Admisión Ordinaria</v>
      </c>
      <c r="E226" s="2">
        <f>IFERROR(__xludf.DUMMYFUNCTION("""COMPUTED_VALUE"""),45627.0)</f>
        <v>45627</v>
      </c>
      <c r="F226" s="1" t="str">
        <f>IFERROR(__xludf.DUMMYFUNCTION("""COMPUTED_VALUE"""),"YEDA SHARLOTTE ")</f>
        <v>YEDA SHARLOTTE </v>
      </c>
      <c r="G226" s="1" t="str">
        <f>IFERROR(__xludf.DUMMYFUNCTION("""COMPUTED_VALUE"""),"GONZALES BELLIDO")</f>
        <v>GONZALES BELLIDO</v>
      </c>
      <c r="H226" s="1" t="str">
        <f>IFERROR(__xludf.DUMMYFUNCTION("""COMPUTED_VALUE"""),"Administración y Marketing")</f>
        <v>Administración y Marketing</v>
      </c>
      <c r="I226" s="1" t="str">
        <f>IFERROR(__xludf.DUMMYFUNCTION("""COMPUTED_VALUE"""),"CARGO")</f>
        <v>CARGO</v>
      </c>
      <c r="J226" s="1" t="str">
        <f>IFERROR(__xludf.DUMMYFUNCTION("""COMPUTED_VALUE"""),"Diurno")</f>
        <v>Diurno</v>
      </c>
      <c r="K226" s="1" t="str">
        <f>IFERROR(__xludf.DUMMYFUNCTION("""COMPUTED_VALUE"""),"NUEVO")</f>
        <v>NUEVO</v>
      </c>
      <c r="L226" s="1">
        <f>IFERROR(__xludf.DUMMYFUNCTION("""COMPUTED_VALUE"""),0.0)</f>
        <v>0</v>
      </c>
      <c r="M226" s="1">
        <f>IFERROR(__xludf.DUMMYFUNCTION("""COMPUTED_VALUE"""),0.0)</f>
        <v>0</v>
      </c>
      <c r="N226" s="1" t="str">
        <f>IFERROR(__xludf.DUMMYFUNCTION("""COMPUTED_VALUE"""),"BECA")</f>
        <v>BECA</v>
      </c>
      <c r="O226" s="1" t="str">
        <f>IFERROR(__xludf.DUMMYFUNCTION("""COMPUTED_VALUE"""),"BECA CARRERAS NUEVAS")</f>
        <v>BECA CARRERAS NUEVAS</v>
      </c>
      <c r="P226" s="4">
        <f>IFERROR(__xludf.DUMMYFUNCTION("""COMPUTED_VALUE"""),0.0)</f>
        <v>0</v>
      </c>
      <c r="Q226" s="4">
        <f>IFERROR(__xludf.DUMMYFUNCTION("""COMPUTED_VALUE"""),0.0)</f>
        <v>0</v>
      </c>
      <c r="R226" s="4">
        <f>IFERROR(__xludf.DUMMYFUNCTION("""COMPUTED_VALUE"""),1150.0)</f>
        <v>1150</v>
      </c>
      <c r="S226" s="4">
        <f>IFERROR(__xludf.DUMMYFUNCTION("""COMPUTED_VALUE"""),1050.0)</f>
        <v>1050</v>
      </c>
      <c r="T226" s="1" t="str">
        <f>IFERROR(__xludf.DUMMYFUNCTION("""COMPUTED_VALUE"""),"PALANCA 700")</f>
        <v>PALANCA 700</v>
      </c>
      <c r="U226" s="1" t="str">
        <f>IFERROR(__xludf.DUMMYFUNCTION("""COMPUTED_VALUE"""),"FABIOLA")</f>
        <v>FABIOLA</v>
      </c>
      <c r="V226" s="1" t="str">
        <f>IFERROR(__xludf.DUMMYFUNCTION("""COMPUTED_VALUE"""),"Ninguno")</f>
        <v>Ninguno</v>
      </c>
      <c r="W226" s="1" t="str">
        <f>IFERROR(__xludf.DUMMYFUNCTION("""COMPUTED_VALUE"""),"Prestigio de la institución")</f>
        <v>Prestigio de la institución</v>
      </c>
      <c r="X226" s="1" t="str">
        <f>IFERROR(__xludf.DUMMYFUNCTION("""COMPUTED_VALUE"""),"Alumna pagara 700 en la primera cuota")</f>
        <v>Alumna pagara 700 en la primera cuota</v>
      </c>
      <c r="Y226" s="1" t="str">
        <f>IFERROR(__xludf.DUMMYFUNCTION("""COMPUTED_VALUE"""),"PAGO COMPLETO")</f>
        <v>PAGO COMPLETO</v>
      </c>
      <c r="Z226" s="1">
        <f>IFERROR(__xludf.DUMMYFUNCTION("""COMPUTED_VALUE"""),0.0)</f>
        <v>0</v>
      </c>
      <c r="AA226" s="1" t="str">
        <f>IFERROR(__xludf.DUMMYFUNCTION("""COMPUTED_VALUE"""),"-")</f>
        <v>-</v>
      </c>
      <c r="AB226" s="1">
        <f>IFERROR(__xludf.DUMMYFUNCTION("""COMPUTED_VALUE"""),1.0)</f>
        <v>1</v>
      </c>
      <c r="AC226" s="1">
        <f>IFERROR(__xludf.DUMMYFUNCTION("""COMPUTED_VALUE"""),1.0)</f>
        <v>1</v>
      </c>
      <c r="AD226" s="1" t="str">
        <f>IFERROR(__xludf.DUMMYFUNCTION("""COMPUTED_VALUE"""),"Andrea Araujo Antara")</f>
        <v>Andrea Araujo Antara</v>
      </c>
      <c r="AE226" s="1" t="str">
        <f>IFERROR(__xludf.DUMMYFUNCTION("""COMPUTED_VALUE"""),"0")</f>
        <v>0</v>
      </c>
      <c r="AF226" s="1">
        <f>IFERROR(__xludf.DUMMYFUNCTION("""COMPUTED_VALUE"""),2024.0)</f>
        <v>2024</v>
      </c>
      <c r="AG226" s="1">
        <f>IFERROR(__xludf.DUMMYFUNCTION("""COMPUTED_VALUE"""),329755.0)</f>
        <v>329755</v>
      </c>
      <c r="AH226" s="1">
        <f>IFERROR(__xludf.DUMMYFUNCTION("""COMPUTED_VALUE"""),17.0)</f>
        <v>17</v>
      </c>
      <c r="AI226" s="1" t="str">
        <f>IFERROR(__xludf.DUMMYFUNCTION("""COMPUTED_VALUE"""),"0000402542")</f>
        <v>0000402542</v>
      </c>
      <c r="AJ226" s="1">
        <f>IFERROR(__xludf.DUMMYFUNCTION("""COMPUTED_VALUE"""),6.1225508E7)</f>
        <v>61225508</v>
      </c>
      <c r="AK226" s="1">
        <f>IFERROR(__xludf.DUMMYFUNCTION("""COMPUTED_VALUE"""),9.02782037E8)</f>
        <v>902782037</v>
      </c>
      <c r="AL226" s="1" t="str">
        <f>IFERROR(__xludf.DUMMYFUNCTION("""COMPUTED_VALUE"""),"shxrlotte147@gmail.com")</f>
        <v>shxrlotte147@gmail.com</v>
      </c>
      <c r="AM226" s="1" t="str">
        <f>IFERROR(__xludf.DUMMYFUNCTION("""COMPUTED_VALUE"""),"FEMENINO")</f>
        <v>FEMENINO</v>
      </c>
      <c r="AN226" s="1">
        <f>IFERROR(__xludf.DUMMYFUNCTION("""COMPUTED_VALUE"""),1350.0)</f>
        <v>1350</v>
      </c>
      <c r="AO226" s="1">
        <f>IFERROR(__xludf.DUMMYFUNCTION("""COMPUTED_VALUE"""),0.0)</f>
        <v>0</v>
      </c>
      <c r="AP226" s="1" t="str">
        <f>IFERROR(__xludf.DUMMYFUNCTION("""COMPUTED_VALUE"""),"FORMULARIO")</f>
        <v>FORMULARIO</v>
      </c>
      <c r="AQ226" s="1" t="str">
        <f>IFERROR(__xludf.DUMMYFUNCTION("""COMPUTED_VALUE"""),"SEARCH MARCA")</f>
        <v>SEARCH MARCA</v>
      </c>
      <c r="AR226" s="1" t="str">
        <f>IFERROR(__xludf.DUMMYFUNCTION("""COMPUTED_VALUE"""),"NUEVO")</f>
        <v>NUEVO</v>
      </c>
      <c r="AS226" s="1" t="str">
        <f>IFERROR(__xludf.DUMMYFUNCTION("""COMPUTED_VALUE"""),"ucal-pg-performance-sedes-abierta-cpl-search_conversion_marca-20240401")</f>
        <v>ucal-pg-performance-sedes-abierta-cpl-search_conversion_marca-20240401</v>
      </c>
      <c r="AT226" s="2">
        <f>IFERROR(__xludf.DUMMYFUNCTION("""COMPUTED_VALUE"""),45627.0)</f>
        <v>45627</v>
      </c>
      <c r="AU226" s="1">
        <f>IFERROR(__xludf.DUMMYFUNCTION("""COMPUTED_VALUE"""),1.0)</f>
        <v>1</v>
      </c>
      <c r="AV226" s="1" t="str">
        <f>IFERROR(__xludf.DUMMYFUNCTION("""COMPUTED_VALUE"""),"NUEVO")</f>
        <v>NUEVO</v>
      </c>
      <c r="AW226" s="1" t="str">
        <f>IFERROR(__xludf.DUMMYFUNCTION("""COMPUTED_VALUE"""),"SI")</f>
        <v>SI</v>
      </c>
      <c r="AX226" s="1"/>
      <c r="AY226" s="1" t="str">
        <f>IFERROR(__xludf.DUMMYFUNCTION("""COMPUTED_VALUE"""),"PAGO COMPLETO")</f>
        <v>PAGO COMPLETO</v>
      </c>
      <c r="AZ226" s="5">
        <f>IFERROR(__xludf.DUMMYFUNCTION("""COMPUTED_VALUE"""),45627.0)</f>
        <v>45627</v>
      </c>
      <c r="BA226" s="1">
        <f>IFERROR(__xludf.DUMMYFUNCTION("""COMPUTED_VALUE"""),0.0)</f>
        <v>0</v>
      </c>
      <c r="BB226" s="1">
        <f>IFERROR(__xludf.DUMMYFUNCTION("""COMPUTED_VALUE"""),0.0)</f>
        <v>0</v>
      </c>
      <c r="BC226" s="4">
        <f>IFERROR(__xludf.DUMMYFUNCTION("""COMPUTED_VALUE"""),0.0)</f>
        <v>0</v>
      </c>
      <c r="BD226" s="4">
        <f>IFERROR(__xludf.DUMMYFUNCTION("""COMPUTED_VALUE"""),350.0)</f>
        <v>350</v>
      </c>
      <c r="BE226" s="1">
        <f>IFERROR(__xludf.DUMMYFUNCTION("""COMPUTED_VALUE"""),12.0)</f>
        <v>12</v>
      </c>
      <c r="BF226" s="6">
        <f>IFERROR(__xludf.DUMMYFUNCTION("""COMPUTED_VALUE"""),1.0)</f>
        <v>1</v>
      </c>
      <c r="BG226" s="1">
        <f>IFERROR(__xludf.DUMMYFUNCTION("""COMPUTED_VALUE"""),1.0)</f>
        <v>1</v>
      </c>
      <c r="BH226" s="1" t="str">
        <f>IFERROR(__xludf.DUMMYFUNCTION("""COMPUTED_VALUE"""),"0")</f>
        <v>0</v>
      </c>
      <c r="BI226" s="4">
        <f>IFERROR(__xludf.DUMMYFUNCTION("""COMPUTED_VALUE"""),350.0)</f>
        <v>350</v>
      </c>
      <c r="BJ226" s="1">
        <f>IFERROR(__xludf.DUMMYFUNCTION("""COMPUTED_VALUE"""),0.0)</f>
        <v>0</v>
      </c>
      <c r="BK226" s="4">
        <f>IFERROR(__xludf.DUMMYFUNCTION("""COMPUTED_VALUE"""),350.0)</f>
        <v>350</v>
      </c>
      <c r="BL226" s="1">
        <f>IFERROR(__xludf.DUMMYFUNCTION("""COMPUTED_VALUE"""),980.0)</f>
        <v>980</v>
      </c>
      <c r="BM226" s="1">
        <f>IFERROR(__xludf.DUMMYFUNCTION("""COMPUTED_VALUE"""),48.0)</f>
        <v>48</v>
      </c>
      <c r="BN226" s="2">
        <f>IFERROR(__xludf.DUMMYFUNCTION("""COMPUTED_VALUE"""),45621.0)</f>
        <v>45621</v>
      </c>
      <c r="BO226" s="1">
        <f>IFERROR(__xludf.DUMMYFUNCTION("""COMPUTED_VALUE"""),12.0)</f>
        <v>12</v>
      </c>
      <c r="BP226" s="1">
        <f>IFERROR(__xludf.DUMMYFUNCTION("""COMPUTED_VALUE"""),2024.0)</f>
        <v>2024</v>
      </c>
    </row>
    <row r="227">
      <c r="A227" s="1">
        <f>IFERROR(__xludf.DUMMYFUNCTION("""COMPUTED_VALUE"""),226.0)</f>
        <v>226</v>
      </c>
      <c r="B227" s="1">
        <f>IFERROR(__xludf.DUMMYFUNCTION("""COMPUTED_VALUE"""),4412647.0)</f>
        <v>4412647</v>
      </c>
      <c r="C227" s="1" t="str">
        <f>IFERROR(__xludf.DUMMYFUNCTION("""COMPUTED_VALUE"""),"2025-1")</f>
        <v>2025-1</v>
      </c>
      <c r="D227" s="1" t="str">
        <f>IFERROR(__xludf.DUMMYFUNCTION("""COMPUTED_VALUE"""),"Admisión de Alto Rendimiento")</f>
        <v>Admisión de Alto Rendimiento</v>
      </c>
      <c r="E227" s="2">
        <f>IFERROR(__xludf.DUMMYFUNCTION("""COMPUTED_VALUE"""),45627.0)</f>
        <v>45627</v>
      </c>
      <c r="F227" s="1" t="str">
        <f>IFERROR(__xludf.DUMMYFUNCTION("""COMPUTED_VALUE"""),"LUZ DAYANI SALOME")</f>
        <v>LUZ DAYANI SALOME</v>
      </c>
      <c r="G227" s="1" t="str">
        <f>IFERROR(__xludf.DUMMYFUNCTION("""COMPUTED_VALUE"""),"PALACIOS VILLAR")</f>
        <v>PALACIOS VILLAR</v>
      </c>
      <c r="H227" s="1" t="str">
        <f>IFERROR(__xludf.DUMMYFUNCTION("""COMPUTED_VALUE"""),"Comunicación Audiovisual y Cine")</f>
        <v>Comunicación Audiovisual y Cine</v>
      </c>
      <c r="I227" s="1" t="str">
        <f>IFERROR(__xludf.DUMMYFUNCTION("""COMPUTED_VALUE"""),"Pago Link")</f>
        <v>Pago Link</v>
      </c>
      <c r="J227" s="1" t="str">
        <f>IFERROR(__xludf.DUMMYFUNCTION("""COMPUTED_VALUE"""),"Diurno")</f>
        <v>Diurno</v>
      </c>
      <c r="K227" s="1" t="str">
        <f>IFERROR(__xludf.DUMMYFUNCTION("""COMPUTED_VALUE"""),"NUEVO")</f>
        <v>NUEVO</v>
      </c>
      <c r="L227" s="1">
        <f>IFERROR(__xludf.DUMMYFUNCTION("""COMPUTED_VALUE"""),0.0)</f>
        <v>0</v>
      </c>
      <c r="M227" s="1">
        <f>IFERROR(__xludf.DUMMYFUNCTION("""COMPUTED_VALUE"""),0.0)</f>
        <v>0</v>
      </c>
      <c r="N227" s="1" t="str">
        <f>IFERROR(__xludf.DUMMYFUNCTION("""COMPUTED_VALUE"""),"BECA")</f>
        <v>BECA</v>
      </c>
      <c r="O227" s="1" t="str">
        <f>IFERROR(__xludf.DUMMYFUNCTION("""COMPUTED_VALUE"""),"BECA CARRERAS CORE")</f>
        <v>BECA CARRERAS CORE</v>
      </c>
      <c r="P227" s="4">
        <f>IFERROR(__xludf.DUMMYFUNCTION("""COMPUTED_VALUE"""),0.0)</f>
        <v>0</v>
      </c>
      <c r="Q227" s="4">
        <f>IFERROR(__xludf.DUMMYFUNCTION("""COMPUTED_VALUE"""),0.0)</f>
        <v>0</v>
      </c>
      <c r="R227" s="4">
        <f>IFERROR(__xludf.DUMMYFUNCTION("""COMPUTED_VALUE"""),1600.0)</f>
        <v>1600</v>
      </c>
      <c r="S227" s="4">
        <f>IFERROR(__xludf.DUMMYFUNCTION("""COMPUTED_VALUE"""),1280.0)</f>
        <v>1280</v>
      </c>
      <c r="T227" s="1" t="str">
        <f>IFERROR(__xludf.DUMMYFUNCTION("""COMPUTED_VALUE"""),"Visita Guiada")</f>
        <v>Visita Guiada</v>
      </c>
      <c r="U227" s="1" t="str">
        <f>IFERROR(__xludf.DUMMYFUNCTION("""COMPUTED_VALUE"""),"RODRIGO")</f>
        <v>RODRIGO</v>
      </c>
      <c r="V227" s="1" t="str">
        <f>IFERROR(__xludf.DUMMYFUNCTION("""COMPUTED_VALUE"""),"Ninguno")</f>
        <v>Ninguno</v>
      </c>
      <c r="W227" s="1" t="str">
        <f>IFERROR(__xludf.DUMMYFUNCTION("""COMPUTED_VALUE"""),"Malla curricular")</f>
        <v>Malla curricular</v>
      </c>
      <c r="X227" s="1" t="str">
        <f>IFERROR(__xludf.DUMMYFUNCTION("""COMPUTED_VALUE"""),"-")</f>
        <v>-</v>
      </c>
      <c r="Y227" s="1" t="str">
        <f>IFERROR(__xludf.DUMMYFUNCTION("""COMPUTED_VALUE"""),"PAGO FRACCIONADO")</f>
        <v>PAGO FRACCIONADO</v>
      </c>
      <c r="Z227" s="1">
        <f>IFERROR(__xludf.DUMMYFUNCTION("""COMPUTED_VALUE"""),600.0)</f>
        <v>600</v>
      </c>
      <c r="AA227" s="1" t="str">
        <f>IFERROR(__xludf.DUMMYFUNCTION("""COMPUTED_VALUE"""),"5/12/2024")</f>
        <v>5/12/2024</v>
      </c>
      <c r="AB227" s="1">
        <f>IFERROR(__xludf.DUMMYFUNCTION("""COMPUTED_VALUE"""),0.0)</f>
        <v>0</v>
      </c>
      <c r="AC227" s="1">
        <f>IFERROR(__xludf.DUMMYFUNCTION("""COMPUTED_VALUE"""),0.0)</f>
        <v>0</v>
      </c>
      <c r="AD227" s="1" t="str">
        <f>IFERROR(__xludf.DUMMYFUNCTION("""COMPUTED_VALUE"""),"Angelica Iparraguirre")</f>
        <v>Angelica Iparraguirre</v>
      </c>
      <c r="AE227" s="1" t="str">
        <f>IFERROR(__xludf.DUMMYFUNCTION("""COMPUTED_VALUE"""),"0")</f>
        <v>0</v>
      </c>
      <c r="AF227" s="1">
        <f>IFERROR(__xludf.DUMMYFUNCTION("""COMPUTED_VALUE"""),2024.0)</f>
        <v>2024</v>
      </c>
      <c r="AG227" s="1">
        <f>IFERROR(__xludf.DUMMYFUNCTION("""COMPUTED_VALUE"""),1066109.0)</f>
        <v>1066109</v>
      </c>
      <c r="AH227" s="1">
        <f>IFERROR(__xludf.DUMMYFUNCTION("""COMPUTED_VALUE"""),16.0)</f>
        <v>16</v>
      </c>
      <c r="AI227" s="1" t="str">
        <f>IFERROR(__xludf.DUMMYFUNCTION("""COMPUTED_VALUE"""),"0000402546")</f>
        <v>0000402546</v>
      </c>
      <c r="AJ227" s="1">
        <f>IFERROR(__xludf.DUMMYFUNCTION("""COMPUTED_VALUE"""),7.1158685E7)</f>
        <v>71158685</v>
      </c>
      <c r="AK227" s="1">
        <f>IFERROR(__xludf.DUMMYFUNCTION("""COMPUTED_VALUE"""),9.14049823E8)</f>
        <v>914049823</v>
      </c>
      <c r="AL227" s="1" t="str">
        <f>IFERROR(__xludf.DUMMYFUNCTION("""COMPUTED_VALUE"""),"ynttel@gmail.com")</f>
        <v>ynttel@gmail.com</v>
      </c>
      <c r="AM227" s="1" t="str">
        <f>IFERROR(__xludf.DUMMYFUNCTION("""COMPUTED_VALUE"""),"FEMENINO")</f>
        <v>FEMENINO</v>
      </c>
      <c r="AN227" s="1">
        <f>IFERROR(__xludf.DUMMYFUNCTION("""COMPUTED_VALUE"""),1775.0)</f>
        <v>1775</v>
      </c>
      <c r="AO227" s="1">
        <f>IFERROR(__xludf.DUMMYFUNCTION("""COMPUTED_VALUE"""),410.0)</f>
        <v>410</v>
      </c>
      <c r="AP227" s="1" t="str">
        <f>IFERROR(__xludf.DUMMYFUNCTION("""COMPUTED_VALUE"""),"COLEGIOS")</f>
        <v>COLEGIOS</v>
      </c>
      <c r="AQ227" s="1" t="str">
        <f>IFERROR(__xludf.DUMMYFUNCTION("""COMPUTED_VALUE"""),"COLEGIOS")</f>
        <v>COLEGIOS</v>
      </c>
      <c r="AR227" s="1" t="str">
        <f>IFERROR(__xludf.DUMMYFUNCTION("""COMPUTED_VALUE"""),"NUEVO")</f>
        <v>NUEVO</v>
      </c>
      <c r="AS227" s="1"/>
      <c r="AT227" s="2">
        <f>IFERROR(__xludf.DUMMYFUNCTION("""COMPUTED_VALUE"""),45505.0)</f>
        <v>45505</v>
      </c>
      <c r="AU227" s="1">
        <f>IFERROR(__xludf.DUMMYFUNCTION("""COMPUTED_VALUE"""),1.0)</f>
        <v>1</v>
      </c>
      <c r="AV227" s="1" t="str">
        <f>IFERROR(__xludf.DUMMYFUNCTION("""COMPUTED_VALUE"""),"NUEVO")</f>
        <v>NUEVO</v>
      </c>
      <c r="AW227" s="1" t="str">
        <f>IFERROR(__xludf.DUMMYFUNCTION("""COMPUTED_VALUE"""),"SI")</f>
        <v>SI</v>
      </c>
      <c r="AX227" s="1"/>
      <c r="AY227" s="1" t="str">
        <f>IFERROR(__xludf.DUMMYFUNCTION("""COMPUTED_VALUE"""),"PAGO COMPLETO")</f>
        <v>PAGO COMPLETO</v>
      </c>
      <c r="AZ227" s="5">
        <f>IFERROR(__xludf.DUMMYFUNCTION("""COMPUTED_VALUE"""),45633.0)</f>
        <v>45633</v>
      </c>
      <c r="BA227" s="1">
        <f>IFERROR(__xludf.DUMMYFUNCTION("""COMPUTED_VALUE"""),580.0)</f>
        <v>580</v>
      </c>
      <c r="BB227" s="1">
        <f>IFERROR(__xludf.DUMMYFUNCTION("""COMPUTED_VALUE"""),0.0)</f>
        <v>0</v>
      </c>
      <c r="BC227" s="4">
        <f>IFERROR(__xludf.DUMMYFUNCTION("""COMPUTED_VALUE"""),0.0)</f>
        <v>0</v>
      </c>
      <c r="BD227" s="4">
        <f>IFERROR(__xludf.DUMMYFUNCTION("""COMPUTED_VALUE"""),100.0)</f>
        <v>100</v>
      </c>
      <c r="BE227" s="1">
        <f>IFERROR(__xludf.DUMMYFUNCTION("""COMPUTED_VALUE"""),12.0)</f>
        <v>12</v>
      </c>
      <c r="BF227" s="6">
        <f>IFERROR(__xludf.DUMMYFUNCTION("""COMPUTED_VALUE"""),1.0)</f>
        <v>1</v>
      </c>
      <c r="BG227" s="1">
        <f>IFERROR(__xludf.DUMMYFUNCTION("""COMPUTED_VALUE"""),1.0)</f>
        <v>1</v>
      </c>
      <c r="BH227" s="1" t="str">
        <f>IFERROR(__xludf.DUMMYFUNCTION("""COMPUTED_VALUE"""),"0")</f>
        <v>0</v>
      </c>
      <c r="BI227" s="4">
        <f>IFERROR(__xludf.DUMMYFUNCTION("""COMPUTED_VALUE"""),1280.0)</f>
        <v>1280</v>
      </c>
      <c r="BJ227" s="1">
        <f>IFERROR(__xludf.DUMMYFUNCTION("""COMPUTED_VALUE"""),0.0)</f>
        <v>0</v>
      </c>
      <c r="BK227" s="4">
        <f>IFERROR(__xludf.DUMMYFUNCTION("""COMPUTED_VALUE"""),100.0)</f>
        <v>100</v>
      </c>
      <c r="BL227" s="1">
        <f>IFERROR(__xludf.DUMMYFUNCTION("""COMPUTED_VALUE"""),1260.0)</f>
        <v>1260</v>
      </c>
      <c r="BM227" s="1">
        <f>IFERROR(__xludf.DUMMYFUNCTION("""COMPUTED_VALUE"""),48.0)</f>
        <v>48</v>
      </c>
      <c r="BN227" s="2">
        <f>IFERROR(__xludf.DUMMYFUNCTION("""COMPUTED_VALUE"""),45621.0)</f>
        <v>45621</v>
      </c>
      <c r="BO227" s="1">
        <f>IFERROR(__xludf.DUMMYFUNCTION("""COMPUTED_VALUE"""),12.0)</f>
        <v>12</v>
      </c>
      <c r="BP227" s="1">
        <f>IFERROR(__xludf.DUMMYFUNCTION("""COMPUTED_VALUE"""),2024.0)</f>
        <v>2024</v>
      </c>
    </row>
    <row r="228">
      <c r="A228" s="1">
        <f>IFERROR(__xludf.DUMMYFUNCTION("""COMPUTED_VALUE"""),227.0)</f>
        <v>227</v>
      </c>
      <c r="B228" s="1">
        <f>IFERROR(__xludf.DUMMYFUNCTION("""COMPUTED_VALUE"""),4593430.0)</f>
        <v>4593430</v>
      </c>
      <c r="C228" s="1" t="str">
        <f>IFERROR(__xludf.DUMMYFUNCTION("""COMPUTED_VALUE"""),"2025-1")</f>
        <v>2025-1</v>
      </c>
      <c r="D228" s="1" t="str">
        <f>IFERROR(__xludf.DUMMYFUNCTION("""COMPUTED_VALUE"""),"Admisión de Alto Rendimiento")</f>
        <v>Admisión de Alto Rendimiento</v>
      </c>
      <c r="E228" s="2">
        <f>IFERROR(__xludf.DUMMYFUNCTION("""COMPUTED_VALUE"""),45628.0)</f>
        <v>45628</v>
      </c>
      <c r="F228" s="1" t="str">
        <f>IFERROR(__xludf.DUMMYFUNCTION("""COMPUTED_VALUE"""),"COLIN RAYHAN ")</f>
        <v>COLIN RAYHAN </v>
      </c>
      <c r="G228" s="1" t="str">
        <f>IFERROR(__xludf.DUMMYFUNCTION("""COMPUTED_VALUE"""),"YACHACHIN COLAN")</f>
        <v>YACHACHIN COLAN</v>
      </c>
      <c r="H228" s="1" t="str">
        <f>IFERROR(__xludf.DUMMYFUNCTION("""COMPUTED_VALUE"""),"Comunicación Audiovisual y Cine")</f>
        <v>Comunicación Audiovisual y Cine</v>
      </c>
      <c r="I228" s="1" t="str">
        <f>IFERROR(__xludf.DUMMYFUNCTION("""COMPUTED_VALUE"""),"CARGO")</f>
        <v>CARGO</v>
      </c>
      <c r="J228" s="1" t="str">
        <f>IFERROR(__xludf.DUMMYFUNCTION("""COMPUTED_VALUE"""),"Diurno")</f>
        <v>Diurno</v>
      </c>
      <c r="K228" s="1" t="str">
        <f>IFERROR(__xludf.DUMMYFUNCTION("""COMPUTED_VALUE"""),"NUEVO")</f>
        <v>NUEVO</v>
      </c>
      <c r="L228" s="1">
        <f>IFERROR(__xludf.DUMMYFUNCTION("""COMPUTED_VALUE"""),0.0)</f>
        <v>0</v>
      </c>
      <c r="M228" s="1">
        <f>IFERROR(__xludf.DUMMYFUNCTION("""COMPUTED_VALUE"""),0.0)</f>
        <v>0</v>
      </c>
      <c r="N228" s="1" t="str">
        <f>IFERROR(__xludf.DUMMYFUNCTION("""COMPUTED_VALUE"""),"BECA")</f>
        <v>BECA</v>
      </c>
      <c r="O228" s="1" t="str">
        <f>IFERROR(__xludf.DUMMYFUNCTION("""COMPUTED_VALUE"""),"BECA CARRERAS CORE")</f>
        <v>BECA CARRERAS CORE</v>
      </c>
      <c r="P228" s="4">
        <f>IFERROR(__xludf.DUMMYFUNCTION("""COMPUTED_VALUE"""),0.0)</f>
        <v>0</v>
      </c>
      <c r="Q228" s="4">
        <f>IFERROR(__xludf.DUMMYFUNCTION("""COMPUTED_VALUE"""),0.0)</f>
        <v>0</v>
      </c>
      <c r="R228" s="4">
        <f>IFERROR(__xludf.DUMMYFUNCTION("""COMPUTED_VALUE"""),1600.0)</f>
        <v>1600</v>
      </c>
      <c r="S228" s="4">
        <f>IFERROR(__xludf.DUMMYFUNCTION("""COMPUTED_VALUE"""),1280.0)</f>
        <v>1280</v>
      </c>
      <c r="T228" s="1" t="str">
        <f>IFERROR(__xludf.DUMMYFUNCTION("""COMPUTED_VALUE"""),"NINGUNO")</f>
        <v>NINGUNO</v>
      </c>
      <c r="U228" s="1" t="str">
        <f>IFERROR(__xludf.DUMMYFUNCTION("""COMPUTED_VALUE"""),"FABIOLA")</f>
        <v>FABIOLA</v>
      </c>
      <c r="V228" s="1" t="str">
        <f>IFERROR(__xludf.DUMMYFUNCTION("""COMPUTED_VALUE"""),"Ninguno")</f>
        <v>Ninguno</v>
      </c>
      <c r="W228" s="1" t="str">
        <f>IFERROR(__xludf.DUMMYFUNCTION("""COMPUTED_VALUE"""),"Flexibilidad de horarios")</f>
        <v>Flexibilidad de horarios</v>
      </c>
      <c r="X228" s="1" t="str">
        <f>IFERROR(__xludf.DUMMYFUNCTION("""COMPUTED_VALUE"""),"-")</f>
        <v>-</v>
      </c>
      <c r="Y228" s="1" t="str">
        <f>IFERROR(__xludf.DUMMYFUNCTION("""COMPUTED_VALUE"""),"PAGO COMPLETO")</f>
        <v>PAGO COMPLETO</v>
      </c>
      <c r="Z228" s="1">
        <f>IFERROR(__xludf.DUMMYFUNCTION("""COMPUTED_VALUE"""),0.0)</f>
        <v>0</v>
      </c>
      <c r="AA228" s="1" t="str">
        <f>IFERROR(__xludf.DUMMYFUNCTION("""COMPUTED_VALUE"""),"-")</f>
        <v>-</v>
      </c>
      <c r="AB228" s="1">
        <f>IFERROR(__xludf.DUMMYFUNCTION("""COMPUTED_VALUE"""),0.0)</f>
        <v>0</v>
      </c>
      <c r="AC228" s="1">
        <f>IFERROR(__xludf.DUMMYFUNCTION("""COMPUTED_VALUE"""),0.0)</f>
        <v>0</v>
      </c>
      <c r="AD228" s="1" t="str">
        <f>IFERROR(__xludf.DUMMYFUNCTION("""COMPUTED_VALUE"""),"Ingrid Guillermo Rivera")</f>
        <v>Ingrid Guillermo Rivera</v>
      </c>
      <c r="AE228" s="1" t="str">
        <f>IFERROR(__xludf.DUMMYFUNCTION("""COMPUTED_VALUE"""),"0")</f>
        <v>0</v>
      </c>
      <c r="AF228" s="1">
        <f>IFERROR(__xludf.DUMMYFUNCTION("""COMPUTED_VALUE"""),2024.0)</f>
        <v>2024</v>
      </c>
      <c r="AG228" s="1">
        <f>IFERROR(__xludf.DUMMYFUNCTION("""COMPUTED_VALUE"""),1371665.0)</f>
        <v>1371665</v>
      </c>
      <c r="AH228" s="1">
        <f>IFERROR(__xludf.DUMMYFUNCTION("""COMPUTED_VALUE"""),17.0)</f>
        <v>17</v>
      </c>
      <c r="AI228" s="1" t="str">
        <f>IFERROR(__xludf.DUMMYFUNCTION("""COMPUTED_VALUE"""),"0000402638")</f>
        <v>0000402638</v>
      </c>
      <c r="AJ228" s="1">
        <f>IFERROR(__xludf.DUMMYFUNCTION("""COMPUTED_VALUE"""),6.1196477E7)</f>
        <v>61196477</v>
      </c>
      <c r="AK228" s="1">
        <f>IFERROR(__xludf.DUMMYFUNCTION("""COMPUTED_VALUE"""),9.20526259E8)</f>
        <v>920526259</v>
      </c>
      <c r="AL228" s="1" t="str">
        <f>IFERROR(__xludf.DUMMYFUNCTION("""COMPUTED_VALUE"""),"Eyachachin@gmail.com")</f>
        <v>Eyachachin@gmail.com</v>
      </c>
      <c r="AM228" s="1" t="str">
        <f>IFERROR(__xludf.DUMMYFUNCTION("""COMPUTED_VALUE"""),"MASCULINO")</f>
        <v>MASCULINO</v>
      </c>
      <c r="AN228" s="1">
        <f>IFERROR(__xludf.DUMMYFUNCTION("""COMPUTED_VALUE"""),1600.0)</f>
        <v>1600</v>
      </c>
      <c r="AO228" s="1">
        <f>IFERROR(__xludf.DUMMYFUNCTION("""COMPUTED_VALUE"""),260.0)</f>
        <v>260</v>
      </c>
      <c r="AP228" s="1" t="str">
        <f>IFERROR(__xludf.DUMMYFUNCTION("""COMPUTED_VALUE"""),"FORMULARIO")</f>
        <v>FORMULARIO</v>
      </c>
      <c r="AQ228" s="1" t="str">
        <f>IFERROR(__xludf.DUMMYFUNCTION("""COMPUTED_VALUE"""),"ORGANICO")</f>
        <v>ORGANICO</v>
      </c>
      <c r="AR228" s="1" t="str">
        <f>IFERROR(__xludf.DUMMYFUNCTION("""COMPUTED_VALUE"""),"NUEVO")</f>
        <v>NUEVO</v>
      </c>
      <c r="AS228" s="1" t="str">
        <f>IFERROR(__xludf.DUMMYFUNCTION("""COMPUTED_VALUE"""),"ucal-pg-branding-sedes-abierta-no_aplica-mundo_comunicaciones_242-20240430")</f>
        <v>ucal-pg-branding-sedes-abierta-no_aplica-mundo_comunicaciones_242-20240430</v>
      </c>
      <c r="AT228" s="2">
        <f>IFERROR(__xludf.DUMMYFUNCTION("""COMPUTED_VALUE"""),45550.0)</f>
        <v>45550</v>
      </c>
      <c r="AU228" s="1">
        <f>IFERROR(__xludf.DUMMYFUNCTION("""COMPUTED_VALUE"""),1.0)</f>
        <v>1</v>
      </c>
      <c r="AV228" s="1" t="str">
        <f>IFERROR(__xludf.DUMMYFUNCTION("""COMPUTED_VALUE"""),"NUEVO")</f>
        <v>NUEVO</v>
      </c>
      <c r="AW228" s="1" t="str">
        <f>IFERROR(__xludf.DUMMYFUNCTION("""COMPUTED_VALUE"""),"SI")</f>
        <v>SI</v>
      </c>
      <c r="AX228" s="1"/>
      <c r="AY228" s="1" t="str">
        <f>IFERROR(__xludf.DUMMYFUNCTION("""COMPUTED_VALUE"""),"PAGO COMPLETO")</f>
        <v>PAGO COMPLETO</v>
      </c>
      <c r="AZ228" s="5">
        <f>IFERROR(__xludf.DUMMYFUNCTION("""COMPUTED_VALUE"""),45628.0)</f>
        <v>45628</v>
      </c>
      <c r="BA228" s="1">
        <f>IFERROR(__xludf.DUMMYFUNCTION("""COMPUTED_VALUE"""),0.0)</f>
        <v>0</v>
      </c>
      <c r="BB228" s="1">
        <f>IFERROR(__xludf.DUMMYFUNCTION("""COMPUTED_VALUE"""),0.0)</f>
        <v>0</v>
      </c>
      <c r="BC228" s="4">
        <f>IFERROR(__xludf.DUMMYFUNCTION("""COMPUTED_VALUE"""),0.0)</f>
        <v>0</v>
      </c>
      <c r="BD228" s="4">
        <f>IFERROR(__xludf.DUMMYFUNCTION("""COMPUTED_VALUE"""),0.0)</f>
        <v>0</v>
      </c>
      <c r="BE228" s="1">
        <f>IFERROR(__xludf.DUMMYFUNCTION("""COMPUTED_VALUE"""),12.0)</f>
        <v>12</v>
      </c>
      <c r="BF228" s="6">
        <f>IFERROR(__xludf.DUMMYFUNCTION("""COMPUTED_VALUE"""),1.0)</f>
        <v>1</v>
      </c>
      <c r="BG228" s="1">
        <f>IFERROR(__xludf.DUMMYFUNCTION("""COMPUTED_VALUE"""),1.0)</f>
        <v>1</v>
      </c>
      <c r="BH228" s="1" t="str">
        <f>IFERROR(__xludf.DUMMYFUNCTION("""COMPUTED_VALUE"""),"0")</f>
        <v>0</v>
      </c>
      <c r="BI228" s="4">
        <f>IFERROR(__xludf.DUMMYFUNCTION("""COMPUTED_VALUE"""),0.0)</f>
        <v>0</v>
      </c>
      <c r="BJ228" s="1">
        <f>IFERROR(__xludf.DUMMYFUNCTION("""COMPUTED_VALUE"""),0.0)</f>
        <v>0</v>
      </c>
      <c r="BK228" s="4">
        <f>IFERROR(__xludf.DUMMYFUNCTION("""COMPUTED_VALUE"""),0.0)</f>
        <v>0</v>
      </c>
      <c r="BL228" s="1">
        <f>IFERROR(__xludf.DUMMYFUNCTION("""COMPUTED_VALUE"""),1280.0)</f>
        <v>1280</v>
      </c>
      <c r="BM228" s="1">
        <f>IFERROR(__xludf.DUMMYFUNCTION("""COMPUTED_VALUE"""),49.0)</f>
        <v>49</v>
      </c>
      <c r="BN228" s="2">
        <f>IFERROR(__xludf.DUMMYFUNCTION("""COMPUTED_VALUE"""),45628.0)</f>
        <v>45628</v>
      </c>
      <c r="BO228" s="1">
        <f>IFERROR(__xludf.DUMMYFUNCTION("""COMPUTED_VALUE"""),12.0)</f>
        <v>12</v>
      </c>
      <c r="BP228" s="1">
        <f>IFERROR(__xludf.DUMMYFUNCTION("""COMPUTED_VALUE"""),2024.0)</f>
        <v>2024</v>
      </c>
    </row>
    <row r="229">
      <c r="A229" s="1">
        <f>IFERROR(__xludf.DUMMYFUNCTION("""COMPUTED_VALUE"""),228.0)</f>
        <v>228</v>
      </c>
      <c r="B229" s="1">
        <f>IFERROR(__xludf.DUMMYFUNCTION("""COMPUTED_VALUE"""),4838346.0)</f>
        <v>4838346</v>
      </c>
      <c r="C229" s="1" t="str">
        <f>IFERROR(__xludf.DUMMYFUNCTION("""COMPUTED_VALUE"""),"2025-1")</f>
        <v>2025-1</v>
      </c>
      <c r="D229" s="1" t="str">
        <f>IFERROR(__xludf.DUMMYFUNCTION("""COMPUTED_VALUE"""),"Admisión Ordinaria")</f>
        <v>Admisión Ordinaria</v>
      </c>
      <c r="E229" s="2">
        <f>IFERROR(__xludf.DUMMYFUNCTION("""COMPUTED_VALUE"""),45630.0)</f>
        <v>45630</v>
      </c>
      <c r="F229" s="1" t="str">
        <f>IFERROR(__xludf.DUMMYFUNCTION("""COMPUTED_VALUE"""),"YANINA LUCERO")</f>
        <v>YANINA LUCERO</v>
      </c>
      <c r="G229" s="1" t="str">
        <f>IFERROR(__xludf.DUMMYFUNCTION("""COMPUTED_VALUE"""),"MAZA  PAUCAR")</f>
        <v>MAZA  PAUCAR</v>
      </c>
      <c r="H229" s="1" t="str">
        <f>IFERROR(__xludf.DUMMYFUNCTION("""COMPUTED_VALUE"""),"Comunicación Audiovisual y Cine")</f>
        <v>Comunicación Audiovisual y Cine</v>
      </c>
      <c r="I229" s="1" t="str">
        <f>IFERROR(__xludf.DUMMYFUNCTION("""COMPUTED_VALUE"""),"CARGO")</f>
        <v>CARGO</v>
      </c>
      <c r="J229" s="1" t="str">
        <f>IFERROR(__xludf.DUMMYFUNCTION("""COMPUTED_VALUE"""),"Diurno")</f>
        <v>Diurno</v>
      </c>
      <c r="K229" s="1" t="str">
        <f>IFERROR(__xludf.DUMMYFUNCTION("""COMPUTED_VALUE"""),"TRASLADO")</f>
        <v>TRASLADO</v>
      </c>
      <c r="L229" s="1">
        <f>IFERROR(__xludf.DUMMYFUNCTION("""COMPUTED_VALUE"""),0.0)</f>
        <v>0</v>
      </c>
      <c r="M229" s="1">
        <f>IFERROR(__xludf.DUMMYFUNCTION("""COMPUTED_VALUE"""),0.0)</f>
        <v>0</v>
      </c>
      <c r="N229" s="1" t="str">
        <f>IFERROR(__xludf.DUMMYFUNCTION("""COMPUTED_VALUE"""),"BECA")</f>
        <v>BECA</v>
      </c>
      <c r="O229" s="1" t="str">
        <f>IFERROR(__xludf.DUMMYFUNCTION("""COMPUTED_VALUE"""),"BECA CARRERAS CORE-TRASLADOS SIN CONVA")</f>
        <v>BECA CARRERAS CORE-TRASLADOS SIN CONVA</v>
      </c>
      <c r="P229" s="4">
        <f>IFERROR(__xludf.DUMMYFUNCTION("""COMPUTED_VALUE"""),0.0)</f>
        <v>0</v>
      </c>
      <c r="Q229" s="4">
        <f>IFERROR(__xludf.DUMMYFUNCTION("""COMPUTED_VALUE"""),0.0)</f>
        <v>0</v>
      </c>
      <c r="R229" s="4">
        <f>IFERROR(__xludf.DUMMYFUNCTION("""COMPUTED_VALUE"""),1350.0)</f>
        <v>1350</v>
      </c>
      <c r="S229" s="4">
        <f>IFERROR(__xludf.DUMMYFUNCTION("""COMPUTED_VALUE"""),1000.0)</f>
        <v>1000</v>
      </c>
      <c r="T229" s="1" t="str">
        <f>IFERROR(__xludf.DUMMYFUNCTION("""COMPUTED_VALUE"""),"NINGUNO")</f>
        <v>NINGUNO</v>
      </c>
      <c r="U229" s="1" t="str">
        <f>IFERROR(__xludf.DUMMYFUNCTION("""COMPUTED_VALUE"""),"FABIOLA")</f>
        <v>FABIOLA</v>
      </c>
      <c r="V229" s="1" t="str">
        <f>IFERROR(__xludf.DUMMYFUNCTION("""COMPUTED_VALUE"""),"Ninguno")</f>
        <v>Ninguno</v>
      </c>
      <c r="W229" s="1" t="str">
        <f>IFERROR(__xludf.DUMMYFUNCTION("""COMPUTED_VALUE"""),"Equipos e instalaciones")</f>
        <v>Equipos e instalaciones</v>
      </c>
      <c r="X229" s="1" t="str">
        <f>IFERROR(__xludf.DUMMYFUNCTION("""COMPUTED_VALUE"""),"POR LA INFRAESTRUCCTURA ")</f>
        <v>POR LA INFRAESTRUCCTURA </v>
      </c>
      <c r="Y229" s="1" t="str">
        <f>IFERROR(__xludf.DUMMYFUNCTION("""COMPUTED_VALUE"""),"PAGO COMPLETO")</f>
        <v>PAGO COMPLETO</v>
      </c>
      <c r="Z229" s="1">
        <f>IFERROR(__xludf.DUMMYFUNCTION("""COMPUTED_VALUE"""),0.0)</f>
        <v>0</v>
      </c>
      <c r="AA229" s="1" t="str">
        <f>IFERROR(__xludf.DUMMYFUNCTION("""COMPUTED_VALUE"""),"-")</f>
        <v>-</v>
      </c>
      <c r="AB229" s="1">
        <f>IFERROR(__xludf.DUMMYFUNCTION("""COMPUTED_VALUE"""),0.0)</f>
        <v>0</v>
      </c>
      <c r="AC229" s="1">
        <f>IFERROR(__xludf.DUMMYFUNCTION("""COMPUTED_VALUE"""),0.0)</f>
        <v>0</v>
      </c>
      <c r="AD229" s="1" t="str">
        <f>IFERROR(__xludf.DUMMYFUNCTION("""COMPUTED_VALUE"""),"Daniel Zapata")</f>
        <v>Daniel Zapata</v>
      </c>
      <c r="AE229" s="1" t="str">
        <f>IFERROR(__xludf.DUMMYFUNCTION("""COMPUTED_VALUE"""),"IDAT")</f>
        <v>IDAT</v>
      </c>
      <c r="AF229" s="1">
        <f>IFERROR(__xludf.DUMMYFUNCTION("""COMPUTED_VALUE"""),2020.0)</f>
        <v>2020</v>
      </c>
      <c r="AG229" s="1">
        <f>IFERROR(__xludf.DUMMYFUNCTION("""COMPUTED_VALUE"""),437277.0)</f>
        <v>437277</v>
      </c>
      <c r="AH229" s="1">
        <f>IFERROR(__xludf.DUMMYFUNCTION("""COMPUTED_VALUE"""),23.0)</f>
        <v>23</v>
      </c>
      <c r="AI229" s="1" t="str">
        <f>IFERROR(__xludf.DUMMYFUNCTION("""COMPUTED_VALUE"""),"0000402835")</f>
        <v>0000402835</v>
      </c>
      <c r="AJ229" s="1">
        <f>IFERROR(__xludf.DUMMYFUNCTION("""COMPUTED_VALUE"""),7.4841887E7)</f>
        <v>74841887</v>
      </c>
      <c r="AK229" s="1">
        <f>IFERROR(__xludf.DUMMYFUNCTION("""COMPUTED_VALUE"""),9.18053762E8)</f>
        <v>918053762</v>
      </c>
      <c r="AL229" s="1" t="str">
        <f>IFERROR(__xludf.DUMMYFUNCTION("""COMPUTED_VALUE"""),"luceropaucar12@gmail.com")</f>
        <v>luceropaucar12@gmail.com</v>
      </c>
      <c r="AM229" s="1" t="str">
        <f>IFERROR(__xludf.DUMMYFUNCTION("""COMPUTED_VALUE"""),"FEMENINO")</f>
        <v>FEMENINO</v>
      </c>
      <c r="AN229" s="1">
        <f>IFERROR(__xludf.DUMMYFUNCTION("""COMPUTED_VALUE"""),1350.0)</f>
        <v>1350</v>
      </c>
      <c r="AO229" s="1">
        <f>IFERROR(__xludf.DUMMYFUNCTION("""COMPUTED_VALUE"""),0.0)</f>
        <v>0</v>
      </c>
      <c r="AP229" s="1" t="str">
        <f>IFERROR(__xludf.DUMMYFUNCTION("""COMPUTED_VALUE"""),"FORMULARIO")</f>
        <v>FORMULARIO</v>
      </c>
      <c r="AQ229" s="1" t="str">
        <f>IFERROR(__xludf.DUMMYFUNCTION("""COMPUTED_VALUE"""),"SEARCH CARRERA")</f>
        <v>SEARCH CARRERA</v>
      </c>
      <c r="AR229" s="1" t="str">
        <f>IFERROR(__xludf.DUMMYFUNCTION("""COMPUTED_VALUE"""),"NUEVO")</f>
        <v>NUEVO</v>
      </c>
      <c r="AS229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229" s="2">
        <f>IFERROR(__xludf.DUMMYFUNCTION("""COMPUTED_VALUE"""),45628.0)</f>
        <v>45628</v>
      </c>
      <c r="AU229" s="1">
        <f>IFERROR(__xludf.DUMMYFUNCTION("""COMPUTED_VALUE"""),1.0)</f>
        <v>1</v>
      </c>
      <c r="AV229" s="1" t="str">
        <f>IFERROR(__xludf.DUMMYFUNCTION("""COMPUTED_VALUE"""),"NUEVO")</f>
        <v>NUEVO</v>
      </c>
      <c r="AW229" s="1" t="str">
        <f>IFERROR(__xludf.DUMMYFUNCTION("""COMPUTED_VALUE"""),"SI")</f>
        <v>SI</v>
      </c>
      <c r="AX229" s="1"/>
      <c r="AY229" s="1" t="str">
        <f>IFERROR(__xludf.DUMMYFUNCTION("""COMPUTED_VALUE"""),"PAGO COMPLETO")</f>
        <v>PAGO COMPLETO</v>
      </c>
      <c r="AZ229" s="5">
        <f>IFERROR(__xludf.DUMMYFUNCTION("""COMPUTED_VALUE"""),45630.0)</f>
        <v>45630</v>
      </c>
      <c r="BA229" s="1">
        <f>IFERROR(__xludf.DUMMYFUNCTION("""COMPUTED_VALUE"""),0.0)</f>
        <v>0</v>
      </c>
      <c r="BB229" s="1">
        <f>IFERROR(__xludf.DUMMYFUNCTION("""COMPUTED_VALUE"""),0.0)</f>
        <v>0</v>
      </c>
      <c r="BC229" s="4">
        <f>IFERROR(__xludf.DUMMYFUNCTION("""COMPUTED_VALUE"""),0.0)</f>
        <v>0</v>
      </c>
      <c r="BD229" s="4">
        <f>IFERROR(__xludf.DUMMYFUNCTION("""COMPUTED_VALUE"""),0.0)</f>
        <v>0</v>
      </c>
      <c r="BE229" s="1">
        <f>IFERROR(__xludf.DUMMYFUNCTION("""COMPUTED_VALUE"""),12.0)</f>
        <v>12</v>
      </c>
      <c r="BF229" s="6">
        <f>IFERROR(__xludf.DUMMYFUNCTION("""COMPUTED_VALUE"""),1.0)</f>
        <v>1</v>
      </c>
      <c r="BG229" s="1">
        <f>IFERROR(__xludf.DUMMYFUNCTION("""COMPUTED_VALUE"""),1.0)</f>
        <v>1</v>
      </c>
      <c r="BH229" s="1" t="str">
        <f>IFERROR(__xludf.DUMMYFUNCTION("""COMPUTED_VALUE"""),"0")</f>
        <v>0</v>
      </c>
      <c r="BI229" s="4">
        <f>IFERROR(__xludf.DUMMYFUNCTION("""COMPUTED_VALUE"""),0.0)</f>
        <v>0</v>
      </c>
      <c r="BJ229" s="1">
        <f>IFERROR(__xludf.DUMMYFUNCTION("""COMPUTED_VALUE"""),0.0)</f>
        <v>0</v>
      </c>
      <c r="BK229" s="4">
        <f>IFERROR(__xludf.DUMMYFUNCTION("""COMPUTED_VALUE"""),0.0)</f>
        <v>0</v>
      </c>
      <c r="BL229" s="1">
        <f>IFERROR(__xludf.DUMMYFUNCTION("""COMPUTED_VALUE"""),1000.0)</f>
        <v>1000</v>
      </c>
      <c r="BM229" s="1">
        <f>IFERROR(__xludf.DUMMYFUNCTION("""COMPUTED_VALUE"""),49.0)</f>
        <v>49</v>
      </c>
      <c r="BN229" s="2">
        <f>IFERROR(__xludf.DUMMYFUNCTION("""COMPUTED_VALUE"""),45628.0)</f>
        <v>45628</v>
      </c>
      <c r="BO229" s="1">
        <f>IFERROR(__xludf.DUMMYFUNCTION("""COMPUTED_VALUE"""),12.0)</f>
        <v>12</v>
      </c>
      <c r="BP229" s="1">
        <f>IFERROR(__xludf.DUMMYFUNCTION("""COMPUTED_VALUE"""),2024.0)</f>
        <v>2024</v>
      </c>
    </row>
    <row r="230">
      <c r="A230" s="1">
        <f>IFERROR(__xludf.DUMMYFUNCTION("""COMPUTED_VALUE"""),229.0)</f>
        <v>229</v>
      </c>
      <c r="B230" s="1">
        <f>IFERROR(__xludf.DUMMYFUNCTION("""COMPUTED_VALUE"""),1813366.0)</f>
        <v>1813366</v>
      </c>
      <c r="C230" s="1" t="str">
        <f>IFERROR(__xludf.DUMMYFUNCTION("""COMPUTED_VALUE"""),"2025-1")</f>
        <v>2025-1</v>
      </c>
      <c r="D230" s="1" t="str">
        <f>IFERROR(__xludf.DUMMYFUNCTION("""COMPUTED_VALUE"""),"Admisión Ordinaria")</f>
        <v>Admisión Ordinaria</v>
      </c>
      <c r="E230" s="2">
        <f>IFERROR(__xludf.DUMMYFUNCTION("""COMPUTED_VALUE"""),45630.0)</f>
        <v>45630</v>
      </c>
      <c r="F230" s="1" t="str">
        <f>IFERROR(__xludf.DUMMYFUNCTION("""COMPUTED_VALUE"""),"FLAVIA MARIA ")</f>
        <v>FLAVIA MARIA </v>
      </c>
      <c r="G230" s="1" t="str">
        <f>IFERROR(__xludf.DUMMYFUNCTION("""COMPUTED_VALUE"""),"TASAYCO SCHUTZE")</f>
        <v>TASAYCO SCHUTZE</v>
      </c>
      <c r="H230" s="1" t="str">
        <f>IFERROR(__xludf.DUMMYFUNCTION("""COMPUTED_VALUE"""),"Arquitectura de Interiores")</f>
        <v>Arquitectura de Interiores</v>
      </c>
      <c r="I230" s="1" t="str">
        <f>IFERROR(__xludf.DUMMYFUNCTION("""COMPUTED_VALUE"""),"POS")</f>
        <v>POS</v>
      </c>
      <c r="J230" s="1" t="str">
        <f>IFERROR(__xludf.DUMMYFUNCTION("""COMPUTED_VALUE"""),"Diurno")</f>
        <v>Diurno</v>
      </c>
      <c r="K230" s="1" t="str">
        <f>IFERROR(__xludf.DUMMYFUNCTION("""COMPUTED_VALUE"""),"NUEVO")</f>
        <v>NUEVO</v>
      </c>
      <c r="L230" s="1">
        <f>IFERROR(__xludf.DUMMYFUNCTION("""COMPUTED_VALUE"""),0.0)</f>
        <v>0</v>
      </c>
      <c r="M230" s="1">
        <f>IFERROR(__xludf.DUMMYFUNCTION("""COMPUTED_VALUE"""),0.0)</f>
        <v>0</v>
      </c>
      <c r="N230" s="1" t="str">
        <f>IFERROR(__xludf.DUMMYFUNCTION("""COMPUTED_VALUE"""),"BECA")</f>
        <v>BECA</v>
      </c>
      <c r="O230" s="1" t="str">
        <f>IFERROR(__xludf.DUMMYFUNCTION("""COMPUTED_VALUE"""),"BECA CARRERAS CORE")</f>
        <v>BECA CARRERAS CORE</v>
      </c>
      <c r="P230" s="4">
        <f>IFERROR(__xludf.DUMMYFUNCTION("""COMPUTED_VALUE"""),0.0)</f>
        <v>0</v>
      </c>
      <c r="Q230" s="4">
        <f>IFERROR(__xludf.DUMMYFUNCTION("""COMPUTED_VALUE"""),0.0)</f>
        <v>0</v>
      </c>
      <c r="R230" s="4">
        <f>IFERROR(__xludf.DUMMYFUNCTION("""COMPUTED_VALUE"""),1150.0)</f>
        <v>1150</v>
      </c>
      <c r="S230" s="4">
        <f>IFERROR(__xludf.DUMMYFUNCTION("""COMPUTED_VALUE"""),950.0)</f>
        <v>950</v>
      </c>
      <c r="T230" s="1" t="str">
        <f>IFERROR(__xludf.DUMMYFUNCTION("""COMPUTED_VALUE"""),"PALANCA 700")</f>
        <v>PALANCA 700</v>
      </c>
      <c r="U230" s="1" t="str">
        <f>IFERROR(__xludf.DUMMYFUNCTION("""COMPUTED_VALUE"""),"FABIOLA")</f>
        <v>FABIOLA</v>
      </c>
      <c r="V230" s="1" t="str">
        <f>IFERROR(__xludf.DUMMYFUNCTION("""COMPUTED_VALUE"""),"Ninguno")</f>
        <v>Ninguno</v>
      </c>
      <c r="W230" s="1" t="str">
        <f>IFERROR(__xludf.DUMMYFUNCTION("""COMPUTED_VALUE"""),"Prestigio de la institución")</f>
        <v>Prestigio de la institución</v>
      </c>
      <c r="X230" s="1" t="str">
        <f>IFERROR(__xludf.DUMMYFUNCTION("""COMPUTED_VALUE"""),"pago primera cuota boleta de 700")</f>
        <v>pago primera cuota boleta de 700</v>
      </c>
      <c r="Y230" s="1" t="str">
        <f>IFERROR(__xludf.DUMMYFUNCTION("""COMPUTED_VALUE"""),"PAGO COMPLETO")</f>
        <v>PAGO COMPLETO</v>
      </c>
      <c r="Z230" s="1">
        <f>IFERROR(__xludf.DUMMYFUNCTION("""COMPUTED_VALUE"""),0.0)</f>
        <v>0</v>
      </c>
      <c r="AA230" s="1" t="str">
        <f>IFERROR(__xludf.DUMMYFUNCTION("""COMPUTED_VALUE"""),"-")</f>
        <v>-</v>
      </c>
      <c r="AB230" s="1">
        <f>IFERROR(__xludf.DUMMYFUNCTION("""COMPUTED_VALUE"""),0.0)</f>
        <v>0</v>
      </c>
      <c r="AC230" s="1">
        <f>IFERROR(__xludf.DUMMYFUNCTION("""COMPUTED_VALUE"""),0.0)</f>
        <v>0</v>
      </c>
      <c r="AD230" s="1" t="str">
        <f>IFERROR(__xludf.DUMMYFUNCTION("""COMPUTED_VALUE"""),"Ingrid Guillermo Rivera")</f>
        <v>Ingrid Guillermo Rivera</v>
      </c>
      <c r="AE230" s="1" t="str">
        <f>IFERROR(__xludf.DUMMYFUNCTION("""COMPUTED_VALUE"""),"0")</f>
        <v>0</v>
      </c>
      <c r="AF230" s="1">
        <f>IFERROR(__xludf.DUMMYFUNCTION("""COMPUTED_VALUE"""),2022.0)</f>
        <v>2022</v>
      </c>
      <c r="AG230" s="1">
        <f>IFERROR(__xludf.DUMMYFUNCTION("""COMPUTED_VALUE"""),238717.0)</f>
        <v>238717</v>
      </c>
      <c r="AH230" s="1">
        <f>IFERROR(__xludf.DUMMYFUNCTION("""COMPUTED_VALUE"""),18.0)</f>
        <v>18</v>
      </c>
      <c r="AI230" s="1" t="str">
        <f>IFERROR(__xludf.DUMMYFUNCTION("""COMPUTED_VALUE"""),"0000402942")</f>
        <v>0000402942</v>
      </c>
      <c r="AJ230" s="1">
        <f>IFERROR(__xludf.DUMMYFUNCTION("""COMPUTED_VALUE"""),7.0469639E7)</f>
        <v>70469639</v>
      </c>
      <c r="AK230" s="1">
        <f>IFERROR(__xludf.DUMMYFUNCTION("""COMPUTED_VALUE"""),9.15354543E8)</f>
        <v>915354543</v>
      </c>
      <c r="AL230" s="1" t="str">
        <f>IFERROR(__xludf.DUMMYFUNCTION("""COMPUTED_VALUE"""),"flaviatasayco03@gmail.com")</f>
        <v>flaviatasayco03@gmail.com</v>
      </c>
      <c r="AM230" s="1" t="str">
        <f>IFERROR(__xludf.DUMMYFUNCTION("""COMPUTED_VALUE"""),"FEMENINO")</f>
        <v>FEMENINO</v>
      </c>
      <c r="AN230" s="1">
        <f>IFERROR(__xludf.DUMMYFUNCTION("""COMPUTED_VALUE"""),1350.0)</f>
        <v>1350</v>
      </c>
      <c r="AO230" s="1">
        <f>IFERROR(__xludf.DUMMYFUNCTION("""COMPUTED_VALUE"""),0.0)</f>
        <v>0</v>
      </c>
      <c r="AP230" s="1" t="str">
        <f>IFERROR(__xludf.DUMMYFUNCTION("""COMPUTED_VALUE"""),"BIDIRECCIONAL")</f>
        <v>BIDIRECCIONAL</v>
      </c>
      <c r="AQ230" s="1" t="str">
        <f>IFERROR(__xludf.DUMMYFUNCTION("""COMPUTED_VALUE"""),"ORGANICO")</f>
        <v>ORGANICO</v>
      </c>
      <c r="AR230" s="1" t="str">
        <f>IFERROR(__xludf.DUMMYFUNCTION("""COMPUTED_VALUE"""),"NUEVO")</f>
        <v>NUEVO</v>
      </c>
      <c r="AS230" s="1"/>
      <c r="AT230" s="2">
        <f>IFERROR(__xludf.DUMMYFUNCTION("""COMPUTED_VALUE"""),45630.0)</f>
        <v>45630</v>
      </c>
      <c r="AU230" s="1">
        <f>IFERROR(__xludf.DUMMYFUNCTION("""COMPUTED_VALUE"""),1.0)</f>
        <v>1</v>
      </c>
      <c r="AV230" s="1" t="str">
        <f>IFERROR(__xludf.DUMMYFUNCTION("""COMPUTED_VALUE"""),"NUEVO")</f>
        <v>NUEVO</v>
      </c>
      <c r="AW230" s="1" t="str">
        <f>IFERROR(__xludf.DUMMYFUNCTION("""COMPUTED_VALUE"""),"SI")</f>
        <v>SI</v>
      </c>
      <c r="AX230" s="1"/>
      <c r="AY230" s="1" t="str">
        <f>IFERROR(__xludf.DUMMYFUNCTION("""COMPUTED_VALUE"""),"PAGO COMPLETO")</f>
        <v>PAGO COMPLETO</v>
      </c>
      <c r="AZ230" s="5">
        <f>IFERROR(__xludf.DUMMYFUNCTION("""COMPUTED_VALUE"""),45630.0)</f>
        <v>45630</v>
      </c>
      <c r="BA230" s="1">
        <f>IFERROR(__xludf.DUMMYFUNCTION("""COMPUTED_VALUE"""),0.0)</f>
        <v>0</v>
      </c>
      <c r="BB230" s="1">
        <f>IFERROR(__xludf.DUMMYFUNCTION("""COMPUTED_VALUE"""),0.0)</f>
        <v>0</v>
      </c>
      <c r="BC230" s="4">
        <f>IFERROR(__xludf.DUMMYFUNCTION("""COMPUTED_VALUE"""),0.0)</f>
        <v>0</v>
      </c>
      <c r="BD230" s="4">
        <f>IFERROR(__xludf.DUMMYFUNCTION("""COMPUTED_VALUE"""),250.0)</f>
        <v>250</v>
      </c>
      <c r="BE230" s="1">
        <f>IFERROR(__xludf.DUMMYFUNCTION("""COMPUTED_VALUE"""),12.0)</f>
        <v>12</v>
      </c>
      <c r="BF230" s="6">
        <f>IFERROR(__xludf.DUMMYFUNCTION("""COMPUTED_VALUE"""),1.0)</f>
        <v>1</v>
      </c>
      <c r="BG230" s="1">
        <f>IFERROR(__xludf.DUMMYFUNCTION("""COMPUTED_VALUE"""),1.0)</f>
        <v>1</v>
      </c>
      <c r="BH230" s="1" t="str">
        <f>IFERROR(__xludf.DUMMYFUNCTION("""COMPUTED_VALUE"""),"0")</f>
        <v>0</v>
      </c>
      <c r="BI230" s="4">
        <f>IFERROR(__xludf.DUMMYFUNCTION("""COMPUTED_VALUE"""),250.0)</f>
        <v>250</v>
      </c>
      <c r="BJ230" s="1">
        <f>IFERROR(__xludf.DUMMYFUNCTION("""COMPUTED_VALUE"""),0.0)</f>
        <v>0</v>
      </c>
      <c r="BK230" s="4">
        <f>IFERROR(__xludf.DUMMYFUNCTION("""COMPUTED_VALUE"""),250.0)</f>
        <v>250</v>
      </c>
      <c r="BL230" s="1">
        <f>IFERROR(__xludf.DUMMYFUNCTION("""COMPUTED_VALUE"""),900.0)</f>
        <v>900</v>
      </c>
      <c r="BM230" s="1">
        <f>IFERROR(__xludf.DUMMYFUNCTION("""COMPUTED_VALUE"""),49.0)</f>
        <v>49</v>
      </c>
      <c r="BN230" s="2">
        <f>IFERROR(__xludf.DUMMYFUNCTION("""COMPUTED_VALUE"""),45628.0)</f>
        <v>45628</v>
      </c>
      <c r="BO230" s="1">
        <f>IFERROR(__xludf.DUMMYFUNCTION("""COMPUTED_VALUE"""),12.0)</f>
        <v>12</v>
      </c>
      <c r="BP230" s="1">
        <f>IFERROR(__xludf.DUMMYFUNCTION("""COMPUTED_VALUE"""),2024.0)</f>
        <v>2024</v>
      </c>
    </row>
    <row r="231">
      <c r="A231" s="1">
        <f>IFERROR(__xludf.DUMMYFUNCTION("""COMPUTED_VALUE"""),230.0)</f>
        <v>230</v>
      </c>
      <c r="B231" s="1">
        <f>IFERROR(__xludf.DUMMYFUNCTION("""COMPUTED_VALUE"""),528583.0)</f>
        <v>528583</v>
      </c>
      <c r="C231" s="1" t="str">
        <f>IFERROR(__xludf.DUMMYFUNCTION("""COMPUTED_VALUE"""),"2025-1")</f>
        <v>2025-1</v>
      </c>
      <c r="D231" s="1" t="str">
        <f>IFERROR(__xludf.DUMMYFUNCTION("""COMPUTED_VALUE"""),"Admisión de Alto Rendimiento")</f>
        <v>Admisión de Alto Rendimiento</v>
      </c>
      <c r="E231" s="2">
        <f>IFERROR(__xludf.DUMMYFUNCTION("""COMPUTED_VALUE"""),45631.0)</f>
        <v>45631</v>
      </c>
      <c r="F231" s="1" t="str">
        <f>IFERROR(__xludf.DUMMYFUNCTION("""COMPUTED_VALUE"""),"JOAQUIN MATHEO")</f>
        <v>JOAQUIN MATHEO</v>
      </c>
      <c r="G231" s="1" t="str">
        <f>IFERROR(__xludf.DUMMYFUNCTION("""COMPUTED_VALUE"""),"RIVERA ARGUEDAS")</f>
        <v>RIVERA ARGUEDAS</v>
      </c>
      <c r="H231" s="1" t="str">
        <f>IFERROR(__xludf.DUMMYFUNCTION("""COMPUTED_VALUE"""),"Comunicación")</f>
        <v>Comunicación</v>
      </c>
      <c r="I231" s="1" t="str">
        <f>IFERROR(__xludf.DUMMYFUNCTION("""COMPUTED_VALUE"""),"Pago Link")</f>
        <v>Pago Link</v>
      </c>
      <c r="J231" s="1" t="str">
        <f>IFERROR(__xludf.DUMMYFUNCTION("""COMPUTED_VALUE"""),"Diurno")</f>
        <v>Diurno</v>
      </c>
      <c r="K231" s="1" t="str">
        <f>IFERROR(__xludf.DUMMYFUNCTION("""COMPUTED_VALUE"""),"NUEVO")</f>
        <v>NUEVO</v>
      </c>
      <c r="L231" s="1">
        <f>IFERROR(__xludf.DUMMYFUNCTION("""COMPUTED_VALUE"""),0.0)</f>
        <v>0</v>
      </c>
      <c r="M231" s="1">
        <f>IFERROR(__xludf.DUMMYFUNCTION("""COMPUTED_VALUE"""),0.0)</f>
        <v>0</v>
      </c>
      <c r="N231" s="1" t="str">
        <f>IFERROR(__xludf.DUMMYFUNCTION("""COMPUTED_VALUE"""),"BECA")</f>
        <v>BECA</v>
      </c>
      <c r="O231" s="1" t="str">
        <f>IFERROR(__xludf.DUMMYFUNCTION("""COMPUTED_VALUE"""),"BECA CARRERAS CORE")</f>
        <v>BECA CARRERAS CORE</v>
      </c>
      <c r="P231" s="4">
        <f>IFERROR(__xludf.DUMMYFUNCTION("""COMPUTED_VALUE"""),0.0)</f>
        <v>0</v>
      </c>
      <c r="Q231" s="4">
        <f>IFERROR(__xludf.DUMMYFUNCTION("""COMPUTED_VALUE"""),0.0)</f>
        <v>0</v>
      </c>
      <c r="R231" s="4">
        <f>IFERROR(__xludf.DUMMYFUNCTION("""COMPUTED_VALUE"""),1600.0)</f>
        <v>1600</v>
      </c>
      <c r="S231" s="4">
        <f>IFERROR(__xludf.DUMMYFUNCTION("""COMPUTED_VALUE"""),1280.0)</f>
        <v>1280</v>
      </c>
      <c r="T231" s="1" t="str">
        <f>IFERROR(__xludf.DUMMYFUNCTION("""COMPUTED_VALUE"""),"NINGUNO")</f>
        <v>NINGUNO</v>
      </c>
      <c r="U231" s="1" t="str">
        <f>IFERROR(__xludf.DUMMYFUNCTION("""COMPUTED_VALUE"""),"FABIOLA")</f>
        <v>FABIOLA</v>
      </c>
      <c r="V231" s="1" t="str">
        <f>IFERROR(__xludf.DUMMYFUNCTION("""COMPUTED_VALUE"""),"Ninguno")</f>
        <v>Ninguno</v>
      </c>
      <c r="W231" s="1" t="str">
        <f>IFERROR(__xludf.DUMMYFUNCTION("""COMPUTED_VALUE"""),"Metodología de enseñanza")</f>
        <v>Metodología de enseñanza</v>
      </c>
      <c r="X231" s="1" t="str">
        <f>IFERROR(__xludf.DUMMYFUNCTION("""COMPUTED_VALUE"""),"LE GUSTA LA UNIVERSIDAD ")</f>
        <v>LE GUSTA LA UNIVERSIDAD </v>
      </c>
      <c r="Y231" s="1" t="str">
        <f>IFERROR(__xludf.DUMMYFUNCTION("""COMPUTED_VALUE"""),"PAGO FRACCIONADO")</f>
        <v>PAGO FRACCIONADO</v>
      </c>
      <c r="Z231" s="1">
        <f>IFERROR(__xludf.DUMMYFUNCTION("""COMPUTED_VALUE"""),640.0)</f>
        <v>640</v>
      </c>
      <c r="AA231" s="1" t="str">
        <f>IFERROR(__xludf.DUMMYFUNCTION("""COMPUTED_VALUE"""),"20/12/2024")</f>
        <v>20/12/2024</v>
      </c>
      <c r="AB231" s="1">
        <f>IFERROR(__xludf.DUMMYFUNCTION("""COMPUTED_VALUE"""),0.0)</f>
        <v>0</v>
      </c>
      <c r="AC231" s="1">
        <f>IFERROR(__xludf.DUMMYFUNCTION("""COMPUTED_VALUE"""),0.0)</f>
        <v>0</v>
      </c>
      <c r="AD231" s="1" t="str">
        <f>IFERROR(__xludf.DUMMYFUNCTION("""COMPUTED_VALUE"""),"Daniel Zapata")</f>
        <v>Daniel Zapata</v>
      </c>
      <c r="AE231" s="1" t="str">
        <f>IFERROR(__xludf.DUMMYFUNCTION("""COMPUTED_VALUE"""),"0")</f>
        <v>0</v>
      </c>
      <c r="AF231" s="1">
        <f>IFERROR(__xludf.DUMMYFUNCTION("""COMPUTED_VALUE"""),2024.0)</f>
        <v>2024</v>
      </c>
      <c r="AG231" s="1">
        <f>IFERROR(__xludf.DUMMYFUNCTION("""COMPUTED_VALUE"""),1008796.0)</f>
        <v>1008796</v>
      </c>
      <c r="AH231" s="1">
        <f>IFERROR(__xludf.DUMMYFUNCTION("""COMPUTED_VALUE"""),16.0)</f>
        <v>16</v>
      </c>
      <c r="AI231" s="1" t="str">
        <f>IFERROR(__xludf.DUMMYFUNCTION("""COMPUTED_VALUE"""),"0000403097")</f>
        <v>0000403097</v>
      </c>
      <c r="AJ231" s="1">
        <f>IFERROR(__xludf.DUMMYFUNCTION("""COMPUTED_VALUE"""),7.1178382E7)</f>
        <v>71178382</v>
      </c>
      <c r="AK231" s="1">
        <f>IFERROR(__xludf.DUMMYFUNCTION("""COMPUTED_VALUE"""),9.68103769E8)</f>
        <v>968103769</v>
      </c>
      <c r="AL231" s="1" t="str">
        <f>IFERROR(__xludf.DUMMYFUNCTION("""COMPUTED_VALUE""")," joacqo1230@gmail.com")</f>
        <v> joacqo1230@gmail.com</v>
      </c>
      <c r="AM231" s="1" t="str">
        <f>IFERROR(__xludf.DUMMYFUNCTION("""COMPUTED_VALUE"""),"MASCULINO")</f>
        <v>MASCULINO</v>
      </c>
      <c r="AN231" s="1">
        <f>IFERROR(__xludf.DUMMYFUNCTION("""COMPUTED_VALUE"""),1775.0)</f>
        <v>1775</v>
      </c>
      <c r="AO231" s="1">
        <f>IFERROR(__xludf.DUMMYFUNCTION("""COMPUTED_VALUE"""),490.0)</f>
        <v>490</v>
      </c>
      <c r="AP231" s="1" t="str">
        <f>IFERROR(__xludf.DUMMYFUNCTION("""COMPUTED_VALUE"""),"FORMULARIO")</f>
        <v>FORMULARIO</v>
      </c>
      <c r="AQ231" s="1" t="str">
        <f>IFERROR(__xludf.DUMMYFUNCTION("""COMPUTED_VALUE"""),"SEARCH MARCA")</f>
        <v>SEARCH MARCA</v>
      </c>
      <c r="AR231" s="1" t="str">
        <f>IFERROR(__xludf.DUMMYFUNCTION("""COMPUTED_VALUE"""),"NUEVO")</f>
        <v>NUEVO</v>
      </c>
      <c r="AS231" s="1" t="str">
        <f>IFERROR(__xludf.DUMMYFUNCTION("""COMPUTED_VALUE"""),"ucal-pg-performance-sedes-abierta-cpl-search_conversion_marca-20240401")</f>
        <v>ucal-pg-performance-sedes-abierta-cpl-search_conversion_marca-20240401</v>
      </c>
      <c r="AT231" s="2">
        <f>IFERROR(__xludf.DUMMYFUNCTION("""COMPUTED_VALUE"""),45631.0)</f>
        <v>45631</v>
      </c>
      <c r="AU231" s="1">
        <f>IFERROR(__xludf.DUMMYFUNCTION("""COMPUTED_VALUE"""),1.0)</f>
        <v>1</v>
      </c>
      <c r="AV231" s="1" t="str">
        <f>IFERROR(__xludf.DUMMYFUNCTION("""COMPUTED_VALUE"""),"NUEVO")</f>
        <v>NUEVO</v>
      </c>
      <c r="AW231" s="1" t="str">
        <f>IFERROR(__xludf.DUMMYFUNCTION("""COMPUTED_VALUE"""),"SI")</f>
        <v>SI</v>
      </c>
      <c r="AX231" s="1"/>
      <c r="AY231" s="1" t="str">
        <f>IFERROR(__xludf.DUMMYFUNCTION("""COMPUTED_VALUE"""),"PAGO COMPLETO")</f>
        <v>PAGO COMPLETO</v>
      </c>
      <c r="AZ231" s="5">
        <f>IFERROR(__xludf.DUMMYFUNCTION("""COMPUTED_VALUE"""),45637.0)</f>
        <v>45637</v>
      </c>
      <c r="BA231" s="1">
        <f>IFERROR(__xludf.DUMMYFUNCTION("""COMPUTED_VALUE"""),640.0)</f>
        <v>640</v>
      </c>
      <c r="BB231" s="1">
        <f>IFERROR(__xludf.DUMMYFUNCTION("""COMPUTED_VALUE"""),0.0)</f>
        <v>0</v>
      </c>
      <c r="BC231" s="4">
        <f>IFERROR(__xludf.DUMMYFUNCTION("""COMPUTED_VALUE"""),0.0)</f>
        <v>0</v>
      </c>
      <c r="BD231" s="4">
        <f>IFERROR(__xludf.DUMMYFUNCTION("""COMPUTED_VALUE"""),0.0)</f>
        <v>0</v>
      </c>
      <c r="BE231" s="1">
        <f>IFERROR(__xludf.DUMMYFUNCTION("""COMPUTED_VALUE"""),12.0)</f>
        <v>12</v>
      </c>
      <c r="BF231" s="6">
        <f>IFERROR(__xludf.DUMMYFUNCTION("""COMPUTED_VALUE"""),1.0)</f>
        <v>1</v>
      </c>
      <c r="BG231" s="1">
        <f>IFERROR(__xludf.DUMMYFUNCTION("""COMPUTED_VALUE"""),1.0)</f>
        <v>1</v>
      </c>
      <c r="BH231" s="1" t="str">
        <f>IFERROR(__xludf.DUMMYFUNCTION("""COMPUTED_VALUE"""),"0")</f>
        <v>0</v>
      </c>
      <c r="BI231" s="4">
        <f>IFERROR(__xludf.DUMMYFUNCTION("""COMPUTED_VALUE"""),1280.0)</f>
        <v>1280</v>
      </c>
      <c r="BJ231" s="1">
        <f>IFERROR(__xludf.DUMMYFUNCTION("""COMPUTED_VALUE"""),0.0)</f>
        <v>0</v>
      </c>
      <c r="BK231" s="4">
        <f>IFERROR(__xludf.DUMMYFUNCTION("""COMPUTED_VALUE"""),0.0)</f>
        <v>0</v>
      </c>
      <c r="BL231" s="1">
        <f>IFERROR(__xludf.DUMMYFUNCTION("""COMPUTED_VALUE"""),1280.0)</f>
        <v>1280</v>
      </c>
      <c r="BM231" s="1">
        <f>IFERROR(__xludf.DUMMYFUNCTION("""COMPUTED_VALUE"""),49.0)</f>
        <v>49</v>
      </c>
      <c r="BN231" s="2">
        <f>IFERROR(__xludf.DUMMYFUNCTION("""COMPUTED_VALUE"""),45628.0)</f>
        <v>45628</v>
      </c>
      <c r="BO231" s="1">
        <f>IFERROR(__xludf.DUMMYFUNCTION("""COMPUTED_VALUE"""),12.0)</f>
        <v>12</v>
      </c>
      <c r="BP231" s="1">
        <f>IFERROR(__xludf.DUMMYFUNCTION("""COMPUTED_VALUE"""),2024.0)</f>
        <v>2024</v>
      </c>
    </row>
    <row r="232">
      <c r="A232" s="1">
        <f>IFERROR(__xludf.DUMMYFUNCTION("""COMPUTED_VALUE"""),231.0)</f>
        <v>231</v>
      </c>
      <c r="B232" s="1">
        <f>IFERROR(__xludf.DUMMYFUNCTION("""COMPUTED_VALUE"""),4827341.0)</f>
        <v>4827341</v>
      </c>
      <c r="C232" s="1" t="str">
        <f>IFERROR(__xludf.DUMMYFUNCTION("""COMPUTED_VALUE"""),"2025-1")</f>
        <v>2025-1</v>
      </c>
      <c r="D232" s="1" t="str">
        <f>IFERROR(__xludf.DUMMYFUNCTION("""COMPUTED_VALUE"""),"Admisión de Alto Rendimiento")</f>
        <v>Admisión de Alto Rendimiento</v>
      </c>
      <c r="E232" s="2">
        <f>IFERROR(__xludf.DUMMYFUNCTION("""COMPUTED_VALUE"""),45631.0)</f>
        <v>45631</v>
      </c>
      <c r="F232" s="1" t="str">
        <f>IFERROR(__xludf.DUMMYFUNCTION("""COMPUTED_VALUE"""),"NAOMI ")</f>
        <v>NAOMI </v>
      </c>
      <c r="G232" s="1" t="str">
        <f>IFERROR(__xludf.DUMMYFUNCTION("""COMPUTED_VALUE"""),"CORDOVA MONCADA")</f>
        <v>CORDOVA MONCADA</v>
      </c>
      <c r="H232" s="1" t="str">
        <f>IFERROR(__xludf.DUMMYFUNCTION("""COMPUTED_VALUE"""),"Diseño Gráfico Publicitario")</f>
        <v>Diseño Gráfico Publicitario</v>
      </c>
      <c r="I232" s="1" t="str">
        <f>IFERROR(__xludf.DUMMYFUNCTION("""COMPUTED_VALUE"""),"CARGO")</f>
        <v>CARGO</v>
      </c>
      <c r="J232" s="1" t="str">
        <f>IFERROR(__xludf.DUMMYFUNCTION("""COMPUTED_VALUE"""),"Nocturno - A distancia")</f>
        <v>Nocturno - A distancia</v>
      </c>
      <c r="K232" s="1" t="str">
        <f>IFERROR(__xludf.DUMMYFUNCTION("""COMPUTED_VALUE"""),"NUEVO")</f>
        <v>NUEVO</v>
      </c>
      <c r="L232" s="1">
        <f>IFERROR(__xludf.DUMMYFUNCTION("""COMPUTED_VALUE"""),0.0)</f>
        <v>0</v>
      </c>
      <c r="M232" s="1">
        <f>IFERROR(__xludf.DUMMYFUNCTION("""COMPUTED_VALUE"""),0.0)</f>
        <v>0</v>
      </c>
      <c r="N232" s="1" t="str">
        <f>IFERROR(__xludf.DUMMYFUNCTION("""COMPUTED_VALUE"""),"ESCALA DISTANCIA")</f>
        <v>ESCALA DISTANCIA</v>
      </c>
      <c r="O232" s="1" t="str">
        <f>IFERROR(__xludf.DUMMYFUNCTION("""COMPUTED_VALUE"""),"ESCALA DISTANCIA REGULAR")</f>
        <v>ESCALA DISTANCIA REGULAR</v>
      </c>
      <c r="P232" s="4">
        <f>IFERROR(__xludf.DUMMYFUNCTION("""COMPUTED_VALUE"""),0.0)</f>
        <v>0</v>
      </c>
      <c r="Q232" s="4">
        <f>IFERROR(__xludf.DUMMYFUNCTION("""COMPUTED_VALUE"""),0.0)</f>
        <v>0</v>
      </c>
      <c r="R232" s="4">
        <f>IFERROR(__xludf.DUMMYFUNCTION("""COMPUTED_VALUE"""),1150.0)</f>
        <v>1150</v>
      </c>
      <c r="S232" s="4">
        <f>IFERROR(__xludf.DUMMYFUNCTION("""COMPUTED_VALUE"""),950.0)</f>
        <v>950</v>
      </c>
      <c r="T232" s="1" t="str">
        <f>IFERROR(__xludf.DUMMYFUNCTION("""COMPUTED_VALUE"""),"PALANCA 700")</f>
        <v>PALANCA 700</v>
      </c>
      <c r="U232" s="1" t="str">
        <f>IFERROR(__xludf.DUMMYFUNCTION("""COMPUTED_VALUE"""),"FABIOLA")</f>
        <v>FABIOLA</v>
      </c>
      <c r="V232" s="1" t="str">
        <f>IFERROR(__xludf.DUMMYFUNCTION("""COMPUTED_VALUE"""),"Ninguno")</f>
        <v>Ninguno</v>
      </c>
      <c r="W232" s="1" t="str">
        <f>IFERROR(__xludf.DUMMYFUNCTION("""COMPUTED_VALUE"""),"Flexibilidad de horarios")</f>
        <v>Flexibilidad de horarios</v>
      </c>
      <c r="X232" s="1" t="str">
        <f>IFERROR(__xludf.DUMMYFUNCTION("""COMPUTED_VALUE"""),"ES DGP VIRTUAL EN LAS NOCHES / PAGO 700 EN SU PRIMERA BOLETA LUEGO SUS OTRAS BOLETAS SON DE 950 EN BECA")</f>
        <v>ES DGP VIRTUAL EN LAS NOCHES / PAGO 700 EN SU PRIMERA BOLETA LUEGO SUS OTRAS BOLETAS SON DE 950 EN BECA</v>
      </c>
      <c r="Y232" s="1" t="str">
        <f>IFERROR(__xludf.DUMMYFUNCTION("""COMPUTED_VALUE"""),"PAGO COMPLETO")</f>
        <v>PAGO COMPLETO</v>
      </c>
      <c r="Z232" s="1">
        <f>IFERROR(__xludf.DUMMYFUNCTION("""COMPUTED_VALUE"""),0.0)</f>
        <v>0</v>
      </c>
      <c r="AA232" s="1" t="str">
        <f>IFERROR(__xludf.DUMMYFUNCTION("""COMPUTED_VALUE"""),"-")</f>
        <v>-</v>
      </c>
      <c r="AB232" s="1">
        <f>IFERROR(__xludf.DUMMYFUNCTION("""COMPUTED_VALUE"""),1.0)</f>
        <v>1</v>
      </c>
      <c r="AC232" s="1">
        <f>IFERROR(__xludf.DUMMYFUNCTION("""COMPUTED_VALUE"""),0.0)</f>
        <v>0</v>
      </c>
      <c r="AD232" s="1" t="str">
        <f>IFERROR(__xludf.DUMMYFUNCTION("""COMPUTED_VALUE"""),"Andrea Araujo Antara")</f>
        <v>Andrea Araujo Antara</v>
      </c>
      <c r="AE232" s="1" t="str">
        <f>IFERROR(__xludf.DUMMYFUNCTION("""COMPUTED_VALUE"""),"0")</f>
        <v>0</v>
      </c>
      <c r="AF232" s="1">
        <f>IFERROR(__xludf.DUMMYFUNCTION("""COMPUTED_VALUE"""),2024.0)</f>
        <v>2024</v>
      </c>
      <c r="AG232" s="1">
        <f>IFERROR(__xludf.DUMMYFUNCTION("""COMPUTED_VALUE"""),729491.0)</f>
        <v>729491</v>
      </c>
      <c r="AH232" s="1">
        <f>IFERROR(__xludf.DUMMYFUNCTION("""COMPUTED_VALUE"""),17.0)</f>
        <v>17</v>
      </c>
      <c r="AI232" s="1" t="str">
        <f>IFERROR(__xludf.DUMMYFUNCTION("""COMPUTED_VALUE"""),"0000403042")</f>
        <v>0000403042</v>
      </c>
      <c r="AJ232" s="1">
        <f>IFERROR(__xludf.DUMMYFUNCTION("""COMPUTED_VALUE"""),6.1172226E7)</f>
        <v>61172226</v>
      </c>
      <c r="AK232" s="1">
        <f>IFERROR(__xludf.DUMMYFUNCTION("""COMPUTED_VALUE"""),9.10279546E8)</f>
        <v>910279546</v>
      </c>
      <c r="AL232" s="1" t="str">
        <f>IFERROR(__xludf.DUMMYFUNCTION("""COMPUTED_VALUE"""),"spenser0206@gmail.com")</f>
        <v>spenser0206@gmail.com</v>
      </c>
      <c r="AM232" s="1" t="str">
        <f>IFERROR(__xludf.DUMMYFUNCTION("""COMPUTED_VALUE"""),"FEMENINO")</f>
        <v>FEMENINO</v>
      </c>
      <c r="AN232" s="1">
        <f>IFERROR(__xludf.DUMMYFUNCTION("""COMPUTED_VALUE"""),1350.0)</f>
        <v>1350</v>
      </c>
      <c r="AO232" s="1">
        <f>IFERROR(__xludf.DUMMYFUNCTION("""COMPUTED_VALUE"""),0.0)</f>
        <v>0</v>
      </c>
      <c r="AP232" s="1" t="str">
        <f>IFERROR(__xludf.DUMMYFUNCTION("""COMPUTED_VALUE"""),"BIDIRECCIONAL")</f>
        <v>BIDIRECCIONAL</v>
      </c>
      <c r="AQ232" s="1" t="str">
        <f>IFERROR(__xludf.DUMMYFUNCTION("""COMPUTED_VALUE"""),"ORGANICO")</f>
        <v>ORGANICO</v>
      </c>
      <c r="AR232" s="1" t="str">
        <f>IFERROR(__xludf.DUMMYFUNCTION("""COMPUTED_VALUE"""),"NUEVO")</f>
        <v>NUEVO</v>
      </c>
      <c r="AS232" s="1"/>
      <c r="AT232" s="2">
        <f>IFERROR(__xludf.DUMMYFUNCTION("""COMPUTED_VALUE"""),45631.0)</f>
        <v>45631</v>
      </c>
      <c r="AU232" s="1">
        <f>IFERROR(__xludf.DUMMYFUNCTION("""COMPUTED_VALUE"""),1.0)</f>
        <v>1</v>
      </c>
      <c r="AV232" s="1" t="str">
        <f>IFERROR(__xludf.DUMMYFUNCTION("""COMPUTED_VALUE"""),"NUEVO")</f>
        <v>NUEVO</v>
      </c>
      <c r="AW232" s="1" t="str">
        <f>IFERROR(__xludf.DUMMYFUNCTION("""COMPUTED_VALUE"""),"SI")</f>
        <v>SI</v>
      </c>
      <c r="AX232" s="1"/>
      <c r="AY232" s="1" t="str">
        <f>IFERROR(__xludf.DUMMYFUNCTION("""COMPUTED_VALUE"""),"PAGO COMPLETO")</f>
        <v>PAGO COMPLETO</v>
      </c>
      <c r="AZ232" s="5">
        <f>IFERROR(__xludf.DUMMYFUNCTION("""COMPUTED_VALUE"""),45631.0)</f>
        <v>45631</v>
      </c>
      <c r="BA232" s="1">
        <f>IFERROR(__xludf.DUMMYFUNCTION("""COMPUTED_VALUE"""),0.0)</f>
        <v>0</v>
      </c>
      <c r="BB232" s="1">
        <f>IFERROR(__xludf.DUMMYFUNCTION("""COMPUTED_VALUE"""),0.0)</f>
        <v>0</v>
      </c>
      <c r="BC232" s="4">
        <f>IFERROR(__xludf.DUMMYFUNCTION("""COMPUTED_VALUE"""),0.0)</f>
        <v>0</v>
      </c>
      <c r="BD232" s="4">
        <f>IFERROR(__xludf.DUMMYFUNCTION("""COMPUTED_VALUE"""),250.0)</f>
        <v>250</v>
      </c>
      <c r="BE232" s="1">
        <f>IFERROR(__xludf.DUMMYFUNCTION("""COMPUTED_VALUE"""),12.0)</f>
        <v>12</v>
      </c>
      <c r="BF232" s="6">
        <f>IFERROR(__xludf.DUMMYFUNCTION("""COMPUTED_VALUE"""),1.0)</f>
        <v>1</v>
      </c>
      <c r="BG232" s="1">
        <f>IFERROR(__xludf.DUMMYFUNCTION("""COMPUTED_VALUE"""),1.0)</f>
        <v>1</v>
      </c>
      <c r="BH232" s="1" t="str">
        <f>IFERROR(__xludf.DUMMYFUNCTION("""COMPUTED_VALUE"""),"0")</f>
        <v>0</v>
      </c>
      <c r="BI232" s="4">
        <f>IFERROR(__xludf.DUMMYFUNCTION("""COMPUTED_VALUE"""),250.0)</f>
        <v>250</v>
      </c>
      <c r="BJ232" s="1">
        <f>IFERROR(__xludf.DUMMYFUNCTION("""COMPUTED_VALUE"""),0.0)</f>
        <v>0</v>
      </c>
      <c r="BK232" s="4">
        <f>IFERROR(__xludf.DUMMYFUNCTION("""COMPUTED_VALUE"""),250.0)</f>
        <v>250</v>
      </c>
      <c r="BL232" s="1">
        <f>IFERROR(__xludf.DUMMYFUNCTION("""COMPUTED_VALUE"""),900.0)</f>
        <v>900</v>
      </c>
      <c r="BM232" s="1">
        <f>IFERROR(__xludf.DUMMYFUNCTION("""COMPUTED_VALUE"""),49.0)</f>
        <v>49</v>
      </c>
      <c r="BN232" s="2">
        <f>IFERROR(__xludf.DUMMYFUNCTION("""COMPUTED_VALUE"""),45628.0)</f>
        <v>45628</v>
      </c>
      <c r="BO232" s="1">
        <f>IFERROR(__xludf.DUMMYFUNCTION("""COMPUTED_VALUE"""),12.0)</f>
        <v>12</v>
      </c>
      <c r="BP232" s="1">
        <f>IFERROR(__xludf.DUMMYFUNCTION("""COMPUTED_VALUE"""),2024.0)</f>
        <v>2024</v>
      </c>
    </row>
    <row r="233">
      <c r="A233" s="1">
        <f>IFERROR(__xludf.DUMMYFUNCTION("""COMPUTED_VALUE"""),232.0)</f>
        <v>232</v>
      </c>
      <c r="B233" s="1">
        <f>IFERROR(__xludf.DUMMYFUNCTION("""COMPUTED_VALUE"""),3381643.0)</f>
        <v>3381643</v>
      </c>
      <c r="C233" s="1" t="str">
        <f>IFERROR(__xludf.DUMMYFUNCTION("""COMPUTED_VALUE"""),"2025-1")</f>
        <v>2025-1</v>
      </c>
      <c r="D233" s="1" t="str">
        <f>IFERROR(__xludf.DUMMYFUNCTION("""COMPUTED_VALUE"""),"Admisión de Alto Rendimiento")</f>
        <v>Admisión de Alto Rendimiento</v>
      </c>
      <c r="E233" s="2">
        <f>IFERROR(__xludf.DUMMYFUNCTION("""COMPUTED_VALUE"""),45632.0)</f>
        <v>45632</v>
      </c>
      <c r="F233" s="1" t="str">
        <f>IFERROR(__xludf.DUMMYFUNCTION("""COMPUTED_VALUE"""),"JAIR RODRIGO ")</f>
        <v>JAIR RODRIGO </v>
      </c>
      <c r="G233" s="1" t="str">
        <f>IFERROR(__xludf.DUMMYFUNCTION("""COMPUTED_VALUE"""),"BAUTISTA SALAZAR")</f>
        <v>BAUTISTA SALAZAR</v>
      </c>
      <c r="H233" s="1" t="str">
        <f>IFERROR(__xludf.DUMMYFUNCTION("""COMPUTED_VALUE"""),"Arquitectura")</f>
        <v>Arquitectura</v>
      </c>
      <c r="I233" s="1" t="str">
        <f>IFERROR(__xludf.DUMMYFUNCTION("""COMPUTED_VALUE"""),"CARGO")</f>
        <v>CARGO</v>
      </c>
      <c r="J233" s="1" t="str">
        <f>IFERROR(__xludf.DUMMYFUNCTION("""COMPUTED_VALUE"""),"Diurno")</f>
        <v>Diurno</v>
      </c>
      <c r="K233" s="1" t="str">
        <f>IFERROR(__xludf.DUMMYFUNCTION("""COMPUTED_VALUE"""),"NUEVO")</f>
        <v>NUEVO</v>
      </c>
      <c r="L233" s="1">
        <f>IFERROR(__xludf.DUMMYFUNCTION("""COMPUTED_VALUE"""),0.0)</f>
        <v>0</v>
      </c>
      <c r="M233" s="1">
        <f>IFERROR(__xludf.DUMMYFUNCTION("""COMPUTED_VALUE"""),0.0)</f>
        <v>0</v>
      </c>
      <c r="N233" s="1" t="str">
        <f>IFERROR(__xludf.DUMMYFUNCTION("""COMPUTED_VALUE"""),"BECA")</f>
        <v>BECA</v>
      </c>
      <c r="O233" s="1" t="str">
        <f>IFERROR(__xludf.DUMMYFUNCTION("""COMPUTED_VALUE"""),"BECA CARRERAS CORE")</f>
        <v>BECA CARRERAS CORE</v>
      </c>
      <c r="P233" s="4">
        <f>IFERROR(__xludf.DUMMYFUNCTION("""COMPUTED_VALUE"""),0.0)</f>
        <v>0</v>
      </c>
      <c r="Q233" s="4">
        <f>IFERROR(__xludf.DUMMYFUNCTION("""COMPUTED_VALUE"""),0.0)</f>
        <v>0</v>
      </c>
      <c r="R233" s="4">
        <f>IFERROR(__xludf.DUMMYFUNCTION("""COMPUTED_VALUE"""),1150.0)</f>
        <v>1150</v>
      </c>
      <c r="S233" s="4">
        <f>IFERROR(__xludf.DUMMYFUNCTION("""COMPUTED_VALUE"""),950.0)</f>
        <v>950</v>
      </c>
      <c r="T233" s="1" t="str">
        <f>IFERROR(__xludf.DUMMYFUNCTION("""COMPUTED_VALUE"""),"PALANCA 700")</f>
        <v>PALANCA 700</v>
      </c>
      <c r="U233" s="1" t="str">
        <f>IFERROR(__xludf.DUMMYFUNCTION("""COMPUTED_VALUE"""),"FABIOLA")</f>
        <v>FABIOLA</v>
      </c>
      <c r="V233" s="1" t="str">
        <f>IFERROR(__xludf.DUMMYFUNCTION("""COMPUTED_VALUE"""),"Ninguno")</f>
        <v>Ninguno</v>
      </c>
      <c r="W233" s="1" t="str">
        <f>IFERROR(__xludf.DUMMYFUNCTION("""COMPUTED_VALUE"""),"Metodología de enseñanza")</f>
        <v>Metodología de enseñanza</v>
      </c>
      <c r="X233" s="1" t="str">
        <f>IFERROR(__xludf.DUMMYFUNCTION("""COMPUTED_VALUE"""),"metodologia pago primera cuota boleta de 700")</f>
        <v>metodologia pago primera cuota boleta de 700</v>
      </c>
      <c r="Y233" s="1" t="str">
        <f>IFERROR(__xludf.DUMMYFUNCTION("""COMPUTED_VALUE"""),"PAGO COMPLETO")</f>
        <v>PAGO COMPLETO</v>
      </c>
      <c r="Z233" s="1">
        <f>IFERROR(__xludf.DUMMYFUNCTION("""COMPUTED_VALUE"""),0.0)</f>
        <v>0</v>
      </c>
      <c r="AA233" s="1" t="str">
        <f>IFERROR(__xludf.DUMMYFUNCTION("""COMPUTED_VALUE"""),"-")</f>
        <v>-</v>
      </c>
      <c r="AB233" s="1">
        <f>IFERROR(__xludf.DUMMYFUNCTION("""COMPUTED_VALUE"""),0.0)</f>
        <v>0</v>
      </c>
      <c r="AC233" s="1">
        <f>IFERROR(__xludf.DUMMYFUNCTION("""COMPUTED_VALUE"""),0.0)</f>
        <v>0</v>
      </c>
      <c r="AD233" s="1" t="str">
        <f>IFERROR(__xludf.DUMMYFUNCTION("""COMPUTED_VALUE"""),"Cinthia Mariella Orosco")</f>
        <v>Cinthia Mariella Orosco</v>
      </c>
      <c r="AE233" s="1" t="str">
        <f>IFERROR(__xludf.DUMMYFUNCTION("""COMPUTED_VALUE"""),"0")</f>
        <v>0</v>
      </c>
      <c r="AF233" s="1">
        <f>IFERROR(__xludf.DUMMYFUNCTION("""COMPUTED_VALUE"""),2024.0)</f>
        <v>2024</v>
      </c>
      <c r="AG233" s="1">
        <f>IFERROR(__xludf.DUMMYFUNCTION("""COMPUTED_VALUE"""),1242908.0)</f>
        <v>1242908</v>
      </c>
      <c r="AH233" s="1">
        <f>IFERROR(__xludf.DUMMYFUNCTION("""COMPUTED_VALUE"""),16.0)</f>
        <v>16</v>
      </c>
      <c r="AI233" s="1" t="str">
        <f>IFERROR(__xludf.DUMMYFUNCTION("""COMPUTED_VALUE"""),"0000403131")</f>
        <v>0000403131</v>
      </c>
      <c r="AJ233" s="1">
        <f>IFERROR(__xludf.DUMMYFUNCTION("""COMPUTED_VALUE"""),7.1360083E7)</f>
        <v>71360083</v>
      </c>
      <c r="AK233" s="1">
        <f>IFERROR(__xludf.DUMMYFUNCTION("""COMPUTED_VALUE"""),9.45508307E8)</f>
        <v>945508307</v>
      </c>
      <c r="AL233" s="1" t="str">
        <f>IFERROR(__xludf.DUMMYFUNCTION("""COMPUTED_VALUE"""),"jairbautista0408@gmail.com")</f>
        <v>jairbautista0408@gmail.com</v>
      </c>
      <c r="AM233" s="1" t="str">
        <f>IFERROR(__xludf.DUMMYFUNCTION("""COMPUTED_VALUE"""),"MASCULINO")</f>
        <v>MASCULINO</v>
      </c>
      <c r="AN233" s="1">
        <f>IFERROR(__xludf.DUMMYFUNCTION("""COMPUTED_VALUE"""),1350.0)</f>
        <v>1350</v>
      </c>
      <c r="AO233" s="1">
        <f>IFERROR(__xludf.DUMMYFUNCTION("""COMPUTED_VALUE"""),0.0)</f>
        <v>0</v>
      </c>
      <c r="AP233" s="1" t="str">
        <f>IFERROR(__xludf.DUMMYFUNCTION("""COMPUTED_VALUE"""),"COLEGIOS")</f>
        <v>COLEGIOS</v>
      </c>
      <c r="AQ233" s="1" t="str">
        <f>IFERROR(__xludf.DUMMYFUNCTION("""COMPUTED_VALUE"""),"COLEGIOS")</f>
        <v>COLEGIOS</v>
      </c>
      <c r="AR233" s="1" t="str">
        <f>IFERROR(__xludf.DUMMYFUNCTION("""COMPUTED_VALUE"""),"NUEVO")</f>
        <v>NUEVO</v>
      </c>
      <c r="AS233" s="1"/>
      <c r="AT233" s="2">
        <f>IFERROR(__xludf.DUMMYFUNCTION("""COMPUTED_VALUE"""),45470.0)</f>
        <v>45470</v>
      </c>
      <c r="AU233" s="1">
        <f>IFERROR(__xludf.DUMMYFUNCTION("""COMPUTED_VALUE"""),1.0)</f>
        <v>1</v>
      </c>
      <c r="AV233" s="1" t="str">
        <f>IFERROR(__xludf.DUMMYFUNCTION("""COMPUTED_VALUE"""),"NUEVO")</f>
        <v>NUEVO</v>
      </c>
      <c r="AW233" s="1" t="str">
        <f>IFERROR(__xludf.DUMMYFUNCTION("""COMPUTED_VALUE"""),"SI")</f>
        <v>SI</v>
      </c>
      <c r="AX233" s="1"/>
      <c r="AY233" s="1" t="str">
        <f>IFERROR(__xludf.DUMMYFUNCTION("""COMPUTED_VALUE"""),"PAGO COMPLETO")</f>
        <v>PAGO COMPLETO</v>
      </c>
      <c r="AZ233" s="5">
        <f>IFERROR(__xludf.DUMMYFUNCTION("""COMPUTED_VALUE"""),45632.0)</f>
        <v>45632</v>
      </c>
      <c r="BA233" s="1">
        <f>IFERROR(__xludf.DUMMYFUNCTION("""COMPUTED_VALUE"""),0.0)</f>
        <v>0</v>
      </c>
      <c r="BB233" s="1">
        <f>IFERROR(__xludf.DUMMYFUNCTION("""COMPUTED_VALUE"""),0.0)</f>
        <v>0</v>
      </c>
      <c r="BC233" s="4">
        <f>IFERROR(__xludf.DUMMYFUNCTION("""COMPUTED_VALUE"""),0.0)</f>
        <v>0</v>
      </c>
      <c r="BD233" s="4">
        <f>IFERROR(__xludf.DUMMYFUNCTION("""COMPUTED_VALUE"""),250.0)</f>
        <v>250</v>
      </c>
      <c r="BE233" s="1">
        <f>IFERROR(__xludf.DUMMYFUNCTION("""COMPUTED_VALUE"""),12.0)</f>
        <v>12</v>
      </c>
      <c r="BF233" s="6">
        <f>IFERROR(__xludf.DUMMYFUNCTION("""COMPUTED_VALUE"""),1.0)</f>
        <v>1</v>
      </c>
      <c r="BG233" s="1">
        <f>IFERROR(__xludf.DUMMYFUNCTION("""COMPUTED_VALUE"""),1.0)</f>
        <v>1</v>
      </c>
      <c r="BH233" s="1" t="str">
        <f>IFERROR(__xludf.DUMMYFUNCTION("""COMPUTED_VALUE"""),"0")</f>
        <v>0</v>
      </c>
      <c r="BI233" s="4">
        <f>IFERROR(__xludf.DUMMYFUNCTION("""COMPUTED_VALUE"""),250.0)</f>
        <v>250</v>
      </c>
      <c r="BJ233" s="1">
        <f>IFERROR(__xludf.DUMMYFUNCTION("""COMPUTED_VALUE"""),0.0)</f>
        <v>0</v>
      </c>
      <c r="BK233" s="4">
        <f>IFERROR(__xludf.DUMMYFUNCTION("""COMPUTED_VALUE"""),250.0)</f>
        <v>250</v>
      </c>
      <c r="BL233" s="1">
        <f>IFERROR(__xludf.DUMMYFUNCTION("""COMPUTED_VALUE"""),900.0)</f>
        <v>900</v>
      </c>
      <c r="BM233" s="1">
        <f>IFERROR(__xludf.DUMMYFUNCTION("""COMPUTED_VALUE"""),49.0)</f>
        <v>49</v>
      </c>
      <c r="BN233" s="2">
        <f>IFERROR(__xludf.DUMMYFUNCTION("""COMPUTED_VALUE"""),45628.0)</f>
        <v>45628</v>
      </c>
      <c r="BO233" s="1">
        <f>IFERROR(__xludf.DUMMYFUNCTION("""COMPUTED_VALUE"""),12.0)</f>
        <v>12</v>
      </c>
      <c r="BP233" s="1">
        <f>IFERROR(__xludf.DUMMYFUNCTION("""COMPUTED_VALUE"""),2024.0)</f>
        <v>2024</v>
      </c>
    </row>
    <row r="234">
      <c r="A234" s="1">
        <f>IFERROR(__xludf.DUMMYFUNCTION("""COMPUTED_VALUE"""),233.0)</f>
        <v>233</v>
      </c>
      <c r="B234" s="1">
        <f>IFERROR(__xludf.DUMMYFUNCTION("""COMPUTED_VALUE"""),4844684.0)</f>
        <v>4844684</v>
      </c>
      <c r="C234" s="1" t="str">
        <f>IFERROR(__xludf.DUMMYFUNCTION("""COMPUTED_VALUE"""),"2025-1")</f>
        <v>2025-1</v>
      </c>
      <c r="D234" s="1" t="str">
        <f>IFERROR(__xludf.DUMMYFUNCTION("""COMPUTED_VALUE"""),"Admisión de Alto Rendimiento")</f>
        <v>Admisión de Alto Rendimiento</v>
      </c>
      <c r="E234" s="2">
        <f>IFERROR(__xludf.DUMMYFUNCTION("""COMPUTED_VALUE"""),45632.0)</f>
        <v>45632</v>
      </c>
      <c r="F234" s="1" t="str">
        <f>IFERROR(__xludf.DUMMYFUNCTION("""COMPUTED_VALUE"""),"KIARA YAMILET")</f>
        <v>KIARA YAMILET</v>
      </c>
      <c r="G234" s="1" t="str">
        <f>IFERROR(__xludf.DUMMYFUNCTION("""COMPUTED_VALUE"""),"PAREDES HUASHUAYO")</f>
        <v>PAREDES HUASHUAYO</v>
      </c>
      <c r="H234" s="1" t="str">
        <f>IFERROR(__xludf.DUMMYFUNCTION("""COMPUTED_VALUE"""),"Diseño Gráfico Publicitario")</f>
        <v>Diseño Gráfico Publicitario</v>
      </c>
      <c r="I234" s="1" t="str">
        <f>IFERROR(__xludf.DUMMYFUNCTION("""COMPUTED_VALUE"""),"CARGO")</f>
        <v>CARGO</v>
      </c>
      <c r="J234" s="1" t="str">
        <f>IFERROR(__xludf.DUMMYFUNCTION("""COMPUTED_VALUE"""),"Diurno")</f>
        <v>Diurno</v>
      </c>
      <c r="K234" s="1" t="str">
        <f>IFERROR(__xludf.DUMMYFUNCTION("""COMPUTED_VALUE"""),"NUEVO")</f>
        <v>NUEVO</v>
      </c>
      <c r="L234" s="1">
        <f>IFERROR(__xludf.DUMMYFUNCTION("""COMPUTED_VALUE"""),0.0)</f>
        <v>0</v>
      </c>
      <c r="M234" s="1">
        <f>IFERROR(__xludf.DUMMYFUNCTION("""COMPUTED_VALUE"""),0.0)</f>
        <v>0</v>
      </c>
      <c r="N234" s="1" t="str">
        <f>IFERROR(__xludf.DUMMYFUNCTION("""COMPUTED_VALUE"""),"BECA")</f>
        <v>BECA</v>
      </c>
      <c r="O234" s="1" t="str">
        <f>IFERROR(__xludf.DUMMYFUNCTION("""COMPUTED_VALUE"""),"BECA CARRERAS CORE")</f>
        <v>BECA CARRERAS CORE</v>
      </c>
      <c r="P234" s="4">
        <f>IFERROR(__xludf.DUMMYFUNCTION("""COMPUTED_VALUE"""),0.0)</f>
        <v>0</v>
      </c>
      <c r="Q234" s="4">
        <f>IFERROR(__xludf.DUMMYFUNCTION("""COMPUTED_VALUE"""),0.0)</f>
        <v>0</v>
      </c>
      <c r="R234" s="4">
        <f>IFERROR(__xludf.DUMMYFUNCTION("""COMPUTED_VALUE"""),1050.0)</f>
        <v>1050</v>
      </c>
      <c r="S234" s="4">
        <f>IFERROR(__xludf.DUMMYFUNCTION("""COMPUTED_VALUE"""),850.0)</f>
        <v>850</v>
      </c>
      <c r="T234" s="1" t="str">
        <f>IFERROR(__xludf.DUMMYFUNCTION("""COMPUTED_VALUE"""),"PALANCA 700")</f>
        <v>PALANCA 700</v>
      </c>
      <c r="U234" s="1" t="str">
        <f>IFERROR(__xludf.DUMMYFUNCTION("""COMPUTED_VALUE"""),"FABIOLA")</f>
        <v>FABIOLA</v>
      </c>
      <c r="V234" s="1" t="str">
        <f>IFERROR(__xludf.DUMMYFUNCTION("""COMPUTED_VALUE"""),"Ninguno")</f>
        <v>Ninguno</v>
      </c>
      <c r="W234" s="1" t="str">
        <f>IFERROR(__xludf.DUMMYFUNCTION("""COMPUTED_VALUE"""),"Metodología de enseñanza")</f>
        <v>Metodología de enseñanza</v>
      </c>
      <c r="X234" s="1" t="str">
        <f>IFERROR(__xludf.DUMMYFUNCTION("""COMPUTED_VALUE"""),"LE GUSTA MUCHO LA UNIVERSIDAD / pago primera cuota boleta de 700")</f>
        <v>LE GUSTA MUCHO LA UNIVERSIDAD / pago primera cuota boleta de 700</v>
      </c>
      <c r="Y234" s="1" t="str">
        <f>IFERROR(__xludf.DUMMYFUNCTION("""COMPUTED_VALUE"""),"PAGO COMPLETO")</f>
        <v>PAGO COMPLETO</v>
      </c>
      <c r="Z234" s="1">
        <f>IFERROR(__xludf.DUMMYFUNCTION("""COMPUTED_VALUE"""),0.0)</f>
        <v>0</v>
      </c>
      <c r="AA234" s="1" t="str">
        <f>IFERROR(__xludf.DUMMYFUNCTION("""COMPUTED_VALUE"""),"-")</f>
        <v>-</v>
      </c>
      <c r="AB234" s="1">
        <f>IFERROR(__xludf.DUMMYFUNCTION("""COMPUTED_VALUE"""),0.0)</f>
        <v>0</v>
      </c>
      <c r="AC234" s="1">
        <f>IFERROR(__xludf.DUMMYFUNCTION("""COMPUTED_VALUE"""),0.0)</f>
        <v>0</v>
      </c>
      <c r="AD234" s="1" t="str">
        <f>IFERROR(__xludf.DUMMYFUNCTION("""COMPUTED_VALUE"""),"Daniel Zapata")</f>
        <v>Daniel Zapata</v>
      </c>
      <c r="AE234" s="1" t="str">
        <f>IFERROR(__xludf.DUMMYFUNCTION("""COMPUTED_VALUE"""),"0")</f>
        <v>0</v>
      </c>
      <c r="AF234" s="1">
        <f>IFERROR(__xludf.DUMMYFUNCTION("""COMPUTED_VALUE"""),2024.0)</f>
        <v>2024</v>
      </c>
      <c r="AG234" s="1">
        <f>IFERROR(__xludf.DUMMYFUNCTION("""COMPUTED_VALUE"""),584144.0)</f>
        <v>584144</v>
      </c>
      <c r="AH234" s="1">
        <f>IFERROR(__xludf.DUMMYFUNCTION("""COMPUTED_VALUE"""),16.0)</f>
        <v>16</v>
      </c>
      <c r="AI234" s="1" t="str">
        <f>IFERROR(__xludf.DUMMYFUNCTION("""COMPUTED_VALUE"""),"0000403114")</f>
        <v>0000403114</v>
      </c>
      <c r="AJ234" s="1">
        <f>IFERROR(__xludf.DUMMYFUNCTION("""COMPUTED_VALUE"""),7.1189275E7)</f>
        <v>71189275</v>
      </c>
      <c r="AK234" s="1">
        <f>IFERROR(__xludf.DUMMYFUNCTION("""COMPUTED_VALUE"""),9.757814E8)</f>
        <v>975781400</v>
      </c>
      <c r="AL234" s="1" t="str">
        <f>IFERROR(__xludf.DUMMYFUNCTION("""COMPUTED_VALUE"""),"kiarayparedes@gmail.com")</f>
        <v>kiarayparedes@gmail.com</v>
      </c>
      <c r="AM234" s="1" t="str">
        <f>IFERROR(__xludf.DUMMYFUNCTION("""COMPUTED_VALUE"""),"FEMENINO")</f>
        <v>FEMENINO</v>
      </c>
      <c r="AN234" s="1">
        <f>IFERROR(__xludf.DUMMYFUNCTION("""COMPUTED_VALUE"""),1350.0)</f>
        <v>1350</v>
      </c>
      <c r="AO234" s="1">
        <f>IFERROR(__xludf.DUMMYFUNCTION("""COMPUTED_VALUE"""),0.0)</f>
        <v>0</v>
      </c>
      <c r="AP234" s="1" t="str">
        <f>IFERROR(__xludf.DUMMYFUNCTION("""COMPUTED_VALUE"""),"FORMULARIO")</f>
        <v>FORMULARIO</v>
      </c>
      <c r="AQ234" s="1" t="str">
        <f>IFERROR(__xludf.DUMMYFUNCTION("""COMPUTED_VALUE"""),"SEARCH CARRERA")</f>
        <v>SEARCH CARRERA</v>
      </c>
      <c r="AR234" s="1" t="str">
        <f>IFERROR(__xludf.DUMMYFUNCTION("""COMPUTED_VALUE"""),"NUEVO")</f>
        <v>NUEVO</v>
      </c>
      <c r="AS234" s="1" t="str">
        <f>IFERROR(__xludf.DUMMYFUNCTION("""COMPUTED_VALUE"""),"ucal-pg-performance-sedes-abierta-cpl-search_conversion_mundo_diseno_reactivacion-20241105")</f>
        <v>ucal-pg-performance-sedes-abierta-cpl-search_conversion_mundo_diseno_reactivacion-20241105</v>
      </c>
      <c r="AT234" s="2">
        <f>IFERROR(__xludf.DUMMYFUNCTION("""COMPUTED_VALUE"""),45629.0)</f>
        <v>45629</v>
      </c>
      <c r="AU234" s="1">
        <f>IFERROR(__xludf.DUMMYFUNCTION("""COMPUTED_VALUE"""),1.0)</f>
        <v>1</v>
      </c>
      <c r="AV234" s="1" t="str">
        <f>IFERROR(__xludf.DUMMYFUNCTION("""COMPUTED_VALUE"""),"NUEVO")</f>
        <v>NUEVO</v>
      </c>
      <c r="AW234" s="1" t="str">
        <f>IFERROR(__xludf.DUMMYFUNCTION("""COMPUTED_VALUE"""),"SI")</f>
        <v>SI</v>
      </c>
      <c r="AX234" s="1"/>
      <c r="AY234" s="1" t="str">
        <f>IFERROR(__xludf.DUMMYFUNCTION("""COMPUTED_VALUE"""),"PAGO COMPLETO")</f>
        <v>PAGO COMPLETO</v>
      </c>
      <c r="AZ234" s="5">
        <f>IFERROR(__xludf.DUMMYFUNCTION("""COMPUTED_VALUE"""),45632.0)</f>
        <v>45632</v>
      </c>
      <c r="BA234" s="1">
        <f>IFERROR(__xludf.DUMMYFUNCTION("""COMPUTED_VALUE"""),0.0)</f>
        <v>0</v>
      </c>
      <c r="BB234" s="1">
        <f>IFERROR(__xludf.DUMMYFUNCTION("""COMPUTED_VALUE"""),0.0)</f>
        <v>0</v>
      </c>
      <c r="BC234" s="4">
        <f>IFERROR(__xludf.DUMMYFUNCTION("""COMPUTED_VALUE"""),0.0)</f>
        <v>0</v>
      </c>
      <c r="BD234" s="4">
        <f>IFERROR(__xludf.DUMMYFUNCTION("""COMPUTED_VALUE"""),150.0)</f>
        <v>150</v>
      </c>
      <c r="BE234" s="1">
        <f>IFERROR(__xludf.DUMMYFUNCTION("""COMPUTED_VALUE"""),12.0)</f>
        <v>12</v>
      </c>
      <c r="BF234" s="6">
        <f>IFERROR(__xludf.DUMMYFUNCTION("""COMPUTED_VALUE"""),1.0)</f>
        <v>1</v>
      </c>
      <c r="BG234" s="1">
        <f>IFERROR(__xludf.DUMMYFUNCTION("""COMPUTED_VALUE"""),1.0)</f>
        <v>1</v>
      </c>
      <c r="BH234" s="1" t="str">
        <f>IFERROR(__xludf.DUMMYFUNCTION("""COMPUTED_VALUE"""),"0")</f>
        <v>0</v>
      </c>
      <c r="BI234" s="4">
        <f>IFERROR(__xludf.DUMMYFUNCTION("""COMPUTED_VALUE"""),150.0)</f>
        <v>150</v>
      </c>
      <c r="BJ234" s="1">
        <f>IFERROR(__xludf.DUMMYFUNCTION("""COMPUTED_VALUE"""),0.0)</f>
        <v>0</v>
      </c>
      <c r="BK234" s="4">
        <f>IFERROR(__xludf.DUMMYFUNCTION("""COMPUTED_VALUE"""),150.0)</f>
        <v>150</v>
      </c>
      <c r="BL234" s="1">
        <f>IFERROR(__xludf.DUMMYFUNCTION("""COMPUTED_VALUE"""),820.0)</f>
        <v>820</v>
      </c>
      <c r="BM234" s="1">
        <f>IFERROR(__xludf.DUMMYFUNCTION("""COMPUTED_VALUE"""),49.0)</f>
        <v>49</v>
      </c>
      <c r="BN234" s="2">
        <f>IFERROR(__xludf.DUMMYFUNCTION("""COMPUTED_VALUE"""),45628.0)</f>
        <v>45628</v>
      </c>
      <c r="BO234" s="1">
        <f>IFERROR(__xludf.DUMMYFUNCTION("""COMPUTED_VALUE"""),12.0)</f>
        <v>12</v>
      </c>
      <c r="BP234" s="1">
        <f>IFERROR(__xludf.DUMMYFUNCTION("""COMPUTED_VALUE"""),2024.0)</f>
        <v>2024</v>
      </c>
    </row>
    <row r="235">
      <c r="A235" s="1">
        <f>IFERROR(__xludf.DUMMYFUNCTION("""COMPUTED_VALUE"""),234.0)</f>
        <v>234</v>
      </c>
      <c r="B235" s="1">
        <f>IFERROR(__xludf.DUMMYFUNCTION("""COMPUTED_VALUE"""),2374892.0)</f>
        <v>2374892</v>
      </c>
      <c r="C235" s="1" t="str">
        <f>IFERROR(__xludf.DUMMYFUNCTION("""COMPUTED_VALUE"""),"2025-1")</f>
        <v>2025-1</v>
      </c>
      <c r="D235" s="1" t="str">
        <f>IFERROR(__xludf.DUMMYFUNCTION("""COMPUTED_VALUE"""),"Admisión Extraordinaria (Traslados)")</f>
        <v>Admisión Extraordinaria (Traslados)</v>
      </c>
      <c r="E235" s="2">
        <f>IFERROR(__xludf.DUMMYFUNCTION("""COMPUTED_VALUE"""),45632.0)</f>
        <v>45632</v>
      </c>
      <c r="F235" s="1" t="str">
        <f>IFERROR(__xludf.DUMMYFUNCTION("""COMPUTED_VALUE"""),"HELEN ANGIE ")</f>
        <v>HELEN ANGIE </v>
      </c>
      <c r="G235" s="1" t="str">
        <f>IFERROR(__xludf.DUMMYFUNCTION("""COMPUTED_VALUE"""),"ASCENCIO QUISPE")</f>
        <v>ASCENCIO QUISPE</v>
      </c>
      <c r="H235" s="1" t="str">
        <f>IFERROR(__xludf.DUMMYFUNCTION("""COMPUTED_VALUE"""),"Arquitectura")</f>
        <v>Arquitectura</v>
      </c>
      <c r="I235" s="1" t="str">
        <f>IFERROR(__xludf.DUMMYFUNCTION("""COMPUTED_VALUE"""),"Pago Link")</f>
        <v>Pago Link</v>
      </c>
      <c r="J235" s="1" t="str">
        <f>IFERROR(__xludf.DUMMYFUNCTION("""COMPUTED_VALUE"""),"Diurno")</f>
        <v>Diurno</v>
      </c>
      <c r="K235" s="1" t="str">
        <f>IFERROR(__xludf.DUMMYFUNCTION("""COMPUTED_VALUE"""),"TRASLADO")</f>
        <v>TRASLADO</v>
      </c>
      <c r="L235" s="1">
        <f>IFERROR(__xludf.DUMMYFUNCTION("""COMPUTED_VALUE"""),1.0)</f>
        <v>1</v>
      </c>
      <c r="M235" s="1">
        <f>IFERROR(__xludf.DUMMYFUNCTION("""COMPUTED_VALUE"""),0.0)</f>
        <v>0</v>
      </c>
      <c r="N235" s="1" t="str">
        <f>IFERROR(__xludf.DUMMYFUNCTION("""COMPUTED_VALUE"""),"RECA")</f>
        <v>RECA</v>
      </c>
      <c r="O235" s="1" t="str">
        <f>IFERROR(__xludf.DUMMYFUNCTION("""COMPUTED_VALUE"""),"RECA TRASLADO CON CONVA")</f>
        <v>RECA TRASLADO CON CONVA</v>
      </c>
      <c r="P235" s="4">
        <f>IFERROR(__xludf.DUMMYFUNCTION("""COMPUTED_VALUE"""),0.0)</f>
        <v>0</v>
      </c>
      <c r="Q235" s="4">
        <f>IFERROR(__xludf.DUMMYFUNCTION("""COMPUTED_VALUE"""),0.0)</f>
        <v>0</v>
      </c>
      <c r="R235" s="4">
        <f>IFERROR(__xludf.DUMMYFUNCTION("""COMPUTED_VALUE"""),1600.0)</f>
        <v>1600</v>
      </c>
      <c r="S235" s="4">
        <f>IFERROR(__xludf.DUMMYFUNCTION("""COMPUTED_VALUE"""),1000.0)</f>
        <v>1000</v>
      </c>
      <c r="T235" s="1" t="str">
        <f>IFERROR(__xludf.DUMMYFUNCTION("""COMPUTED_VALUE"""),"Visita Guiada")</f>
        <v>Visita Guiada</v>
      </c>
      <c r="U235" s="1" t="str">
        <f>IFERROR(__xludf.DUMMYFUNCTION("""COMPUTED_VALUE"""),"FABIOLA")</f>
        <v>FABIOLA</v>
      </c>
      <c r="V235" s="1" t="str">
        <f>IFERROR(__xludf.DUMMYFUNCTION("""COMPUTED_VALUE"""),"Ninguno")</f>
        <v>Ninguno</v>
      </c>
      <c r="W235" s="1" t="str">
        <f>IFERROR(__xludf.DUMMYFUNCTION("""COMPUTED_VALUE"""),"Metodología de enseñanza")</f>
        <v>Metodología de enseñanza</v>
      </c>
      <c r="X235" s="1" t="str">
        <f>IFERROR(__xludf.DUMMYFUNCTION("""COMPUTED_VALUE"""),"malla curicular")</f>
        <v>malla curicular</v>
      </c>
      <c r="Y235" s="1" t="str">
        <f>IFERROR(__xludf.DUMMYFUNCTION("""COMPUTED_VALUE"""),"PAGO COMPLETO")</f>
        <v>PAGO COMPLETO</v>
      </c>
      <c r="Z235" s="1">
        <f>IFERROR(__xludf.DUMMYFUNCTION("""COMPUTED_VALUE"""),0.0)</f>
        <v>0</v>
      </c>
      <c r="AA235" s="1" t="str">
        <f>IFERROR(__xludf.DUMMYFUNCTION("""COMPUTED_VALUE"""),"-")</f>
        <v>-</v>
      </c>
      <c r="AB235" s="1">
        <f>IFERROR(__xludf.DUMMYFUNCTION("""COMPUTED_VALUE"""),1.0)</f>
        <v>1</v>
      </c>
      <c r="AC235" s="1">
        <f>IFERROR(__xludf.DUMMYFUNCTION("""COMPUTED_VALUE"""),0.0)</f>
        <v>0</v>
      </c>
      <c r="AD235" s="1" t="str">
        <f>IFERROR(__xludf.DUMMYFUNCTION("""COMPUTED_VALUE"""),"Rosa Ugarte")</f>
        <v>Rosa Ugarte</v>
      </c>
      <c r="AE235" s="1" t="str">
        <f>IFERROR(__xludf.DUMMYFUNCTION("""COMPUTED_VALUE"""),"Universidad San Martin de Porres")</f>
        <v>Universidad San Martin de Porres</v>
      </c>
      <c r="AF235" s="1">
        <f>IFERROR(__xludf.DUMMYFUNCTION("""COMPUTED_VALUE"""),2013.0)</f>
        <v>2013</v>
      </c>
      <c r="AG235" s="1">
        <f>IFERROR(__xludf.DUMMYFUNCTION("""COMPUTED_VALUE"""),1007756.0)</f>
        <v>1007756</v>
      </c>
      <c r="AH235" s="1">
        <f>IFERROR(__xludf.DUMMYFUNCTION("""COMPUTED_VALUE"""),28.0)</f>
        <v>28</v>
      </c>
      <c r="AI235" s="1" t="str">
        <f>IFERROR(__xludf.DUMMYFUNCTION("""COMPUTED_VALUE"""),"0000059682")</f>
        <v>0000059682</v>
      </c>
      <c r="AJ235" s="1">
        <f>IFERROR(__xludf.DUMMYFUNCTION("""COMPUTED_VALUE"""),7.6949219E7)</f>
        <v>76949219</v>
      </c>
      <c r="AK235" s="1">
        <f>IFERROR(__xludf.DUMMYFUNCTION("""COMPUTED_VALUE"""),9.37074403E8)</f>
        <v>937074403</v>
      </c>
      <c r="AL235" s="1" t="str">
        <f>IFERROR(__xludf.DUMMYFUNCTION("""COMPUTED_VALUE"""),"angieaq11@gmail.com")</f>
        <v>angieaq11@gmail.com</v>
      </c>
      <c r="AM235" s="1" t="str">
        <f>IFERROR(__xludf.DUMMYFUNCTION("""COMPUTED_VALUE"""),"FEMENINO")</f>
        <v>FEMENINO</v>
      </c>
      <c r="AN235" s="1">
        <f>IFERROR(__xludf.DUMMYFUNCTION("""COMPUTED_VALUE"""),1775.0)</f>
        <v>1775</v>
      </c>
      <c r="AO235" s="1">
        <f>IFERROR(__xludf.DUMMYFUNCTION("""COMPUTED_VALUE"""),0.0)</f>
        <v>0</v>
      </c>
      <c r="AP235" s="1" t="str">
        <f>IFERROR(__xludf.DUMMYFUNCTION("""COMPUTED_VALUE"""),"OUTBOUND")</f>
        <v>OUTBOUND</v>
      </c>
      <c r="AQ235" s="1" t="str">
        <f>IFERROR(__xludf.DUMMYFUNCTION("""COMPUTED_VALUE"""),"OUTBOUND")</f>
        <v>OUTBOUND</v>
      </c>
      <c r="AR235" s="1" t="str">
        <f>IFERROR(__xludf.DUMMYFUNCTION("""COMPUTED_VALUE"""),"NUEVO")</f>
        <v>NUEVO</v>
      </c>
      <c r="AS235" s="1"/>
      <c r="AT235" s="2">
        <f>IFERROR(__xludf.DUMMYFUNCTION("""COMPUTED_VALUE"""),45624.0)</f>
        <v>45624</v>
      </c>
      <c r="AU235" s="1">
        <f>IFERROR(__xludf.DUMMYFUNCTION("""COMPUTED_VALUE"""),1.0)</f>
        <v>1</v>
      </c>
      <c r="AV235" s="1" t="str">
        <f>IFERROR(__xludf.DUMMYFUNCTION("""COMPUTED_VALUE"""),"TRASLADO")</f>
        <v>TRASLADO</v>
      </c>
      <c r="AW235" s="1" t="str">
        <f>IFERROR(__xludf.DUMMYFUNCTION("""COMPUTED_VALUE"""),"SI")</f>
        <v>SI</v>
      </c>
      <c r="AX235" s="1"/>
      <c r="AY235" s="1" t="str">
        <f>IFERROR(__xludf.DUMMYFUNCTION("""COMPUTED_VALUE"""),"PAGO COMPLETO")</f>
        <v>PAGO COMPLETO</v>
      </c>
      <c r="AZ235" s="5">
        <f>IFERROR(__xludf.DUMMYFUNCTION("""COMPUTED_VALUE"""),45632.0)</f>
        <v>45632</v>
      </c>
      <c r="BA235" s="1">
        <f>IFERROR(__xludf.DUMMYFUNCTION("""COMPUTED_VALUE"""),0.0)</f>
        <v>0</v>
      </c>
      <c r="BB235" s="1">
        <f>IFERROR(__xludf.DUMMYFUNCTION("""COMPUTED_VALUE"""),0.0)</f>
        <v>0</v>
      </c>
      <c r="BC235" s="4">
        <f>IFERROR(__xludf.DUMMYFUNCTION("""COMPUTED_VALUE"""),0.0)</f>
        <v>0</v>
      </c>
      <c r="BD235" s="4">
        <f>IFERROR(__xludf.DUMMYFUNCTION("""COMPUTED_VALUE"""),100.0)</f>
        <v>100</v>
      </c>
      <c r="BE235" s="1">
        <f>IFERROR(__xludf.DUMMYFUNCTION("""COMPUTED_VALUE"""),12.0)</f>
        <v>12</v>
      </c>
      <c r="BF235" s="6">
        <f>IFERROR(__xludf.DUMMYFUNCTION("""COMPUTED_VALUE"""),1.0)</f>
        <v>1</v>
      </c>
      <c r="BG235" s="1">
        <f>IFERROR(__xludf.DUMMYFUNCTION("""COMPUTED_VALUE"""),1.0)</f>
        <v>1</v>
      </c>
      <c r="BH235" s="1" t="str">
        <f>IFERROR(__xludf.DUMMYFUNCTION("""COMPUTED_VALUE"""),"0")</f>
        <v>0</v>
      </c>
      <c r="BI235" s="4">
        <f>IFERROR(__xludf.DUMMYFUNCTION("""COMPUTED_VALUE"""),100.0)</f>
        <v>100</v>
      </c>
      <c r="BJ235" s="1">
        <f>IFERROR(__xludf.DUMMYFUNCTION("""COMPUTED_VALUE"""),0.0)</f>
        <v>0</v>
      </c>
      <c r="BK235" s="4">
        <f>IFERROR(__xludf.DUMMYFUNCTION("""COMPUTED_VALUE"""),100.0)</f>
        <v>100</v>
      </c>
      <c r="BL235" s="1">
        <f>IFERROR(__xludf.DUMMYFUNCTION("""COMPUTED_VALUE"""),980.0)</f>
        <v>980</v>
      </c>
      <c r="BM235" s="1">
        <f>IFERROR(__xludf.DUMMYFUNCTION("""COMPUTED_VALUE"""),49.0)</f>
        <v>49</v>
      </c>
      <c r="BN235" s="2">
        <f>IFERROR(__xludf.DUMMYFUNCTION("""COMPUTED_VALUE"""),45628.0)</f>
        <v>45628</v>
      </c>
      <c r="BO235" s="1">
        <f>IFERROR(__xludf.DUMMYFUNCTION("""COMPUTED_VALUE"""),12.0)</f>
        <v>12</v>
      </c>
      <c r="BP235" s="1">
        <f>IFERROR(__xludf.DUMMYFUNCTION("""COMPUTED_VALUE"""),2024.0)</f>
        <v>2024</v>
      </c>
    </row>
    <row r="236">
      <c r="A236" s="1">
        <f>IFERROR(__xludf.DUMMYFUNCTION("""COMPUTED_VALUE"""),235.0)</f>
        <v>235</v>
      </c>
      <c r="B236" s="1">
        <f>IFERROR(__xludf.DUMMYFUNCTION("""COMPUTED_VALUE"""),4769159.0)</f>
        <v>4769159</v>
      </c>
      <c r="C236" s="1" t="str">
        <f>IFERROR(__xludf.DUMMYFUNCTION("""COMPUTED_VALUE"""),"2025-1")</f>
        <v>2025-1</v>
      </c>
      <c r="D236" s="1" t="str">
        <f>IFERROR(__xludf.DUMMYFUNCTION("""COMPUTED_VALUE"""),"Admisión de Alto Rendimiento")</f>
        <v>Admisión de Alto Rendimiento</v>
      </c>
      <c r="E236" s="2">
        <f>IFERROR(__xludf.DUMMYFUNCTION("""COMPUTED_VALUE"""),45632.0)</f>
        <v>45632</v>
      </c>
      <c r="F236" s="1" t="str">
        <f>IFERROR(__xludf.DUMMYFUNCTION("""COMPUTED_VALUE"""),"ANAIS MILAGROS ")</f>
        <v>ANAIS MILAGROS </v>
      </c>
      <c r="G236" s="1" t="str">
        <f>IFERROR(__xludf.DUMMYFUNCTION("""COMPUTED_VALUE"""),"ROMERO MODESTO")</f>
        <v>ROMERO MODESTO</v>
      </c>
      <c r="H236" s="1" t="str">
        <f>IFERROR(__xludf.DUMMYFUNCTION("""COMPUTED_VALUE"""),"Arquitectura")</f>
        <v>Arquitectura</v>
      </c>
      <c r="I236" s="1" t="str">
        <f>IFERROR(__xludf.DUMMYFUNCTION("""COMPUTED_VALUE"""),"POS")</f>
        <v>POS</v>
      </c>
      <c r="J236" s="1" t="str">
        <f>IFERROR(__xludf.DUMMYFUNCTION("""COMPUTED_VALUE"""),"Diurno")</f>
        <v>Diurno</v>
      </c>
      <c r="K236" s="1" t="str">
        <f>IFERROR(__xludf.DUMMYFUNCTION("""COMPUTED_VALUE"""),"NUEVO")</f>
        <v>NUEVO</v>
      </c>
      <c r="L236" s="1">
        <f>IFERROR(__xludf.DUMMYFUNCTION("""COMPUTED_VALUE"""),0.0)</f>
        <v>0</v>
      </c>
      <c r="M236" s="1">
        <f>IFERROR(__xludf.DUMMYFUNCTION("""COMPUTED_VALUE"""),0.0)</f>
        <v>0</v>
      </c>
      <c r="N236" s="1" t="str">
        <f>IFERROR(__xludf.DUMMYFUNCTION("""COMPUTED_VALUE"""),"RECA-BECA")</f>
        <v>RECA-BECA</v>
      </c>
      <c r="O236" s="1" t="str">
        <f>IFERROR(__xludf.DUMMYFUNCTION("""COMPUTED_VALUE"""),"BECA CARRERAS CORE")</f>
        <v>BECA CARRERAS CORE</v>
      </c>
      <c r="P236" s="4">
        <f>IFERROR(__xludf.DUMMYFUNCTION("""COMPUTED_VALUE"""),100.0)</f>
        <v>100</v>
      </c>
      <c r="Q236" s="4">
        <f>IFERROR(__xludf.DUMMYFUNCTION("""COMPUTED_VALUE"""),237.5)</f>
        <v>237.5</v>
      </c>
      <c r="R236" s="4">
        <f>IFERROR(__xludf.DUMMYFUNCTION("""COMPUTED_VALUE"""),1150.0)</f>
        <v>1150</v>
      </c>
      <c r="S236" s="4">
        <f>IFERROR(__xludf.DUMMYFUNCTION("""COMPUTED_VALUE"""),950.0)</f>
        <v>950</v>
      </c>
      <c r="T236" s="1" t="str">
        <f>IFERROR(__xludf.DUMMYFUNCTION("""COMPUTED_VALUE"""),"PALANCA 700")</f>
        <v>PALANCA 700</v>
      </c>
      <c r="U236" s="1" t="str">
        <f>IFERROR(__xludf.DUMMYFUNCTION("""COMPUTED_VALUE"""),"FABIOLA")</f>
        <v>FABIOLA</v>
      </c>
      <c r="V236" s="1" t="str">
        <f>IFERROR(__xludf.DUMMYFUNCTION("""COMPUTED_VALUE"""),"Ninguno")</f>
        <v>Ninguno</v>
      </c>
      <c r="W236" s="1" t="str">
        <f>IFERROR(__xludf.DUMMYFUNCTION("""COMPUTED_VALUE"""),"Metodología de enseñanza")</f>
        <v>Metodología de enseñanza</v>
      </c>
      <c r="X236" s="1" t="str">
        <f>IFERROR(__xludf.DUMMYFUNCTION("""COMPUTED_VALUE"""),"metodologia / primera boleta paga 700 luego tiene beca de 950 y reca de 1150")</f>
        <v>metodologia / primera boleta paga 700 luego tiene beca de 950 y reca de 1150</v>
      </c>
      <c r="Y236" s="1" t="str">
        <f>IFERROR(__xludf.DUMMYFUNCTION("""COMPUTED_VALUE"""),"PAGO FRACCIONADO")</f>
        <v>PAGO FRACCIONADO</v>
      </c>
      <c r="Z236" s="1">
        <f>IFERROR(__xludf.DUMMYFUNCTION("""COMPUTED_VALUE"""),587.5)</f>
        <v>587.5</v>
      </c>
      <c r="AA236" s="1" t="str">
        <f>IFERROR(__xludf.DUMMYFUNCTION("""COMPUTED_VALUE"""),"29/12/2024")</f>
        <v>29/12/2024</v>
      </c>
      <c r="AB236" s="1">
        <f>IFERROR(__xludf.DUMMYFUNCTION("""COMPUTED_VALUE"""),0.0)</f>
        <v>0</v>
      </c>
      <c r="AC236" s="1">
        <f>IFERROR(__xludf.DUMMYFUNCTION("""COMPUTED_VALUE"""),0.0)</f>
        <v>0</v>
      </c>
      <c r="AD236" s="1" t="str">
        <f>IFERROR(__xludf.DUMMYFUNCTION("""COMPUTED_VALUE"""),"Cinthia Mariella Orosco")</f>
        <v>Cinthia Mariella Orosco</v>
      </c>
      <c r="AE236" s="1" t="str">
        <f>IFERROR(__xludf.DUMMYFUNCTION("""COMPUTED_VALUE"""),"0")</f>
        <v>0</v>
      </c>
      <c r="AF236" s="1">
        <f>IFERROR(__xludf.DUMMYFUNCTION("""COMPUTED_VALUE"""),2024.0)</f>
        <v>2024</v>
      </c>
      <c r="AG236" s="1">
        <f>IFERROR(__xludf.DUMMYFUNCTION("""COMPUTED_VALUE"""),1253996.0)</f>
        <v>1253996</v>
      </c>
      <c r="AH236" s="1">
        <f>IFERROR(__xludf.DUMMYFUNCTION("""COMPUTED_VALUE"""),17.0)</f>
        <v>17</v>
      </c>
      <c r="AI236" s="1" t="str">
        <f>IFERROR(__xludf.DUMMYFUNCTION("""COMPUTED_VALUE"""),"0000402512")</f>
        <v>0000402512</v>
      </c>
      <c r="AJ236" s="1">
        <f>IFERROR(__xludf.DUMMYFUNCTION("""COMPUTED_VALUE"""),7.0953069E7)</f>
        <v>70953069</v>
      </c>
      <c r="AK236" s="1">
        <f>IFERROR(__xludf.DUMMYFUNCTION("""COMPUTED_VALUE"""),9.55139868E8)</f>
        <v>955139868</v>
      </c>
      <c r="AL236" s="1" t="str">
        <f>IFERROR(__xludf.DUMMYFUNCTION("""COMPUTED_VALUE"""),"anaisromero205@gmail.com")</f>
        <v>anaisromero205@gmail.com</v>
      </c>
      <c r="AM236" s="1" t="str">
        <f>IFERROR(__xludf.DUMMYFUNCTION("""COMPUTED_VALUE"""),"FEMENINO")</f>
        <v>FEMENINO</v>
      </c>
      <c r="AN236" s="1">
        <f>IFERROR(__xludf.DUMMYFUNCTION("""COMPUTED_VALUE"""),1525.0)</f>
        <v>1525</v>
      </c>
      <c r="AO236" s="1">
        <f>IFERROR(__xludf.DUMMYFUNCTION("""COMPUTED_VALUE"""),180.0)</f>
        <v>180</v>
      </c>
      <c r="AP236" s="1" t="str">
        <f>IFERROR(__xludf.DUMMYFUNCTION("""COMPUTED_VALUE"""),"BIDIRECCIONAL")</f>
        <v>BIDIRECCIONAL</v>
      </c>
      <c r="AQ236" s="1" t="str">
        <f>IFERROR(__xludf.DUMMYFUNCTION("""COMPUTED_VALUE"""),"SEARCH MARCA")</f>
        <v>SEARCH MARCA</v>
      </c>
      <c r="AR236" s="1" t="str">
        <f>IFERROR(__xludf.DUMMYFUNCTION("""COMPUTED_VALUE"""),"NUEVO")</f>
        <v>NUEVO</v>
      </c>
      <c r="AS236" s="1" t="str">
        <f>IFERROR(__xludf.DUMMYFUNCTION("""COMPUTED_VALUE"""),"ucal-pg-performance-sedes-abierta-cpl-search_conversion_marca-20240401")</f>
        <v>ucal-pg-performance-sedes-abierta-cpl-search_conversion_marca-20240401</v>
      </c>
      <c r="AT236" s="2">
        <f>IFERROR(__xludf.DUMMYFUNCTION("""COMPUTED_VALUE"""),45588.0)</f>
        <v>45588</v>
      </c>
      <c r="AU236" s="1">
        <f>IFERROR(__xludf.DUMMYFUNCTION("""COMPUTED_VALUE"""),1.0)</f>
        <v>1</v>
      </c>
      <c r="AV236" s="1" t="str">
        <f>IFERROR(__xludf.DUMMYFUNCTION("""COMPUTED_VALUE"""),"NUEVO")</f>
        <v>NUEVO</v>
      </c>
      <c r="AW236" s="1" t="str">
        <f>IFERROR(__xludf.DUMMYFUNCTION("""COMPUTED_VALUE"""),"SI")</f>
        <v>SI</v>
      </c>
      <c r="AX236" s="1"/>
      <c r="AY236" s="1" t="str">
        <f>IFERROR(__xludf.DUMMYFUNCTION("""COMPUTED_VALUE"""),"PAGO COMPLETO")</f>
        <v>PAGO COMPLETO</v>
      </c>
      <c r="AZ236" s="5">
        <f>IFERROR(__xludf.DUMMYFUNCTION("""COMPUTED_VALUE"""),45657.0)</f>
        <v>45657</v>
      </c>
      <c r="BA236" s="1">
        <f>IFERROR(__xludf.DUMMYFUNCTION("""COMPUTED_VALUE"""),450.0)</f>
        <v>450</v>
      </c>
      <c r="BB236" s="1">
        <f>IFERROR(__xludf.DUMMYFUNCTION("""COMPUTED_VALUE"""),0.0)</f>
        <v>0</v>
      </c>
      <c r="BC236" s="4">
        <f>IFERROR(__xludf.DUMMYFUNCTION("""COMPUTED_VALUE"""),0.0)</f>
        <v>0</v>
      </c>
      <c r="BD236" s="4">
        <f>IFERROR(__xludf.DUMMYFUNCTION("""COMPUTED_VALUE"""),250.0)</f>
        <v>250</v>
      </c>
      <c r="BE236" s="1">
        <f>IFERROR(__xludf.DUMMYFUNCTION("""COMPUTED_VALUE"""),12.0)</f>
        <v>12</v>
      </c>
      <c r="BF236" s="6">
        <f>IFERROR(__xludf.DUMMYFUNCTION("""COMPUTED_VALUE"""),1.0)</f>
        <v>1</v>
      </c>
      <c r="BG236" s="1">
        <f>IFERROR(__xludf.DUMMYFUNCTION("""COMPUTED_VALUE"""),1.0)</f>
        <v>1</v>
      </c>
      <c r="BH236" s="1" t="str">
        <f>IFERROR(__xludf.DUMMYFUNCTION("""COMPUTED_VALUE"""),"0")</f>
        <v>0</v>
      </c>
      <c r="BI236" s="4">
        <f>IFERROR(__xludf.DUMMYFUNCTION("""COMPUTED_VALUE"""),1287.5)</f>
        <v>1287.5</v>
      </c>
      <c r="BJ236" s="1">
        <f>IFERROR(__xludf.DUMMYFUNCTION("""COMPUTED_VALUE"""),0.0)</f>
        <v>0</v>
      </c>
      <c r="BK236" s="4">
        <f>IFERROR(__xludf.DUMMYFUNCTION("""COMPUTED_VALUE"""),250.0)</f>
        <v>250</v>
      </c>
      <c r="BL236" s="1">
        <f>IFERROR(__xludf.DUMMYFUNCTION("""COMPUTED_VALUE"""),900.0)</f>
        <v>900</v>
      </c>
      <c r="BM236" s="1">
        <f>IFERROR(__xludf.DUMMYFUNCTION("""COMPUTED_VALUE"""),49.0)</f>
        <v>49</v>
      </c>
      <c r="BN236" s="2">
        <f>IFERROR(__xludf.DUMMYFUNCTION("""COMPUTED_VALUE"""),45628.0)</f>
        <v>45628</v>
      </c>
      <c r="BO236" s="1">
        <f>IFERROR(__xludf.DUMMYFUNCTION("""COMPUTED_VALUE"""),12.0)</f>
        <v>12</v>
      </c>
      <c r="BP236" s="1">
        <f>IFERROR(__xludf.DUMMYFUNCTION("""COMPUTED_VALUE"""),2024.0)</f>
        <v>2024</v>
      </c>
    </row>
    <row r="237">
      <c r="A237" s="1">
        <f>IFERROR(__xludf.DUMMYFUNCTION("""COMPUTED_VALUE"""),236.0)</f>
        <v>236</v>
      </c>
      <c r="B237" s="1">
        <f>IFERROR(__xludf.DUMMYFUNCTION("""COMPUTED_VALUE"""),4649783.0)</f>
        <v>4649783</v>
      </c>
      <c r="C237" s="1" t="str">
        <f>IFERROR(__xludf.DUMMYFUNCTION("""COMPUTED_VALUE"""),"2025-1")</f>
        <v>2025-1</v>
      </c>
      <c r="D237" s="1" t="str">
        <f>IFERROR(__xludf.DUMMYFUNCTION("""COMPUTED_VALUE"""),"Admisión Ordinaria")</f>
        <v>Admisión Ordinaria</v>
      </c>
      <c r="E237" s="2">
        <f>IFERROR(__xludf.DUMMYFUNCTION("""COMPUTED_VALUE"""),45636.0)</f>
        <v>45636</v>
      </c>
      <c r="F237" s="1" t="str">
        <f>IFERROR(__xludf.DUMMYFUNCTION("""COMPUTED_VALUE"""),"PIERINA ANTOINETTE ")</f>
        <v>PIERINA ANTOINETTE </v>
      </c>
      <c r="G237" s="1" t="str">
        <f>IFERROR(__xludf.DUMMYFUNCTION("""COMPUTED_VALUE"""),"PAREDES MECHANO")</f>
        <v>PAREDES MECHANO</v>
      </c>
      <c r="H237" s="1" t="str">
        <f>IFERROR(__xludf.DUMMYFUNCTION("""COMPUTED_VALUE"""),"Comunicación Audiovisual y Cine")</f>
        <v>Comunicación Audiovisual y Cine</v>
      </c>
      <c r="I237" s="1" t="str">
        <f>IFERROR(__xludf.DUMMYFUNCTION("""COMPUTED_VALUE"""),"Pago Link")</f>
        <v>Pago Link</v>
      </c>
      <c r="J237" s="1" t="str">
        <f>IFERROR(__xludf.DUMMYFUNCTION("""COMPUTED_VALUE"""),"Diurno")</f>
        <v>Diurno</v>
      </c>
      <c r="K237" s="1" t="str">
        <f>IFERROR(__xludf.DUMMYFUNCTION("""COMPUTED_VALUE"""),"TRASLADO")</f>
        <v>TRASLADO</v>
      </c>
      <c r="L237" s="1">
        <f>IFERROR(__xludf.DUMMYFUNCTION("""COMPUTED_VALUE"""),0.0)</f>
        <v>0</v>
      </c>
      <c r="M237" s="1">
        <f>IFERROR(__xludf.DUMMYFUNCTION("""COMPUTED_VALUE"""),0.0)</f>
        <v>0</v>
      </c>
      <c r="N237" s="1" t="str">
        <f>IFERROR(__xludf.DUMMYFUNCTION("""COMPUTED_VALUE"""),"BECA")</f>
        <v>BECA</v>
      </c>
      <c r="O237" s="1" t="str">
        <f>IFERROR(__xludf.DUMMYFUNCTION("""COMPUTED_VALUE"""),"BECA CARRERAS CORE-TRASLADOS SIN CONVA")</f>
        <v>BECA CARRERAS CORE-TRASLADOS SIN CONVA</v>
      </c>
      <c r="P237" s="4">
        <f>IFERROR(__xludf.DUMMYFUNCTION("""COMPUTED_VALUE"""),0.0)</f>
        <v>0</v>
      </c>
      <c r="Q237" s="4">
        <f>IFERROR(__xludf.DUMMYFUNCTION("""COMPUTED_VALUE"""),0.0)</f>
        <v>0</v>
      </c>
      <c r="R237" s="4">
        <f>IFERROR(__xludf.DUMMYFUNCTION("""COMPUTED_VALUE"""),1600.0)</f>
        <v>1600</v>
      </c>
      <c r="S237" s="4">
        <f>IFERROR(__xludf.DUMMYFUNCTION("""COMPUTED_VALUE"""),1280.0)</f>
        <v>1280</v>
      </c>
      <c r="T237" s="1" t="str">
        <f>IFERROR(__xludf.DUMMYFUNCTION("""COMPUTED_VALUE"""),"NINGUNO")</f>
        <v>NINGUNO</v>
      </c>
      <c r="U237" s="1" t="str">
        <f>IFERROR(__xludf.DUMMYFUNCTION("""COMPUTED_VALUE"""),"FABIOLA")</f>
        <v>FABIOLA</v>
      </c>
      <c r="V237" s="1" t="str">
        <f>IFERROR(__xludf.DUMMYFUNCTION("""COMPUTED_VALUE"""),"Ninguno")</f>
        <v>Ninguno</v>
      </c>
      <c r="W237" s="1" t="str">
        <f>IFERROR(__xludf.DUMMYFUNCTION("""COMPUTED_VALUE"""),"Metodología de enseñanza")</f>
        <v>Metodología de enseñanza</v>
      </c>
      <c r="X237" s="1" t="str">
        <f>IFERROR(__xludf.DUMMYFUNCTION("""COMPUTED_VALUE"""),"-")</f>
        <v>-</v>
      </c>
      <c r="Y237" s="1" t="str">
        <f>IFERROR(__xludf.DUMMYFUNCTION("""COMPUTED_VALUE"""),"PAGO FRACCIONADO")</f>
        <v>PAGO FRACCIONADO</v>
      </c>
      <c r="Z237" s="1">
        <f>IFERROR(__xludf.DUMMYFUNCTION("""COMPUTED_VALUE"""),640.0)</f>
        <v>640</v>
      </c>
      <c r="AA237" s="1" t="str">
        <f>IFERROR(__xludf.DUMMYFUNCTION("""COMPUTED_VALUE"""),"31/12/2024")</f>
        <v>31/12/2024</v>
      </c>
      <c r="AB237" s="1">
        <f>IFERROR(__xludf.DUMMYFUNCTION("""COMPUTED_VALUE"""),0.0)</f>
        <v>0</v>
      </c>
      <c r="AC237" s="1">
        <f>IFERROR(__xludf.DUMMYFUNCTION("""COMPUTED_VALUE"""),0.0)</f>
        <v>0</v>
      </c>
      <c r="AD237" s="1" t="str">
        <f>IFERROR(__xludf.DUMMYFUNCTION("""COMPUTED_VALUE"""),"Ingrid Guillermo Rivera")</f>
        <v>Ingrid Guillermo Rivera</v>
      </c>
      <c r="AE237" s="1" t="str">
        <f>IFERROR(__xludf.DUMMYFUNCTION("""COMPUTED_VALUE"""),"Cientifica del Sur")</f>
        <v>Cientifica del Sur</v>
      </c>
      <c r="AF237" s="1">
        <f>IFERROR(__xludf.DUMMYFUNCTION("""COMPUTED_VALUE"""),2022.0)</f>
        <v>2022</v>
      </c>
      <c r="AG237" s="1">
        <f>IFERROR(__xludf.DUMMYFUNCTION("""COMPUTED_VALUE"""),604082.0)</f>
        <v>604082</v>
      </c>
      <c r="AH237" s="1">
        <f>IFERROR(__xludf.DUMMYFUNCTION("""COMPUTED_VALUE"""),19.0)</f>
        <v>19</v>
      </c>
      <c r="AI237" s="1" t="str">
        <f>IFERROR(__xludf.DUMMYFUNCTION("""COMPUTED_VALUE"""),"0000403420")</f>
        <v>0000403420</v>
      </c>
      <c r="AJ237" s="1">
        <f>IFERROR(__xludf.DUMMYFUNCTION("""COMPUTED_VALUE"""),7.2949451E7)</f>
        <v>72949451</v>
      </c>
      <c r="AK237" s="1">
        <f>IFERROR(__xludf.DUMMYFUNCTION("""COMPUTED_VALUE"""),9.98103116E8)</f>
        <v>998103116</v>
      </c>
      <c r="AL237" s="1" t="str">
        <f>IFERROR(__xludf.DUMMYFUNCTION("""COMPUTED_VALUE"""),"ppatriciog54@gmail.com")</f>
        <v>ppatriciog54@gmail.com</v>
      </c>
      <c r="AM237" s="1" t="str">
        <f>IFERROR(__xludf.DUMMYFUNCTION("""COMPUTED_VALUE"""),"FEMENINO")</f>
        <v>FEMENINO</v>
      </c>
      <c r="AN237" s="1">
        <f>IFERROR(__xludf.DUMMYFUNCTION("""COMPUTED_VALUE"""),1600.0)</f>
        <v>1600</v>
      </c>
      <c r="AO237" s="1">
        <f>IFERROR(__xludf.DUMMYFUNCTION("""COMPUTED_VALUE"""),880.0)</f>
        <v>880</v>
      </c>
      <c r="AP237" s="1" t="str">
        <f>IFERROR(__xludf.DUMMYFUNCTION("""COMPUTED_VALUE"""),"BIDIRECCIONAL")</f>
        <v>BIDIRECCIONAL</v>
      </c>
      <c r="AQ237" s="1" t="str">
        <f>IFERROR(__xludf.DUMMYFUNCTION("""COMPUTED_VALUE"""),"ORGANICO")</f>
        <v>ORGANICO</v>
      </c>
      <c r="AR237" s="1" t="str">
        <f>IFERROR(__xludf.DUMMYFUNCTION("""COMPUTED_VALUE"""),"HEREDADO")</f>
        <v>HEREDADO</v>
      </c>
      <c r="AS237" s="1"/>
      <c r="AT237" s="2">
        <f>IFERROR(__xludf.DUMMYFUNCTION("""COMPUTED_VALUE"""),45633.0)</f>
        <v>45633</v>
      </c>
      <c r="AU237" s="1">
        <f>IFERROR(__xludf.DUMMYFUNCTION("""COMPUTED_VALUE"""),1.0)</f>
        <v>1</v>
      </c>
      <c r="AV237" s="1" t="str">
        <f>IFERROR(__xludf.DUMMYFUNCTION("""COMPUTED_VALUE"""),"NUEVO")</f>
        <v>NUEVO</v>
      </c>
      <c r="AW237" s="1" t="str">
        <f>IFERROR(__xludf.DUMMYFUNCTION("""COMPUTED_VALUE"""),"SI")</f>
        <v>SI</v>
      </c>
      <c r="AX237" s="1"/>
      <c r="AY237" s="1" t="str">
        <f>IFERROR(__xludf.DUMMYFUNCTION("""COMPUTED_VALUE"""),"PAGO COMPLETO")</f>
        <v>PAGO COMPLETO</v>
      </c>
      <c r="AZ237" s="5">
        <f>IFERROR(__xludf.DUMMYFUNCTION("""COMPUTED_VALUE"""),45656.0)</f>
        <v>45656</v>
      </c>
      <c r="BA237" s="1">
        <f>IFERROR(__xludf.DUMMYFUNCTION("""COMPUTED_VALUE"""),640.0)</f>
        <v>640</v>
      </c>
      <c r="BB237" s="1">
        <f>IFERROR(__xludf.DUMMYFUNCTION("""COMPUTED_VALUE"""),0.0)</f>
        <v>0</v>
      </c>
      <c r="BC237" s="4">
        <f>IFERROR(__xludf.DUMMYFUNCTION("""COMPUTED_VALUE"""),0.0)</f>
        <v>0</v>
      </c>
      <c r="BD237" s="4">
        <f>IFERROR(__xludf.DUMMYFUNCTION("""COMPUTED_VALUE"""),0.0)</f>
        <v>0</v>
      </c>
      <c r="BE237" s="1">
        <f>IFERROR(__xludf.DUMMYFUNCTION("""COMPUTED_VALUE"""),12.0)</f>
        <v>12</v>
      </c>
      <c r="BF237" s="6">
        <f>IFERROR(__xludf.DUMMYFUNCTION("""COMPUTED_VALUE"""),1.0)</f>
        <v>1</v>
      </c>
      <c r="BG237" s="1">
        <f>IFERROR(__xludf.DUMMYFUNCTION("""COMPUTED_VALUE"""),1.0)</f>
        <v>1</v>
      </c>
      <c r="BH237" s="1" t="str">
        <f>IFERROR(__xludf.DUMMYFUNCTION("""COMPUTED_VALUE"""),"0")</f>
        <v>0</v>
      </c>
      <c r="BI237" s="4">
        <f>IFERROR(__xludf.DUMMYFUNCTION("""COMPUTED_VALUE"""),1280.0)</f>
        <v>1280</v>
      </c>
      <c r="BJ237" s="1">
        <f>IFERROR(__xludf.DUMMYFUNCTION("""COMPUTED_VALUE"""),0.0)</f>
        <v>0</v>
      </c>
      <c r="BK237" s="4">
        <f>IFERROR(__xludf.DUMMYFUNCTION("""COMPUTED_VALUE"""),0.0)</f>
        <v>0</v>
      </c>
      <c r="BL237" s="1">
        <f>IFERROR(__xludf.DUMMYFUNCTION("""COMPUTED_VALUE"""),1280.0)</f>
        <v>1280</v>
      </c>
      <c r="BM237" s="1">
        <f>IFERROR(__xludf.DUMMYFUNCTION("""COMPUTED_VALUE"""),50.0)</f>
        <v>50</v>
      </c>
      <c r="BN237" s="2">
        <f>IFERROR(__xludf.DUMMYFUNCTION("""COMPUTED_VALUE"""),45635.0)</f>
        <v>45635</v>
      </c>
      <c r="BO237" s="1">
        <f>IFERROR(__xludf.DUMMYFUNCTION("""COMPUTED_VALUE"""),12.0)</f>
        <v>12</v>
      </c>
      <c r="BP237" s="1">
        <f>IFERROR(__xludf.DUMMYFUNCTION("""COMPUTED_VALUE"""),2024.0)</f>
        <v>2024</v>
      </c>
    </row>
    <row r="238">
      <c r="A238" s="1">
        <f>IFERROR(__xludf.DUMMYFUNCTION("""COMPUTED_VALUE"""),237.0)</f>
        <v>237</v>
      </c>
      <c r="B238" s="1">
        <f>IFERROR(__xludf.DUMMYFUNCTION("""COMPUTED_VALUE"""),4607674.0)</f>
        <v>4607674</v>
      </c>
      <c r="C238" s="1" t="str">
        <f>IFERROR(__xludf.DUMMYFUNCTION("""COMPUTED_VALUE"""),"2025-1")</f>
        <v>2025-1</v>
      </c>
      <c r="D238" s="1" t="str">
        <f>IFERROR(__xludf.DUMMYFUNCTION("""COMPUTED_VALUE"""),"Admisión de Alto Rendimiento")</f>
        <v>Admisión de Alto Rendimiento</v>
      </c>
      <c r="E238" s="2">
        <f>IFERROR(__xludf.DUMMYFUNCTION("""COMPUTED_VALUE"""),45636.0)</f>
        <v>45636</v>
      </c>
      <c r="F238" s="1" t="str">
        <f>IFERROR(__xludf.DUMMYFUNCTION("""COMPUTED_VALUE"""),"FLAVIA CAMILA ")</f>
        <v>FLAVIA CAMILA </v>
      </c>
      <c r="G238" s="1" t="str">
        <f>IFERROR(__xludf.DUMMYFUNCTION("""COMPUTED_VALUE"""),"RICCIO ANDERSON")</f>
        <v>RICCIO ANDERSON</v>
      </c>
      <c r="H238" s="1" t="str">
        <f>IFERROR(__xludf.DUMMYFUNCTION("""COMPUTED_VALUE"""),"Comunicación Audiovisual y Cine")</f>
        <v>Comunicación Audiovisual y Cine</v>
      </c>
      <c r="I238" s="1" t="str">
        <f>IFERROR(__xludf.DUMMYFUNCTION("""COMPUTED_VALUE"""),"CARGO")</f>
        <v>CARGO</v>
      </c>
      <c r="J238" s="1" t="str">
        <f>IFERROR(__xludf.DUMMYFUNCTION("""COMPUTED_VALUE"""),"Diurno")</f>
        <v>Diurno</v>
      </c>
      <c r="K238" s="1" t="str">
        <f>IFERROR(__xludf.DUMMYFUNCTION("""COMPUTED_VALUE"""),"NUEVO")</f>
        <v>NUEVO</v>
      </c>
      <c r="L238" s="1">
        <f>IFERROR(__xludf.DUMMYFUNCTION("""COMPUTED_VALUE"""),0.0)</f>
        <v>0</v>
      </c>
      <c r="M238" s="1">
        <f>IFERROR(__xludf.DUMMYFUNCTION("""COMPUTED_VALUE"""),0.0)</f>
        <v>0</v>
      </c>
      <c r="N238" s="1" t="str">
        <f>IFERROR(__xludf.DUMMYFUNCTION("""COMPUTED_VALUE"""),"BECA")</f>
        <v>BECA</v>
      </c>
      <c r="O238" s="1" t="str">
        <f>IFERROR(__xludf.DUMMYFUNCTION("""COMPUTED_VALUE"""),"BECA CARRERAS CORE")</f>
        <v>BECA CARRERAS CORE</v>
      </c>
      <c r="P238" s="4">
        <f>IFERROR(__xludf.DUMMYFUNCTION("""COMPUTED_VALUE"""),0.0)</f>
        <v>0</v>
      </c>
      <c r="Q238" s="4">
        <f>IFERROR(__xludf.DUMMYFUNCTION("""COMPUTED_VALUE"""),0.0)</f>
        <v>0</v>
      </c>
      <c r="R238" s="4">
        <f>IFERROR(__xludf.DUMMYFUNCTION("""COMPUTED_VALUE"""),1150.0)</f>
        <v>1150</v>
      </c>
      <c r="S238" s="4">
        <f>IFERROR(__xludf.DUMMYFUNCTION("""COMPUTED_VALUE"""),1000.0)</f>
        <v>1000</v>
      </c>
      <c r="T238" s="1" t="str">
        <f>IFERROR(__xludf.DUMMYFUNCTION("""COMPUTED_VALUE"""),"PALANCA 700")</f>
        <v>PALANCA 700</v>
      </c>
      <c r="U238" s="1" t="str">
        <f>IFERROR(__xludf.DUMMYFUNCTION("""COMPUTED_VALUE"""),"FABIOLA")</f>
        <v>FABIOLA</v>
      </c>
      <c r="V238" s="1" t="str">
        <f>IFERROR(__xludf.DUMMYFUNCTION("""COMPUTED_VALUE"""),"Ninguno")</f>
        <v>Ninguno</v>
      </c>
      <c r="W238" s="1" t="str">
        <f>IFERROR(__xludf.DUMMYFUNCTION("""COMPUTED_VALUE"""),"Metodología de enseñanza")</f>
        <v>Metodología de enseñanza</v>
      </c>
      <c r="X238" s="1" t="str">
        <f>IFERROR(__xludf.DUMMYFUNCTION("""COMPUTED_VALUE"""),"metodologia // primera boleta paga 700 ")</f>
        <v>metodologia // primera boleta paga 700 </v>
      </c>
      <c r="Y238" s="1" t="str">
        <f>IFERROR(__xludf.DUMMYFUNCTION("""COMPUTED_VALUE"""),"PAGO COMPLETO")</f>
        <v>PAGO COMPLETO</v>
      </c>
      <c r="Z238" s="1">
        <f>IFERROR(__xludf.DUMMYFUNCTION("""COMPUTED_VALUE"""),0.0)</f>
        <v>0</v>
      </c>
      <c r="AA238" s="1" t="str">
        <f>IFERROR(__xludf.DUMMYFUNCTION("""COMPUTED_VALUE"""),"-")</f>
        <v>-</v>
      </c>
      <c r="AB238" s="1">
        <f>IFERROR(__xludf.DUMMYFUNCTION("""COMPUTED_VALUE"""),0.0)</f>
        <v>0</v>
      </c>
      <c r="AC238" s="1">
        <f>IFERROR(__xludf.DUMMYFUNCTION("""COMPUTED_VALUE"""),0.0)</f>
        <v>0</v>
      </c>
      <c r="AD238" s="1" t="str">
        <f>IFERROR(__xludf.DUMMYFUNCTION("""COMPUTED_VALUE"""),"Cinthia Mariella Orosco")</f>
        <v>Cinthia Mariella Orosco</v>
      </c>
      <c r="AE238" s="1" t="str">
        <f>IFERROR(__xludf.DUMMYFUNCTION("""COMPUTED_VALUE"""),"0")</f>
        <v>0</v>
      </c>
      <c r="AF238" s="1">
        <f>IFERROR(__xludf.DUMMYFUNCTION("""COMPUTED_VALUE"""),2022.0)</f>
        <v>2022</v>
      </c>
      <c r="AG238" s="1">
        <f>IFERROR(__xludf.DUMMYFUNCTION("""COMPUTED_VALUE"""),452623.0)</f>
        <v>452623</v>
      </c>
      <c r="AH238" s="1">
        <f>IFERROR(__xludf.DUMMYFUNCTION("""COMPUTED_VALUE"""),19.0)</f>
        <v>19</v>
      </c>
      <c r="AI238" s="1" t="str">
        <f>IFERROR(__xludf.DUMMYFUNCTION("""COMPUTED_VALUE"""),"0000403537")</f>
        <v>0000403537</v>
      </c>
      <c r="AJ238" s="1">
        <f>IFERROR(__xludf.DUMMYFUNCTION("""COMPUTED_VALUE"""),7.3204724E7)</f>
        <v>73204724</v>
      </c>
      <c r="AK238" s="1">
        <f>IFERROR(__xludf.DUMMYFUNCTION("""COMPUTED_VALUE"""),9.78195009E8)</f>
        <v>978195009</v>
      </c>
      <c r="AL238" s="1" t="str">
        <f>IFERROR(__xludf.DUMMYFUNCTION("""COMPUTED_VALUE"""),"flaviariccioanderson@gmail.com")</f>
        <v>flaviariccioanderson@gmail.com</v>
      </c>
      <c r="AM238" s="1" t="str">
        <f>IFERROR(__xludf.DUMMYFUNCTION("""COMPUTED_VALUE"""),"FEMENINO")</f>
        <v>FEMENINO</v>
      </c>
      <c r="AN238" s="1">
        <f>IFERROR(__xludf.DUMMYFUNCTION("""COMPUTED_VALUE"""),1350.0)</f>
        <v>1350</v>
      </c>
      <c r="AO238" s="1">
        <f>IFERROR(__xludf.DUMMYFUNCTION("""COMPUTED_VALUE"""),0.0)</f>
        <v>0</v>
      </c>
      <c r="AP238" s="1" t="str">
        <f>IFERROR(__xludf.DUMMYFUNCTION("""COMPUTED_VALUE"""),"FORMULARIO")</f>
        <v>FORMULARIO</v>
      </c>
      <c r="AQ238" s="1" t="str">
        <f>IFERROR(__xludf.DUMMYFUNCTION("""COMPUTED_VALUE"""),"SEARCH MARCA")</f>
        <v>SEARCH MARCA</v>
      </c>
      <c r="AR238" s="1" t="str">
        <f>IFERROR(__xludf.DUMMYFUNCTION("""COMPUTED_VALUE"""),"NUEVO")</f>
        <v>NUEVO</v>
      </c>
      <c r="AS238" s="1" t="str">
        <f>IFERROR(__xludf.DUMMYFUNCTION("""COMPUTED_VALUE"""),"ucal-pg-performance-sedes-abierta-cpl-extensiones_traslados_marca-20240401")</f>
        <v>ucal-pg-performance-sedes-abierta-cpl-extensiones_traslados_marca-20240401</v>
      </c>
      <c r="AT238" s="2">
        <f>IFERROR(__xludf.DUMMYFUNCTION("""COMPUTED_VALUE"""),45633.0)</f>
        <v>45633</v>
      </c>
      <c r="AU238" s="1">
        <f>IFERROR(__xludf.DUMMYFUNCTION("""COMPUTED_VALUE"""),1.0)</f>
        <v>1</v>
      </c>
      <c r="AV238" s="1" t="str">
        <f>IFERROR(__xludf.DUMMYFUNCTION("""COMPUTED_VALUE"""),"NUEVO")</f>
        <v>NUEVO</v>
      </c>
      <c r="AW238" s="1" t="str">
        <f>IFERROR(__xludf.DUMMYFUNCTION("""COMPUTED_VALUE"""),"SI")</f>
        <v>SI</v>
      </c>
      <c r="AX238" s="1"/>
      <c r="AY238" s="1" t="str">
        <f>IFERROR(__xludf.DUMMYFUNCTION("""COMPUTED_VALUE"""),"PAGO COMPLETO")</f>
        <v>PAGO COMPLETO</v>
      </c>
      <c r="AZ238" s="5">
        <f>IFERROR(__xludf.DUMMYFUNCTION("""COMPUTED_VALUE"""),45636.0)</f>
        <v>45636</v>
      </c>
      <c r="BA238" s="1">
        <f>IFERROR(__xludf.DUMMYFUNCTION("""COMPUTED_VALUE"""),0.0)</f>
        <v>0</v>
      </c>
      <c r="BB238" s="1">
        <f>IFERROR(__xludf.DUMMYFUNCTION("""COMPUTED_VALUE"""),0.0)</f>
        <v>0</v>
      </c>
      <c r="BC238" s="4">
        <f>IFERROR(__xludf.DUMMYFUNCTION("""COMPUTED_VALUE"""),0.0)</f>
        <v>0</v>
      </c>
      <c r="BD238" s="4">
        <f>IFERROR(__xludf.DUMMYFUNCTION("""COMPUTED_VALUE"""),300.0)</f>
        <v>300</v>
      </c>
      <c r="BE238" s="1">
        <f>IFERROR(__xludf.DUMMYFUNCTION("""COMPUTED_VALUE"""),12.0)</f>
        <v>12</v>
      </c>
      <c r="BF238" s="6">
        <f>IFERROR(__xludf.DUMMYFUNCTION("""COMPUTED_VALUE"""),1.0)</f>
        <v>1</v>
      </c>
      <c r="BG238" s="1">
        <f>IFERROR(__xludf.DUMMYFUNCTION("""COMPUTED_VALUE"""),1.0)</f>
        <v>1</v>
      </c>
      <c r="BH238" s="1" t="str">
        <f>IFERROR(__xludf.DUMMYFUNCTION("""COMPUTED_VALUE"""),"0")</f>
        <v>0</v>
      </c>
      <c r="BI238" s="4">
        <f>IFERROR(__xludf.DUMMYFUNCTION("""COMPUTED_VALUE"""),300.0)</f>
        <v>300</v>
      </c>
      <c r="BJ238" s="1">
        <f>IFERROR(__xludf.DUMMYFUNCTION("""COMPUTED_VALUE"""),0.0)</f>
        <v>0</v>
      </c>
      <c r="BK238" s="4">
        <f>IFERROR(__xludf.DUMMYFUNCTION("""COMPUTED_VALUE"""),300.0)</f>
        <v>300</v>
      </c>
      <c r="BL238" s="1">
        <f>IFERROR(__xludf.DUMMYFUNCTION("""COMPUTED_VALUE"""),940.0)</f>
        <v>940</v>
      </c>
      <c r="BM238" s="1">
        <f>IFERROR(__xludf.DUMMYFUNCTION("""COMPUTED_VALUE"""),50.0)</f>
        <v>50</v>
      </c>
      <c r="BN238" s="2">
        <f>IFERROR(__xludf.DUMMYFUNCTION("""COMPUTED_VALUE"""),45635.0)</f>
        <v>45635</v>
      </c>
      <c r="BO238" s="1">
        <f>IFERROR(__xludf.DUMMYFUNCTION("""COMPUTED_VALUE"""),12.0)</f>
        <v>12</v>
      </c>
      <c r="BP238" s="1">
        <f>IFERROR(__xludf.DUMMYFUNCTION("""COMPUTED_VALUE"""),2024.0)</f>
        <v>2024</v>
      </c>
    </row>
    <row r="239">
      <c r="A239" s="1">
        <f>IFERROR(__xludf.DUMMYFUNCTION("""COMPUTED_VALUE"""),238.0)</f>
        <v>238</v>
      </c>
      <c r="B239" s="1">
        <f>IFERROR(__xludf.DUMMYFUNCTION("""COMPUTED_VALUE"""),2688135.0)</f>
        <v>2688135</v>
      </c>
      <c r="C239" s="1" t="str">
        <f>IFERROR(__xludf.DUMMYFUNCTION("""COMPUTED_VALUE"""),"2025-1")</f>
        <v>2025-1</v>
      </c>
      <c r="D239" s="1" t="str">
        <f>IFERROR(__xludf.DUMMYFUNCTION("""COMPUTED_VALUE"""),"Admisión de Alto Rendimiento")</f>
        <v>Admisión de Alto Rendimiento</v>
      </c>
      <c r="E239" s="2">
        <f>IFERROR(__xludf.DUMMYFUNCTION("""COMPUTED_VALUE"""),45637.0)</f>
        <v>45637</v>
      </c>
      <c r="F239" s="1" t="str">
        <f>IFERROR(__xludf.DUMMYFUNCTION("""COMPUTED_VALUE"""),"ADRIANO ALEJANDRO ")</f>
        <v>ADRIANO ALEJANDRO </v>
      </c>
      <c r="G239" s="1" t="str">
        <f>IFERROR(__xludf.DUMMYFUNCTION("""COMPUTED_VALUE"""),"MEZA INCHE")</f>
        <v>MEZA INCHE</v>
      </c>
      <c r="H239" s="1" t="str">
        <f>IFERROR(__xludf.DUMMYFUNCTION("""COMPUTED_VALUE"""),"Arquitectura")</f>
        <v>Arquitectura</v>
      </c>
      <c r="I239" s="1" t="str">
        <f>IFERROR(__xludf.DUMMYFUNCTION("""COMPUTED_VALUE"""),"Pago Link")</f>
        <v>Pago Link</v>
      </c>
      <c r="J239" s="1" t="str">
        <f>IFERROR(__xludf.DUMMYFUNCTION("""COMPUTED_VALUE"""),"Diurno")</f>
        <v>Diurno</v>
      </c>
      <c r="K239" s="1" t="str">
        <f>IFERROR(__xludf.DUMMYFUNCTION("""COMPUTED_VALUE"""),"NUEVO")</f>
        <v>NUEVO</v>
      </c>
      <c r="L239" s="1">
        <f>IFERROR(__xludf.DUMMYFUNCTION("""COMPUTED_VALUE"""),0.0)</f>
        <v>0</v>
      </c>
      <c r="M239" s="1">
        <f>IFERROR(__xludf.DUMMYFUNCTION("""COMPUTED_VALUE"""),0.0)</f>
        <v>0</v>
      </c>
      <c r="N239" s="1" t="str">
        <f>IFERROR(__xludf.DUMMYFUNCTION("""COMPUTED_VALUE"""),"BECA")</f>
        <v>BECA</v>
      </c>
      <c r="O239" s="1" t="str">
        <f>IFERROR(__xludf.DUMMYFUNCTION("""COMPUTED_VALUE"""),"BECA CARRERAS CORE")</f>
        <v>BECA CARRERAS CORE</v>
      </c>
      <c r="P239" s="4">
        <f>IFERROR(__xludf.DUMMYFUNCTION("""COMPUTED_VALUE"""),0.0)</f>
        <v>0</v>
      </c>
      <c r="Q239" s="4">
        <f>IFERROR(__xludf.DUMMYFUNCTION("""COMPUTED_VALUE"""),0.0)</f>
        <v>0</v>
      </c>
      <c r="R239" s="4">
        <f>IFERROR(__xludf.DUMMYFUNCTION("""COMPUTED_VALUE"""),1600.0)</f>
        <v>1600</v>
      </c>
      <c r="S239" s="4">
        <f>IFERROR(__xludf.DUMMYFUNCTION("""COMPUTED_VALUE"""),1280.0)</f>
        <v>1280</v>
      </c>
      <c r="T239" s="1" t="str">
        <f>IFERROR(__xludf.DUMMYFUNCTION("""COMPUTED_VALUE"""),"NINGUNO")</f>
        <v>NINGUNO</v>
      </c>
      <c r="U239" s="1" t="str">
        <f>IFERROR(__xludf.DUMMYFUNCTION("""COMPUTED_VALUE"""),"FABIOLA")</f>
        <v>FABIOLA</v>
      </c>
      <c r="V239" s="1" t="str">
        <f>IFERROR(__xludf.DUMMYFUNCTION("""COMPUTED_VALUE"""),"Ninguno")</f>
        <v>Ninguno</v>
      </c>
      <c r="W239" s="1" t="str">
        <f>IFERROR(__xludf.DUMMYFUNCTION("""COMPUTED_VALUE"""),"Metodología de enseñanza")</f>
        <v>Metodología de enseñanza</v>
      </c>
      <c r="X239" s="1" t="str">
        <f>IFERROR(__xludf.DUMMYFUNCTION("""COMPUTED_VALUE"""),"metodologia")</f>
        <v>metodologia</v>
      </c>
      <c r="Y239" s="1" t="str">
        <f>IFERROR(__xludf.DUMMYFUNCTION("""COMPUTED_VALUE"""),"PAGO FRACCIONADO")</f>
        <v>PAGO FRACCIONADO</v>
      </c>
      <c r="Z239" s="1">
        <f>IFERROR(__xludf.DUMMYFUNCTION("""COMPUTED_VALUE"""),640.0)</f>
        <v>640</v>
      </c>
      <c r="AA239" s="1" t="str">
        <f>IFERROR(__xludf.DUMMYFUNCTION("""COMPUTED_VALUE"""),"15/12/2024")</f>
        <v>15/12/2024</v>
      </c>
      <c r="AB239" s="1">
        <f>IFERROR(__xludf.DUMMYFUNCTION("""COMPUTED_VALUE"""),0.0)</f>
        <v>0</v>
      </c>
      <c r="AC239" s="1">
        <f>IFERROR(__xludf.DUMMYFUNCTION("""COMPUTED_VALUE"""),0.0)</f>
        <v>0</v>
      </c>
      <c r="AD239" s="1" t="str">
        <f>IFERROR(__xludf.DUMMYFUNCTION("""COMPUTED_VALUE"""),"Cinthia Mariella Orosco")</f>
        <v>Cinthia Mariella Orosco</v>
      </c>
      <c r="AE239" s="1" t="str">
        <f>IFERROR(__xludf.DUMMYFUNCTION("""COMPUTED_VALUE"""),"0")</f>
        <v>0</v>
      </c>
      <c r="AF239" s="1">
        <f>IFERROR(__xludf.DUMMYFUNCTION("""COMPUTED_VALUE"""),2024.0)</f>
        <v>2024</v>
      </c>
      <c r="AG239" s="1">
        <f>IFERROR(__xludf.DUMMYFUNCTION("""COMPUTED_VALUE"""),777912.0)</f>
        <v>777912</v>
      </c>
      <c r="AH239" s="1">
        <f>IFERROR(__xludf.DUMMYFUNCTION("""COMPUTED_VALUE"""),17.0)</f>
        <v>17</v>
      </c>
      <c r="AI239" s="1" t="str">
        <f>IFERROR(__xludf.DUMMYFUNCTION("""COMPUTED_VALUE"""),"0000403597")</f>
        <v>0000403597</v>
      </c>
      <c r="AJ239" s="1">
        <f>IFERROR(__xludf.DUMMYFUNCTION("""COMPUTED_VALUE"""),6.1176696E7)</f>
        <v>61176696</v>
      </c>
      <c r="AK239" s="1">
        <f>IFERROR(__xludf.DUMMYFUNCTION("""COMPUTED_VALUE"""),9.02203149E8)</f>
        <v>902203149</v>
      </c>
      <c r="AL239" s="1" t="str">
        <f>IFERROR(__xludf.DUMMYFUNCTION("""COMPUTED_VALUE"""),"adrianomezainche173@gmail.com")</f>
        <v>adrianomezainche173@gmail.com</v>
      </c>
      <c r="AM239" s="1" t="str">
        <f>IFERROR(__xludf.DUMMYFUNCTION("""COMPUTED_VALUE"""),"MASCULINO")</f>
        <v>MASCULINO</v>
      </c>
      <c r="AN239" s="1">
        <f>IFERROR(__xludf.DUMMYFUNCTION("""COMPUTED_VALUE"""),1775.0)</f>
        <v>1775</v>
      </c>
      <c r="AO239" s="1">
        <f>IFERROR(__xludf.DUMMYFUNCTION("""COMPUTED_VALUE"""),450.0)</f>
        <v>450</v>
      </c>
      <c r="AP239" s="1" t="str">
        <f>IFERROR(__xludf.DUMMYFUNCTION("""COMPUTED_VALUE"""),"COLEGIOS")</f>
        <v>COLEGIOS</v>
      </c>
      <c r="AQ239" s="1" t="str">
        <f>IFERROR(__xludf.DUMMYFUNCTION("""COMPUTED_VALUE"""),"COLEGIOS")</f>
        <v>COLEGIOS</v>
      </c>
      <c r="AR239" s="1" t="str">
        <f>IFERROR(__xludf.DUMMYFUNCTION("""COMPUTED_VALUE"""),"NUEVO")</f>
        <v>NUEVO</v>
      </c>
      <c r="AS239" s="1"/>
      <c r="AT239" s="2">
        <f>IFERROR(__xludf.DUMMYFUNCTION("""COMPUTED_VALUE"""),45399.0)</f>
        <v>45399</v>
      </c>
      <c r="AU239" s="1">
        <f>IFERROR(__xludf.DUMMYFUNCTION("""COMPUTED_VALUE"""),1.0)</f>
        <v>1</v>
      </c>
      <c r="AV239" s="1" t="str">
        <f>IFERROR(__xludf.DUMMYFUNCTION("""COMPUTED_VALUE"""),"NUEVO")</f>
        <v>NUEVO</v>
      </c>
      <c r="AW239" s="1" t="str">
        <f>IFERROR(__xludf.DUMMYFUNCTION("""COMPUTED_VALUE"""),"SI")</f>
        <v>SI</v>
      </c>
      <c r="AX239" s="1"/>
      <c r="AY239" s="1" t="str">
        <f>IFERROR(__xludf.DUMMYFUNCTION("""COMPUTED_VALUE"""),"PAGO COMPLETO")</f>
        <v>PAGO COMPLETO</v>
      </c>
      <c r="AZ239" s="5">
        <f>IFERROR(__xludf.DUMMYFUNCTION("""COMPUTED_VALUE"""),45642.0)</f>
        <v>45642</v>
      </c>
      <c r="BA239" s="1">
        <f>IFERROR(__xludf.DUMMYFUNCTION("""COMPUTED_VALUE"""),640.0)</f>
        <v>640</v>
      </c>
      <c r="BB239" s="1">
        <f>IFERROR(__xludf.DUMMYFUNCTION("""COMPUTED_VALUE"""),0.0)</f>
        <v>0</v>
      </c>
      <c r="BC239" s="4">
        <f>IFERROR(__xludf.DUMMYFUNCTION("""COMPUTED_VALUE"""),0.0)</f>
        <v>0</v>
      </c>
      <c r="BD239" s="4">
        <f>IFERROR(__xludf.DUMMYFUNCTION("""COMPUTED_VALUE"""),0.0)</f>
        <v>0</v>
      </c>
      <c r="BE239" s="1">
        <f>IFERROR(__xludf.DUMMYFUNCTION("""COMPUTED_VALUE"""),12.0)</f>
        <v>12</v>
      </c>
      <c r="BF239" s="6">
        <f>IFERROR(__xludf.DUMMYFUNCTION("""COMPUTED_VALUE"""),1.0)</f>
        <v>1</v>
      </c>
      <c r="BG239" s="1">
        <f>IFERROR(__xludf.DUMMYFUNCTION("""COMPUTED_VALUE"""),1.0)</f>
        <v>1</v>
      </c>
      <c r="BH239" s="1" t="str">
        <f>IFERROR(__xludf.DUMMYFUNCTION("""COMPUTED_VALUE"""),"0")</f>
        <v>0</v>
      </c>
      <c r="BI239" s="4">
        <f>IFERROR(__xludf.DUMMYFUNCTION("""COMPUTED_VALUE"""),1280.0)</f>
        <v>1280</v>
      </c>
      <c r="BJ239" s="1">
        <f>IFERROR(__xludf.DUMMYFUNCTION("""COMPUTED_VALUE"""),0.0)</f>
        <v>0</v>
      </c>
      <c r="BK239" s="4">
        <f>IFERROR(__xludf.DUMMYFUNCTION("""COMPUTED_VALUE"""),0.0)</f>
        <v>0</v>
      </c>
      <c r="BL239" s="1">
        <f>IFERROR(__xludf.DUMMYFUNCTION("""COMPUTED_VALUE"""),1280.0)</f>
        <v>1280</v>
      </c>
      <c r="BM239" s="1">
        <f>IFERROR(__xludf.DUMMYFUNCTION("""COMPUTED_VALUE"""),50.0)</f>
        <v>50</v>
      </c>
      <c r="BN239" s="2">
        <f>IFERROR(__xludf.DUMMYFUNCTION("""COMPUTED_VALUE"""),45635.0)</f>
        <v>45635</v>
      </c>
      <c r="BO239" s="1">
        <f>IFERROR(__xludf.DUMMYFUNCTION("""COMPUTED_VALUE"""),12.0)</f>
        <v>12</v>
      </c>
      <c r="BP239" s="1">
        <f>IFERROR(__xludf.DUMMYFUNCTION("""COMPUTED_VALUE"""),2024.0)</f>
        <v>2024</v>
      </c>
    </row>
    <row r="240">
      <c r="A240" s="1">
        <f>IFERROR(__xludf.DUMMYFUNCTION("""COMPUTED_VALUE"""),239.0)</f>
        <v>239</v>
      </c>
      <c r="B240" s="1">
        <f>IFERROR(__xludf.DUMMYFUNCTION("""COMPUTED_VALUE"""),1983318.0)</f>
        <v>1983318</v>
      </c>
      <c r="C240" s="1" t="str">
        <f>IFERROR(__xludf.DUMMYFUNCTION("""COMPUTED_VALUE"""),"2025-1")</f>
        <v>2025-1</v>
      </c>
      <c r="D240" s="1" t="str">
        <f>IFERROR(__xludf.DUMMYFUNCTION("""COMPUTED_VALUE"""),"Admisión de Alto Rendimiento")</f>
        <v>Admisión de Alto Rendimiento</v>
      </c>
      <c r="E240" s="2">
        <f>IFERROR(__xludf.DUMMYFUNCTION("""COMPUTED_VALUE"""),45637.0)</f>
        <v>45637</v>
      </c>
      <c r="F240" s="1" t="str">
        <f>IFERROR(__xludf.DUMMYFUNCTION("""COMPUTED_VALUE"""),"ANDREA MICAELA")</f>
        <v>ANDREA MICAELA</v>
      </c>
      <c r="G240" s="1" t="str">
        <f>IFERROR(__xludf.DUMMYFUNCTION("""COMPUTED_VALUE"""),"CAMARGO ALVAREZ")</f>
        <v>CAMARGO ALVAREZ</v>
      </c>
      <c r="H240" s="1" t="str">
        <f>IFERROR(__xludf.DUMMYFUNCTION("""COMPUTED_VALUE"""),"Comunicación y Publicidad Transmedia")</f>
        <v>Comunicación y Publicidad Transmedia</v>
      </c>
      <c r="I240" s="1" t="str">
        <f>IFERROR(__xludf.DUMMYFUNCTION("""COMPUTED_VALUE"""),"CARGO")</f>
        <v>CARGO</v>
      </c>
      <c r="J240" s="1" t="str">
        <f>IFERROR(__xludf.DUMMYFUNCTION("""COMPUTED_VALUE"""),"Diurno")</f>
        <v>Diurno</v>
      </c>
      <c r="K240" s="1" t="str">
        <f>IFERROR(__xludf.DUMMYFUNCTION("""COMPUTED_VALUE"""),"NUEVO")</f>
        <v>NUEVO</v>
      </c>
      <c r="L240" s="1">
        <f>IFERROR(__xludf.DUMMYFUNCTION("""COMPUTED_VALUE"""),0.0)</f>
        <v>0</v>
      </c>
      <c r="M240" s="1">
        <f>IFERROR(__xludf.DUMMYFUNCTION("""COMPUTED_VALUE"""),0.0)</f>
        <v>0</v>
      </c>
      <c r="N240" s="1" t="str">
        <f>IFERROR(__xludf.DUMMYFUNCTION("""COMPUTED_VALUE"""),"BECA")</f>
        <v>BECA</v>
      </c>
      <c r="O240" s="1" t="str">
        <f>IFERROR(__xludf.DUMMYFUNCTION("""COMPUTED_VALUE"""),"BECA CARRERAS CORE")</f>
        <v>BECA CARRERAS CORE</v>
      </c>
      <c r="P240" s="4">
        <f>IFERROR(__xludf.DUMMYFUNCTION("""COMPUTED_VALUE"""),0.0)</f>
        <v>0</v>
      </c>
      <c r="Q240" s="4">
        <f>IFERROR(__xludf.DUMMYFUNCTION("""COMPUTED_VALUE"""),0.0)</f>
        <v>0</v>
      </c>
      <c r="R240" s="4">
        <f>IFERROR(__xludf.DUMMYFUNCTION("""COMPUTED_VALUE"""),1150.0)</f>
        <v>1150</v>
      </c>
      <c r="S240" s="4">
        <f>IFERROR(__xludf.DUMMYFUNCTION("""COMPUTED_VALUE"""),1000.0)</f>
        <v>1000</v>
      </c>
      <c r="T240" s="1" t="str">
        <f>IFERROR(__xludf.DUMMYFUNCTION("""COMPUTED_VALUE"""),"PALANCA 700")</f>
        <v>PALANCA 700</v>
      </c>
      <c r="U240" s="1" t="str">
        <f>IFERROR(__xludf.DUMMYFUNCTION("""COMPUTED_VALUE"""),"FABIOLA")</f>
        <v>FABIOLA</v>
      </c>
      <c r="V240" s="1" t="str">
        <f>IFERROR(__xludf.DUMMYFUNCTION("""COMPUTED_VALUE"""),"Ninguno")</f>
        <v>Ninguno</v>
      </c>
      <c r="W240" s="1" t="str">
        <f>IFERROR(__xludf.DUMMYFUNCTION("""COMPUTED_VALUE"""),"Bolsa Laboral")</f>
        <v>Bolsa Laboral</v>
      </c>
      <c r="X240" s="1" t="str">
        <f>IFERROR(__xludf.DUMMYFUNCTION("""COMPUTED_VALUE"""),"primera boleta paga 700 luego tiene beca de 1000 soles")</f>
        <v>primera boleta paga 700 luego tiene beca de 1000 soles</v>
      </c>
      <c r="Y240" s="1" t="str">
        <f>IFERROR(__xludf.DUMMYFUNCTION("""COMPUTED_VALUE"""),"PAGO COMPLETO")</f>
        <v>PAGO COMPLETO</v>
      </c>
      <c r="Z240" s="1">
        <f>IFERROR(__xludf.DUMMYFUNCTION("""COMPUTED_VALUE"""),0.0)</f>
        <v>0</v>
      </c>
      <c r="AA240" s="1" t="str">
        <f>IFERROR(__xludf.DUMMYFUNCTION("""COMPUTED_VALUE"""),"-")</f>
        <v>-</v>
      </c>
      <c r="AB240" s="1">
        <f>IFERROR(__xludf.DUMMYFUNCTION("""COMPUTED_VALUE"""),0.0)</f>
        <v>0</v>
      </c>
      <c r="AC240" s="1">
        <f>IFERROR(__xludf.DUMMYFUNCTION("""COMPUTED_VALUE"""),0.0)</f>
        <v>0</v>
      </c>
      <c r="AD240" s="1" t="str">
        <f>IFERROR(__xludf.DUMMYFUNCTION("""COMPUTED_VALUE"""),"Angelica Iparraguirre")</f>
        <v>Angelica Iparraguirre</v>
      </c>
      <c r="AE240" s="1" t="str">
        <f>IFERROR(__xludf.DUMMYFUNCTION("""COMPUTED_VALUE"""),"0")</f>
        <v>0</v>
      </c>
      <c r="AF240" s="1">
        <f>IFERROR(__xludf.DUMMYFUNCTION("""COMPUTED_VALUE"""),2023.0)</f>
        <v>2023</v>
      </c>
      <c r="AG240" s="1">
        <f>IFERROR(__xludf.DUMMYFUNCTION("""COMPUTED_VALUE"""),325480.0)</f>
        <v>325480</v>
      </c>
      <c r="AH240" s="1">
        <f>IFERROR(__xludf.DUMMYFUNCTION("""COMPUTED_VALUE"""),18.0)</f>
        <v>18</v>
      </c>
      <c r="AI240" s="1" t="str">
        <f>IFERROR(__xludf.DUMMYFUNCTION("""COMPUTED_VALUE"""),"0000403601")</f>
        <v>0000403601</v>
      </c>
      <c r="AJ240" s="1">
        <f>IFERROR(__xludf.DUMMYFUNCTION("""COMPUTED_VALUE"""),6.0734796E7)</f>
        <v>60734796</v>
      </c>
      <c r="AK240" s="1">
        <f>IFERROR(__xludf.DUMMYFUNCTION("""COMPUTED_VALUE"""),9.06959727E8)</f>
        <v>906959727</v>
      </c>
      <c r="AL240" s="1" t="str">
        <f>IFERROR(__xludf.DUMMYFUNCTION("""COMPUTED_VALUE"""),"camargoalvareza@gmail.com")</f>
        <v>camargoalvareza@gmail.com</v>
      </c>
      <c r="AM240" s="1" t="str">
        <f>IFERROR(__xludf.DUMMYFUNCTION("""COMPUTED_VALUE"""),"FEMENINO")</f>
        <v>FEMENINO</v>
      </c>
      <c r="AN240" s="1">
        <f>IFERROR(__xludf.DUMMYFUNCTION("""COMPUTED_VALUE"""),1350.0)</f>
        <v>1350</v>
      </c>
      <c r="AO240" s="1">
        <f>IFERROR(__xludf.DUMMYFUNCTION("""COMPUTED_VALUE"""),0.0)</f>
        <v>0</v>
      </c>
      <c r="AP240" s="1" t="str">
        <f>IFERROR(__xludf.DUMMYFUNCTION("""COMPUTED_VALUE"""),"BIDIRECCIONAL")</f>
        <v>BIDIRECCIONAL</v>
      </c>
      <c r="AQ240" s="1" t="str">
        <f>IFERROR(__xludf.DUMMYFUNCTION("""COMPUTED_VALUE"""),"ORGANICO")</f>
        <v>ORGANICO</v>
      </c>
      <c r="AR240" s="1" t="str">
        <f>IFERROR(__xludf.DUMMYFUNCTION("""COMPUTED_VALUE"""),"HEREDADO")</f>
        <v>HEREDADO</v>
      </c>
      <c r="AS240" s="1"/>
      <c r="AT240" s="2">
        <f>IFERROR(__xludf.DUMMYFUNCTION("""COMPUTED_VALUE"""),45618.0)</f>
        <v>45618</v>
      </c>
      <c r="AU240" s="1">
        <f>IFERROR(__xludf.DUMMYFUNCTION("""COMPUTED_VALUE"""),1.0)</f>
        <v>1</v>
      </c>
      <c r="AV240" s="1" t="str">
        <f>IFERROR(__xludf.DUMMYFUNCTION("""COMPUTED_VALUE"""),"NUEVO")</f>
        <v>NUEVO</v>
      </c>
      <c r="AW240" s="1" t="str">
        <f>IFERROR(__xludf.DUMMYFUNCTION("""COMPUTED_VALUE"""),"SI")</f>
        <v>SI</v>
      </c>
      <c r="AX240" s="1"/>
      <c r="AY240" s="1" t="str">
        <f>IFERROR(__xludf.DUMMYFUNCTION("""COMPUTED_VALUE"""),"PAGO COMPLETO")</f>
        <v>PAGO COMPLETO</v>
      </c>
      <c r="AZ240" s="5">
        <f>IFERROR(__xludf.DUMMYFUNCTION("""COMPUTED_VALUE"""),45637.0)</f>
        <v>45637</v>
      </c>
      <c r="BA240" s="1">
        <f>IFERROR(__xludf.DUMMYFUNCTION("""COMPUTED_VALUE"""),0.0)</f>
        <v>0</v>
      </c>
      <c r="BB240" s="1">
        <f>IFERROR(__xludf.DUMMYFUNCTION("""COMPUTED_VALUE"""),0.0)</f>
        <v>0</v>
      </c>
      <c r="BC240" s="4">
        <f>IFERROR(__xludf.DUMMYFUNCTION("""COMPUTED_VALUE"""),0.0)</f>
        <v>0</v>
      </c>
      <c r="BD240" s="4">
        <f>IFERROR(__xludf.DUMMYFUNCTION("""COMPUTED_VALUE"""),300.0)</f>
        <v>300</v>
      </c>
      <c r="BE240" s="1">
        <f>IFERROR(__xludf.DUMMYFUNCTION("""COMPUTED_VALUE"""),12.0)</f>
        <v>12</v>
      </c>
      <c r="BF240" s="6">
        <f>IFERROR(__xludf.DUMMYFUNCTION("""COMPUTED_VALUE"""),1.0)</f>
        <v>1</v>
      </c>
      <c r="BG240" s="1">
        <f>IFERROR(__xludf.DUMMYFUNCTION("""COMPUTED_VALUE"""),1.0)</f>
        <v>1</v>
      </c>
      <c r="BH240" s="1" t="str">
        <f>IFERROR(__xludf.DUMMYFUNCTION("""COMPUTED_VALUE"""),"0")</f>
        <v>0</v>
      </c>
      <c r="BI240" s="4">
        <f>IFERROR(__xludf.DUMMYFUNCTION("""COMPUTED_VALUE"""),300.0)</f>
        <v>300</v>
      </c>
      <c r="BJ240" s="1">
        <f>IFERROR(__xludf.DUMMYFUNCTION("""COMPUTED_VALUE"""),0.0)</f>
        <v>0</v>
      </c>
      <c r="BK240" s="4">
        <f>IFERROR(__xludf.DUMMYFUNCTION("""COMPUTED_VALUE"""),300.0)</f>
        <v>300</v>
      </c>
      <c r="BL240" s="1">
        <f>IFERROR(__xludf.DUMMYFUNCTION("""COMPUTED_VALUE"""),940.0)</f>
        <v>940</v>
      </c>
      <c r="BM240" s="1">
        <f>IFERROR(__xludf.DUMMYFUNCTION("""COMPUTED_VALUE"""),50.0)</f>
        <v>50</v>
      </c>
      <c r="BN240" s="2">
        <f>IFERROR(__xludf.DUMMYFUNCTION("""COMPUTED_VALUE"""),45635.0)</f>
        <v>45635</v>
      </c>
      <c r="BO240" s="1">
        <f>IFERROR(__xludf.DUMMYFUNCTION("""COMPUTED_VALUE"""),12.0)</f>
        <v>12</v>
      </c>
      <c r="BP240" s="1">
        <f>IFERROR(__xludf.DUMMYFUNCTION("""COMPUTED_VALUE"""),2024.0)</f>
        <v>2024</v>
      </c>
    </row>
    <row r="241">
      <c r="A241" s="1">
        <f>IFERROR(__xludf.DUMMYFUNCTION("""COMPUTED_VALUE"""),240.0)</f>
        <v>240</v>
      </c>
      <c r="B241" s="1">
        <f>IFERROR(__xludf.DUMMYFUNCTION("""COMPUTED_VALUE"""),4864826.0)</f>
        <v>4864826</v>
      </c>
      <c r="C241" s="1" t="str">
        <f>IFERROR(__xludf.DUMMYFUNCTION("""COMPUTED_VALUE"""),"2025-1")</f>
        <v>2025-1</v>
      </c>
      <c r="D241" s="1" t="str">
        <f>IFERROR(__xludf.DUMMYFUNCTION("""COMPUTED_VALUE"""),"Admisión Ordinaria")</f>
        <v>Admisión Ordinaria</v>
      </c>
      <c r="E241" s="2">
        <f>IFERROR(__xludf.DUMMYFUNCTION("""COMPUTED_VALUE"""),45637.0)</f>
        <v>45637</v>
      </c>
      <c r="F241" s="1" t="str">
        <f>IFERROR(__xludf.DUMMYFUNCTION("""COMPUTED_VALUE"""),"ANDREA ISABELLE ")</f>
        <v>ANDREA ISABELLE </v>
      </c>
      <c r="G241" s="1" t="str">
        <f>IFERROR(__xludf.DUMMYFUNCTION("""COMPUTED_VALUE"""),"CARDENAS FALCON")</f>
        <v>CARDENAS FALCON</v>
      </c>
      <c r="H241" s="1" t="str">
        <f>IFERROR(__xludf.DUMMYFUNCTION("""COMPUTED_VALUE"""),"Comunicación Audiovisual y Cine")</f>
        <v>Comunicación Audiovisual y Cine</v>
      </c>
      <c r="I241" s="1" t="str">
        <f>IFERROR(__xludf.DUMMYFUNCTION("""COMPUTED_VALUE"""),"POS")</f>
        <v>POS</v>
      </c>
      <c r="J241" s="1" t="str">
        <f>IFERROR(__xludf.DUMMYFUNCTION("""COMPUTED_VALUE"""),"Diurno")</f>
        <v>Diurno</v>
      </c>
      <c r="K241" s="1" t="str">
        <f>IFERROR(__xludf.DUMMYFUNCTION("""COMPUTED_VALUE"""),"NUEVO")</f>
        <v>NUEVO</v>
      </c>
      <c r="L241" s="1">
        <f>IFERROR(__xludf.DUMMYFUNCTION("""COMPUTED_VALUE"""),0.0)</f>
        <v>0</v>
      </c>
      <c r="M241" s="1">
        <f>IFERROR(__xludf.DUMMYFUNCTION("""COMPUTED_VALUE"""),0.0)</f>
        <v>0</v>
      </c>
      <c r="N241" s="1" t="str">
        <f>IFERROR(__xludf.DUMMYFUNCTION("""COMPUTED_VALUE"""),"BECA")</f>
        <v>BECA</v>
      </c>
      <c r="O241" s="1" t="str">
        <f>IFERROR(__xludf.DUMMYFUNCTION("""COMPUTED_VALUE"""),"BECA CARRERAS CORE")</f>
        <v>BECA CARRERAS CORE</v>
      </c>
      <c r="P241" s="4">
        <f>IFERROR(__xludf.DUMMYFUNCTION("""COMPUTED_VALUE"""),0.0)</f>
        <v>0</v>
      </c>
      <c r="Q241" s="4">
        <f>IFERROR(__xludf.DUMMYFUNCTION("""COMPUTED_VALUE"""),0.0)</f>
        <v>0</v>
      </c>
      <c r="R241" s="4">
        <f>IFERROR(__xludf.DUMMYFUNCTION("""COMPUTED_VALUE"""),1600.0)</f>
        <v>1600</v>
      </c>
      <c r="S241" s="4">
        <f>IFERROR(__xludf.DUMMYFUNCTION("""COMPUTED_VALUE"""),1280.0)</f>
        <v>1280</v>
      </c>
      <c r="T241" s="1" t="str">
        <f>IFERROR(__xludf.DUMMYFUNCTION("""COMPUTED_VALUE"""),"NINGUNO")</f>
        <v>NINGUNO</v>
      </c>
      <c r="U241" s="1" t="str">
        <f>IFERROR(__xludf.DUMMYFUNCTION("""COMPUTED_VALUE"""),"FABIOLA")</f>
        <v>FABIOLA</v>
      </c>
      <c r="V241" s="1" t="str">
        <f>IFERROR(__xludf.DUMMYFUNCTION("""COMPUTED_VALUE"""),"Ninguno")</f>
        <v>Ninguno</v>
      </c>
      <c r="W241" s="1" t="str">
        <f>IFERROR(__xludf.DUMMYFUNCTION("""COMPUTED_VALUE"""),"Equipos e instalaciones")</f>
        <v>Equipos e instalaciones</v>
      </c>
      <c r="X241" s="1" t="str">
        <f>IFERROR(__xludf.DUMMYFUNCTION("""COMPUTED_VALUE"""),"-")</f>
        <v>-</v>
      </c>
      <c r="Y241" s="1" t="str">
        <f>IFERROR(__xludf.DUMMYFUNCTION("""COMPUTED_VALUE"""),"PAGO COMPLETO")</f>
        <v>PAGO COMPLETO</v>
      </c>
      <c r="Z241" s="1">
        <f>IFERROR(__xludf.DUMMYFUNCTION("""COMPUTED_VALUE"""),0.0)</f>
        <v>0</v>
      </c>
      <c r="AA241" s="1" t="str">
        <f>IFERROR(__xludf.DUMMYFUNCTION("""COMPUTED_VALUE"""),"-")</f>
        <v>-</v>
      </c>
      <c r="AB241" s="1">
        <f>IFERROR(__xludf.DUMMYFUNCTION("""COMPUTED_VALUE"""),0.0)</f>
        <v>0</v>
      </c>
      <c r="AC241" s="1">
        <f>IFERROR(__xludf.DUMMYFUNCTION("""COMPUTED_VALUE"""),0.0)</f>
        <v>0</v>
      </c>
      <c r="AD241" s="1" t="str">
        <f>IFERROR(__xludf.DUMMYFUNCTION("""COMPUTED_VALUE"""),"Fiorella Lanegra")</f>
        <v>Fiorella Lanegra</v>
      </c>
      <c r="AE241" s="1" t="str">
        <f>IFERROR(__xludf.DUMMYFUNCTION("""COMPUTED_VALUE"""),"0")</f>
        <v>0</v>
      </c>
      <c r="AF241" s="1">
        <f>IFERROR(__xludf.DUMMYFUNCTION("""COMPUTED_VALUE"""),2023.0)</f>
        <v>2023</v>
      </c>
      <c r="AG241" s="1">
        <f>IFERROR(__xludf.DUMMYFUNCTION("""COMPUTED_VALUE"""),1772649.0)</f>
        <v>1772649</v>
      </c>
      <c r="AH241" s="1">
        <f>IFERROR(__xludf.DUMMYFUNCTION("""COMPUTED_VALUE"""),18.0)</f>
        <v>18</v>
      </c>
      <c r="AI241" s="1" t="str">
        <f>IFERROR(__xludf.DUMMYFUNCTION("""COMPUTED_VALUE"""),"0000403773")</f>
        <v>0000403773</v>
      </c>
      <c r="AJ241" s="1">
        <f>IFERROR(__xludf.DUMMYFUNCTION("""COMPUTED_VALUE"""),7.0593567E7)</f>
        <v>70593567</v>
      </c>
      <c r="AK241" s="1">
        <f>IFERROR(__xludf.DUMMYFUNCTION("""COMPUTED_VALUE"""),9.47330776E8)</f>
        <v>947330776</v>
      </c>
      <c r="AL241" s="1" t="str">
        <f>IFERROR(__xludf.DUMMYFUNCTION("""COMPUTED_VALUE"""),"psyklonaeon97@gmail.com")</f>
        <v>psyklonaeon97@gmail.com</v>
      </c>
      <c r="AM241" s="1" t="str">
        <f>IFERROR(__xludf.DUMMYFUNCTION("""COMPUTED_VALUE"""),"FEMENINO")</f>
        <v>FEMENINO</v>
      </c>
      <c r="AN241" s="1">
        <f>IFERROR(__xludf.DUMMYFUNCTION("""COMPUTED_VALUE"""),1600.0)</f>
        <v>1600</v>
      </c>
      <c r="AO241" s="1">
        <f>IFERROR(__xludf.DUMMYFUNCTION("""COMPUTED_VALUE"""),250.0)</f>
        <v>250</v>
      </c>
      <c r="AP241" s="1" t="str">
        <f>IFERROR(__xludf.DUMMYFUNCTION("""COMPUTED_VALUE"""),"FORMULARIO")</f>
        <v>FORMULARIO</v>
      </c>
      <c r="AQ241" s="1" t="str">
        <f>IFERROR(__xludf.DUMMYFUNCTION("""COMPUTED_VALUE"""),"ORGANICO")</f>
        <v>ORGANICO</v>
      </c>
      <c r="AR241" s="1" t="str">
        <f>IFERROR(__xludf.DUMMYFUNCTION("""COMPUTED_VALUE"""),"NUEVO")</f>
        <v>NUEVO</v>
      </c>
      <c r="AS241" s="1"/>
      <c r="AT241" s="2">
        <f>IFERROR(__xludf.DUMMYFUNCTION("""COMPUTED_VALUE"""),45635.0)</f>
        <v>45635</v>
      </c>
      <c r="AU241" s="1">
        <f>IFERROR(__xludf.DUMMYFUNCTION("""COMPUTED_VALUE"""),1.0)</f>
        <v>1</v>
      </c>
      <c r="AV241" s="1" t="str">
        <f>IFERROR(__xludf.DUMMYFUNCTION("""COMPUTED_VALUE"""),"NUEVO")</f>
        <v>NUEVO</v>
      </c>
      <c r="AW241" s="1" t="str">
        <f>IFERROR(__xludf.DUMMYFUNCTION("""COMPUTED_VALUE"""),"SI")</f>
        <v>SI</v>
      </c>
      <c r="AX241" s="1"/>
      <c r="AY241" s="1" t="str">
        <f>IFERROR(__xludf.DUMMYFUNCTION("""COMPUTED_VALUE"""),"PAGO COMPLETO")</f>
        <v>PAGO COMPLETO</v>
      </c>
      <c r="AZ241" s="5">
        <f>IFERROR(__xludf.DUMMYFUNCTION("""COMPUTED_VALUE"""),45637.0)</f>
        <v>45637</v>
      </c>
      <c r="BA241" s="1">
        <f>IFERROR(__xludf.DUMMYFUNCTION("""COMPUTED_VALUE"""),0.0)</f>
        <v>0</v>
      </c>
      <c r="BB241" s="1">
        <f>IFERROR(__xludf.DUMMYFUNCTION("""COMPUTED_VALUE"""),0.0)</f>
        <v>0</v>
      </c>
      <c r="BC241" s="4">
        <f>IFERROR(__xludf.DUMMYFUNCTION("""COMPUTED_VALUE"""),0.0)</f>
        <v>0</v>
      </c>
      <c r="BD241" s="4">
        <f>IFERROR(__xludf.DUMMYFUNCTION("""COMPUTED_VALUE"""),0.0)</f>
        <v>0</v>
      </c>
      <c r="BE241" s="1">
        <f>IFERROR(__xludf.DUMMYFUNCTION("""COMPUTED_VALUE"""),12.0)</f>
        <v>12</v>
      </c>
      <c r="BF241" s="6">
        <f>IFERROR(__xludf.DUMMYFUNCTION("""COMPUTED_VALUE"""),1.0)</f>
        <v>1</v>
      </c>
      <c r="BG241" s="1">
        <f>IFERROR(__xludf.DUMMYFUNCTION("""COMPUTED_VALUE"""),1.0)</f>
        <v>1</v>
      </c>
      <c r="BH241" s="1" t="str">
        <f>IFERROR(__xludf.DUMMYFUNCTION("""COMPUTED_VALUE"""),"0")</f>
        <v>0</v>
      </c>
      <c r="BI241" s="4">
        <f>IFERROR(__xludf.DUMMYFUNCTION("""COMPUTED_VALUE"""),0.0)</f>
        <v>0</v>
      </c>
      <c r="BJ241" s="1">
        <f>IFERROR(__xludf.DUMMYFUNCTION("""COMPUTED_VALUE"""),0.0)</f>
        <v>0</v>
      </c>
      <c r="BK241" s="4">
        <f>IFERROR(__xludf.DUMMYFUNCTION("""COMPUTED_VALUE"""),0.0)</f>
        <v>0</v>
      </c>
      <c r="BL241" s="1">
        <f>IFERROR(__xludf.DUMMYFUNCTION("""COMPUTED_VALUE"""),1280.0)</f>
        <v>1280</v>
      </c>
      <c r="BM241" s="1">
        <f>IFERROR(__xludf.DUMMYFUNCTION("""COMPUTED_VALUE"""),50.0)</f>
        <v>50</v>
      </c>
      <c r="BN241" s="2">
        <f>IFERROR(__xludf.DUMMYFUNCTION("""COMPUTED_VALUE"""),45635.0)</f>
        <v>45635</v>
      </c>
      <c r="BO241" s="1">
        <f>IFERROR(__xludf.DUMMYFUNCTION("""COMPUTED_VALUE"""),12.0)</f>
        <v>12</v>
      </c>
      <c r="BP241" s="1">
        <f>IFERROR(__xludf.DUMMYFUNCTION("""COMPUTED_VALUE"""),2024.0)</f>
        <v>2024</v>
      </c>
    </row>
    <row r="242">
      <c r="A242" s="1">
        <f>IFERROR(__xludf.DUMMYFUNCTION("""COMPUTED_VALUE"""),241.0)</f>
        <v>241</v>
      </c>
      <c r="B242" s="1">
        <f>IFERROR(__xludf.DUMMYFUNCTION("""COMPUTED_VALUE"""),4860717.0)</f>
        <v>4860717</v>
      </c>
      <c r="C242" s="1" t="str">
        <f>IFERROR(__xludf.DUMMYFUNCTION("""COMPUTED_VALUE"""),"2025-1")</f>
        <v>2025-1</v>
      </c>
      <c r="D242" s="1" t="str">
        <f>IFERROR(__xludf.DUMMYFUNCTION("""COMPUTED_VALUE"""),"Admisión Extraordinaria (Traslados)")</f>
        <v>Admisión Extraordinaria (Traslados)</v>
      </c>
      <c r="E242" s="2">
        <f>IFERROR(__xludf.DUMMYFUNCTION("""COMPUTED_VALUE"""),45638.0)</f>
        <v>45638</v>
      </c>
      <c r="F242" s="1" t="str">
        <f>IFERROR(__xludf.DUMMYFUNCTION("""COMPUTED_VALUE"""),"SEBASTIÁN ALEJANDRO")</f>
        <v>SEBASTIÁN ALEJANDRO</v>
      </c>
      <c r="G242" s="1" t="str">
        <f>IFERROR(__xludf.DUMMYFUNCTION("""COMPUTED_VALUE""")," ROMERO DONGO")</f>
        <v> ROMERO DONGO</v>
      </c>
      <c r="H242" s="1" t="str">
        <f>IFERROR(__xludf.DUMMYFUNCTION("""COMPUTED_VALUE"""),"Arquitectura")</f>
        <v>Arquitectura</v>
      </c>
      <c r="I242" s="1" t="str">
        <f>IFERROR(__xludf.DUMMYFUNCTION("""COMPUTED_VALUE"""),"Pago Link")</f>
        <v>Pago Link</v>
      </c>
      <c r="J242" s="1" t="str">
        <f>IFERROR(__xludf.DUMMYFUNCTION("""COMPUTED_VALUE"""),"Diurno")</f>
        <v>Diurno</v>
      </c>
      <c r="K242" s="1" t="str">
        <f>IFERROR(__xludf.DUMMYFUNCTION("""COMPUTED_VALUE"""),"TRASLADO")</f>
        <v>TRASLADO</v>
      </c>
      <c r="L242" s="1">
        <f>IFERROR(__xludf.DUMMYFUNCTION("""COMPUTED_VALUE"""),1.0)</f>
        <v>1</v>
      </c>
      <c r="M242" s="1">
        <f>IFERROR(__xludf.DUMMYFUNCTION("""COMPUTED_VALUE"""),0.0)</f>
        <v>0</v>
      </c>
      <c r="N242" s="1" t="str">
        <f>IFERROR(__xludf.DUMMYFUNCTION("""COMPUTED_VALUE"""),"RECA")</f>
        <v>RECA</v>
      </c>
      <c r="O242" s="1" t="str">
        <f>IFERROR(__xludf.DUMMYFUNCTION("""COMPUTED_VALUE"""),"RECA TRASLADO CON CONVA")</f>
        <v>RECA TRASLADO CON CONVA</v>
      </c>
      <c r="P242" s="4">
        <f>IFERROR(__xludf.DUMMYFUNCTION("""COMPUTED_VALUE"""),0.0)</f>
        <v>0</v>
      </c>
      <c r="Q242" s="4">
        <f>IFERROR(__xludf.DUMMYFUNCTION("""COMPUTED_VALUE"""),0.0)</f>
        <v>0</v>
      </c>
      <c r="R242" s="4">
        <f>IFERROR(__xludf.DUMMYFUNCTION("""COMPUTED_VALUE"""),1600.0)</f>
        <v>1600</v>
      </c>
      <c r="S242" s="4">
        <f>IFERROR(__xludf.DUMMYFUNCTION("""COMPUTED_VALUE"""),1280.0)</f>
        <v>1280</v>
      </c>
      <c r="T242" s="1" t="str">
        <f>IFERROR(__xludf.DUMMYFUNCTION("""COMPUTED_VALUE"""),"NINGUNO")</f>
        <v>NINGUNO</v>
      </c>
      <c r="U242" s="1" t="str">
        <f>IFERROR(__xludf.DUMMYFUNCTION("""COMPUTED_VALUE"""),"FABIOLA")</f>
        <v>FABIOLA</v>
      </c>
      <c r="V242" s="1" t="str">
        <f>IFERROR(__xludf.DUMMYFUNCTION("""COMPUTED_VALUE"""),"Ninguno")</f>
        <v>Ninguno</v>
      </c>
      <c r="W242" s="1" t="str">
        <f>IFERROR(__xludf.DUMMYFUNCTION("""COMPUTED_VALUE"""),"Precio accesible")</f>
        <v>Precio accesible</v>
      </c>
      <c r="X242" s="1" t="str">
        <f>IFERROR(__xludf.DUMMYFUNCTION("""COMPUTED_VALUE"""),"APROBO CASO EXCEPCIONAL , RODRIGOO")</f>
        <v>APROBO CASO EXCEPCIONAL , RODRIGOO</v>
      </c>
      <c r="Y242" s="1" t="str">
        <f>IFERROR(__xludf.DUMMYFUNCTION("""COMPUTED_VALUE"""),"PAGO FRACCIONADO")</f>
        <v>PAGO FRACCIONADO</v>
      </c>
      <c r="Z242" s="1">
        <f>IFERROR(__xludf.DUMMYFUNCTION("""COMPUTED_VALUE"""),640.0)</f>
        <v>640</v>
      </c>
      <c r="AA242" s="1" t="str">
        <f>IFERROR(__xludf.DUMMYFUNCTION("""COMPUTED_VALUE"""),"31/12/2024")</f>
        <v>31/12/2024</v>
      </c>
      <c r="AB242" s="1">
        <f>IFERROR(__xludf.DUMMYFUNCTION("""COMPUTED_VALUE"""),0.0)</f>
        <v>0</v>
      </c>
      <c r="AC242" s="1">
        <f>IFERROR(__xludf.DUMMYFUNCTION("""COMPUTED_VALUE"""),0.0)</f>
        <v>0</v>
      </c>
      <c r="AD242" s="1" t="str">
        <f>IFERROR(__xludf.DUMMYFUNCTION("""COMPUTED_VALUE"""),"Ingrid Guillermo Rivera")</f>
        <v>Ingrid Guillermo Rivera</v>
      </c>
      <c r="AE242" s="1" t="str">
        <f>IFERROR(__xludf.DUMMYFUNCTION("""COMPUTED_VALUE"""),"Universidad Peruana De Ciencias Aplicadas(UPC)")</f>
        <v>Universidad Peruana De Ciencias Aplicadas(UPC)</v>
      </c>
      <c r="AF242" s="1">
        <f>IFERROR(__xludf.DUMMYFUNCTION("""COMPUTED_VALUE"""),2020.0)</f>
        <v>2020</v>
      </c>
      <c r="AG242" s="1">
        <f>IFERROR(__xludf.DUMMYFUNCTION("""COMPUTED_VALUE"""),583179.0)</f>
        <v>583179</v>
      </c>
      <c r="AH242" s="1">
        <f>IFERROR(__xludf.DUMMYFUNCTION("""COMPUTED_VALUE"""),23.0)</f>
        <v>23</v>
      </c>
      <c r="AI242" s="1" t="str">
        <f>IFERROR(__xludf.DUMMYFUNCTION("""COMPUTED_VALUE"""),"0000403253")</f>
        <v>0000403253</v>
      </c>
      <c r="AJ242" s="1">
        <f>IFERROR(__xludf.DUMMYFUNCTION("""COMPUTED_VALUE"""),7.1417229E7)</f>
        <v>71417229</v>
      </c>
      <c r="AK242" s="1">
        <f>IFERROR(__xludf.DUMMYFUNCTION("""COMPUTED_VALUE"""),9.49180743E8)</f>
        <v>949180743</v>
      </c>
      <c r="AL242" s="1" t="str">
        <f>IFERROR(__xludf.DUMMYFUNCTION("""COMPUTED_VALUE"""),"sebastianromero455@gmail.com")</f>
        <v>sebastianromero455@gmail.com</v>
      </c>
      <c r="AM242" s="1" t="str">
        <f>IFERROR(__xludf.DUMMYFUNCTION("""COMPUTED_VALUE"""),"MASCULINO")</f>
        <v>MASCULINO</v>
      </c>
      <c r="AN242" s="1">
        <f>IFERROR(__xludf.DUMMYFUNCTION("""COMPUTED_VALUE"""),2900.0)</f>
        <v>2900</v>
      </c>
      <c r="AO242" s="1">
        <f>IFERROR(__xludf.DUMMYFUNCTION("""COMPUTED_VALUE"""),1700.0)</f>
        <v>1700</v>
      </c>
      <c r="AP242" s="1" t="str">
        <f>IFERROR(__xludf.DUMMYFUNCTION("""COMPUTED_VALUE"""),"FORMULARIO")</f>
        <v>FORMULARIO</v>
      </c>
      <c r="AQ242" s="1" t="str">
        <f>IFERROR(__xludf.DUMMYFUNCTION("""COMPUTED_VALUE"""),"SEARCH CARRERA")</f>
        <v>SEARCH CARRERA</v>
      </c>
      <c r="AR242" s="1" t="str">
        <f>IFERROR(__xludf.DUMMYFUNCTION("""COMPUTED_VALUE"""),"NUEVO")</f>
        <v>NUEVO</v>
      </c>
      <c r="AS242" s="1" t="str">
        <f>IFERROR(__xludf.DUMMYFUNCTION("""COMPUTED_VALUE"""),"ucal-pg-performance-sedes-abierta-cpl-search_conversion_mundo_arquitectura_reactivacion-20241105")</f>
        <v>ucal-pg-performance-sedes-abierta-cpl-search_conversion_mundo_arquitectura_reactivacion-20241105</v>
      </c>
      <c r="AT242" s="2">
        <f>IFERROR(__xludf.DUMMYFUNCTION("""COMPUTED_VALUE"""),45632.0)</f>
        <v>45632</v>
      </c>
      <c r="AU242" s="1">
        <f>IFERROR(__xludf.DUMMYFUNCTION("""COMPUTED_VALUE"""),1.0)</f>
        <v>1</v>
      </c>
      <c r="AV242" s="1" t="str">
        <f>IFERROR(__xludf.DUMMYFUNCTION("""COMPUTED_VALUE"""),"TRASLADO")</f>
        <v>TRASLADO</v>
      </c>
      <c r="AW242" s="1" t="str">
        <f>IFERROR(__xludf.DUMMYFUNCTION("""COMPUTED_VALUE"""),"SI")</f>
        <v>SI</v>
      </c>
      <c r="AX242" s="1"/>
      <c r="AY242" s="1" t="str">
        <f>IFERROR(__xludf.DUMMYFUNCTION("""COMPUTED_VALUE"""),"PAGO COMPLETO")</f>
        <v>PAGO COMPLETO</v>
      </c>
      <c r="AZ242" s="5">
        <f>IFERROR(__xludf.DUMMYFUNCTION("""COMPUTED_VALUE"""),45642.0)</f>
        <v>45642</v>
      </c>
      <c r="BA242" s="1">
        <f>IFERROR(__xludf.DUMMYFUNCTION("""COMPUTED_VALUE"""),640.0)</f>
        <v>640</v>
      </c>
      <c r="BB242" s="1">
        <f>IFERROR(__xludf.DUMMYFUNCTION("""COMPUTED_VALUE"""),0.0)</f>
        <v>0</v>
      </c>
      <c r="BC242" s="4">
        <f>IFERROR(__xludf.DUMMYFUNCTION("""COMPUTED_VALUE"""),0.0)</f>
        <v>0</v>
      </c>
      <c r="BD242" s="4">
        <f>IFERROR(__xludf.DUMMYFUNCTION("""COMPUTED_VALUE"""),0.0)</f>
        <v>0</v>
      </c>
      <c r="BE242" s="1">
        <f>IFERROR(__xludf.DUMMYFUNCTION("""COMPUTED_VALUE"""),12.0)</f>
        <v>12</v>
      </c>
      <c r="BF242" s="6">
        <f>IFERROR(__xludf.DUMMYFUNCTION("""COMPUTED_VALUE"""),1.0)</f>
        <v>1</v>
      </c>
      <c r="BG242" s="1">
        <f>IFERROR(__xludf.DUMMYFUNCTION("""COMPUTED_VALUE"""),1.0)</f>
        <v>1</v>
      </c>
      <c r="BH242" s="1" t="str">
        <f>IFERROR(__xludf.DUMMYFUNCTION("""COMPUTED_VALUE"""),"1")</f>
        <v>1</v>
      </c>
      <c r="BI242" s="4">
        <f>IFERROR(__xludf.DUMMYFUNCTION("""COMPUTED_VALUE"""),1280.0)</f>
        <v>1280</v>
      </c>
      <c r="BJ242" s="1">
        <f>IFERROR(__xludf.DUMMYFUNCTION("""COMPUTED_VALUE"""),0.0)</f>
        <v>0</v>
      </c>
      <c r="BK242" s="4">
        <f>IFERROR(__xludf.DUMMYFUNCTION("""COMPUTED_VALUE"""),0.0)</f>
        <v>0</v>
      </c>
      <c r="BL242" s="1">
        <f>IFERROR(__xludf.DUMMYFUNCTION("""COMPUTED_VALUE"""),1280.0)</f>
        <v>1280</v>
      </c>
      <c r="BM242" s="1">
        <f>IFERROR(__xludf.DUMMYFUNCTION("""COMPUTED_VALUE"""),50.0)</f>
        <v>50</v>
      </c>
      <c r="BN242" s="2">
        <f>IFERROR(__xludf.DUMMYFUNCTION("""COMPUTED_VALUE"""),45635.0)</f>
        <v>45635</v>
      </c>
      <c r="BO242" s="1">
        <f>IFERROR(__xludf.DUMMYFUNCTION("""COMPUTED_VALUE"""),12.0)</f>
        <v>12</v>
      </c>
      <c r="BP242" s="1">
        <f>IFERROR(__xludf.DUMMYFUNCTION("""COMPUTED_VALUE"""),2024.0)</f>
        <v>2024</v>
      </c>
    </row>
    <row r="243">
      <c r="A243" s="1">
        <f>IFERROR(__xludf.DUMMYFUNCTION("""COMPUTED_VALUE"""),242.0)</f>
        <v>242</v>
      </c>
      <c r="B243" s="1">
        <f>IFERROR(__xludf.DUMMYFUNCTION("""COMPUTED_VALUE"""),1026059.0)</f>
        <v>1026059</v>
      </c>
      <c r="C243" s="1" t="str">
        <f>IFERROR(__xludf.DUMMYFUNCTION("""COMPUTED_VALUE"""),"2025-1")</f>
        <v>2025-1</v>
      </c>
      <c r="D243" s="1" t="str">
        <f>IFERROR(__xludf.DUMMYFUNCTION("""COMPUTED_VALUE"""),"Admisión Extraordinaria (Traslados)")</f>
        <v>Admisión Extraordinaria (Traslados)</v>
      </c>
      <c r="E243" s="2">
        <f>IFERROR(__xludf.DUMMYFUNCTION("""COMPUTED_VALUE"""),45638.0)</f>
        <v>45638</v>
      </c>
      <c r="F243" s="1" t="str">
        <f>IFERROR(__xludf.DUMMYFUNCTION("""COMPUTED_VALUE"""),"VALERIA CRISTINA ")</f>
        <v>VALERIA CRISTINA </v>
      </c>
      <c r="G243" s="1" t="str">
        <f>IFERROR(__xludf.DUMMYFUNCTION("""COMPUTED_VALUE"""),"CHANG PONCE")</f>
        <v>CHANG PONCE</v>
      </c>
      <c r="H243" s="1" t="str">
        <f>IFERROR(__xludf.DUMMYFUNCTION("""COMPUTED_VALUE"""),"Arquitectura de Interiores")</f>
        <v>Arquitectura de Interiores</v>
      </c>
      <c r="I243" s="1" t="str">
        <f>IFERROR(__xludf.DUMMYFUNCTION("""COMPUTED_VALUE"""),"POS")</f>
        <v>POS</v>
      </c>
      <c r="J243" s="1" t="str">
        <f>IFERROR(__xludf.DUMMYFUNCTION("""COMPUTED_VALUE"""),"Diurno")</f>
        <v>Diurno</v>
      </c>
      <c r="K243" s="1" t="str">
        <f>IFERROR(__xludf.DUMMYFUNCTION("""COMPUTED_VALUE"""),"TRASLADO")</f>
        <v>TRASLADO</v>
      </c>
      <c r="L243" s="1">
        <f>IFERROR(__xludf.DUMMYFUNCTION("""COMPUTED_VALUE"""),1.0)</f>
        <v>1</v>
      </c>
      <c r="M243" s="1">
        <f>IFERROR(__xludf.DUMMYFUNCTION("""COMPUTED_VALUE"""),0.0)</f>
        <v>0</v>
      </c>
      <c r="N243" s="1" t="str">
        <f>IFERROR(__xludf.DUMMYFUNCTION("""COMPUTED_VALUE"""),"RECA")</f>
        <v>RECA</v>
      </c>
      <c r="O243" s="1" t="str">
        <f>IFERROR(__xludf.DUMMYFUNCTION("""COMPUTED_VALUE"""),"RECA TRASLADO CON CONVA")</f>
        <v>RECA TRASLADO CON CONVA</v>
      </c>
      <c r="P243" s="4">
        <f>IFERROR(__xludf.DUMMYFUNCTION("""COMPUTED_VALUE"""),0.0)</f>
        <v>0</v>
      </c>
      <c r="Q243" s="4">
        <f>IFERROR(__xludf.DUMMYFUNCTION("""COMPUTED_VALUE"""),0.0)</f>
        <v>0</v>
      </c>
      <c r="R243" s="4">
        <f>IFERROR(__xludf.DUMMYFUNCTION("""COMPUTED_VALUE"""),2000.0)</f>
        <v>2000</v>
      </c>
      <c r="S243" s="4">
        <f>IFERROR(__xludf.DUMMYFUNCTION("""COMPUTED_VALUE"""),2000.0)</f>
        <v>2000</v>
      </c>
      <c r="T243" s="1" t="str">
        <f>IFERROR(__xludf.DUMMYFUNCTION("""COMPUTED_VALUE"""),"NINGUNO")</f>
        <v>NINGUNO</v>
      </c>
      <c r="U243" s="1" t="str">
        <f>IFERROR(__xludf.DUMMYFUNCTION("""COMPUTED_VALUE"""),"FABIOLA")</f>
        <v>FABIOLA</v>
      </c>
      <c r="V243" s="1" t="str">
        <f>IFERROR(__xludf.DUMMYFUNCTION("""COMPUTED_VALUE"""),"Ninguno")</f>
        <v>Ninguno</v>
      </c>
      <c r="W243" s="1" t="str">
        <f>IFERROR(__xludf.DUMMYFUNCTION("""COMPUTED_VALUE"""),"Metodología de enseñanza")</f>
        <v>Metodología de enseñanza</v>
      </c>
      <c r="X243" s="1" t="str">
        <f>IFERROR(__xludf.DUMMYFUNCTION("""COMPUTED_VALUE"""),"-")</f>
        <v>-</v>
      </c>
      <c r="Y243" s="1" t="str">
        <f>IFERROR(__xludf.DUMMYFUNCTION("""COMPUTED_VALUE"""),"PAGO FRACCIONADO")</f>
        <v>PAGO FRACCIONADO</v>
      </c>
      <c r="Z243" s="1">
        <f>IFERROR(__xludf.DUMMYFUNCTION("""COMPUTED_VALUE"""),1000.0)</f>
        <v>1000</v>
      </c>
      <c r="AA243" s="1" t="str">
        <f>IFERROR(__xludf.DUMMYFUNCTION("""COMPUTED_VALUE"""),"31/12/2024")</f>
        <v>31/12/2024</v>
      </c>
      <c r="AB243" s="1">
        <f>IFERROR(__xludf.DUMMYFUNCTION("""COMPUTED_VALUE"""),0.0)</f>
        <v>0</v>
      </c>
      <c r="AC243" s="1">
        <f>IFERROR(__xludf.DUMMYFUNCTION("""COMPUTED_VALUE"""),0.0)</f>
        <v>0</v>
      </c>
      <c r="AD243" s="1" t="str">
        <f>IFERROR(__xludf.DUMMYFUNCTION("""COMPUTED_VALUE"""),"Ingrid Guillermo Rivera")</f>
        <v>Ingrid Guillermo Rivera</v>
      </c>
      <c r="AE243" s="1" t="str">
        <f>IFERROR(__xludf.DUMMYFUNCTION("""COMPUTED_VALUE"""),"Universidad Peruana De Ciencias Aplicadas(UPC)")</f>
        <v>Universidad Peruana De Ciencias Aplicadas(UPC)</v>
      </c>
      <c r="AF243" s="1">
        <f>IFERROR(__xludf.DUMMYFUNCTION("""COMPUTED_VALUE"""),2020.0)</f>
        <v>2020</v>
      </c>
      <c r="AG243" s="1">
        <f>IFERROR(__xludf.DUMMYFUNCTION("""COMPUTED_VALUE"""),340505.0)</f>
        <v>340505</v>
      </c>
      <c r="AH243" s="1">
        <f>IFERROR(__xludf.DUMMYFUNCTION("""COMPUTED_VALUE"""),21.0)</f>
        <v>21</v>
      </c>
      <c r="AI243" s="1" t="str">
        <f>IFERROR(__xludf.DUMMYFUNCTION("""COMPUTED_VALUE"""),"0000403873")</f>
        <v>0000403873</v>
      </c>
      <c r="AJ243" s="1">
        <f>IFERROR(__xludf.DUMMYFUNCTION("""COMPUTED_VALUE"""),7.0824136E7)</f>
        <v>70824136</v>
      </c>
      <c r="AK243" s="1">
        <f>IFERROR(__xludf.DUMMYFUNCTION("""COMPUTED_VALUE"""),9.67264757E8)</f>
        <v>967264757</v>
      </c>
      <c r="AL243" s="1" t="str">
        <f>IFERROR(__xludf.DUMMYFUNCTION("""COMPUTED_VALUE"""),"CHANGUI370@gmail.com")</f>
        <v>CHANGUI370@gmail.com</v>
      </c>
      <c r="AM243" s="1" t="str">
        <f>IFERROR(__xludf.DUMMYFUNCTION("""COMPUTED_VALUE"""),"FEMENINO")</f>
        <v>FEMENINO</v>
      </c>
      <c r="AN243" s="1">
        <f>IFERROR(__xludf.DUMMYFUNCTION("""COMPUTED_VALUE"""),1350.0)</f>
        <v>1350</v>
      </c>
      <c r="AO243" s="1">
        <f>IFERROR(__xludf.DUMMYFUNCTION("""COMPUTED_VALUE"""),0.0)</f>
        <v>0</v>
      </c>
      <c r="AP243" s="1" t="str">
        <f>IFERROR(__xludf.DUMMYFUNCTION("""COMPUTED_VALUE"""),"FORMULARIO")</f>
        <v>FORMULARIO</v>
      </c>
      <c r="AQ243" s="1" t="str">
        <f>IFERROR(__xludf.DUMMYFUNCTION("""COMPUTED_VALUE"""),"ORGANICO")</f>
        <v>ORGANICO</v>
      </c>
      <c r="AR243" s="1" t="str">
        <f>IFERROR(__xludf.DUMMYFUNCTION("""COMPUTED_VALUE"""),"HEREDADO")</f>
        <v>HEREDADO</v>
      </c>
      <c r="AS243" s="1"/>
      <c r="AT243" s="2">
        <f>IFERROR(__xludf.DUMMYFUNCTION("""COMPUTED_VALUE"""),45635.0)</f>
        <v>45635</v>
      </c>
      <c r="AU243" s="1">
        <f>IFERROR(__xludf.DUMMYFUNCTION("""COMPUTED_VALUE"""),1.0)</f>
        <v>1</v>
      </c>
      <c r="AV243" s="1" t="str">
        <f>IFERROR(__xludf.DUMMYFUNCTION("""COMPUTED_VALUE"""),"TRASLADO")</f>
        <v>TRASLADO</v>
      </c>
      <c r="AW243" s="1" t="str">
        <f>IFERROR(__xludf.DUMMYFUNCTION("""COMPUTED_VALUE"""),"SI")</f>
        <v>SI</v>
      </c>
      <c r="AX243" s="1"/>
      <c r="AY243" s="1" t="str">
        <f>IFERROR(__xludf.DUMMYFUNCTION("""COMPUTED_VALUE"""),"PAGO COMPLETO")</f>
        <v>PAGO COMPLETO</v>
      </c>
      <c r="AZ243" s="5">
        <f>IFERROR(__xludf.DUMMYFUNCTION("""COMPUTED_VALUE"""),45652.0)</f>
        <v>45652</v>
      </c>
      <c r="BA243" s="1">
        <f>IFERROR(__xludf.DUMMYFUNCTION("""COMPUTED_VALUE"""),1000.0)</f>
        <v>1000</v>
      </c>
      <c r="BB243" s="1">
        <f>IFERROR(__xludf.DUMMYFUNCTION("""COMPUTED_VALUE"""),0.0)</f>
        <v>0</v>
      </c>
      <c r="BC243" s="4">
        <f>IFERROR(__xludf.DUMMYFUNCTION("""COMPUTED_VALUE"""),0.0)</f>
        <v>0</v>
      </c>
      <c r="BD243" s="4">
        <f>IFERROR(__xludf.DUMMYFUNCTION("""COMPUTED_VALUE"""),0.0)</f>
        <v>0</v>
      </c>
      <c r="BE243" s="1">
        <f>IFERROR(__xludf.DUMMYFUNCTION("""COMPUTED_VALUE"""),12.0)</f>
        <v>12</v>
      </c>
      <c r="BF243" s="6">
        <f>IFERROR(__xludf.DUMMYFUNCTION("""COMPUTED_VALUE"""),1.0)</f>
        <v>1</v>
      </c>
      <c r="BG243" s="1">
        <f>IFERROR(__xludf.DUMMYFUNCTION("""COMPUTED_VALUE"""),1.0)</f>
        <v>1</v>
      </c>
      <c r="BH243" s="1" t="str">
        <f>IFERROR(__xludf.DUMMYFUNCTION("""COMPUTED_VALUE"""),"1")</f>
        <v>1</v>
      </c>
      <c r="BI243" s="4">
        <f>IFERROR(__xludf.DUMMYFUNCTION("""COMPUTED_VALUE"""),2000.0)</f>
        <v>2000</v>
      </c>
      <c r="BJ243" s="1">
        <f>IFERROR(__xludf.DUMMYFUNCTION("""COMPUTED_VALUE"""),0.0)</f>
        <v>0</v>
      </c>
      <c r="BK243" s="4">
        <f>IFERROR(__xludf.DUMMYFUNCTION("""COMPUTED_VALUE"""),0.0)</f>
        <v>0</v>
      </c>
      <c r="BL243" s="1">
        <f>IFERROR(__xludf.DUMMYFUNCTION("""COMPUTED_VALUE"""),2000.0)</f>
        <v>2000</v>
      </c>
      <c r="BM243" s="1">
        <f>IFERROR(__xludf.DUMMYFUNCTION("""COMPUTED_VALUE"""),50.0)</f>
        <v>50</v>
      </c>
      <c r="BN243" s="2">
        <f>IFERROR(__xludf.DUMMYFUNCTION("""COMPUTED_VALUE"""),45635.0)</f>
        <v>45635</v>
      </c>
      <c r="BO243" s="1">
        <f>IFERROR(__xludf.DUMMYFUNCTION("""COMPUTED_VALUE"""),12.0)</f>
        <v>12</v>
      </c>
      <c r="BP243" s="1">
        <f>IFERROR(__xludf.DUMMYFUNCTION("""COMPUTED_VALUE"""),2024.0)</f>
        <v>2024</v>
      </c>
    </row>
    <row r="244">
      <c r="A244" s="1">
        <f>IFERROR(__xludf.DUMMYFUNCTION("""COMPUTED_VALUE"""),243.0)</f>
        <v>243</v>
      </c>
      <c r="B244" s="1">
        <f>IFERROR(__xludf.DUMMYFUNCTION("""COMPUTED_VALUE"""),4871363.0)</f>
        <v>4871363</v>
      </c>
      <c r="C244" s="1" t="str">
        <f>IFERROR(__xludf.DUMMYFUNCTION("""COMPUTED_VALUE"""),"2025-1")</f>
        <v>2025-1</v>
      </c>
      <c r="D244" s="1" t="str">
        <f>IFERROR(__xludf.DUMMYFUNCTION("""COMPUTED_VALUE"""),"Admisión Ordinaria")</f>
        <v>Admisión Ordinaria</v>
      </c>
      <c r="E244" s="2">
        <f>IFERROR(__xludf.DUMMYFUNCTION("""COMPUTED_VALUE"""),45638.0)</f>
        <v>45638</v>
      </c>
      <c r="F244" s="1" t="str">
        <f>IFERROR(__xludf.DUMMYFUNCTION("""COMPUTED_VALUE"""),"YANETH MARIVEL")</f>
        <v>YANETH MARIVEL</v>
      </c>
      <c r="G244" s="1" t="str">
        <f>IFERROR(__xludf.DUMMYFUNCTION("""COMPUTED_VALUE"""),"GARCIA PARIAN")</f>
        <v>GARCIA PARIAN</v>
      </c>
      <c r="H244" s="1" t="str">
        <f>IFERROR(__xludf.DUMMYFUNCTION("""COMPUTED_VALUE"""),"Administración y Marketing")</f>
        <v>Administración y Marketing</v>
      </c>
      <c r="I244" s="1" t="str">
        <f>IFERROR(__xludf.DUMMYFUNCTION("""COMPUTED_VALUE"""),"Pago Link")</f>
        <v>Pago Link</v>
      </c>
      <c r="J244" s="1" t="str">
        <f>IFERROR(__xludf.DUMMYFUNCTION("""COMPUTED_VALUE"""),"Nocturno - A distancia")</f>
        <v>Nocturno - A distancia</v>
      </c>
      <c r="K244" s="1" t="str">
        <f>IFERROR(__xludf.DUMMYFUNCTION("""COMPUTED_VALUE"""),"NUEVO")</f>
        <v>NUEVO</v>
      </c>
      <c r="L244" s="1">
        <f>IFERROR(__xludf.DUMMYFUNCTION("""COMPUTED_VALUE"""),0.0)</f>
        <v>0</v>
      </c>
      <c r="M244" s="1">
        <f>IFERROR(__xludf.DUMMYFUNCTION("""COMPUTED_VALUE"""),0.0)</f>
        <v>0</v>
      </c>
      <c r="N244" s="1" t="str">
        <f>IFERROR(__xludf.DUMMYFUNCTION("""COMPUTED_VALUE"""),"ESCALA DISTANCIA")</f>
        <v>ESCALA DISTANCIA</v>
      </c>
      <c r="O244" s="1" t="str">
        <f>IFERROR(__xludf.DUMMYFUNCTION("""COMPUTED_VALUE"""),"ESCALA DISTANCIA REGULAR")</f>
        <v>ESCALA DISTANCIA REGULAR</v>
      </c>
      <c r="P244" s="4">
        <f>IFERROR(__xludf.DUMMYFUNCTION("""COMPUTED_VALUE"""),0.0)</f>
        <v>0</v>
      </c>
      <c r="Q244" s="4">
        <f>IFERROR(__xludf.DUMMYFUNCTION("""COMPUTED_VALUE"""),0.0)</f>
        <v>0</v>
      </c>
      <c r="R244" s="4">
        <f>IFERROR(__xludf.DUMMYFUNCTION("""COMPUTED_VALUE"""),950.0)</f>
        <v>950</v>
      </c>
      <c r="S244" s="4">
        <f>IFERROR(__xludf.DUMMYFUNCTION("""COMPUTED_VALUE"""),950.0)</f>
        <v>950</v>
      </c>
      <c r="T244" s="1" t="str">
        <f>IFERROR(__xludf.DUMMYFUNCTION("""COMPUTED_VALUE"""),"PALANCA 700")</f>
        <v>PALANCA 700</v>
      </c>
      <c r="U244" s="1" t="str">
        <f>IFERROR(__xludf.DUMMYFUNCTION("""COMPUTED_VALUE"""),"FABIOLA")</f>
        <v>FABIOLA</v>
      </c>
      <c r="V244" s="1" t="str">
        <f>IFERROR(__xludf.DUMMYFUNCTION("""COMPUTED_VALUE"""),"Ninguno")</f>
        <v>Ninguno</v>
      </c>
      <c r="W244" s="1" t="str">
        <f>IFERROR(__xludf.DUMMYFUNCTION("""COMPUTED_VALUE"""),"Malla curricular")</f>
        <v>Malla curricular</v>
      </c>
      <c r="X244" s="1" t="str">
        <f>IFERROR(__xludf.DUMMYFUNCTION("""COMPUTED_VALUE"""),"Dscto dm 100%, pago C1 700 soles")</f>
        <v>Dscto dm 100%, pago C1 700 soles</v>
      </c>
      <c r="Y244" s="1" t="str">
        <f>IFERROR(__xludf.DUMMYFUNCTION("""COMPUTED_VALUE"""),"PAGO FRACCIONADO")</f>
        <v>PAGO FRACCIONADO</v>
      </c>
      <c r="Z244" s="1">
        <f>IFERROR(__xludf.DUMMYFUNCTION("""COMPUTED_VALUE"""),350.0)</f>
        <v>350</v>
      </c>
      <c r="AA244" s="1" t="str">
        <f>IFERROR(__xludf.DUMMYFUNCTION("""COMPUTED_VALUE"""),"20/12/2024")</f>
        <v>20/12/2024</v>
      </c>
      <c r="AB244" s="1">
        <f>IFERROR(__xludf.DUMMYFUNCTION("""COMPUTED_VALUE"""),1.0)</f>
        <v>1</v>
      </c>
      <c r="AC244" s="1">
        <f>IFERROR(__xludf.DUMMYFUNCTION("""COMPUTED_VALUE"""),0.0)</f>
        <v>0</v>
      </c>
      <c r="AD244" s="1" t="str">
        <f>IFERROR(__xludf.DUMMYFUNCTION("""COMPUTED_VALUE"""),"Angelica Iparraguirre")</f>
        <v>Angelica Iparraguirre</v>
      </c>
      <c r="AE244" s="1" t="str">
        <f>IFERROR(__xludf.DUMMYFUNCTION("""COMPUTED_VALUE"""),"Instituto superior Tecnológico ICC")</f>
        <v>Instituto superior Tecnológico ICC</v>
      </c>
      <c r="AF244" s="1">
        <f>IFERROR(__xludf.DUMMYFUNCTION("""COMPUTED_VALUE"""),2020.0)</f>
        <v>2020</v>
      </c>
      <c r="AG244" s="1">
        <f>IFERROR(__xludf.DUMMYFUNCTION("""COMPUTED_VALUE"""),1304880.0)</f>
        <v>1304880</v>
      </c>
      <c r="AH244" s="1">
        <f>IFERROR(__xludf.DUMMYFUNCTION("""COMPUTED_VALUE"""),24.0)</f>
        <v>24</v>
      </c>
      <c r="AI244" s="1" t="str">
        <f>IFERROR(__xludf.DUMMYFUNCTION("""COMPUTED_VALUE"""),"0000403893")</f>
        <v>0000403893</v>
      </c>
      <c r="AJ244" s="1">
        <f>IFERROR(__xludf.DUMMYFUNCTION("""COMPUTED_VALUE"""),7.7483836E7)</f>
        <v>77483836</v>
      </c>
      <c r="AK244" s="1">
        <f>IFERROR(__xludf.DUMMYFUNCTION("""COMPUTED_VALUE"""),9.92577443E8)</f>
        <v>992577443</v>
      </c>
      <c r="AL244" s="1" t="str">
        <f>IFERROR(__xludf.DUMMYFUNCTION("""COMPUTED_VALUE"""),"yanethmarivelg@gmail.com")</f>
        <v>yanethmarivelg@gmail.com</v>
      </c>
      <c r="AM244" s="1" t="str">
        <f>IFERROR(__xludf.DUMMYFUNCTION("""COMPUTED_VALUE"""),"FEMENINO")</f>
        <v>FEMENINO</v>
      </c>
      <c r="AN244" s="1">
        <f>IFERROR(__xludf.DUMMYFUNCTION("""COMPUTED_VALUE"""),1350.0)</f>
        <v>1350</v>
      </c>
      <c r="AO244" s="1">
        <f>IFERROR(__xludf.DUMMYFUNCTION("""COMPUTED_VALUE"""),0.0)</f>
        <v>0</v>
      </c>
      <c r="AP244" s="1" t="str">
        <f>IFERROR(__xludf.DUMMYFUNCTION("""COMPUTED_VALUE"""),"FORMULARIO")</f>
        <v>FORMULARIO</v>
      </c>
      <c r="AQ244" s="1" t="str">
        <f>IFERROR(__xludf.DUMMYFUNCTION("""COMPUTED_VALUE"""),"SEARCH MARCA")</f>
        <v>SEARCH MARCA</v>
      </c>
      <c r="AR244" s="1" t="str">
        <f>IFERROR(__xludf.DUMMYFUNCTION("""COMPUTED_VALUE"""),"NUEVO")</f>
        <v>NUEVO</v>
      </c>
      <c r="AS244" s="1" t="str">
        <f>IFERROR(__xludf.DUMMYFUNCTION("""COMPUTED_VALUE"""),"ucal-pg-performance-sedes-abierta-cpl-search_conversion_marca-20240401")</f>
        <v>ucal-pg-performance-sedes-abierta-cpl-search_conversion_marca-20240401</v>
      </c>
      <c r="AT244" s="2">
        <f>IFERROR(__xludf.DUMMYFUNCTION("""COMPUTED_VALUE"""),45638.0)</f>
        <v>45638</v>
      </c>
      <c r="AU244" s="1">
        <f>IFERROR(__xludf.DUMMYFUNCTION("""COMPUTED_VALUE"""),1.0)</f>
        <v>1</v>
      </c>
      <c r="AV244" s="1" t="str">
        <f>IFERROR(__xludf.DUMMYFUNCTION("""COMPUTED_VALUE"""),"NUEVO")</f>
        <v>NUEVO</v>
      </c>
      <c r="AW244" s="1" t="str">
        <f>IFERROR(__xludf.DUMMYFUNCTION("""COMPUTED_VALUE"""),"SI")</f>
        <v>SI</v>
      </c>
      <c r="AX244" s="1"/>
      <c r="AY244" s="1" t="str">
        <f>IFERROR(__xludf.DUMMYFUNCTION("""COMPUTED_VALUE"""),"PAGO FRACCIONADO")</f>
        <v>PAGO FRACCIONADO</v>
      </c>
      <c r="AZ244" s="1"/>
      <c r="BA244" s="1">
        <f>IFERROR(__xludf.DUMMYFUNCTION("""COMPUTED_VALUE"""),0.0)</f>
        <v>0</v>
      </c>
      <c r="BB244" s="1">
        <f>IFERROR(__xludf.DUMMYFUNCTION("""COMPUTED_VALUE"""),0.0)</f>
        <v>0</v>
      </c>
      <c r="BC244" s="4">
        <f>IFERROR(__xludf.DUMMYFUNCTION("""COMPUTED_VALUE"""),350.0)</f>
        <v>350</v>
      </c>
      <c r="BD244" s="4">
        <f>IFERROR(__xludf.DUMMYFUNCTION("""COMPUTED_VALUE"""),250.0)</f>
        <v>250</v>
      </c>
      <c r="BE244" s="1">
        <f>IFERROR(__xludf.DUMMYFUNCTION("""COMPUTED_VALUE"""),12.0)</f>
        <v>12</v>
      </c>
      <c r="BF244" s="6">
        <f>IFERROR(__xludf.DUMMYFUNCTION("""COMPUTED_VALUE"""),0.5)</f>
        <v>0.5</v>
      </c>
      <c r="BG244" s="1">
        <f>IFERROR(__xludf.DUMMYFUNCTION("""COMPUTED_VALUE"""),1.0)</f>
        <v>1</v>
      </c>
      <c r="BH244" s="1" t="str">
        <f>IFERROR(__xludf.DUMMYFUNCTION("""COMPUTED_VALUE"""),"0")</f>
        <v>0</v>
      </c>
      <c r="BI244" s="4">
        <f>IFERROR(__xludf.DUMMYFUNCTION("""COMPUTED_VALUE"""),600.0)</f>
        <v>600</v>
      </c>
      <c r="BJ244" s="1">
        <f>IFERROR(__xludf.DUMMYFUNCTION("""COMPUTED_VALUE"""),0.0)</f>
        <v>0</v>
      </c>
      <c r="BK244" s="4">
        <f>IFERROR(__xludf.DUMMYFUNCTION("""COMPUTED_VALUE"""),250.0)</f>
        <v>250</v>
      </c>
      <c r="BL244" s="1">
        <f>IFERROR(__xludf.DUMMYFUNCTION("""COMPUTED_VALUE"""),900.0)</f>
        <v>900</v>
      </c>
      <c r="BM244" s="1">
        <f>IFERROR(__xludf.DUMMYFUNCTION("""COMPUTED_VALUE"""),50.0)</f>
        <v>50</v>
      </c>
      <c r="BN244" s="2">
        <f>IFERROR(__xludf.DUMMYFUNCTION("""COMPUTED_VALUE"""),45635.0)</f>
        <v>45635</v>
      </c>
      <c r="BO244" s="1">
        <f>IFERROR(__xludf.DUMMYFUNCTION("""COMPUTED_VALUE"""),12.0)</f>
        <v>12</v>
      </c>
      <c r="BP244" s="1">
        <f>IFERROR(__xludf.DUMMYFUNCTION("""COMPUTED_VALUE"""),2024.0)</f>
        <v>2024</v>
      </c>
    </row>
    <row r="245">
      <c r="A245" s="1">
        <f>IFERROR(__xludf.DUMMYFUNCTION("""COMPUTED_VALUE"""),244.0)</f>
        <v>244</v>
      </c>
      <c r="B245" s="1">
        <f>IFERROR(__xludf.DUMMYFUNCTION("""COMPUTED_VALUE"""),2163865.0)</f>
        <v>2163865</v>
      </c>
      <c r="C245" s="1" t="str">
        <f>IFERROR(__xludf.DUMMYFUNCTION("""COMPUTED_VALUE"""),"2025-1")</f>
        <v>2025-1</v>
      </c>
      <c r="D245" s="1" t="str">
        <f>IFERROR(__xludf.DUMMYFUNCTION("""COMPUTED_VALUE"""),"Admisión de Alto Rendimiento")</f>
        <v>Admisión de Alto Rendimiento</v>
      </c>
      <c r="E245" s="2">
        <f>IFERROR(__xludf.DUMMYFUNCTION("""COMPUTED_VALUE"""),45639.0)</f>
        <v>45639</v>
      </c>
      <c r="F245" s="1" t="str">
        <f>IFERROR(__xludf.DUMMYFUNCTION("""COMPUTED_VALUE"""),"MELINA MILAGROS")</f>
        <v>MELINA MILAGROS</v>
      </c>
      <c r="G245" s="1" t="str">
        <f>IFERROR(__xludf.DUMMYFUNCTION("""COMPUTED_VALUE"""),"MARTÍNEZ TEJEDA")</f>
        <v>MARTÍNEZ TEJEDA</v>
      </c>
      <c r="H245" s="1" t="str">
        <f>IFERROR(__xludf.DUMMYFUNCTION("""COMPUTED_VALUE"""),"Comunicación Audiovisual y Cine")</f>
        <v>Comunicación Audiovisual y Cine</v>
      </c>
      <c r="I245" s="1" t="str">
        <f>IFERROR(__xludf.DUMMYFUNCTION("""COMPUTED_VALUE"""),"CARGO")</f>
        <v>CARGO</v>
      </c>
      <c r="J245" s="1" t="str">
        <f>IFERROR(__xludf.DUMMYFUNCTION("""COMPUTED_VALUE"""),"Diurno")</f>
        <v>Diurno</v>
      </c>
      <c r="K245" s="1" t="str">
        <f>IFERROR(__xludf.DUMMYFUNCTION("""COMPUTED_VALUE"""),"NUEVO")</f>
        <v>NUEVO</v>
      </c>
      <c r="L245" s="1">
        <f>IFERROR(__xludf.DUMMYFUNCTION("""COMPUTED_VALUE"""),0.0)</f>
        <v>0</v>
      </c>
      <c r="M245" s="1">
        <f>IFERROR(__xludf.DUMMYFUNCTION("""COMPUTED_VALUE"""),0.0)</f>
        <v>0</v>
      </c>
      <c r="N245" s="1" t="str">
        <f>IFERROR(__xludf.DUMMYFUNCTION("""COMPUTED_VALUE"""),"BECA")</f>
        <v>BECA</v>
      </c>
      <c r="O245" s="1" t="str">
        <f>IFERROR(__xludf.DUMMYFUNCTION("""COMPUTED_VALUE"""),"BECA CARRERAS CORE")</f>
        <v>BECA CARRERAS CORE</v>
      </c>
      <c r="P245" s="4">
        <f>IFERROR(__xludf.DUMMYFUNCTION("""COMPUTED_VALUE"""),100.0)</f>
        <v>100</v>
      </c>
      <c r="Q245" s="4">
        <f>IFERROR(__xludf.DUMMYFUNCTION("""COMPUTED_VALUE"""),237.5)</f>
        <v>237.5</v>
      </c>
      <c r="R245" s="4">
        <f>IFERROR(__xludf.DUMMYFUNCTION("""COMPUTED_VALUE"""),2000.0)</f>
        <v>2000</v>
      </c>
      <c r="S245" s="4">
        <f>IFERROR(__xludf.DUMMYFUNCTION("""COMPUTED_VALUE"""),1600.0)</f>
        <v>1600</v>
      </c>
      <c r="T245" s="1" t="str">
        <f>IFERROR(__xludf.DUMMYFUNCTION("""COMPUTED_VALUE"""),"NINGUNO")</f>
        <v>NINGUNO</v>
      </c>
      <c r="U245" s="1" t="str">
        <f>IFERROR(__xludf.DUMMYFUNCTION("""COMPUTED_VALUE"""),"FABIOLA")</f>
        <v>FABIOLA</v>
      </c>
      <c r="V245" s="1" t="str">
        <f>IFERROR(__xludf.DUMMYFUNCTION("""COMPUTED_VALUE"""),"Ninguno")</f>
        <v>Ninguno</v>
      </c>
      <c r="W245" s="1" t="str">
        <f>IFERROR(__xludf.DUMMYFUNCTION("""COMPUTED_VALUE"""),"Malla curricular")</f>
        <v>Malla curricular</v>
      </c>
      <c r="X245" s="1" t="str">
        <f>IFERROR(__xludf.DUMMYFUNCTION("""COMPUTED_VALUE"""),"-")</f>
        <v>-</v>
      </c>
      <c r="Y245" s="1" t="str">
        <f>IFERROR(__xludf.DUMMYFUNCTION("""COMPUTED_VALUE"""),"PAGO COMPLETO")</f>
        <v>PAGO COMPLETO</v>
      </c>
      <c r="Z245" s="1">
        <f>IFERROR(__xludf.DUMMYFUNCTION("""COMPUTED_VALUE"""),0.0)</f>
        <v>0</v>
      </c>
      <c r="AA245" s="1" t="str">
        <f>IFERROR(__xludf.DUMMYFUNCTION("""COMPUTED_VALUE"""),"-")</f>
        <v>-</v>
      </c>
      <c r="AB245" s="1">
        <f>IFERROR(__xludf.DUMMYFUNCTION("""COMPUTED_VALUE"""),0.0)</f>
        <v>0</v>
      </c>
      <c r="AC245" s="1">
        <f>IFERROR(__xludf.DUMMYFUNCTION("""COMPUTED_VALUE"""),0.0)</f>
        <v>0</v>
      </c>
      <c r="AD245" s="1" t="str">
        <f>IFERROR(__xludf.DUMMYFUNCTION("""COMPUTED_VALUE"""),"Stefano Napuri")</f>
        <v>Stefano Napuri</v>
      </c>
      <c r="AE245" s="1" t="str">
        <f>IFERROR(__xludf.DUMMYFUNCTION("""COMPUTED_VALUE"""),"0")</f>
        <v>0</v>
      </c>
      <c r="AF245" s="1">
        <f>IFERROR(__xludf.DUMMYFUNCTION("""COMPUTED_VALUE"""),2024.0)</f>
        <v>2024</v>
      </c>
      <c r="AG245" s="1">
        <f>IFERROR(__xludf.DUMMYFUNCTION("""COMPUTED_VALUE"""),314476.0)</f>
        <v>314476</v>
      </c>
      <c r="AH245" s="1">
        <f>IFERROR(__xludf.DUMMYFUNCTION("""COMPUTED_VALUE"""),17.0)</f>
        <v>17</v>
      </c>
      <c r="AI245" s="1" t="str">
        <f>IFERROR(__xludf.DUMMYFUNCTION("""COMPUTED_VALUE"""),"0000404046")</f>
        <v>0000404046</v>
      </c>
      <c r="AJ245" s="1">
        <f>IFERROR(__xludf.DUMMYFUNCTION("""COMPUTED_VALUE"""),6.1264568E7)</f>
        <v>61264568</v>
      </c>
      <c r="AK245" s="1">
        <f>IFERROR(__xludf.DUMMYFUNCTION("""COMPUTED_VALUE"""),9.3299302E8)</f>
        <v>932993020</v>
      </c>
      <c r="AL245" s="1" t="str">
        <f>IFERROR(__xludf.DUMMYFUNCTION("""COMPUTED_VALUE"""),"mininacatlover139@gmail.com")</f>
        <v>mininacatlover139@gmail.com</v>
      </c>
      <c r="AM245" s="1" t="str">
        <f>IFERROR(__xludf.DUMMYFUNCTION("""COMPUTED_VALUE"""),"FEMENINO")</f>
        <v>FEMENINO</v>
      </c>
      <c r="AN245" s="1">
        <f>IFERROR(__xludf.DUMMYFUNCTION("""COMPUTED_VALUE"""),2900.0)</f>
        <v>2900</v>
      </c>
      <c r="AO245" s="1">
        <f>IFERROR(__xludf.DUMMYFUNCTION("""COMPUTED_VALUE"""),1820.0)</f>
        <v>1820</v>
      </c>
      <c r="AP245" s="1" t="str">
        <f>IFERROR(__xludf.DUMMYFUNCTION("""COMPUTED_VALUE"""),"BIDIRECCIONAL")</f>
        <v>BIDIRECCIONAL</v>
      </c>
      <c r="AQ245" s="1" t="str">
        <f>IFERROR(__xludf.DUMMYFUNCTION("""COMPUTED_VALUE"""),"ORGANICO")</f>
        <v>ORGANICO</v>
      </c>
      <c r="AR245" s="1" t="str">
        <f>IFERROR(__xludf.DUMMYFUNCTION("""COMPUTED_VALUE"""),"HEREDADO")</f>
        <v>HEREDADO</v>
      </c>
      <c r="AS245" s="1"/>
      <c r="AT245" s="2">
        <f>IFERROR(__xludf.DUMMYFUNCTION("""COMPUTED_VALUE"""),45639.0)</f>
        <v>45639</v>
      </c>
      <c r="AU245" s="1">
        <f>IFERROR(__xludf.DUMMYFUNCTION("""COMPUTED_VALUE"""),1.0)</f>
        <v>1</v>
      </c>
      <c r="AV245" s="1" t="str">
        <f>IFERROR(__xludf.DUMMYFUNCTION("""COMPUTED_VALUE"""),"NUEVO")</f>
        <v>NUEVO</v>
      </c>
      <c r="AW245" s="1" t="str">
        <f>IFERROR(__xludf.DUMMYFUNCTION("""COMPUTED_VALUE"""),"SI")</f>
        <v>SI</v>
      </c>
      <c r="AX245" s="1"/>
      <c r="AY245" s="1" t="str">
        <f>IFERROR(__xludf.DUMMYFUNCTION("""COMPUTED_VALUE"""),"PAGO COMPLETO")</f>
        <v>PAGO COMPLETO</v>
      </c>
      <c r="AZ245" s="5">
        <f>IFERROR(__xludf.DUMMYFUNCTION("""COMPUTED_VALUE"""),45639.0)</f>
        <v>45639</v>
      </c>
      <c r="BA245" s="1">
        <f>IFERROR(__xludf.DUMMYFUNCTION("""COMPUTED_VALUE"""),0.0)</f>
        <v>0</v>
      </c>
      <c r="BB245" s="1">
        <f>IFERROR(__xludf.DUMMYFUNCTION("""COMPUTED_VALUE"""),0.0)</f>
        <v>0</v>
      </c>
      <c r="BC245" s="4">
        <f>IFERROR(__xludf.DUMMYFUNCTION("""COMPUTED_VALUE"""),0.0)</f>
        <v>0</v>
      </c>
      <c r="BD245" s="4">
        <f>IFERROR(__xludf.DUMMYFUNCTION("""COMPUTED_VALUE"""),0.0)</f>
        <v>0</v>
      </c>
      <c r="BE245" s="1">
        <f>IFERROR(__xludf.DUMMYFUNCTION("""COMPUTED_VALUE"""),12.0)</f>
        <v>12</v>
      </c>
      <c r="BF245" s="6">
        <f>IFERROR(__xludf.DUMMYFUNCTION("""COMPUTED_VALUE"""),1.0)</f>
        <v>1</v>
      </c>
      <c r="BG245" s="1">
        <f>IFERROR(__xludf.DUMMYFUNCTION("""COMPUTED_VALUE"""),1.0)</f>
        <v>1</v>
      </c>
      <c r="BH245" s="1" t="str">
        <f>IFERROR(__xludf.DUMMYFUNCTION("""COMPUTED_VALUE"""),"0")</f>
        <v>0</v>
      </c>
      <c r="BI245" s="4">
        <f>IFERROR(__xludf.DUMMYFUNCTION("""COMPUTED_VALUE"""),0.0)</f>
        <v>0</v>
      </c>
      <c r="BJ245" s="1">
        <f>IFERROR(__xludf.DUMMYFUNCTION("""COMPUTED_VALUE"""),0.0)</f>
        <v>0</v>
      </c>
      <c r="BK245" s="4">
        <f>IFERROR(__xludf.DUMMYFUNCTION("""COMPUTED_VALUE"""),0.0)</f>
        <v>0</v>
      </c>
      <c r="BL245" s="1">
        <f>IFERROR(__xludf.DUMMYFUNCTION("""COMPUTED_VALUE"""),1600.0)</f>
        <v>1600</v>
      </c>
      <c r="BM245" s="1">
        <f>IFERROR(__xludf.DUMMYFUNCTION("""COMPUTED_VALUE"""),50.0)</f>
        <v>50</v>
      </c>
      <c r="BN245" s="2">
        <f>IFERROR(__xludf.DUMMYFUNCTION("""COMPUTED_VALUE"""),45635.0)</f>
        <v>45635</v>
      </c>
      <c r="BO245" s="1">
        <f>IFERROR(__xludf.DUMMYFUNCTION("""COMPUTED_VALUE"""),12.0)</f>
        <v>12</v>
      </c>
      <c r="BP245" s="1">
        <f>IFERROR(__xludf.DUMMYFUNCTION("""COMPUTED_VALUE"""),2024.0)</f>
        <v>2024</v>
      </c>
    </row>
    <row r="246">
      <c r="A246" s="1">
        <f>IFERROR(__xludf.DUMMYFUNCTION("""COMPUTED_VALUE"""),245.0)</f>
        <v>245</v>
      </c>
      <c r="B246" s="1">
        <f>IFERROR(__xludf.DUMMYFUNCTION("""COMPUTED_VALUE"""),996119.0)</f>
        <v>996119</v>
      </c>
      <c r="C246" s="1" t="str">
        <f>IFERROR(__xludf.DUMMYFUNCTION("""COMPUTED_VALUE"""),"2025-1")</f>
        <v>2025-1</v>
      </c>
      <c r="D246" s="1" t="str">
        <f>IFERROR(__xludf.DUMMYFUNCTION("""COMPUTED_VALUE"""),"Admisión Ordinaria")</f>
        <v>Admisión Ordinaria</v>
      </c>
      <c r="E246" s="2">
        <f>IFERROR(__xludf.DUMMYFUNCTION("""COMPUTED_VALUE"""),45639.0)</f>
        <v>45639</v>
      </c>
      <c r="F246" s="1" t="str">
        <f>IFERROR(__xludf.DUMMYFUNCTION("""COMPUTED_VALUE"""),"CLAUDIA ANGELICA")</f>
        <v>CLAUDIA ANGELICA</v>
      </c>
      <c r="G246" s="1" t="str">
        <f>IFERROR(__xludf.DUMMYFUNCTION("""COMPUTED_VALUE"""),"SANTIVAÑEZ ESPINOZA")</f>
        <v>SANTIVAÑEZ ESPINOZA</v>
      </c>
      <c r="H246" s="1" t="str">
        <f>IFERROR(__xludf.DUMMYFUNCTION("""COMPUTED_VALUE"""),"Administración")</f>
        <v>Administración</v>
      </c>
      <c r="I246" s="1" t="str">
        <f>IFERROR(__xludf.DUMMYFUNCTION("""COMPUTED_VALUE"""),"Pago Link")</f>
        <v>Pago Link</v>
      </c>
      <c r="J246" s="1" t="str">
        <f>IFERROR(__xludf.DUMMYFUNCTION("""COMPUTED_VALUE"""),"Diurno")</f>
        <v>Diurno</v>
      </c>
      <c r="K246" s="1" t="str">
        <f>IFERROR(__xludf.DUMMYFUNCTION("""COMPUTED_VALUE"""),"NUEVO")</f>
        <v>NUEVO</v>
      </c>
      <c r="L246" s="1">
        <f>IFERROR(__xludf.DUMMYFUNCTION("""COMPUTED_VALUE"""),0.0)</f>
        <v>0</v>
      </c>
      <c r="M246" s="1">
        <f>IFERROR(__xludf.DUMMYFUNCTION("""COMPUTED_VALUE"""),0.0)</f>
        <v>0</v>
      </c>
      <c r="N246" s="1" t="str">
        <f>IFERROR(__xludf.DUMMYFUNCTION("""COMPUTED_VALUE"""),"ESCALA REGULAR")</f>
        <v>ESCALA REGULAR</v>
      </c>
      <c r="O246" s="1" t="str">
        <f>IFERROR(__xludf.DUMMYFUNCTION("""COMPUTED_VALUE"""),"NINGUNO")</f>
        <v>NINGUNO</v>
      </c>
      <c r="P246" s="4">
        <f>IFERROR(__xludf.DUMMYFUNCTION("""COMPUTED_VALUE"""),0.0)</f>
        <v>0</v>
      </c>
      <c r="Q246" s="4">
        <f>IFERROR(__xludf.DUMMYFUNCTION("""COMPUTED_VALUE"""),0.0)</f>
        <v>0</v>
      </c>
      <c r="R246" s="4">
        <f>IFERROR(__xludf.DUMMYFUNCTION("""COMPUTED_VALUE"""),950.0)</f>
        <v>950</v>
      </c>
      <c r="S246" s="4">
        <f>IFERROR(__xludf.DUMMYFUNCTION("""COMPUTED_VALUE"""),950.0)</f>
        <v>950</v>
      </c>
      <c r="T246" s="1" t="str">
        <f>IFERROR(__xludf.DUMMYFUNCTION("""COMPUTED_VALUE"""),"NINGUNO")</f>
        <v>NINGUNO</v>
      </c>
      <c r="U246" s="1" t="str">
        <f>IFERROR(__xludf.DUMMYFUNCTION("""COMPUTED_VALUE"""),"FABIOLA")</f>
        <v>FABIOLA</v>
      </c>
      <c r="V246" s="1" t="str">
        <f>IFERROR(__xludf.DUMMYFUNCTION("""COMPUTED_VALUE"""),"Ninguno")</f>
        <v>Ninguno</v>
      </c>
      <c r="W246" s="1" t="str">
        <f>IFERROR(__xludf.DUMMYFUNCTION("""COMPUTED_VALUE"""),"Flexibilidad de horarios")</f>
        <v>Flexibilidad de horarios</v>
      </c>
      <c r="X246" s="1" t="str">
        <f>IFERROR(__xludf.DUMMYFUNCTION("""COMPUTED_VALUE"""),"LE GUSTA LA UNIVERSIDAD ")</f>
        <v>LE GUSTA LA UNIVERSIDAD </v>
      </c>
      <c r="Y246" s="1" t="str">
        <f>IFERROR(__xludf.DUMMYFUNCTION("""COMPUTED_VALUE"""),"PAGO COMPLETO")</f>
        <v>PAGO COMPLETO</v>
      </c>
      <c r="Z246" s="1">
        <f>IFERROR(__xludf.DUMMYFUNCTION("""COMPUTED_VALUE"""),0.0)</f>
        <v>0</v>
      </c>
      <c r="AA246" s="1" t="str">
        <f>IFERROR(__xludf.DUMMYFUNCTION("""COMPUTED_VALUE"""),"-")</f>
        <v>-</v>
      </c>
      <c r="AB246" s="1">
        <f>IFERROR(__xludf.DUMMYFUNCTION("""COMPUTED_VALUE"""),1.0)</f>
        <v>1</v>
      </c>
      <c r="AC246" s="1">
        <f>IFERROR(__xludf.DUMMYFUNCTION("""COMPUTED_VALUE"""),0.0)</f>
        <v>0</v>
      </c>
      <c r="AD246" s="1" t="str">
        <f>IFERROR(__xludf.DUMMYFUNCTION("""COMPUTED_VALUE"""),"Daniel Zapata")</f>
        <v>Daniel Zapata</v>
      </c>
      <c r="AE246" s="1" t="str">
        <f>IFERROR(__xludf.DUMMYFUNCTION("""COMPUTED_VALUE"""),"0")</f>
        <v>0</v>
      </c>
      <c r="AF246" s="1">
        <f>IFERROR(__xludf.DUMMYFUNCTION("""COMPUTED_VALUE"""),2020.0)</f>
        <v>2020</v>
      </c>
      <c r="AG246" s="1">
        <f>IFERROR(__xludf.DUMMYFUNCTION("""COMPUTED_VALUE"""),649855.0)</f>
        <v>649855</v>
      </c>
      <c r="AH246" s="1">
        <f>IFERROR(__xludf.DUMMYFUNCTION("""COMPUTED_VALUE"""),22.0)</f>
        <v>22</v>
      </c>
      <c r="AI246" s="1" t="str">
        <f>IFERROR(__xludf.DUMMYFUNCTION("""COMPUTED_VALUE"""),"2018006735")</f>
        <v>2018006735</v>
      </c>
      <c r="AJ246" s="1">
        <f>IFERROR(__xludf.DUMMYFUNCTION("""COMPUTED_VALUE"""),7.5888932E7)</f>
        <v>75888932</v>
      </c>
      <c r="AK246" s="1">
        <f>IFERROR(__xludf.DUMMYFUNCTION("""COMPUTED_VALUE"""),9.74621951E8)</f>
        <v>974621951</v>
      </c>
      <c r="AL246" s="1" t="str">
        <f>IFERROR(__xludf.DUMMYFUNCTION("""COMPUTED_VALUE"""),"claudiaasantie@gmail.com")</f>
        <v>claudiaasantie@gmail.com</v>
      </c>
      <c r="AM246" s="1" t="str">
        <f>IFERROR(__xludf.DUMMYFUNCTION("""COMPUTED_VALUE"""),"FEMENINO")</f>
        <v>FEMENINO</v>
      </c>
      <c r="AN246" s="1">
        <f>IFERROR(__xludf.DUMMYFUNCTION("""COMPUTED_VALUE"""),3200.0)</f>
        <v>3200</v>
      </c>
      <c r="AO246" s="1">
        <f>IFERROR(__xludf.DUMMYFUNCTION("""COMPUTED_VALUE"""),4120.0)</f>
        <v>4120</v>
      </c>
      <c r="AP246" s="1" t="str">
        <f>IFERROR(__xludf.DUMMYFUNCTION("""COMPUTED_VALUE"""),"BIDIRECCIONAL")</f>
        <v>BIDIRECCIONAL</v>
      </c>
      <c r="AQ246" s="1" t="str">
        <f>IFERROR(__xludf.DUMMYFUNCTION("""COMPUTED_VALUE"""),"ORGANICO")</f>
        <v>ORGANICO</v>
      </c>
      <c r="AR246" s="1" t="str">
        <f>IFERROR(__xludf.DUMMYFUNCTION("""COMPUTED_VALUE"""),"HEREDADO")</f>
        <v>HEREDADO</v>
      </c>
      <c r="AS246" s="1"/>
      <c r="AT246" s="2">
        <f>IFERROR(__xludf.DUMMYFUNCTION("""COMPUTED_VALUE"""),45639.0)</f>
        <v>45639</v>
      </c>
      <c r="AU246" s="1">
        <f>IFERROR(__xludf.DUMMYFUNCTION("""COMPUTED_VALUE"""),1.0)</f>
        <v>1</v>
      </c>
      <c r="AV246" s="1" t="str">
        <f>IFERROR(__xludf.DUMMYFUNCTION("""COMPUTED_VALUE"""),"NUEVO")</f>
        <v>NUEVO</v>
      </c>
      <c r="AW246" s="1" t="str">
        <f>IFERROR(__xludf.DUMMYFUNCTION("""COMPUTED_VALUE"""),"SI")</f>
        <v>SI</v>
      </c>
      <c r="AX246" s="1"/>
      <c r="AY246" s="1" t="str">
        <f>IFERROR(__xludf.DUMMYFUNCTION("""COMPUTED_VALUE"""),"PAGO COMPLETO")</f>
        <v>PAGO COMPLETO</v>
      </c>
      <c r="AZ246" s="5">
        <f>IFERROR(__xludf.DUMMYFUNCTION("""COMPUTED_VALUE"""),45639.0)</f>
        <v>45639</v>
      </c>
      <c r="BA246" s="1">
        <f>IFERROR(__xludf.DUMMYFUNCTION("""COMPUTED_VALUE"""),0.0)</f>
        <v>0</v>
      </c>
      <c r="BB246" s="1">
        <f>IFERROR(__xludf.DUMMYFUNCTION("""COMPUTED_VALUE"""),0.0)</f>
        <v>0</v>
      </c>
      <c r="BC246" s="4">
        <f>IFERROR(__xludf.DUMMYFUNCTION("""COMPUTED_VALUE"""),0.0)</f>
        <v>0</v>
      </c>
      <c r="BD246" s="4">
        <f>IFERROR(__xludf.DUMMYFUNCTION("""COMPUTED_VALUE"""),0.0)</f>
        <v>0</v>
      </c>
      <c r="BE246" s="1">
        <f>IFERROR(__xludf.DUMMYFUNCTION("""COMPUTED_VALUE"""),12.0)</f>
        <v>12</v>
      </c>
      <c r="BF246" s="6">
        <f>IFERROR(__xludf.DUMMYFUNCTION("""COMPUTED_VALUE"""),1.0)</f>
        <v>1</v>
      </c>
      <c r="BG246" s="1">
        <f>IFERROR(__xludf.DUMMYFUNCTION("""COMPUTED_VALUE"""),1.0)</f>
        <v>1</v>
      </c>
      <c r="BH246" s="1" t="str">
        <f>IFERROR(__xludf.DUMMYFUNCTION("""COMPUTED_VALUE"""),"0")</f>
        <v>0</v>
      </c>
      <c r="BI246" s="4">
        <f>IFERROR(__xludf.DUMMYFUNCTION("""COMPUTED_VALUE"""),0.0)</f>
        <v>0</v>
      </c>
      <c r="BJ246" s="1">
        <f>IFERROR(__xludf.DUMMYFUNCTION("""COMPUTED_VALUE"""),0.0)</f>
        <v>0</v>
      </c>
      <c r="BK246" s="4">
        <f>IFERROR(__xludf.DUMMYFUNCTION("""COMPUTED_VALUE"""),0.0)</f>
        <v>0</v>
      </c>
      <c r="BL246" s="1">
        <f>IFERROR(__xludf.DUMMYFUNCTION("""COMPUTED_VALUE"""),950.0)</f>
        <v>950</v>
      </c>
      <c r="BM246" s="1">
        <f>IFERROR(__xludf.DUMMYFUNCTION("""COMPUTED_VALUE"""),50.0)</f>
        <v>50</v>
      </c>
      <c r="BN246" s="2">
        <f>IFERROR(__xludf.DUMMYFUNCTION("""COMPUTED_VALUE"""),45635.0)</f>
        <v>45635</v>
      </c>
      <c r="BO246" s="1">
        <f>IFERROR(__xludf.DUMMYFUNCTION("""COMPUTED_VALUE"""),12.0)</f>
        <v>12</v>
      </c>
      <c r="BP246" s="1">
        <f>IFERROR(__xludf.DUMMYFUNCTION("""COMPUTED_VALUE"""),2024.0)</f>
        <v>2024</v>
      </c>
    </row>
    <row r="247">
      <c r="A247" s="1">
        <f>IFERROR(__xludf.DUMMYFUNCTION("""COMPUTED_VALUE"""),246.0)</f>
        <v>246</v>
      </c>
      <c r="B247" s="1">
        <f>IFERROR(__xludf.DUMMYFUNCTION("""COMPUTED_VALUE"""),2488857.0)</f>
        <v>2488857</v>
      </c>
      <c r="C247" s="1" t="str">
        <f>IFERROR(__xludf.DUMMYFUNCTION("""COMPUTED_VALUE"""),"2025-1")</f>
        <v>2025-1</v>
      </c>
      <c r="D247" s="1" t="str">
        <f>IFERROR(__xludf.DUMMYFUNCTION("""COMPUTED_VALUE"""),"Admisión Extraordinaria (Traslados)")</f>
        <v>Admisión Extraordinaria (Traslados)</v>
      </c>
      <c r="E247" s="2">
        <f>IFERROR(__xludf.DUMMYFUNCTION("""COMPUTED_VALUE"""),45640.0)</f>
        <v>45640</v>
      </c>
      <c r="F247" s="1" t="str">
        <f>IFERROR(__xludf.DUMMYFUNCTION("""COMPUTED_VALUE"""),"SEBASTHIAN ")</f>
        <v>SEBASTHIAN </v>
      </c>
      <c r="G247" s="1" t="str">
        <f>IFERROR(__xludf.DUMMYFUNCTION("""COMPUTED_VALUE"""),"ORBEGOSO VALLE")</f>
        <v>ORBEGOSO VALLE</v>
      </c>
      <c r="H247" s="1" t="str">
        <f>IFERROR(__xludf.DUMMYFUNCTION("""COMPUTED_VALUE"""),"Comunicación Audiovisual y Cine")</f>
        <v>Comunicación Audiovisual y Cine</v>
      </c>
      <c r="I247" s="1" t="str">
        <f>IFERROR(__xludf.DUMMYFUNCTION("""COMPUTED_VALUE"""),"Pago Link")</f>
        <v>Pago Link</v>
      </c>
      <c r="J247" s="1" t="str">
        <f>IFERROR(__xludf.DUMMYFUNCTION("""COMPUTED_VALUE"""),"Diurno")</f>
        <v>Diurno</v>
      </c>
      <c r="K247" s="1" t="str">
        <f>IFERROR(__xludf.DUMMYFUNCTION("""COMPUTED_VALUE"""),"NUEVO")</f>
        <v>NUEVO</v>
      </c>
      <c r="L247" s="1">
        <f>IFERROR(__xludf.DUMMYFUNCTION("""COMPUTED_VALUE"""),0.0)</f>
        <v>0</v>
      </c>
      <c r="M247" s="1">
        <f>IFERROR(__xludf.DUMMYFUNCTION("""COMPUTED_VALUE"""),0.0)</f>
        <v>0</v>
      </c>
      <c r="N247" s="1" t="str">
        <f>IFERROR(__xludf.DUMMYFUNCTION("""COMPUTED_VALUE"""),"BECA")</f>
        <v>BECA</v>
      </c>
      <c r="O247" s="1" t="str">
        <f>IFERROR(__xludf.DUMMYFUNCTION("""COMPUTED_VALUE"""),"BECA CARRERAS CORE")</f>
        <v>BECA CARRERAS CORE</v>
      </c>
      <c r="P247" s="4">
        <f>IFERROR(__xludf.DUMMYFUNCTION("""COMPUTED_VALUE"""),0.0)</f>
        <v>0</v>
      </c>
      <c r="Q247" s="4">
        <f>IFERROR(__xludf.DUMMYFUNCTION("""COMPUTED_VALUE"""),0.0)</f>
        <v>0</v>
      </c>
      <c r="R247" s="4">
        <f>IFERROR(__xludf.DUMMYFUNCTION("""COMPUTED_VALUE"""),1600.0)</f>
        <v>1600</v>
      </c>
      <c r="S247" s="4">
        <f>IFERROR(__xludf.DUMMYFUNCTION("""COMPUTED_VALUE"""),1280.0)</f>
        <v>1280</v>
      </c>
      <c r="T247" s="1" t="str">
        <f>IFERROR(__xludf.DUMMYFUNCTION("""COMPUTED_VALUE"""),"Referido")</f>
        <v>Referido</v>
      </c>
      <c r="U247" s="1" t="str">
        <f>IFERROR(__xludf.DUMMYFUNCTION("""COMPUTED_VALUE"""),"FABIOLA")</f>
        <v>FABIOLA</v>
      </c>
      <c r="V247" s="1" t="str">
        <f>IFERROR(__xludf.DUMMYFUNCTION("""COMPUTED_VALUE"""),"Ninguno")</f>
        <v>Ninguno</v>
      </c>
      <c r="W247" s="1" t="str">
        <f>IFERROR(__xludf.DUMMYFUNCTION("""COMPUTED_VALUE"""),"Equipos e instalaciones")</f>
        <v>Equipos e instalaciones</v>
      </c>
      <c r="X247" s="1" t="str">
        <f>IFERROR(__xludf.DUMMYFUNCTION("""COMPUTED_VALUE"""),"73128188 ES RFERIDO - SU HERMANO ES ")</f>
        <v>73128188 ES RFERIDO - SU HERMANO ES </v>
      </c>
      <c r="Y247" s="1" t="str">
        <f>IFERROR(__xludf.DUMMYFUNCTION("""COMPUTED_VALUE"""),"PAGO FRACCIONADO")</f>
        <v>PAGO FRACCIONADO</v>
      </c>
      <c r="Z247" s="1">
        <f>IFERROR(__xludf.DUMMYFUNCTION("""COMPUTED_VALUE"""),640.0)</f>
        <v>640</v>
      </c>
      <c r="AA247" s="1" t="str">
        <f>IFERROR(__xludf.DUMMYFUNCTION("""COMPUTED_VALUE"""),"31/12/2024")</f>
        <v>31/12/2024</v>
      </c>
      <c r="AB247" s="1">
        <f>IFERROR(__xludf.DUMMYFUNCTION("""COMPUTED_VALUE"""),0.0)</f>
        <v>0</v>
      </c>
      <c r="AC247" s="1">
        <f>IFERROR(__xludf.DUMMYFUNCTION("""COMPUTED_VALUE"""),0.0)</f>
        <v>0</v>
      </c>
      <c r="AD247" s="1" t="str">
        <f>IFERROR(__xludf.DUMMYFUNCTION("""COMPUTED_VALUE"""),"Ingrid Guillermo Rivera")</f>
        <v>Ingrid Guillermo Rivera</v>
      </c>
      <c r="AE247" s="1" t="str">
        <f>IFERROR(__xludf.DUMMYFUNCTION("""COMPUTED_VALUE"""),"0")</f>
        <v>0</v>
      </c>
      <c r="AF247" s="1">
        <f>IFERROR(__xludf.DUMMYFUNCTION("""COMPUTED_VALUE"""),2024.0)</f>
        <v>2024</v>
      </c>
      <c r="AG247" s="1">
        <f>IFERROR(__xludf.DUMMYFUNCTION("""COMPUTED_VALUE"""),1375260.0)</f>
        <v>1375260</v>
      </c>
      <c r="AH247" s="1">
        <f>IFERROR(__xludf.DUMMYFUNCTION("""COMPUTED_VALUE"""),16.0)</f>
        <v>16</v>
      </c>
      <c r="AI247" s="1" t="str">
        <f>IFERROR(__xludf.DUMMYFUNCTION("""COMPUTED_VALUE"""),"0000404109")</f>
        <v>0000404109</v>
      </c>
      <c r="AJ247" s="1">
        <f>IFERROR(__xludf.DUMMYFUNCTION("""COMPUTED_VALUE"""),6.1355069E7)</f>
        <v>61355069</v>
      </c>
      <c r="AK247" s="1">
        <f>IFERROR(__xludf.DUMMYFUNCTION("""COMPUTED_VALUE"""),9.72023157E8)</f>
        <v>972023157</v>
      </c>
      <c r="AL247" s="1" t="str">
        <f>IFERROR(__xludf.DUMMYFUNCTION("""COMPUTED_VALUE"""),"Sweetmania.eventos@yahoo.es")</f>
        <v>Sweetmania.eventos@yahoo.es</v>
      </c>
      <c r="AM247" s="1" t="str">
        <f>IFERROR(__xludf.DUMMYFUNCTION("""COMPUTED_VALUE"""),"MASCULINO")</f>
        <v>MASCULINO</v>
      </c>
      <c r="AN247" s="1">
        <f>IFERROR(__xludf.DUMMYFUNCTION("""COMPUTED_VALUE"""),1850.0)</f>
        <v>1850</v>
      </c>
      <c r="AO247" s="1">
        <f>IFERROR(__xludf.DUMMYFUNCTION("""COMPUTED_VALUE"""),680.0)</f>
        <v>680</v>
      </c>
      <c r="AP247" s="1" t="str">
        <f>IFERROR(__xludf.DUMMYFUNCTION("""COMPUTED_VALUE"""),"COLEGIOS")</f>
        <v>COLEGIOS</v>
      </c>
      <c r="AQ247" s="1" t="str">
        <f>IFERROR(__xludf.DUMMYFUNCTION("""COMPUTED_VALUE"""),"COLEGIOS")</f>
        <v>COLEGIOS</v>
      </c>
      <c r="AR247" s="1" t="str">
        <f>IFERROR(__xludf.DUMMYFUNCTION("""COMPUTED_VALUE"""),"NUEVO")</f>
        <v>NUEVO</v>
      </c>
      <c r="AS247" s="1"/>
      <c r="AT247" s="2">
        <f>IFERROR(__xludf.DUMMYFUNCTION("""COMPUTED_VALUE"""),45405.0)</f>
        <v>45405</v>
      </c>
      <c r="AU247" s="1">
        <f>IFERROR(__xludf.DUMMYFUNCTION("""COMPUTED_VALUE"""),1.0)</f>
        <v>1</v>
      </c>
      <c r="AV247" s="1" t="str">
        <f>IFERROR(__xludf.DUMMYFUNCTION("""COMPUTED_VALUE"""),"NUEVO")</f>
        <v>NUEVO</v>
      </c>
      <c r="AW247" s="1" t="str">
        <f>IFERROR(__xludf.DUMMYFUNCTION("""COMPUTED_VALUE"""),"SI")</f>
        <v>SI</v>
      </c>
      <c r="AX247" s="1"/>
      <c r="AY247" s="1" t="str">
        <f>IFERROR(__xludf.DUMMYFUNCTION("""COMPUTED_VALUE"""),"PAGO COMPLETO")</f>
        <v>PAGO COMPLETO</v>
      </c>
      <c r="AZ247" s="5">
        <f>IFERROR(__xludf.DUMMYFUNCTION("""COMPUTED_VALUE"""),45659.0)</f>
        <v>45659</v>
      </c>
      <c r="BA247" s="1">
        <f>IFERROR(__xludf.DUMMYFUNCTION("""COMPUTED_VALUE"""),640.0)</f>
        <v>640</v>
      </c>
      <c r="BB247" s="1">
        <f>IFERROR(__xludf.DUMMYFUNCTION("""COMPUTED_VALUE"""),0.0)</f>
        <v>0</v>
      </c>
      <c r="BC247" s="4">
        <f>IFERROR(__xludf.DUMMYFUNCTION("""COMPUTED_VALUE"""),0.0)</f>
        <v>0</v>
      </c>
      <c r="BD247" s="4">
        <f>IFERROR(__xludf.DUMMYFUNCTION("""COMPUTED_VALUE"""),0.0)</f>
        <v>0</v>
      </c>
      <c r="BE247" s="1">
        <f>IFERROR(__xludf.DUMMYFUNCTION("""COMPUTED_VALUE"""),12.0)</f>
        <v>12</v>
      </c>
      <c r="BF247" s="6">
        <f>IFERROR(__xludf.DUMMYFUNCTION("""COMPUTED_VALUE"""),1.0)</f>
        <v>1</v>
      </c>
      <c r="BG247" s="1">
        <f>IFERROR(__xludf.DUMMYFUNCTION("""COMPUTED_VALUE"""),1.0)</f>
        <v>1</v>
      </c>
      <c r="BH247" s="1" t="str">
        <f>IFERROR(__xludf.DUMMYFUNCTION("""COMPUTED_VALUE"""),"0")</f>
        <v>0</v>
      </c>
      <c r="BI247" s="4">
        <f>IFERROR(__xludf.DUMMYFUNCTION("""COMPUTED_VALUE"""),1280.0)</f>
        <v>1280</v>
      </c>
      <c r="BJ247" s="1">
        <f>IFERROR(__xludf.DUMMYFUNCTION("""COMPUTED_VALUE"""),0.0)</f>
        <v>0</v>
      </c>
      <c r="BK247" s="4">
        <f>IFERROR(__xludf.DUMMYFUNCTION("""COMPUTED_VALUE"""),640.0)</f>
        <v>640</v>
      </c>
      <c r="BL247" s="1">
        <f>IFERROR(__xludf.DUMMYFUNCTION("""COMPUTED_VALUE"""),1152.0)</f>
        <v>1152</v>
      </c>
      <c r="BM247" s="1">
        <f>IFERROR(__xludf.DUMMYFUNCTION("""COMPUTED_VALUE"""),50.0)</f>
        <v>50</v>
      </c>
      <c r="BN247" s="2">
        <f>IFERROR(__xludf.DUMMYFUNCTION("""COMPUTED_VALUE"""),45635.0)</f>
        <v>45635</v>
      </c>
      <c r="BO247" s="1">
        <f>IFERROR(__xludf.DUMMYFUNCTION("""COMPUTED_VALUE"""),12.0)</f>
        <v>12</v>
      </c>
      <c r="BP247" s="1">
        <f>IFERROR(__xludf.DUMMYFUNCTION("""COMPUTED_VALUE"""),2024.0)</f>
        <v>2024</v>
      </c>
    </row>
    <row r="248">
      <c r="A248" s="1">
        <f>IFERROR(__xludf.DUMMYFUNCTION("""COMPUTED_VALUE"""),247.0)</f>
        <v>247</v>
      </c>
      <c r="B248" s="1">
        <f>IFERROR(__xludf.DUMMYFUNCTION("""COMPUTED_VALUE"""),4868137.0)</f>
        <v>4868137</v>
      </c>
      <c r="C248" s="1" t="str">
        <f>IFERROR(__xludf.DUMMYFUNCTION("""COMPUTED_VALUE"""),"2025-1")</f>
        <v>2025-1</v>
      </c>
      <c r="D248" s="1" t="str">
        <f>IFERROR(__xludf.DUMMYFUNCTION("""COMPUTED_VALUE"""),"Admisión Ordinaria")</f>
        <v>Admisión Ordinaria</v>
      </c>
      <c r="E248" s="2">
        <f>IFERROR(__xludf.DUMMYFUNCTION("""COMPUTED_VALUE"""),45642.0)</f>
        <v>45642</v>
      </c>
      <c r="F248" s="1" t="str">
        <f>IFERROR(__xludf.DUMMYFUNCTION("""COMPUTED_VALUE"""),"ANNE HEYDI REYNA DEL CARMEN ")</f>
        <v>ANNE HEYDI REYNA DEL CARMEN </v>
      </c>
      <c r="G248" s="1" t="str">
        <f>IFERROR(__xludf.DUMMYFUNCTION("""COMPUTED_VALUE"""),"GARCIA TITO")</f>
        <v>GARCIA TITO</v>
      </c>
      <c r="H248" s="1" t="str">
        <f>IFERROR(__xludf.DUMMYFUNCTION("""COMPUTED_VALUE"""),"Psicología")</f>
        <v>Psicología</v>
      </c>
      <c r="I248" s="1" t="str">
        <f>IFERROR(__xludf.DUMMYFUNCTION("""COMPUTED_VALUE"""),"POS")</f>
        <v>POS</v>
      </c>
      <c r="J248" s="1" t="str">
        <f>IFERROR(__xludf.DUMMYFUNCTION("""COMPUTED_VALUE"""),"Nocturno - A distancia")</f>
        <v>Nocturno - A distancia</v>
      </c>
      <c r="K248" s="1" t="str">
        <f>IFERROR(__xludf.DUMMYFUNCTION("""COMPUTED_VALUE"""),"NUEVO")</f>
        <v>NUEVO</v>
      </c>
      <c r="L248" s="1">
        <f>IFERROR(__xludf.DUMMYFUNCTION("""COMPUTED_VALUE"""),0.0)</f>
        <v>0</v>
      </c>
      <c r="M248" s="1">
        <f>IFERROR(__xludf.DUMMYFUNCTION("""COMPUTED_VALUE"""),0.0)</f>
        <v>0</v>
      </c>
      <c r="N248" s="1" t="str">
        <f>IFERROR(__xludf.DUMMYFUNCTION("""COMPUTED_VALUE"""),"ESCALA DISTANCIA")</f>
        <v>ESCALA DISTANCIA</v>
      </c>
      <c r="O248" s="1" t="str">
        <f>IFERROR(__xludf.DUMMYFUNCTION("""COMPUTED_VALUE"""),"ESCALA DISTANCIA REGULAR")</f>
        <v>ESCALA DISTANCIA REGULAR</v>
      </c>
      <c r="P248" s="4">
        <f>IFERROR(__xludf.DUMMYFUNCTION("""COMPUTED_VALUE"""),0.0)</f>
        <v>0</v>
      </c>
      <c r="Q248" s="4">
        <f>IFERROR(__xludf.DUMMYFUNCTION("""COMPUTED_VALUE"""),0.0)</f>
        <v>0</v>
      </c>
      <c r="R248" s="4">
        <f>IFERROR(__xludf.DUMMYFUNCTION("""COMPUTED_VALUE"""),950.0)</f>
        <v>950</v>
      </c>
      <c r="S248" s="4">
        <f>IFERROR(__xludf.DUMMYFUNCTION("""COMPUTED_VALUE"""),950.0)</f>
        <v>950</v>
      </c>
      <c r="T248" s="1" t="str">
        <f>IFERROR(__xludf.DUMMYFUNCTION("""COMPUTED_VALUE"""),"PALANCA 700")</f>
        <v>PALANCA 700</v>
      </c>
      <c r="U248" s="1" t="str">
        <f>IFERROR(__xludf.DUMMYFUNCTION("""COMPUTED_VALUE"""),"FABIOLA")</f>
        <v>FABIOLA</v>
      </c>
      <c r="V248" s="1" t="str">
        <f>IFERROR(__xludf.DUMMYFUNCTION("""COMPUTED_VALUE"""),"Ninguno")</f>
        <v>Ninguno</v>
      </c>
      <c r="W248" s="1" t="str">
        <f>IFERROR(__xludf.DUMMYFUNCTION("""COMPUTED_VALUE"""),"Flexibilidad de horarios")</f>
        <v>Flexibilidad de horarios</v>
      </c>
      <c r="X248" s="1" t="str">
        <f>IFERROR(__xludf.DUMMYFUNCTION("""COMPUTED_VALUE"""),"le gusto la malla ")</f>
        <v>le gusto la malla </v>
      </c>
      <c r="Y248" s="1" t="str">
        <f>IFERROR(__xludf.DUMMYFUNCTION("""COMPUTED_VALUE"""),"PAGO COMPLETO")</f>
        <v>PAGO COMPLETO</v>
      </c>
      <c r="Z248" s="1">
        <f>IFERROR(__xludf.DUMMYFUNCTION("""COMPUTED_VALUE"""),0.0)</f>
        <v>0</v>
      </c>
      <c r="AA248" s="1" t="str">
        <f>IFERROR(__xludf.DUMMYFUNCTION("""COMPUTED_VALUE"""),"-")</f>
        <v>-</v>
      </c>
      <c r="AB248" s="1">
        <f>IFERROR(__xludf.DUMMYFUNCTION("""COMPUTED_VALUE"""),1.0)</f>
        <v>1</v>
      </c>
      <c r="AC248" s="1">
        <f>IFERROR(__xludf.DUMMYFUNCTION("""COMPUTED_VALUE"""),1.0)</f>
        <v>1</v>
      </c>
      <c r="AD248" s="1" t="str">
        <f>IFERROR(__xludf.DUMMYFUNCTION("""COMPUTED_VALUE"""),"Cinthia Mariella Orosco")</f>
        <v>Cinthia Mariella Orosco</v>
      </c>
      <c r="AE248" s="1" t="str">
        <f>IFERROR(__xludf.DUMMYFUNCTION("""COMPUTED_VALUE"""),"0")</f>
        <v>0</v>
      </c>
      <c r="AF248" s="1">
        <f>IFERROR(__xludf.DUMMYFUNCTION("""COMPUTED_VALUE"""),2020.0)</f>
        <v>2020</v>
      </c>
      <c r="AG248" s="1">
        <f>IFERROR(__xludf.DUMMYFUNCTION("""COMPUTED_VALUE"""),329326.0)</f>
        <v>329326</v>
      </c>
      <c r="AH248" s="1">
        <f>IFERROR(__xludf.DUMMYFUNCTION("""COMPUTED_VALUE"""),29.0)</f>
        <v>29</v>
      </c>
      <c r="AI248" s="1" t="str">
        <f>IFERROR(__xludf.DUMMYFUNCTION("""COMPUTED_VALUE"""),"0000404254")</f>
        <v>0000404254</v>
      </c>
      <c r="AJ248" s="1">
        <f>IFERROR(__xludf.DUMMYFUNCTION("""COMPUTED_VALUE"""),7.5723508E7)</f>
        <v>75723508</v>
      </c>
      <c r="AK248" s="1">
        <f>IFERROR(__xludf.DUMMYFUNCTION("""COMPUTED_VALUE"""),9.92051844E8)</f>
        <v>992051844</v>
      </c>
      <c r="AL248" s="1" t="str">
        <f>IFERROR(__xludf.DUMMYFUNCTION("""COMPUTED_VALUE"""),"Anne.garcia1695@gmail.com")</f>
        <v>Anne.garcia1695@gmail.com</v>
      </c>
      <c r="AM248" s="1" t="str">
        <f>IFERROR(__xludf.DUMMYFUNCTION("""COMPUTED_VALUE"""),"FEMENINO")</f>
        <v>FEMENINO</v>
      </c>
      <c r="AN248" s="1">
        <f>IFERROR(__xludf.DUMMYFUNCTION("""COMPUTED_VALUE"""),1350.0)</f>
        <v>1350</v>
      </c>
      <c r="AO248" s="1">
        <f>IFERROR(__xludf.DUMMYFUNCTION("""COMPUTED_VALUE"""),0.0)</f>
        <v>0</v>
      </c>
      <c r="AP248" s="1" t="str">
        <f>IFERROR(__xludf.DUMMYFUNCTION("""COMPUTED_VALUE"""),"FORMULARIO")</f>
        <v>FORMULARIO</v>
      </c>
      <c r="AQ248" s="1" t="str">
        <f>IFERROR(__xludf.DUMMYFUNCTION("""COMPUTED_VALUE"""),"SEARCH CARRERA")</f>
        <v>SEARCH CARRERA</v>
      </c>
      <c r="AR248" s="1" t="str">
        <f>IFERROR(__xludf.DUMMYFUNCTION("""COMPUTED_VALUE"""),"NUEVO")</f>
        <v>NUEVO</v>
      </c>
      <c r="AS248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248" s="2">
        <f>IFERROR(__xludf.DUMMYFUNCTION("""COMPUTED_VALUE"""),45636.0)</f>
        <v>45636</v>
      </c>
      <c r="AU248" s="1">
        <f>IFERROR(__xludf.DUMMYFUNCTION("""COMPUTED_VALUE"""),1.0)</f>
        <v>1</v>
      </c>
      <c r="AV248" s="1" t="str">
        <f>IFERROR(__xludf.DUMMYFUNCTION("""COMPUTED_VALUE"""),"NUEVO")</f>
        <v>NUEVO</v>
      </c>
      <c r="AW248" s="1" t="str">
        <f>IFERROR(__xludf.DUMMYFUNCTION("""COMPUTED_VALUE"""),"SI")</f>
        <v>SI</v>
      </c>
      <c r="AX248" s="1"/>
      <c r="AY248" s="1" t="str">
        <f>IFERROR(__xludf.DUMMYFUNCTION("""COMPUTED_VALUE"""),"PAGO COMPLETO")</f>
        <v>PAGO COMPLETO</v>
      </c>
      <c r="AZ248" s="5">
        <f>IFERROR(__xludf.DUMMYFUNCTION("""COMPUTED_VALUE"""),45642.0)</f>
        <v>45642</v>
      </c>
      <c r="BA248" s="1">
        <f>IFERROR(__xludf.DUMMYFUNCTION("""COMPUTED_VALUE"""),0.0)</f>
        <v>0</v>
      </c>
      <c r="BB248" s="1">
        <f>IFERROR(__xludf.DUMMYFUNCTION("""COMPUTED_VALUE"""),0.0)</f>
        <v>0</v>
      </c>
      <c r="BC248" s="4">
        <f>IFERROR(__xludf.DUMMYFUNCTION("""COMPUTED_VALUE"""),0.0)</f>
        <v>0</v>
      </c>
      <c r="BD248" s="4">
        <f>IFERROR(__xludf.DUMMYFUNCTION("""COMPUTED_VALUE"""),250.0)</f>
        <v>250</v>
      </c>
      <c r="BE248" s="1">
        <f>IFERROR(__xludf.DUMMYFUNCTION("""COMPUTED_VALUE"""),12.0)</f>
        <v>12</v>
      </c>
      <c r="BF248" s="6">
        <f>IFERROR(__xludf.DUMMYFUNCTION("""COMPUTED_VALUE"""),1.0)</f>
        <v>1</v>
      </c>
      <c r="BG248" s="1">
        <f>IFERROR(__xludf.DUMMYFUNCTION("""COMPUTED_VALUE"""),1.0)</f>
        <v>1</v>
      </c>
      <c r="BH248" s="1" t="str">
        <f>IFERROR(__xludf.DUMMYFUNCTION("""COMPUTED_VALUE"""),"0")</f>
        <v>0</v>
      </c>
      <c r="BI248" s="4">
        <f>IFERROR(__xludf.DUMMYFUNCTION("""COMPUTED_VALUE"""),250.0)</f>
        <v>250</v>
      </c>
      <c r="BJ248" s="1">
        <f>IFERROR(__xludf.DUMMYFUNCTION("""COMPUTED_VALUE"""),0.0)</f>
        <v>0</v>
      </c>
      <c r="BK248" s="4">
        <f>IFERROR(__xludf.DUMMYFUNCTION("""COMPUTED_VALUE"""),250.0)</f>
        <v>250</v>
      </c>
      <c r="BL248" s="1">
        <f>IFERROR(__xludf.DUMMYFUNCTION("""COMPUTED_VALUE"""),900.0)</f>
        <v>900</v>
      </c>
      <c r="BM248" s="1">
        <f>IFERROR(__xludf.DUMMYFUNCTION("""COMPUTED_VALUE"""),51.0)</f>
        <v>51</v>
      </c>
      <c r="BN248" s="2">
        <f>IFERROR(__xludf.DUMMYFUNCTION("""COMPUTED_VALUE"""),45642.0)</f>
        <v>45642</v>
      </c>
      <c r="BO248" s="1">
        <f>IFERROR(__xludf.DUMMYFUNCTION("""COMPUTED_VALUE"""),12.0)</f>
        <v>12</v>
      </c>
      <c r="BP248" s="1">
        <f>IFERROR(__xludf.DUMMYFUNCTION("""COMPUTED_VALUE"""),2024.0)</f>
        <v>2024</v>
      </c>
    </row>
    <row r="249">
      <c r="A249" s="1">
        <f>IFERROR(__xludf.DUMMYFUNCTION("""COMPUTED_VALUE"""),248.0)</f>
        <v>248</v>
      </c>
      <c r="B249" s="1">
        <f>IFERROR(__xludf.DUMMYFUNCTION("""COMPUTED_VALUE"""),4874983.0)</f>
        <v>4874983</v>
      </c>
      <c r="C249" s="1" t="str">
        <f>IFERROR(__xludf.DUMMYFUNCTION("""COMPUTED_VALUE"""),"2025-1")</f>
        <v>2025-1</v>
      </c>
      <c r="D249" s="1" t="str">
        <f>IFERROR(__xludf.DUMMYFUNCTION("""COMPUTED_VALUE"""),"Admisión Ordinaria")</f>
        <v>Admisión Ordinaria</v>
      </c>
      <c r="E249" s="2">
        <f>IFERROR(__xludf.DUMMYFUNCTION("""COMPUTED_VALUE"""),45642.0)</f>
        <v>45642</v>
      </c>
      <c r="F249" s="1" t="str">
        <f>IFERROR(__xludf.DUMMYFUNCTION("""COMPUTED_VALUE"""),"GAEL ALFREDO")</f>
        <v>GAEL ALFREDO</v>
      </c>
      <c r="G249" s="1" t="str">
        <f>IFERROR(__xludf.DUMMYFUNCTION("""COMPUTED_VALUE"""),"MERINO FANO")</f>
        <v>MERINO FANO</v>
      </c>
      <c r="H249" s="1" t="str">
        <f>IFERROR(__xludf.DUMMYFUNCTION("""COMPUTED_VALUE"""),"Diseño Gráfico Publicitario")</f>
        <v>Diseño Gráfico Publicitario</v>
      </c>
      <c r="I249" s="1" t="str">
        <f>IFERROR(__xludf.DUMMYFUNCTION("""COMPUTED_VALUE"""),"Pago Link")</f>
        <v>Pago Link</v>
      </c>
      <c r="J249" s="1" t="str">
        <f>IFERROR(__xludf.DUMMYFUNCTION("""COMPUTED_VALUE"""),"Diurno")</f>
        <v>Diurno</v>
      </c>
      <c r="K249" s="1" t="str">
        <f>IFERROR(__xludf.DUMMYFUNCTION("""COMPUTED_VALUE"""),"NUEVO")</f>
        <v>NUEVO</v>
      </c>
      <c r="L249" s="1">
        <f>IFERROR(__xludf.DUMMYFUNCTION("""COMPUTED_VALUE"""),0.0)</f>
        <v>0</v>
      </c>
      <c r="M249" s="1">
        <f>IFERROR(__xludf.DUMMYFUNCTION("""COMPUTED_VALUE"""),0.0)</f>
        <v>0</v>
      </c>
      <c r="N249" s="1" t="str">
        <f>IFERROR(__xludf.DUMMYFUNCTION("""COMPUTED_VALUE"""),"BECA")</f>
        <v>BECA</v>
      </c>
      <c r="O249" s="1" t="str">
        <f>IFERROR(__xludf.DUMMYFUNCTION("""COMPUTED_VALUE"""),"BECA CARRERAS CORE")</f>
        <v>BECA CARRERAS CORE</v>
      </c>
      <c r="P249" s="4">
        <f>IFERROR(__xludf.DUMMYFUNCTION("""COMPUTED_VALUE"""),0.0)</f>
        <v>0</v>
      </c>
      <c r="Q249" s="4">
        <f>IFERROR(__xludf.DUMMYFUNCTION("""COMPUTED_VALUE"""),0.0)</f>
        <v>0</v>
      </c>
      <c r="R249" s="4">
        <f>IFERROR(__xludf.DUMMYFUNCTION("""COMPUTED_VALUE"""),1415.0)</f>
        <v>1415</v>
      </c>
      <c r="S249" s="4">
        <f>IFERROR(__xludf.DUMMYFUNCTION("""COMPUTED_VALUE"""),1050.0)</f>
        <v>1050</v>
      </c>
      <c r="T249" s="1" t="str">
        <f>IFERROR(__xludf.DUMMYFUNCTION("""COMPUTED_VALUE"""),"NINGUNO")</f>
        <v>NINGUNO</v>
      </c>
      <c r="U249" s="1" t="str">
        <f>IFERROR(__xludf.DUMMYFUNCTION("""COMPUTED_VALUE"""),"FABIOLA")</f>
        <v>FABIOLA</v>
      </c>
      <c r="V249" s="1" t="str">
        <f>IFERROR(__xludf.DUMMYFUNCTION("""COMPUTED_VALUE"""),"Ninguno")</f>
        <v>Ninguno</v>
      </c>
      <c r="W249" s="1" t="str">
        <f>IFERROR(__xludf.DUMMYFUNCTION("""COMPUTED_VALUE"""),"Otros")</f>
        <v>Otros</v>
      </c>
      <c r="X249" s="1" t="str">
        <f>IFERROR(__xludf.DUMMYFUNCTION("""COMPUTED_VALUE"""),"-")</f>
        <v>-</v>
      </c>
      <c r="Y249" s="1" t="str">
        <f>IFERROR(__xludf.DUMMYFUNCTION("""COMPUTED_VALUE"""),"PAGO COMPLETO")</f>
        <v>PAGO COMPLETO</v>
      </c>
      <c r="Z249" s="1">
        <f>IFERROR(__xludf.DUMMYFUNCTION("""COMPUTED_VALUE"""),0.0)</f>
        <v>0</v>
      </c>
      <c r="AA249" s="1" t="str">
        <f>IFERROR(__xludf.DUMMYFUNCTION("""COMPUTED_VALUE"""),"-")</f>
        <v>-</v>
      </c>
      <c r="AB249" s="1">
        <f>IFERROR(__xludf.DUMMYFUNCTION("""COMPUTED_VALUE"""),0.0)</f>
        <v>0</v>
      </c>
      <c r="AC249" s="1">
        <f>IFERROR(__xludf.DUMMYFUNCTION("""COMPUTED_VALUE"""),0.0)</f>
        <v>0</v>
      </c>
      <c r="AD249" s="1" t="str">
        <f>IFERROR(__xludf.DUMMYFUNCTION("""COMPUTED_VALUE"""),"Andrea Araujo Antara")</f>
        <v>Andrea Araujo Antara</v>
      </c>
      <c r="AE249" s="1" t="str">
        <f>IFERROR(__xludf.DUMMYFUNCTION("""COMPUTED_VALUE"""),"0")</f>
        <v>0</v>
      </c>
      <c r="AF249" s="1">
        <f>IFERROR(__xludf.DUMMYFUNCTION("""COMPUTED_VALUE"""),2024.0)</f>
        <v>2024</v>
      </c>
      <c r="AG249" s="1">
        <f>IFERROR(__xludf.DUMMYFUNCTION("""COMPUTED_VALUE"""),1496322.0)</f>
        <v>1496322</v>
      </c>
      <c r="AH249" s="1">
        <f>IFERROR(__xludf.DUMMYFUNCTION("""COMPUTED_VALUE"""),17.0)</f>
        <v>17</v>
      </c>
      <c r="AI249" s="1" t="str">
        <f>IFERROR(__xludf.DUMMYFUNCTION("""COMPUTED_VALUE"""),"0000404304")</f>
        <v>0000404304</v>
      </c>
      <c r="AJ249" s="1">
        <f>IFERROR(__xludf.DUMMYFUNCTION("""COMPUTED_VALUE"""),7.0740579E7)</f>
        <v>70740579</v>
      </c>
      <c r="AK249" s="1">
        <f>IFERROR(__xludf.DUMMYFUNCTION("""COMPUTED_VALUE"""),9.3384772E8)</f>
        <v>933847720</v>
      </c>
      <c r="AL249" s="1" t="str">
        <f>IFERROR(__xludf.DUMMYFUNCTION("""COMPUTED_VALUE"""),"merinogael60@gmail.com")</f>
        <v>merinogael60@gmail.com</v>
      </c>
      <c r="AM249" s="1" t="str">
        <f>IFERROR(__xludf.DUMMYFUNCTION("""COMPUTED_VALUE"""),"MASCULINO")</f>
        <v>MASCULINO</v>
      </c>
      <c r="AN249" s="1">
        <f>IFERROR(__xludf.DUMMYFUNCTION("""COMPUTED_VALUE"""),1600.0)</f>
        <v>1600</v>
      </c>
      <c r="AO249" s="1">
        <f>IFERROR(__xludf.DUMMYFUNCTION("""COMPUTED_VALUE"""),300.0)</f>
        <v>300</v>
      </c>
      <c r="AP249" s="1" t="str">
        <f>IFERROR(__xludf.DUMMYFUNCTION("""COMPUTED_VALUE"""),"BIDIRECCIONAL")</f>
        <v>BIDIRECCIONAL</v>
      </c>
      <c r="AQ249" s="1" t="str">
        <f>IFERROR(__xludf.DUMMYFUNCTION("""COMPUTED_VALUE"""),"SEARCH CARRERA")</f>
        <v>SEARCH CARRERA</v>
      </c>
      <c r="AR249" s="1" t="str">
        <f>IFERROR(__xludf.DUMMYFUNCTION("""COMPUTED_VALUE"""),"NUEVO")</f>
        <v>NUEVO</v>
      </c>
      <c r="AS249" s="1" t="str">
        <f>IFERROR(__xludf.DUMMYFUNCTION("""COMPUTED_VALUE"""),"ucal-pg-performance-sedes-abierta-cpl-search_conversion_mundo_diseno_reactivacion-20241105")</f>
        <v>ucal-pg-performance-sedes-abierta-cpl-search_conversion_mundo_diseno_reactivacion-20241105</v>
      </c>
      <c r="AT249" s="2">
        <f>IFERROR(__xludf.DUMMYFUNCTION("""COMPUTED_VALUE"""),45640.0)</f>
        <v>45640</v>
      </c>
      <c r="AU249" s="1">
        <f>IFERROR(__xludf.DUMMYFUNCTION("""COMPUTED_VALUE"""),1.0)</f>
        <v>1</v>
      </c>
      <c r="AV249" s="1" t="str">
        <f>IFERROR(__xludf.DUMMYFUNCTION("""COMPUTED_VALUE"""),"NUEVO")</f>
        <v>NUEVO</v>
      </c>
      <c r="AW249" s="1" t="str">
        <f>IFERROR(__xludf.DUMMYFUNCTION("""COMPUTED_VALUE"""),"SI")</f>
        <v>SI</v>
      </c>
      <c r="AX249" s="1"/>
      <c r="AY249" s="1" t="str">
        <f>IFERROR(__xludf.DUMMYFUNCTION("""COMPUTED_VALUE"""),"PAGO COMPLETO")</f>
        <v>PAGO COMPLETO</v>
      </c>
      <c r="AZ249" s="5">
        <f>IFERROR(__xludf.DUMMYFUNCTION("""COMPUTED_VALUE"""),45642.0)</f>
        <v>45642</v>
      </c>
      <c r="BA249" s="1">
        <f>IFERROR(__xludf.DUMMYFUNCTION("""COMPUTED_VALUE"""),0.0)</f>
        <v>0</v>
      </c>
      <c r="BB249" s="1">
        <f>IFERROR(__xludf.DUMMYFUNCTION("""COMPUTED_VALUE"""),0.0)</f>
        <v>0</v>
      </c>
      <c r="BC249" s="4">
        <f>IFERROR(__xludf.DUMMYFUNCTION("""COMPUTED_VALUE"""),0.0)</f>
        <v>0</v>
      </c>
      <c r="BD249" s="4">
        <f>IFERROR(__xludf.DUMMYFUNCTION("""COMPUTED_VALUE"""),0.0)</f>
        <v>0</v>
      </c>
      <c r="BE249" s="1">
        <f>IFERROR(__xludf.DUMMYFUNCTION("""COMPUTED_VALUE"""),12.0)</f>
        <v>12</v>
      </c>
      <c r="BF249" s="6">
        <f>IFERROR(__xludf.DUMMYFUNCTION("""COMPUTED_VALUE"""),1.0)</f>
        <v>1</v>
      </c>
      <c r="BG249" s="1">
        <f>IFERROR(__xludf.DUMMYFUNCTION("""COMPUTED_VALUE"""),1.0)</f>
        <v>1</v>
      </c>
      <c r="BH249" s="1" t="str">
        <f>IFERROR(__xludf.DUMMYFUNCTION("""COMPUTED_VALUE"""),"0")</f>
        <v>0</v>
      </c>
      <c r="BI249" s="4">
        <f>IFERROR(__xludf.DUMMYFUNCTION("""COMPUTED_VALUE"""),0.0)</f>
        <v>0</v>
      </c>
      <c r="BJ249" s="1">
        <f>IFERROR(__xludf.DUMMYFUNCTION("""COMPUTED_VALUE"""),0.0)</f>
        <v>0</v>
      </c>
      <c r="BK249" s="4">
        <f>IFERROR(__xludf.DUMMYFUNCTION("""COMPUTED_VALUE"""),0.0)</f>
        <v>0</v>
      </c>
      <c r="BL249" s="1">
        <f>IFERROR(__xludf.DUMMYFUNCTION("""COMPUTED_VALUE"""),1050.0)</f>
        <v>1050</v>
      </c>
      <c r="BM249" s="1">
        <f>IFERROR(__xludf.DUMMYFUNCTION("""COMPUTED_VALUE"""),51.0)</f>
        <v>51</v>
      </c>
      <c r="BN249" s="2">
        <f>IFERROR(__xludf.DUMMYFUNCTION("""COMPUTED_VALUE"""),45642.0)</f>
        <v>45642</v>
      </c>
      <c r="BO249" s="1">
        <f>IFERROR(__xludf.DUMMYFUNCTION("""COMPUTED_VALUE"""),12.0)</f>
        <v>12</v>
      </c>
      <c r="BP249" s="1">
        <f>IFERROR(__xludf.DUMMYFUNCTION("""COMPUTED_VALUE"""),2024.0)</f>
        <v>2024</v>
      </c>
    </row>
    <row r="250">
      <c r="A250" s="1">
        <f>IFERROR(__xludf.DUMMYFUNCTION("""COMPUTED_VALUE"""),249.0)</f>
        <v>249</v>
      </c>
      <c r="B250" s="1">
        <f>IFERROR(__xludf.DUMMYFUNCTION("""COMPUTED_VALUE"""),4980066.0)</f>
        <v>4980066</v>
      </c>
      <c r="C250" s="1" t="str">
        <f>IFERROR(__xludf.DUMMYFUNCTION("""COMPUTED_VALUE"""),"2025-1")</f>
        <v>2025-1</v>
      </c>
      <c r="D250" s="1" t="str">
        <f>IFERROR(__xludf.DUMMYFUNCTION("""COMPUTED_VALUE"""),"Admisión Ordinaria")</f>
        <v>Admisión Ordinaria</v>
      </c>
      <c r="E250" s="2">
        <f>IFERROR(__xludf.DUMMYFUNCTION("""COMPUTED_VALUE"""),45642.0)</f>
        <v>45642</v>
      </c>
      <c r="F250" s="1" t="str">
        <f>IFERROR(__xludf.DUMMYFUNCTION("""COMPUTED_VALUE"""),"MALU ITANA ")</f>
        <v>MALU ITANA </v>
      </c>
      <c r="G250" s="1" t="str">
        <f>IFERROR(__xludf.DUMMYFUNCTION("""COMPUTED_VALUE"""),"LOLANDES CARBAJAL")</f>
        <v>LOLANDES CARBAJAL</v>
      </c>
      <c r="H250" s="1" t="str">
        <f>IFERROR(__xludf.DUMMYFUNCTION("""COMPUTED_VALUE"""),"Marketing e Innovación")</f>
        <v>Marketing e Innovación</v>
      </c>
      <c r="I250" s="1" t="str">
        <f>IFERROR(__xludf.DUMMYFUNCTION("""COMPUTED_VALUE"""),"POS")</f>
        <v>POS</v>
      </c>
      <c r="J250" s="1" t="str">
        <f>IFERROR(__xludf.DUMMYFUNCTION("""COMPUTED_VALUE"""),"Diurno")</f>
        <v>Diurno</v>
      </c>
      <c r="K250" s="1" t="str">
        <f>IFERROR(__xludf.DUMMYFUNCTION("""COMPUTED_VALUE"""),"TRASLADO")</f>
        <v>TRASLADO</v>
      </c>
      <c r="L250" s="1">
        <f>IFERROR(__xludf.DUMMYFUNCTION("""COMPUTED_VALUE"""),0.0)</f>
        <v>0</v>
      </c>
      <c r="M250" s="1">
        <f>IFERROR(__xludf.DUMMYFUNCTION("""COMPUTED_VALUE"""),0.0)</f>
        <v>0</v>
      </c>
      <c r="N250" s="1" t="str">
        <f>IFERROR(__xludf.DUMMYFUNCTION("""COMPUTED_VALUE"""),"BECA")</f>
        <v>BECA</v>
      </c>
      <c r="O250" s="1" t="str">
        <f>IFERROR(__xludf.DUMMYFUNCTION("""COMPUTED_VALUE"""),"BECA CARRERAS CORE-TRASLADOS SIN CONVA")</f>
        <v>BECA CARRERAS CORE-TRASLADOS SIN CONVA</v>
      </c>
      <c r="P250" s="4">
        <f>IFERROR(__xludf.DUMMYFUNCTION("""COMPUTED_VALUE"""),0.0)</f>
        <v>0</v>
      </c>
      <c r="Q250" s="4">
        <f>IFERROR(__xludf.DUMMYFUNCTION("""COMPUTED_VALUE"""),0.0)</f>
        <v>0</v>
      </c>
      <c r="R250" s="4">
        <f>IFERROR(__xludf.DUMMYFUNCTION("""COMPUTED_VALUE"""),1600.0)</f>
        <v>1600</v>
      </c>
      <c r="S250" s="4">
        <f>IFERROR(__xludf.DUMMYFUNCTION("""COMPUTED_VALUE"""),1200.0)</f>
        <v>1200</v>
      </c>
      <c r="T250" s="1" t="str">
        <f>IFERROR(__xludf.DUMMYFUNCTION("""COMPUTED_VALUE"""),"NINGUNO")</f>
        <v>NINGUNO</v>
      </c>
      <c r="U250" s="1" t="str">
        <f>IFERROR(__xludf.DUMMYFUNCTION("""COMPUTED_VALUE"""),"FABIOLA")</f>
        <v>FABIOLA</v>
      </c>
      <c r="V250" s="1" t="str">
        <f>IFERROR(__xludf.DUMMYFUNCTION("""COMPUTED_VALUE"""),"Ninguno")</f>
        <v>Ninguno</v>
      </c>
      <c r="W250" s="1" t="str">
        <f>IFERROR(__xludf.DUMMYFUNCTION("""COMPUTED_VALUE"""),"Metodología de enseñanza")</f>
        <v>Metodología de enseñanza</v>
      </c>
      <c r="X250" s="1" t="str">
        <f>IFERROR(__xludf.DUMMYFUNCTION("""COMPUTED_VALUE"""),"-")</f>
        <v>-</v>
      </c>
      <c r="Y250" s="1" t="str">
        <f>IFERROR(__xludf.DUMMYFUNCTION("""COMPUTED_VALUE"""),"PAGO FRACCIONADO")</f>
        <v>PAGO FRACCIONADO</v>
      </c>
      <c r="Z250" s="1">
        <f>IFERROR(__xludf.DUMMYFUNCTION("""COMPUTED_VALUE"""),600.0)</f>
        <v>600</v>
      </c>
      <c r="AA250" s="1" t="str">
        <f>IFERROR(__xludf.DUMMYFUNCTION("""COMPUTED_VALUE"""),"31/12/2024")</f>
        <v>31/12/2024</v>
      </c>
      <c r="AB250" s="1">
        <f>IFERROR(__xludf.DUMMYFUNCTION("""COMPUTED_VALUE"""),1.0)</f>
        <v>1</v>
      </c>
      <c r="AC250" s="1">
        <f>IFERROR(__xludf.DUMMYFUNCTION("""COMPUTED_VALUE"""),1.0)</f>
        <v>1</v>
      </c>
      <c r="AD250" s="1" t="str">
        <f>IFERROR(__xludf.DUMMYFUNCTION("""COMPUTED_VALUE"""),"Ingrid Guillermo Rivera")</f>
        <v>Ingrid Guillermo Rivera</v>
      </c>
      <c r="AE250" s="1" t="str">
        <f>IFERROR(__xludf.DUMMYFUNCTION("""COMPUTED_VALUE"""),"Universidad Peruana De Ciencias Aplicadas(UPC)")</f>
        <v>Universidad Peruana De Ciencias Aplicadas(UPC)</v>
      </c>
      <c r="AF250" s="1">
        <f>IFERROR(__xludf.DUMMYFUNCTION("""COMPUTED_VALUE"""),2021.0)</f>
        <v>2021</v>
      </c>
      <c r="AG250" s="1">
        <f>IFERROR(__xludf.DUMMYFUNCTION("""COMPUTED_VALUE"""),1731025.0)</f>
        <v>1731025</v>
      </c>
      <c r="AH250" s="1">
        <f>IFERROR(__xludf.DUMMYFUNCTION("""COMPUTED_VALUE"""),19.0)</f>
        <v>19</v>
      </c>
      <c r="AI250" s="1" t="str">
        <f>IFERROR(__xludf.DUMMYFUNCTION("""COMPUTED_VALUE"""),"0000412005")</f>
        <v>0000412005</v>
      </c>
      <c r="AJ250" s="1">
        <f>IFERROR(__xludf.DUMMYFUNCTION("""COMPUTED_VALUE"""),7.7434089E7)</f>
        <v>77434089</v>
      </c>
      <c r="AK250" s="1">
        <f>IFERROR(__xludf.DUMMYFUNCTION("""COMPUTED_VALUE"""),9.50501817E8)</f>
        <v>950501817</v>
      </c>
      <c r="AL250" s="1" t="str">
        <f>IFERROR(__xludf.DUMMYFUNCTION("""COMPUTED_VALUE"""),"itanalolandes20@gmail.com")</f>
        <v>itanalolandes20@gmail.com</v>
      </c>
      <c r="AM250" s="1" t="str">
        <f>IFERROR(__xludf.DUMMYFUNCTION("""COMPUTED_VALUE"""),"FEMENINO")</f>
        <v>FEMENINO</v>
      </c>
      <c r="AN250" s="1">
        <f>IFERROR(__xludf.DUMMYFUNCTION("""COMPUTED_VALUE"""),1775.0)</f>
        <v>1775</v>
      </c>
      <c r="AO250" s="1">
        <f>IFERROR(__xludf.DUMMYFUNCTION("""COMPUTED_VALUE"""),520.0)</f>
        <v>520</v>
      </c>
      <c r="AP250" s="1" t="str">
        <f>IFERROR(__xludf.DUMMYFUNCTION("""COMPUTED_VALUE"""),"BIDIRECCIONAL")</f>
        <v>BIDIRECCIONAL</v>
      </c>
      <c r="AQ250" s="1" t="str">
        <f>IFERROR(__xludf.DUMMYFUNCTION("""COMPUTED_VALUE"""),"SEARCH MARCA")</f>
        <v>SEARCH MARCA</v>
      </c>
      <c r="AR250" s="1" t="str">
        <f>IFERROR(__xludf.DUMMYFUNCTION("""COMPUTED_VALUE"""),"NUEVO")</f>
        <v>NUEVO</v>
      </c>
      <c r="AS250" s="1"/>
      <c r="AT250" s="2">
        <f>IFERROR(__xludf.DUMMYFUNCTION("""COMPUTED_VALUE"""),45642.0)</f>
        <v>45642</v>
      </c>
      <c r="AU250" s="1">
        <f>IFERROR(__xludf.DUMMYFUNCTION("""COMPUTED_VALUE"""),1.0)</f>
        <v>1</v>
      </c>
      <c r="AV250" s="1" t="str">
        <f>IFERROR(__xludf.DUMMYFUNCTION("""COMPUTED_VALUE"""),"NUEVO")</f>
        <v>NUEVO</v>
      </c>
      <c r="AW250" s="1" t="str">
        <f>IFERROR(__xludf.DUMMYFUNCTION("""COMPUTED_VALUE"""),"SI")</f>
        <v>SI</v>
      </c>
      <c r="AX250" s="1"/>
      <c r="AY250" s="1" t="str">
        <f>IFERROR(__xludf.DUMMYFUNCTION("""COMPUTED_VALUE"""),"PAGO COMPLETO")</f>
        <v>PAGO COMPLETO</v>
      </c>
      <c r="AZ250" s="5">
        <f>IFERROR(__xludf.DUMMYFUNCTION("""COMPUTED_VALUE"""),45657.0)</f>
        <v>45657</v>
      </c>
      <c r="BA250" s="1">
        <f>IFERROR(__xludf.DUMMYFUNCTION("""COMPUTED_VALUE"""),600.0)</f>
        <v>600</v>
      </c>
      <c r="BB250" s="1">
        <f>IFERROR(__xludf.DUMMYFUNCTION("""COMPUTED_VALUE"""),0.0)</f>
        <v>0</v>
      </c>
      <c r="BC250" s="4">
        <f>IFERROR(__xludf.DUMMYFUNCTION("""COMPUTED_VALUE"""),0.0)</f>
        <v>0</v>
      </c>
      <c r="BD250" s="4">
        <f>IFERROR(__xludf.DUMMYFUNCTION("""COMPUTED_VALUE"""),0.0)</f>
        <v>0</v>
      </c>
      <c r="BE250" s="1">
        <f>IFERROR(__xludf.DUMMYFUNCTION("""COMPUTED_VALUE"""),12.0)</f>
        <v>12</v>
      </c>
      <c r="BF250" s="6">
        <f>IFERROR(__xludf.DUMMYFUNCTION("""COMPUTED_VALUE"""),1.0)</f>
        <v>1</v>
      </c>
      <c r="BG250" s="1">
        <f>IFERROR(__xludf.DUMMYFUNCTION("""COMPUTED_VALUE"""),1.0)</f>
        <v>1</v>
      </c>
      <c r="BH250" s="1" t="str">
        <f>IFERROR(__xludf.DUMMYFUNCTION("""COMPUTED_VALUE"""),"0")</f>
        <v>0</v>
      </c>
      <c r="BI250" s="4">
        <f>IFERROR(__xludf.DUMMYFUNCTION("""COMPUTED_VALUE"""),1200.0)</f>
        <v>1200</v>
      </c>
      <c r="BJ250" s="1">
        <f>IFERROR(__xludf.DUMMYFUNCTION("""COMPUTED_VALUE"""),0.0)</f>
        <v>0</v>
      </c>
      <c r="BK250" s="4">
        <f>IFERROR(__xludf.DUMMYFUNCTION("""COMPUTED_VALUE"""),0.0)</f>
        <v>0</v>
      </c>
      <c r="BL250" s="1">
        <f>IFERROR(__xludf.DUMMYFUNCTION("""COMPUTED_VALUE"""),1200.0)</f>
        <v>1200</v>
      </c>
      <c r="BM250" s="1">
        <f>IFERROR(__xludf.DUMMYFUNCTION("""COMPUTED_VALUE"""),51.0)</f>
        <v>51</v>
      </c>
      <c r="BN250" s="2">
        <f>IFERROR(__xludf.DUMMYFUNCTION("""COMPUTED_VALUE"""),45642.0)</f>
        <v>45642</v>
      </c>
      <c r="BO250" s="1">
        <f>IFERROR(__xludf.DUMMYFUNCTION("""COMPUTED_VALUE"""),12.0)</f>
        <v>12</v>
      </c>
      <c r="BP250" s="1">
        <f>IFERROR(__xludf.DUMMYFUNCTION("""COMPUTED_VALUE"""),2024.0)</f>
        <v>2024</v>
      </c>
    </row>
    <row r="251">
      <c r="A251" s="1">
        <f>IFERROR(__xludf.DUMMYFUNCTION("""COMPUTED_VALUE"""),250.0)</f>
        <v>250</v>
      </c>
      <c r="B251" s="1">
        <f>IFERROR(__xludf.DUMMYFUNCTION("""COMPUTED_VALUE"""),4824477.0)</f>
        <v>4824477</v>
      </c>
      <c r="C251" s="1" t="str">
        <f>IFERROR(__xludf.DUMMYFUNCTION("""COMPUTED_VALUE"""),"2025-1")</f>
        <v>2025-1</v>
      </c>
      <c r="D251" s="1" t="str">
        <f>IFERROR(__xludf.DUMMYFUNCTION("""COMPUTED_VALUE"""),"Admisión de Alto Rendimiento")</f>
        <v>Admisión de Alto Rendimiento</v>
      </c>
      <c r="E251" s="2">
        <f>IFERROR(__xludf.DUMMYFUNCTION("""COMPUTED_VALUE"""),45642.0)</f>
        <v>45642</v>
      </c>
      <c r="F251" s="1" t="str">
        <f>IFERROR(__xludf.DUMMYFUNCTION("""COMPUTED_VALUE"""),"AYLIN NAYELI	")</f>
        <v>AYLIN NAYELI	</v>
      </c>
      <c r="G251" s="1" t="str">
        <f>IFERROR(__xludf.DUMMYFUNCTION("""COMPUTED_VALUE"""),"MIRANDA DIAZ	")</f>
        <v>MIRANDA DIAZ	</v>
      </c>
      <c r="H251" s="1" t="str">
        <f>IFERROR(__xludf.DUMMYFUNCTION("""COMPUTED_VALUE"""),"Arquitectura")</f>
        <v>Arquitectura</v>
      </c>
      <c r="I251" s="1" t="str">
        <f>IFERROR(__xludf.DUMMYFUNCTION("""COMPUTED_VALUE"""),"CARGO")</f>
        <v>CARGO</v>
      </c>
      <c r="J251" s="1" t="str">
        <f>IFERROR(__xludf.DUMMYFUNCTION("""COMPUTED_VALUE"""),"Diurno")</f>
        <v>Diurno</v>
      </c>
      <c r="K251" s="1" t="str">
        <f>IFERROR(__xludf.DUMMYFUNCTION("""COMPUTED_VALUE"""),"NUEVO")</f>
        <v>NUEVO</v>
      </c>
      <c r="L251" s="1">
        <f>IFERROR(__xludf.DUMMYFUNCTION("""COMPUTED_VALUE"""),0.0)</f>
        <v>0</v>
      </c>
      <c r="M251" s="1">
        <f>IFERROR(__xludf.DUMMYFUNCTION("""COMPUTED_VALUE"""),0.0)</f>
        <v>0</v>
      </c>
      <c r="N251" s="1" t="str">
        <f>IFERROR(__xludf.DUMMYFUNCTION("""COMPUTED_VALUE"""),"BECA")</f>
        <v>BECA</v>
      </c>
      <c r="O251" s="1" t="str">
        <f>IFERROR(__xludf.DUMMYFUNCTION("""COMPUTED_VALUE"""),"BECA CARRERAS CORE")</f>
        <v>BECA CARRERAS CORE</v>
      </c>
      <c r="P251" s="4">
        <f>IFERROR(__xludf.DUMMYFUNCTION("""COMPUTED_VALUE"""),0.0)</f>
        <v>0</v>
      </c>
      <c r="Q251" s="4">
        <f>IFERROR(__xludf.DUMMYFUNCTION("""COMPUTED_VALUE"""),0.0)</f>
        <v>0</v>
      </c>
      <c r="R251" s="4">
        <f>IFERROR(__xludf.DUMMYFUNCTION("""COMPUTED_VALUE"""),1150.0)</f>
        <v>1150</v>
      </c>
      <c r="S251" s="4">
        <f>IFERROR(__xludf.DUMMYFUNCTION("""COMPUTED_VALUE"""),950.0)</f>
        <v>950</v>
      </c>
      <c r="T251" s="1" t="str">
        <f>IFERROR(__xludf.DUMMYFUNCTION("""COMPUTED_VALUE"""),"PALANCA 700")</f>
        <v>PALANCA 700</v>
      </c>
      <c r="U251" s="1" t="str">
        <f>IFERROR(__xludf.DUMMYFUNCTION("""COMPUTED_VALUE"""),"FABIOLA")</f>
        <v>FABIOLA</v>
      </c>
      <c r="V251" s="1" t="str">
        <f>IFERROR(__xludf.DUMMYFUNCTION("""COMPUTED_VALUE"""),"Ninguno")</f>
        <v>Ninguno</v>
      </c>
      <c r="W251" s="1" t="str">
        <f>IFERROR(__xludf.DUMMYFUNCTION("""COMPUTED_VALUE"""),"Equipos e instalaciones")</f>
        <v>Equipos e instalaciones</v>
      </c>
      <c r="X251" s="1" t="str">
        <f>IFERROR(__xludf.DUMMYFUNCTION("""COMPUTED_VALUE"""),"-")</f>
        <v>-</v>
      </c>
      <c r="Y251" s="1" t="str">
        <f>IFERROR(__xludf.DUMMYFUNCTION("""COMPUTED_VALUE"""),"PAGO COMPLETO")</f>
        <v>PAGO COMPLETO</v>
      </c>
      <c r="Z251" s="1">
        <f>IFERROR(__xludf.DUMMYFUNCTION("""COMPUTED_VALUE"""),0.0)</f>
        <v>0</v>
      </c>
      <c r="AA251" s="1" t="str">
        <f>IFERROR(__xludf.DUMMYFUNCTION("""COMPUTED_VALUE"""),"-")</f>
        <v>-</v>
      </c>
      <c r="AB251" s="1">
        <f>IFERROR(__xludf.DUMMYFUNCTION("""COMPUTED_VALUE"""),0.0)</f>
        <v>0</v>
      </c>
      <c r="AC251" s="1">
        <f>IFERROR(__xludf.DUMMYFUNCTION("""COMPUTED_VALUE"""),0.0)</f>
        <v>0</v>
      </c>
      <c r="AD251" s="1" t="str">
        <f>IFERROR(__xludf.DUMMYFUNCTION("""COMPUTED_VALUE"""),"Fiorella Lanegra")</f>
        <v>Fiorella Lanegra</v>
      </c>
      <c r="AE251" s="1" t="str">
        <f>IFERROR(__xludf.DUMMYFUNCTION("""COMPUTED_VALUE"""),"0")</f>
        <v>0</v>
      </c>
      <c r="AF251" s="1">
        <f>IFERROR(__xludf.DUMMYFUNCTION("""COMPUTED_VALUE"""),2024.0)</f>
        <v>2024</v>
      </c>
      <c r="AG251" s="1">
        <f>IFERROR(__xludf.DUMMYFUNCTION("""COMPUTED_VALUE"""),762781.0)</f>
        <v>762781</v>
      </c>
      <c r="AH251" s="1">
        <f>IFERROR(__xludf.DUMMYFUNCTION("""COMPUTED_VALUE"""),17.0)</f>
        <v>17</v>
      </c>
      <c r="AI251" s="1" t="str">
        <f>IFERROR(__xludf.DUMMYFUNCTION("""COMPUTED_VALUE"""),"0000404393")</f>
        <v>0000404393</v>
      </c>
      <c r="AJ251" s="1">
        <f>IFERROR(__xludf.DUMMYFUNCTION("""COMPUTED_VALUE"""),6.1163216E7)</f>
        <v>61163216</v>
      </c>
      <c r="AK251" s="1">
        <f>IFERROR(__xludf.DUMMYFUNCTION("""COMPUTED_VALUE"""),9.41161922E8)</f>
        <v>941161922</v>
      </c>
      <c r="AL251" s="1" t="str">
        <f>IFERROR(__xludf.DUMMYFUNCTION("""COMPUTED_VALUE"""),"aylin.miranda.diaz@gmail.com")</f>
        <v>aylin.miranda.diaz@gmail.com</v>
      </c>
      <c r="AM251" s="1" t="str">
        <f>IFERROR(__xludf.DUMMYFUNCTION("""COMPUTED_VALUE"""),"FEMENINO")</f>
        <v>FEMENINO</v>
      </c>
      <c r="AN251" s="1">
        <f>IFERROR(__xludf.DUMMYFUNCTION("""COMPUTED_VALUE"""),1350.0)</f>
        <v>1350</v>
      </c>
      <c r="AO251" s="1">
        <f>IFERROR(__xludf.DUMMYFUNCTION("""COMPUTED_VALUE"""),0.0)</f>
        <v>0</v>
      </c>
      <c r="AP251" s="1" t="str">
        <f>IFERROR(__xludf.DUMMYFUNCTION("""COMPUTED_VALUE"""),"FORMULARIO")</f>
        <v>FORMULARIO</v>
      </c>
      <c r="AQ251" s="1" t="str">
        <f>IFERROR(__xludf.DUMMYFUNCTION("""COMPUTED_VALUE"""),"ORGANICO")</f>
        <v>ORGANICO</v>
      </c>
      <c r="AR251" s="1" t="str">
        <f>IFERROR(__xludf.DUMMYFUNCTION("""COMPUTED_VALUE"""),"NUEVO")</f>
        <v>NUEVO</v>
      </c>
      <c r="AS251" s="1" t="str">
        <f>IFERROR(__xludf.DUMMYFUNCTION("""COMPUTED_VALUE"""),"ucal-pg-branding-sedes-abierta-no_aplica-mundo_arquitectura_242-20240430")</f>
        <v>ucal-pg-branding-sedes-abierta-no_aplica-mundo_arquitectura_242-20240430</v>
      </c>
      <c r="AT251" s="2">
        <f>IFERROR(__xludf.DUMMYFUNCTION("""COMPUTED_VALUE"""),45621.0)</f>
        <v>45621</v>
      </c>
      <c r="AU251" s="1">
        <f>IFERROR(__xludf.DUMMYFUNCTION("""COMPUTED_VALUE"""),1.0)</f>
        <v>1</v>
      </c>
      <c r="AV251" s="1" t="str">
        <f>IFERROR(__xludf.DUMMYFUNCTION("""COMPUTED_VALUE"""),"NUEVO")</f>
        <v>NUEVO</v>
      </c>
      <c r="AW251" s="1" t="str">
        <f>IFERROR(__xludf.DUMMYFUNCTION("""COMPUTED_VALUE"""),"SI")</f>
        <v>SI</v>
      </c>
      <c r="AX251" s="1"/>
      <c r="AY251" s="1" t="str">
        <f>IFERROR(__xludf.DUMMYFUNCTION("""COMPUTED_VALUE"""),"PAGO COMPLETO")</f>
        <v>PAGO COMPLETO</v>
      </c>
      <c r="AZ251" s="5">
        <f>IFERROR(__xludf.DUMMYFUNCTION("""COMPUTED_VALUE"""),45642.0)</f>
        <v>45642</v>
      </c>
      <c r="BA251" s="1">
        <f>IFERROR(__xludf.DUMMYFUNCTION("""COMPUTED_VALUE"""),0.0)</f>
        <v>0</v>
      </c>
      <c r="BB251" s="1">
        <f>IFERROR(__xludf.DUMMYFUNCTION("""COMPUTED_VALUE"""),0.0)</f>
        <v>0</v>
      </c>
      <c r="BC251" s="4">
        <f>IFERROR(__xludf.DUMMYFUNCTION("""COMPUTED_VALUE"""),0.0)</f>
        <v>0</v>
      </c>
      <c r="BD251" s="4">
        <f>IFERROR(__xludf.DUMMYFUNCTION("""COMPUTED_VALUE"""),250.0)</f>
        <v>250</v>
      </c>
      <c r="BE251" s="1">
        <f>IFERROR(__xludf.DUMMYFUNCTION("""COMPUTED_VALUE"""),12.0)</f>
        <v>12</v>
      </c>
      <c r="BF251" s="6">
        <f>IFERROR(__xludf.DUMMYFUNCTION("""COMPUTED_VALUE"""),1.0)</f>
        <v>1</v>
      </c>
      <c r="BG251" s="1">
        <f>IFERROR(__xludf.DUMMYFUNCTION("""COMPUTED_VALUE"""),1.0)</f>
        <v>1</v>
      </c>
      <c r="BH251" s="1" t="str">
        <f>IFERROR(__xludf.DUMMYFUNCTION("""COMPUTED_VALUE"""),"0")</f>
        <v>0</v>
      </c>
      <c r="BI251" s="4">
        <f>IFERROR(__xludf.DUMMYFUNCTION("""COMPUTED_VALUE"""),250.0)</f>
        <v>250</v>
      </c>
      <c r="BJ251" s="1">
        <f>IFERROR(__xludf.DUMMYFUNCTION("""COMPUTED_VALUE"""),0.0)</f>
        <v>0</v>
      </c>
      <c r="BK251" s="4">
        <f>IFERROR(__xludf.DUMMYFUNCTION("""COMPUTED_VALUE"""),250.0)</f>
        <v>250</v>
      </c>
      <c r="BL251" s="1">
        <f>IFERROR(__xludf.DUMMYFUNCTION("""COMPUTED_VALUE"""),900.0)</f>
        <v>900</v>
      </c>
      <c r="BM251" s="1">
        <f>IFERROR(__xludf.DUMMYFUNCTION("""COMPUTED_VALUE"""),51.0)</f>
        <v>51</v>
      </c>
      <c r="BN251" s="2">
        <f>IFERROR(__xludf.DUMMYFUNCTION("""COMPUTED_VALUE"""),45642.0)</f>
        <v>45642</v>
      </c>
      <c r="BO251" s="1">
        <f>IFERROR(__xludf.DUMMYFUNCTION("""COMPUTED_VALUE"""),12.0)</f>
        <v>12</v>
      </c>
      <c r="BP251" s="1">
        <f>IFERROR(__xludf.DUMMYFUNCTION("""COMPUTED_VALUE"""),2024.0)</f>
        <v>2024</v>
      </c>
    </row>
    <row r="252">
      <c r="A252" s="1">
        <f>IFERROR(__xludf.DUMMYFUNCTION("""COMPUTED_VALUE"""),251.0)</f>
        <v>251</v>
      </c>
      <c r="B252" s="1">
        <f>IFERROR(__xludf.DUMMYFUNCTION("""COMPUTED_VALUE"""),4836416.0)</f>
        <v>4836416</v>
      </c>
      <c r="C252" s="1" t="str">
        <f>IFERROR(__xludf.DUMMYFUNCTION("""COMPUTED_VALUE"""),"2025-1")</f>
        <v>2025-1</v>
      </c>
      <c r="D252" s="1" t="str">
        <f>IFERROR(__xludf.DUMMYFUNCTION("""COMPUTED_VALUE"""),"Admisión de Alto Rendimiento")</f>
        <v>Admisión de Alto Rendimiento</v>
      </c>
      <c r="E252" s="2">
        <f>IFERROR(__xludf.DUMMYFUNCTION("""COMPUTED_VALUE"""),45643.0)</f>
        <v>45643</v>
      </c>
      <c r="F252" s="1" t="str">
        <f>IFERROR(__xludf.DUMMYFUNCTION("""COMPUTED_VALUE"""),"MICAELA ")</f>
        <v>MICAELA </v>
      </c>
      <c r="G252" s="1" t="str">
        <f>IFERROR(__xludf.DUMMYFUNCTION("""COMPUTED_VALUE"""),"ROSILLO RODRIGUEZ")</f>
        <v>ROSILLO RODRIGUEZ</v>
      </c>
      <c r="H252" s="1" t="str">
        <f>IFERROR(__xludf.DUMMYFUNCTION("""COMPUTED_VALUE"""),"Comunicación Audiovisual y Cine")</f>
        <v>Comunicación Audiovisual y Cine</v>
      </c>
      <c r="I252" s="1" t="str">
        <f>IFERROR(__xludf.DUMMYFUNCTION("""COMPUTED_VALUE"""),"CARGO")</f>
        <v>CARGO</v>
      </c>
      <c r="J252" s="1" t="str">
        <f>IFERROR(__xludf.DUMMYFUNCTION("""COMPUTED_VALUE"""),"Diurno")</f>
        <v>Diurno</v>
      </c>
      <c r="K252" s="1" t="str">
        <f>IFERROR(__xludf.DUMMYFUNCTION("""COMPUTED_VALUE"""),"NUEVO")</f>
        <v>NUEVO</v>
      </c>
      <c r="L252" s="1">
        <f>IFERROR(__xludf.DUMMYFUNCTION("""COMPUTED_VALUE"""),0.0)</f>
        <v>0</v>
      </c>
      <c r="M252" s="1">
        <f>IFERROR(__xludf.DUMMYFUNCTION("""COMPUTED_VALUE"""),0.0)</f>
        <v>0</v>
      </c>
      <c r="N252" s="1" t="str">
        <f>IFERROR(__xludf.DUMMYFUNCTION("""COMPUTED_VALUE"""),"BECA")</f>
        <v>BECA</v>
      </c>
      <c r="O252" s="1" t="str">
        <f>IFERROR(__xludf.DUMMYFUNCTION("""COMPUTED_VALUE"""),"BECA CARRERAS CORE")</f>
        <v>BECA CARRERAS CORE</v>
      </c>
      <c r="P252" s="4">
        <f>IFERROR(__xludf.DUMMYFUNCTION("""COMPUTED_VALUE"""),0.0)</f>
        <v>0</v>
      </c>
      <c r="Q252" s="4">
        <f>IFERROR(__xludf.DUMMYFUNCTION("""COMPUTED_VALUE"""),0.0)</f>
        <v>0</v>
      </c>
      <c r="R252" s="4">
        <f>IFERROR(__xludf.DUMMYFUNCTION("""COMPUTED_VALUE"""),2300.0)</f>
        <v>2300</v>
      </c>
      <c r="S252" s="4">
        <f>IFERROR(__xludf.DUMMYFUNCTION("""COMPUTED_VALUE"""),1840.0)</f>
        <v>1840</v>
      </c>
      <c r="T252" s="1" t="str">
        <f>IFERROR(__xludf.DUMMYFUNCTION("""COMPUTED_VALUE"""),"NINGUNO")</f>
        <v>NINGUNO</v>
      </c>
      <c r="U252" s="1" t="str">
        <f>IFERROR(__xludf.DUMMYFUNCTION("""COMPUTED_VALUE"""),"FABIOLA")</f>
        <v>FABIOLA</v>
      </c>
      <c r="V252" s="1" t="str">
        <f>IFERROR(__xludf.DUMMYFUNCTION("""COMPUTED_VALUE"""),"Ninguno")</f>
        <v>Ninguno</v>
      </c>
      <c r="W252" s="1" t="str">
        <f>IFERROR(__xludf.DUMMYFUNCTION("""COMPUTED_VALUE"""),"Prestigio de la institución")</f>
        <v>Prestigio de la institución</v>
      </c>
      <c r="X252" s="1" t="str">
        <f>IFERROR(__xludf.DUMMYFUNCTION("""COMPUTED_VALUE"""),"metodologia ")</f>
        <v>metodologia </v>
      </c>
      <c r="Y252" s="1" t="str">
        <f>IFERROR(__xludf.DUMMYFUNCTION("""COMPUTED_VALUE"""),"PAGO COMPLETO")</f>
        <v>PAGO COMPLETO</v>
      </c>
      <c r="Z252" s="1">
        <f>IFERROR(__xludf.DUMMYFUNCTION("""COMPUTED_VALUE"""),0.0)</f>
        <v>0</v>
      </c>
      <c r="AA252" s="1" t="str">
        <f>IFERROR(__xludf.DUMMYFUNCTION("""COMPUTED_VALUE"""),"-")</f>
        <v>-</v>
      </c>
      <c r="AB252" s="1">
        <f>IFERROR(__xludf.DUMMYFUNCTION("""COMPUTED_VALUE"""),0.0)</f>
        <v>0</v>
      </c>
      <c r="AC252" s="1">
        <f>IFERROR(__xludf.DUMMYFUNCTION("""COMPUTED_VALUE"""),0.0)</f>
        <v>0</v>
      </c>
      <c r="AD252" s="1" t="str">
        <f>IFERROR(__xludf.DUMMYFUNCTION("""COMPUTED_VALUE"""),"Rosa Ugarte")</f>
        <v>Rosa Ugarte</v>
      </c>
      <c r="AE252" s="1" t="str">
        <f>IFERROR(__xludf.DUMMYFUNCTION("""COMPUTED_VALUE"""),"0")</f>
        <v>0</v>
      </c>
      <c r="AF252" s="1">
        <f>IFERROR(__xludf.DUMMYFUNCTION("""COMPUTED_VALUE"""),2024.0)</f>
        <v>2024</v>
      </c>
      <c r="AG252" s="1">
        <f>IFERROR(__xludf.DUMMYFUNCTION("""COMPUTED_VALUE"""),1057082.0)</f>
        <v>1057082</v>
      </c>
      <c r="AH252" s="1">
        <f>IFERROR(__xludf.DUMMYFUNCTION("""COMPUTED_VALUE"""),19.0)</f>
        <v>19</v>
      </c>
      <c r="AI252" s="1" t="str">
        <f>IFERROR(__xludf.DUMMYFUNCTION("""COMPUTED_VALUE"""),"0000402515")</f>
        <v>0000402515</v>
      </c>
      <c r="AJ252" s="1">
        <f>IFERROR(__xludf.DUMMYFUNCTION("""COMPUTED_VALUE"""),7.2624466E7)</f>
        <v>72624466</v>
      </c>
      <c r="AK252" s="1">
        <f>IFERROR(__xludf.DUMMYFUNCTION("""COMPUTED_VALUE"""),9.98133501E8)</f>
        <v>998133501</v>
      </c>
      <c r="AL252" s="1" t="str">
        <f>IFERROR(__xludf.DUMMYFUNCTION("""COMPUTED_VALUE"""),"rosillo.pa@pucp.pe")</f>
        <v>rosillo.pa@pucp.pe</v>
      </c>
      <c r="AM252" s="1" t="str">
        <f>IFERROR(__xludf.DUMMYFUNCTION("""COMPUTED_VALUE"""),"FEMENINO")</f>
        <v>FEMENINO</v>
      </c>
      <c r="AN252" s="1">
        <f>IFERROR(__xludf.DUMMYFUNCTION("""COMPUTED_VALUE"""),2300.0)</f>
        <v>2300</v>
      </c>
      <c r="AO252" s="1">
        <f>IFERROR(__xludf.DUMMYFUNCTION("""COMPUTED_VALUE"""),1800.0)</f>
        <v>1800</v>
      </c>
      <c r="AP252" s="1" t="str">
        <f>IFERROR(__xludf.DUMMYFUNCTION("""COMPUTED_VALUE"""),"FORMULARIO")</f>
        <v>FORMULARIO</v>
      </c>
      <c r="AQ252" s="1" t="str">
        <f>IFERROR(__xludf.DUMMYFUNCTION("""COMPUTED_VALUE"""),"SEARCH MARCA")</f>
        <v>SEARCH MARCA</v>
      </c>
      <c r="AR252" s="1" t="str">
        <f>IFERROR(__xludf.DUMMYFUNCTION("""COMPUTED_VALUE"""),"HEREDADO")</f>
        <v>HEREDADO</v>
      </c>
      <c r="AS252" s="1" t="str">
        <f>IFERROR(__xludf.DUMMYFUNCTION("""COMPUTED_VALUE"""),"ucal-pg-performance-sedes-abierta-cpl-search_conversion_marca-20240401")</f>
        <v>ucal-pg-performance-sedes-abierta-cpl-search_conversion_marca-20240401</v>
      </c>
      <c r="AT252" s="2">
        <f>IFERROR(__xludf.DUMMYFUNCTION("""COMPUTED_VALUE"""),45588.0)</f>
        <v>45588</v>
      </c>
      <c r="AU252" s="1">
        <f>IFERROR(__xludf.DUMMYFUNCTION("""COMPUTED_VALUE"""),1.0)</f>
        <v>1</v>
      </c>
      <c r="AV252" s="1" t="str">
        <f>IFERROR(__xludf.DUMMYFUNCTION("""COMPUTED_VALUE"""),"NUEVO")</f>
        <v>NUEVO</v>
      </c>
      <c r="AW252" s="1" t="str">
        <f>IFERROR(__xludf.DUMMYFUNCTION("""COMPUTED_VALUE"""),"SI")</f>
        <v>SI</v>
      </c>
      <c r="AX252" s="1"/>
      <c r="AY252" s="1" t="str">
        <f>IFERROR(__xludf.DUMMYFUNCTION("""COMPUTED_VALUE"""),"PAGO COMPLETO")</f>
        <v>PAGO COMPLETO</v>
      </c>
      <c r="AZ252" s="5">
        <f>IFERROR(__xludf.DUMMYFUNCTION("""COMPUTED_VALUE"""),45643.0)</f>
        <v>45643</v>
      </c>
      <c r="BA252" s="1">
        <f>IFERROR(__xludf.DUMMYFUNCTION("""COMPUTED_VALUE"""),0.0)</f>
        <v>0</v>
      </c>
      <c r="BB252" s="1">
        <f>IFERROR(__xludf.DUMMYFUNCTION("""COMPUTED_VALUE"""),0.0)</f>
        <v>0</v>
      </c>
      <c r="BC252" s="4">
        <f>IFERROR(__xludf.DUMMYFUNCTION("""COMPUTED_VALUE"""),0.0)</f>
        <v>0</v>
      </c>
      <c r="BD252" s="4">
        <f>IFERROR(__xludf.DUMMYFUNCTION("""COMPUTED_VALUE"""),0.0)</f>
        <v>0</v>
      </c>
      <c r="BE252" s="1">
        <f>IFERROR(__xludf.DUMMYFUNCTION("""COMPUTED_VALUE"""),12.0)</f>
        <v>12</v>
      </c>
      <c r="BF252" s="6">
        <f>IFERROR(__xludf.DUMMYFUNCTION("""COMPUTED_VALUE"""),1.0)</f>
        <v>1</v>
      </c>
      <c r="BG252" s="1">
        <f>IFERROR(__xludf.DUMMYFUNCTION("""COMPUTED_VALUE"""),1.0)</f>
        <v>1</v>
      </c>
      <c r="BH252" s="1" t="str">
        <f>IFERROR(__xludf.DUMMYFUNCTION("""COMPUTED_VALUE"""),"0")</f>
        <v>0</v>
      </c>
      <c r="BI252" s="4">
        <f>IFERROR(__xludf.DUMMYFUNCTION("""COMPUTED_VALUE"""),0.0)</f>
        <v>0</v>
      </c>
      <c r="BJ252" s="1">
        <f>IFERROR(__xludf.DUMMYFUNCTION("""COMPUTED_VALUE"""),0.0)</f>
        <v>0</v>
      </c>
      <c r="BK252" s="4">
        <f>IFERROR(__xludf.DUMMYFUNCTION("""COMPUTED_VALUE"""),0.0)</f>
        <v>0</v>
      </c>
      <c r="BL252" s="1">
        <f>IFERROR(__xludf.DUMMYFUNCTION("""COMPUTED_VALUE"""),1840.0)</f>
        <v>1840</v>
      </c>
      <c r="BM252" s="1">
        <f>IFERROR(__xludf.DUMMYFUNCTION("""COMPUTED_VALUE"""),51.0)</f>
        <v>51</v>
      </c>
      <c r="BN252" s="2">
        <f>IFERROR(__xludf.DUMMYFUNCTION("""COMPUTED_VALUE"""),45642.0)</f>
        <v>45642</v>
      </c>
      <c r="BO252" s="1">
        <f>IFERROR(__xludf.DUMMYFUNCTION("""COMPUTED_VALUE"""),12.0)</f>
        <v>12</v>
      </c>
      <c r="BP252" s="1">
        <f>IFERROR(__xludf.DUMMYFUNCTION("""COMPUTED_VALUE"""),2024.0)</f>
        <v>2024</v>
      </c>
    </row>
    <row r="253">
      <c r="A253" s="1">
        <f>IFERROR(__xludf.DUMMYFUNCTION("""COMPUTED_VALUE"""),252.0)</f>
        <v>252</v>
      </c>
      <c r="B253" s="1">
        <f>IFERROR(__xludf.DUMMYFUNCTION("""COMPUTED_VALUE"""),2551134.0)</f>
        <v>2551134</v>
      </c>
      <c r="C253" s="1" t="str">
        <f>IFERROR(__xludf.DUMMYFUNCTION("""COMPUTED_VALUE"""),"2025-1")</f>
        <v>2025-1</v>
      </c>
      <c r="D253" s="1" t="str">
        <f>IFERROR(__xludf.DUMMYFUNCTION("""COMPUTED_VALUE"""),"Admisión Extraordinaria (Traslados)")</f>
        <v>Admisión Extraordinaria (Traslados)</v>
      </c>
      <c r="E253" s="2">
        <f>IFERROR(__xludf.DUMMYFUNCTION("""COMPUTED_VALUE"""),45643.0)</f>
        <v>45643</v>
      </c>
      <c r="F253" s="1" t="str">
        <f>IFERROR(__xludf.DUMMYFUNCTION("""COMPUTED_VALUE"""),"RENATO AARON")</f>
        <v>RENATO AARON</v>
      </c>
      <c r="G253" s="1" t="str">
        <f>IFERROR(__xludf.DUMMYFUNCTION("""COMPUTED_VALUE"""),"JARA IBARRA")</f>
        <v>JARA IBARRA</v>
      </c>
      <c r="H253" s="1" t="str">
        <f>IFERROR(__xludf.DUMMYFUNCTION("""COMPUTED_VALUE"""),"Arquitectura")</f>
        <v>Arquitectura</v>
      </c>
      <c r="I253" s="1" t="str">
        <f>IFERROR(__xludf.DUMMYFUNCTION("""COMPUTED_VALUE"""),"Pago Link")</f>
        <v>Pago Link</v>
      </c>
      <c r="J253" s="1" t="str">
        <f>IFERROR(__xludf.DUMMYFUNCTION("""COMPUTED_VALUE"""),"Diurno")</f>
        <v>Diurno</v>
      </c>
      <c r="K253" s="1" t="str">
        <f>IFERROR(__xludf.DUMMYFUNCTION("""COMPUTED_VALUE"""),"TRASLADO")</f>
        <v>TRASLADO</v>
      </c>
      <c r="L253" s="1">
        <f>IFERROR(__xludf.DUMMYFUNCTION("""COMPUTED_VALUE"""),1.0)</f>
        <v>1</v>
      </c>
      <c r="M253" s="1">
        <f>IFERROR(__xludf.DUMMYFUNCTION("""COMPUTED_VALUE"""),0.0)</f>
        <v>0</v>
      </c>
      <c r="N253" s="1" t="str">
        <f>IFERROR(__xludf.DUMMYFUNCTION("""COMPUTED_VALUE"""),"RECA")</f>
        <v>RECA</v>
      </c>
      <c r="O253" s="1" t="str">
        <f>IFERROR(__xludf.DUMMYFUNCTION("""COMPUTED_VALUE"""),"RECA TRASLADO CON CONVA")</f>
        <v>RECA TRASLADO CON CONVA</v>
      </c>
      <c r="P253" s="4">
        <f>IFERROR(__xludf.DUMMYFUNCTION("""COMPUTED_VALUE"""),0.0)</f>
        <v>0</v>
      </c>
      <c r="Q253" s="4">
        <f>IFERROR(__xludf.DUMMYFUNCTION("""COMPUTED_VALUE"""),0.0)</f>
        <v>0</v>
      </c>
      <c r="R253" s="4">
        <f>IFERROR(__xludf.DUMMYFUNCTION("""COMPUTED_VALUE"""),1600.0)</f>
        <v>1600</v>
      </c>
      <c r="S253" s="4">
        <f>IFERROR(__xludf.DUMMYFUNCTION("""COMPUTED_VALUE"""),1400.0)</f>
        <v>1400</v>
      </c>
      <c r="T253" s="1" t="str">
        <f>IFERROR(__xludf.DUMMYFUNCTION("""COMPUTED_VALUE"""),"NINGUNO")</f>
        <v>NINGUNO</v>
      </c>
      <c r="U253" s="1" t="str">
        <f>IFERROR(__xludf.DUMMYFUNCTION("""COMPUTED_VALUE"""),"FABIOLA")</f>
        <v>FABIOLA</v>
      </c>
      <c r="V253" s="1" t="str">
        <f>IFERROR(__xludf.DUMMYFUNCTION("""COMPUTED_VALUE"""),"Ninguno")</f>
        <v>Ninguno</v>
      </c>
      <c r="W253" s="1" t="str">
        <f>IFERROR(__xludf.DUMMYFUNCTION("""COMPUTED_VALUE"""),"Docentes")</f>
        <v>Docentes</v>
      </c>
      <c r="X253" s="1" t="str">
        <f>IFERROR(__xludf.DUMMYFUNCTION("""COMPUTED_VALUE"""),"-")</f>
        <v>-</v>
      </c>
      <c r="Y253" s="1" t="str">
        <f>IFERROR(__xludf.DUMMYFUNCTION("""COMPUTED_VALUE"""),"PAGO FRACCIONADO")</f>
        <v>PAGO FRACCIONADO</v>
      </c>
      <c r="Z253" s="1">
        <f>IFERROR(__xludf.DUMMYFUNCTION("""COMPUTED_VALUE"""),700.0)</f>
        <v>700</v>
      </c>
      <c r="AA253" s="1" t="str">
        <f>IFERROR(__xludf.DUMMYFUNCTION("""COMPUTED_VALUE"""),"29/12/2024")</f>
        <v>29/12/2024</v>
      </c>
      <c r="AB253" s="1">
        <f>IFERROR(__xludf.DUMMYFUNCTION("""COMPUTED_VALUE"""),1.0)</f>
        <v>1</v>
      </c>
      <c r="AC253" s="1">
        <f>IFERROR(__xludf.DUMMYFUNCTION("""COMPUTED_VALUE"""),0.0)</f>
        <v>0</v>
      </c>
      <c r="AD253" s="1" t="str">
        <f>IFERROR(__xludf.DUMMYFUNCTION("""COMPUTED_VALUE"""),"Angelica Iparraguirre")</f>
        <v>Angelica Iparraguirre</v>
      </c>
      <c r="AE253" s="1" t="str">
        <f>IFERROR(__xludf.DUMMYFUNCTION("""COMPUTED_VALUE"""),"Universidad San Ignacio De Loyola - Usil")</f>
        <v>Universidad San Ignacio De Loyola - Usil</v>
      </c>
      <c r="AF253" s="1">
        <f>IFERROR(__xludf.DUMMYFUNCTION("""COMPUTED_VALUE"""),2016.0)</f>
        <v>2016</v>
      </c>
      <c r="AG253" s="1">
        <f>IFERROR(__xludf.DUMMYFUNCTION("""COMPUTED_VALUE"""),1507524.0)</f>
        <v>1507524</v>
      </c>
      <c r="AH253" s="1">
        <f>IFERROR(__xludf.DUMMYFUNCTION("""COMPUTED_VALUE"""),24.0)</f>
        <v>24</v>
      </c>
      <c r="AI253" s="1" t="str">
        <f>IFERROR(__xludf.DUMMYFUNCTION("""COMPUTED_VALUE"""),"0000404506")</f>
        <v>0000404506</v>
      </c>
      <c r="AJ253" s="1">
        <f>IFERROR(__xludf.DUMMYFUNCTION("""COMPUTED_VALUE"""),7.6591528E7)</f>
        <v>76591528</v>
      </c>
      <c r="AK253" s="1">
        <f>IFERROR(__xludf.DUMMYFUNCTION("""COMPUTED_VALUE"""),5.19764459E8)</f>
        <v>519764459</v>
      </c>
      <c r="AL253" s="1" t="str">
        <f>IFERROR(__xludf.DUMMYFUNCTION("""COMPUTED_VALUE"""),"aaronjir@gmail.com")</f>
        <v>aaronjir@gmail.com</v>
      </c>
      <c r="AM253" s="1" t="str">
        <f>IFERROR(__xludf.DUMMYFUNCTION("""COMPUTED_VALUE"""),"MASCULINO")</f>
        <v>MASCULINO</v>
      </c>
      <c r="AN253" s="1">
        <f>IFERROR(__xludf.DUMMYFUNCTION("""COMPUTED_VALUE"""),1600.0)</f>
        <v>1600</v>
      </c>
      <c r="AO253" s="1">
        <f>IFERROR(__xludf.DUMMYFUNCTION("""COMPUTED_VALUE"""),620.0)</f>
        <v>620</v>
      </c>
      <c r="AP253" s="1" t="str">
        <f>IFERROR(__xludf.DUMMYFUNCTION("""COMPUTED_VALUE"""),"OUTBOUND")</f>
        <v>OUTBOUND</v>
      </c>
      <c r="AQ253" s="1" t="str">
        <f>IFERROR(__xludf.DUMMYFUNCTION("""COMPUTED_VALUE"""),"OUTBOUND")</f>
        <v>OUTBOUND</v>
      </c>
      <c r="AR253" s="1" t="str">
        <f>IFERROR(__xludf.DUMMYFUNCTION("""COMPUTED_VALUE"""),"HEREDADO")</f>
        <v>HEREDADO</v>
      </c>
      <c r="AS253" s="1"/>
      <c r="AT253" s="2">
        <f>IFERROR(__xludf.DUMMYFUNCTION("""COMPUTED_VALUE"""),45638.0)</f>
        <v>45638</v>
      </c>
      <c r="AU253" s="1">
        <f>IFERROR(__xludf.DUMMYFUNCTION("""COMPUTED_VALUE"""),1.0)</f>
        <v>1</v>
      </c>
      <c r="AV253" s="1" t="str">
        <f>IFERROR(__xludf.DUMMYFUNCTION("""COMPUTED_VALUE"""),"TRASLADO")</f>
        <v>TRASLADO</v>
      </c>
      <c r="AW253" s="1" t="str">
        <f>IFERROR(__xludf.DUMMYFUNCTION("""COMPUTED_VALUE"""),"SI")</f>
        <v>SI</v>
      </c>
      <c r="AX253" s="1"/>
      <c r="AY253" s="1" t="str">
        <f>IFERROR(__xludf.DUMMYFUNCTION("""COMPUTED_VALUE"""),"PAGO FRACCIONADO")</f>
        <v>PAGO FRACCIONADO</v>
      </c>
      <c r="AZ253" s="1"/>
      <c r="BA253" s="1">
        <f>IFERROR(__xludf.DUMMYFUNCTION("""COMPUTED_VALUE"""),0.0)</f>
        <v>0</v>
      </c>
      <c r="BB253" s="1">
        <f>IFERROR(__xludf.DUMMYFUNCTION("""COMPUTED_VALUE"""),0.0)</f>
        <v>0</v>
      </c>
      <c r="BC253" s="4">
        <f>IFERROR(__xludf.DUMMYFUNCTION("""COMPUTED_VALUE"""),700.0)</f>
        <v>700</v>
      </c>
      <c r="BD253" s="4">
        <f>IFERROR(__xludf.DUMMYFUNCTION("""COMPUTED_VALUE"""),0.0)</f>
        <v>0</v>
      </c>
      <c r="BE253" s="1">
        <f>IFERROR(__xludf.DUMMYFUNCTION("""COMPUTED_VALUE"""),12.0)</f>
        <v>12</v>
      </c>
      <c r="BF253" s="6">
        <f>IFERROR(__xludf.DUMMYFUNCTION("""COMPUTED_VALUE"""),0.5)</f>
        <v>0.5</v>
      </c>
      <c r="BG253" s="1">
        <f>IFERROR(__xludf.DUMMYFUNCTION("""COMPUTED_VALUE"""),1.0)</f>
        <v>1</v>
      </c>
      <c r="BH253" s="1" t="str">
        <f>IFERROR(__xludf.DUMMYFUNCTION("""COMPUTED_VALUE"""),"0")</f>
        <v>0</v>
      </c>
      <c r="BI253" s="4">
        <f>IFERROR(__xludf.DUMMYFUNCTION("""COMPUTED_VALUE"""),700.0)</f>
        <v>700</v>
      </c>
      <c r="BJ253" s="1">
        <f>IFERROR(__xludf.DUMMYFUNCTION("""COMPUTED_VALUE"""),0.0)</f>
        <v>0</v>
      </c>
      <c r="BK253" s="4">
        <f>IFERROR(__xludf.DUMMYFUNCTION("""COMPUTED_VALUE"""),0.0)</f>
        <v>0</v>
      </c>
      <c r="BL253" s="1">
        <f>IFERROR(__xludf.DUMMYFUNCTION("""COMPUTED_VALUE"""),1400.0)</f>
        <v>1400</v>
      </c>
      <c r="BM253" s="1">
        <f>IFERROR(__xludf.DUMMYFUNCTION("""COMPUTED_VALUE"""),51.0)</f>
        <v>51</v>
      </c>
      <c r="BN253" s="2">
        <f>IFERROR(__xludf.DUMMYFUNCTION("""COMPUTED_VALUE"""),45642.0)</f>
        <v>45642</v>
      </c>
      <c r="BO253" s="1">
        <f>IFERROR(__xludf.DUMMYFUNCTION("""COMPUTED_VALUE"""),12.0)</f>
        <v>12</v>
      </c>
      <c r="BP253" s="1">
        <f>IFERROR(__xludf.DUMMYFUNCTION("""COMPUTED_VALUE"""),2024.0)</f>
        <v>2024</v>
      </c>
    </row>
    <row r="254">
      <c r="A254" s="1">
        <f>IFERROR(__xludf.DUMMYFUNCTION("""COMPUTED_VALUE"""),253.0)</f>
        <v>253</v>
      </c>
      <c r="B254" s="1">
        <f>IFERROR(__xludf.DUMMYFUNCTION("""COMPUTED_VALUE"""),763222.0)</f>
        <v>763222</v>
      </c>
      <c r="C254" s="1" t="str">
        <f>IFERROR(__xludf.DUMMYFUNCTION("""COMPUTED_VALUE"""),"2025-1")</f>
        <v>2025-1</v>
      </c>
      <c r="D254" s="1" t="str">
        <f>IFERROR(__xludf.DUMMYFUNCTION("""COMPUTED_VALUE"""),"Admisión Extraordinaria (Traslados)")</f>
        <v>Admisión Extraordinaria (Traslados)</v>
      </c>
      <c r="E254" s="2">
        <f>IFERROR(__xludf.DUMMYFUNCTION("""COMPUTED_VALUE"""),45643.0)</f>
        <v>45643</v>
      </c>
      <c r="F254" s="1" t="str">
        <f>IFERROR(__xludf.DUMMYFUNCTION("""COMPUTED_VALUE"""),"LIZBET XIOMARA")</f>
        <v>LIZBET XIOMARA</v>
      </c>
      <c r="G254" s="1" t="str">
        <f>IFERROR(__xludf.DUMMYFUNCTION("""COMPUTED_VALUE"""),"ALVA ABANTO ")</f>
        <v>ALVA ABANTO </v>
      </c>
      <c r="H254" s="1" t="str">
        <f>IFERROR(__xludf.DUMMYFUNCTION("""COMPUTED_VALUE"""),"Comunicación y Publicidad Transmedia")</f>
        <v>Comunicación y Publicidad Transmedia</v>
      </c>
      <c r="I254" s="1" t="str">
        <f>IFERROR(__xludf.DUMMYFUNCTION("""COMPUTED_VALUE"""),"POS")</f>
        <v>POS</v>
      </c>
      <c r="J254" s="1" t="str">
        <f>IFERROR(__xludf.DUMMYFUNCTION("""COMPUTED_VALUE"""),"Diurno")</f>
        <v>Diurno</v>
      </c>
      <c r="K254" s="1" t="str">
        <f>IFERROR(__xludf.DUMMYFUNCTION("""COMPUTED_VALUE"""),"TRASLADO")</f>
        <v>TRASLADO</v>
      </c>
      <c r="L254" s="1">
        <f>IFERROR(__xludf.DUMMYFUNCTION("""COMPUTED_VALUE"""),1.0)</f>
        <v>1</v>
      </c>
      <c r="M254" s="1">
        <f>IFERROR(__xludf.DUMMYFUNCTION("""COMPUTED_VALUE"""),0.0)</f>
        <v>0</v>
      </c>
      <c r="N254" s="1" t="str">
        <f>IFERROR(__xludf.DUMMYFUNCTION("""COMPUTED_VALUE"""),"RECA")</f>
        <v>RECA</v>
      </c>
      <c r="O254" s="1" t="str">
        <f>IFERROR(__xludf.DUMMYFUNCTION("""COMPUTED_VALUE"""),"RECA TRASLADO CON CONVA")</f>
        <v>RECA TRASLADO CON CONVA</v>
      </c>
      <c r="P254" s="4">
        <f>IFERROR(__xludf.DUMMYFUNCTION("""COMPUTED_VALUE"""),0.0)</f>
        <v>0</v>
      </c>
      <c r="Q254" s="4">
        <f>IFERROR(__xludf.DUMMYFUNCTION("""COMPUTED_VALUE"""),0.0)</f>
        <v>0</v>
      </c>
      <c r="R254" s="4">
        <f>IFERROR(__xludf.DUMMYFUNCTION("""COMPUTED_VALUE"""),1000.0)</f>
        <v>1000</v>
      </c>
      <c r="S254" s="4">
        <f>IFERROR(__xludf.DUMMYFUNCTION("""COMPUTED_VALUE"""),1000.0)</f>
        <v>1000</v>
      </c>
      <c r="T254" s="1" t="str">
        <f>IFERROR(__xludf.DUMMYFUNCTION("""COMPUTED_VALUE"""),"Visita Guiada")</f>
        <v>Visita Guiada</v>
      </c>
      <c r="U254" s="1" t="str">
        <f>IFERROR(__xludf.DUMMYFUNCTION("""COMPUTED_VALUE"""),"FABIOLA")</f>
        <v>FABIOLA</v>
      </c>
      <c r="V254" s="1" t="str">
        <f>IFERROR(__xludf.DUMMYFUNCTION("""COMPUTED_VALUE"""),"Ninguno")</f>
        <v>Ninguno</v>
      </c>
      <c r="W254" s="1" t="str">
        <f>IFERROR(__xludf.DUMMYFUNCTION("""COMPUTED_VALUE"""),"Malla curricular")</f>
        <v>Malla curricular</v>
      </c>
      <c r="X254" s="1" t="str">
        <f>IFERROR(__xludf.DUMMYFUNCTION("""COMPUTED_VALUE"""),"RECA DE 1000 POR SER CONVALIDACION ")</f>
        <v>RECA DE 1000 POR SER CONVALIDACION </v>
      </c>
      <c r="Y254" s="1" t="str">
        <f>IFERROR(__xludf.DUMMYFUNCTION("""COMPUTED_VALUE"""),"PAGO COMPLETO")</f>
        <v>PAGO COMPLETO</v>
      </c>
      <c r="Z254" s="1">
        <f>IFERROR(__xludf.DUMMYFUNCTION("""COMPUTED_VALUE"""),0.0)</f>
        <v>0</v>
      </c>
      <c r="AA254" s="1" t="str">
        <f>IFERROR(__xludf.DUMMYFUNCTION("""COMPUTED_VALUE"""),"-")</f>
        <v>-</v>
      </c>
      <c r="AB254" s="1">
        <f>IFERROR(__xludf.DUMMYFUNCTION("""COMPUTED_VALUE"""),1.0)</f>
        <v>1</v>
      </c>
      <c r="AC254" s="1">
        <f>IFERROR(__xludf.DUMMYFUNCTION("""COMPUTED_VALUE"""),0.0)</f>
        <v>0</v>
      </c>
      <c r="AD254" s="1" t="str">
        <f>IFERROR(__xludf.DUMMYFUNCTION("""COMPUTED_VALUE"""),"Daniel Zapata")</f>
        <v>Daniel Zapata</v>
      </c>
      <c r="AE254" s="1" t="str">
        <f>IFERROR(__xludf.DUMMYFUNCTION("""COMPUTED_VALUE"""),"Instituto de Educación Superior Tecnológico Privado Toulouse Lautrec")</f>
        <v>Instituto de Educación Superior Tecnológico Privado Toulouse Lautrec</v>
      </c>
      <c r="AF254" s="1">
        <f>IFERROR(__xludf.DUMMYFUNCTION("""COMPUTED_VALUE"""),2020.0)</f>
        <v>2020</v>
      </c>
      <c r="AG254" s="1">
        <f>IFERROR(__xludf.DUMMYFUNCTION("""COMPUTED_VALUE"""),583385.0)</f>
        <v>583385</v>
      </c>
      <c r="AH254" s="1">
        <f>IFERROR(__xludf.DUMMYFUNCTION("""COMPUTED_VALUE"""),24.0)</f>
        <v>24</v>
      </c>
      <c r="AI254" s="1" t="str">
        <f>IFERROR(__xludf.DUMMYFUNCTION("""COMPUTED_VALUE"""),"2019007517")</f>
        <v>2019007517</v>
      </c>
      <c r="AJ254" s="1">
        <f>IFERROR(__xludf.DUMMYFUNCTION("""COMPUTED_VALUE"""),7.1542089E7)</f>
        <v>71542089</v>
      </c>
      <c r="AK254" s="1">
        <f>IFERROR(__xludf.DUMMYFUNCTION("""COMPUTED_VALUE"""),9.93335578E8)</f>
        <v>993335578</v>
      </c>
      <c r="AL254" s="1" t="str">
        <f>IFERROR(__xludf.DUMMYFUNCTION("""COMPUTED_VALUE"""),"xiomara.alva.abanto@gmail.com")</f>
        <v>xiomara.alva.abanto@gmail.com</v>
      </c>
      <c r="AM254" s="1" t="str">
        <f>IFERROR(__xludf.DUMMYFUNCTION("""COMPUTED_VALUE"""),"FEMENINO")</f>
        <v>FEMENINO</v>
      </c>
      <c r="AN254" s="1">
        <f>IFERROR(__xludf.DUMMYFUNCTION("""COMPUTED_VALUE"""),1350.0)</f>
        <v>1350</v>
      </c>
      <c r="AO254" s="1">
        <f>IFERROR(__xludf.DUMMYFUNCTION("""COMPUTED_VALUE"""),0.0)</f>
        <v>0</v>
      </c>
      <c r="AP254" s="1" t="str">
        <f>IFERROR(__xludf.DUMMYFUNCTION("""COMPUTED_VALUE"""),"FORMULARIO")</f>
        <v>FORMULARIO</v>
      </c>
      <c r="AQ254" s="1" t="str">
        <f>IFERROR(__xludf.DUMMYFUNCTION("""COMPUTED_VALUE"""),"ORGANICO")</f>
        <v>ORGANICO</v>
      </c>
      <c r="AR254" s="1" t="str">
        <f>IFERROR(__xludf.DUMMYFUNCTION("""COMPUTED_VALUE"""),"HEREDADO")</f>
        <v>HEREDADO</v>
      </c>
      <c r="AS254" s="1"/>
      <c r="AT254" s="2">
        <f>IFERROR(__xludf.DUMMYFUNCTION("""COMPUTED_VALUE"""),45636.0)</f>
        <v>45636</v>
      </c>
      <c r="AU254" s="1">
        <f>IFERROR(__xludf.DUMMYFUNCTION("""COMPUTED_VALUE"""),1.0)</f>
        <v>1</v>
      </c>
      <c r="AV254" s="1" t="str">
        <f>IFERROR(__xludf.DUMMYFUNCTION("""COMPUTED_VALUE"""),"TRASLADO")</f>
        <v>TRASLADO</v>
      </c>
      <c r="AW254" s="1" t="str">
        <f>IFERROR(__xludf.DUMMYFUNCTION("""COMPUTED_VALUE"""),"SI")</f>
        <v>SI</v>
      </c>
      <c r="AX254" s="1"/>
      <c r="AY254" s="1" t="str">
        <f>IFERROR(__xludf.DUMMYFUNCTION("""COMPUTED_VALUE"""),"PAGO COMPLETO")</f>
        <v>PAGO COMPLETO</v>
      </c>
      <c r="AZ254" s="5">
        <f>IFERROR(__xludf.DUMMYFUNCTION("""COMPUTED_VALUE"""),45643.0)</f>
        <v>45643</v>
      </c>
      <c r="BA254" s="1">
        <f>IFERROR(__xludf.DUMMYFUNCTION("""COMPUTED_VALUE"""),0.0)</f>
        <v>0</v>
      </c>
      <c r="BB254" s="1">
        <f>IFERROR(__xludf.DUMMYFUNCTION("""COMPUTED_VALUE"""),0.0)</f>
        <v>0</v>
      </c>
      <c r="BC254" s="4">
        <f>IFERROR(__xludf.DUMMYFUNCTION("""COMPUTED_VALUE"""),0.0)</f>
        <v>0</v>
      </c>
      <c r="BD254" s="4">
        <f>IFERROR(__xludf.DUMMYFUNCTION("""COMPUTED_VALUE"""),100.0)</f>
        <v>100</v>
      </c>
      <c r="BE254" s="1">
        <f>IFERROR(__xludf.DUMMYFUNCTION("""COMPUTED_VALUE"""),12.0)</f>
        <v>12</v>
      </c>
      <c r="BF254" s="6">
        <f>IFERROR(__xludf.DUMMYFUNCTION("""COMPUTED_VALUE"""),1.0)</f>
        <v>1</v>
      </c>
      <c r="BG254" s="1">
        <f>IFERROR(__xludf.DUMMYFUNCTION("""COMPUTED_VALUE"""),1.0)</f>
        <v>1</v>
      </c>
      <c r="BH254" s="1" t="str">
        <f>IFERROR(__xludf.DUMMYFUNCTION("""COMPUTED_VALUE"""),"1")</f>
        <v>1</v>
      </c>
      <c r="BI254" s="4">
        <f>IFERROR(__xludf.DUMMYFUNCTION("""COMPUTED_VALUE"""),100.0)</f>
        <v>100</v>
      </c>
      <c r="BJ254" s="1">
        <f>IFERROR(__xludf.DUMMYFUNCTION("""COMPUTED_VALUE"""),0.0)</f>
        <v>0</v>
      </c>
      <c r="BK254" s="4">
        <f>IFERROR(__xludf.DUMMYFUNCTION("""COMPUTED_VALUE"""),100.0)</f>
        <v>100</v>
      </c>
      <c r="BL254" s="1">
        <f>IFERROR(__xludf.DUMMYFUNCTION("""COMPUTED_VALUE"""),980.0)</f>
        <v>980</v>
      </c>
      <c r="BM254" s="1">
        <f>IFERROR(__xludf.DUMMYFUNCTION("""COMPUTED_VALUE"""),51.0)</f>
        <v>51</v>
      </c>
      <c r="BN254" s="2">
        <f>IFERROR(__xludf.DUMMYFUNCTION("""COMPUTED_VALUE"""),45642.0)</f>
        <v>45642</v>
      </c>
      <c r="BO254" s="1">
        <f>IFERROR(__xludf.DUMMYFUNCTION("""COMPUTED_VALUE"""),12.0)</f>
        <v>12</v>
      </c>
      <c r="BP254" s="1">
        <f>IFERROR(__xludf.DUMMYFUNCTION("""COMPUTED_VALUE"""),2024.0)</f>
        <v>2024</v>
      </c>
    </row>
    <row r="255">
      <c r="A255" s="1">
        <f>IFERROR(__xludf.DUMMYFUNCTION("""COMPUTED_VALUE"""),254.0)</f>
        <v>254</v>
      </c>
      <c r="B255" s="1">
        <f>IFERROR(__xludf.DUMMYFUNCTION("""COMPUTED_VALUE"""),3257372.0)</f>
        <v>3257372</v>
      </c>
      <c r="C255" s="1" t="str">
        <f>IFERROR(__xludf.DUMMYFUNCTION("""COMPUTED_VALUE"""),"2025-1")</f>
        <v>2025-1</v>
      </c>
      <c r="D255" s="1" t="str">
        <f>IFERROR(__xludf.DUMMYFUNCTION("""COMPUTED_VALUE"""),"Admisión de Alto Rendimiento")</f>
        <v>Admisión de Alto Rendimiento</v>
      </c>
      <c r="E255" s="2">
        <f>IFERROR(__xludf.DUMMYFUNCTION("""COMPUTED_VALUE"""),45644.0)</f>
        <v>45644</v>
      </c>
      <c r="F255" s="1" t="str">
        <f>IFERROR(__xludf.DUMMYFUNCTION("""COMPUTED_VALUE"""),"LEONARDO SEBASTIAN")</f>
        <v>LEONARDO SEBASTIAN</v>
      </c>
      <c r="G255" s="1" t="str">
        <f>IFERROR(__xludf.DUMMYFUNCTION("""COMPUTED_VALUE"""),"IRIARTE GALLESI")</f>
        <v>IRIARTE GALLESI</v>
      </c>
      <c r="H255" s="1" t="str">
        <f>IFERROR(__xludf.DUMMYFUNCTION("""COMPUTED_VALUE"""),"Comunicación Audiovisual y Cine")</f>
        <v>Comunicación Audiovisual y Cine</v>
      </c>
      <c r="I255" s="1" t="str">
        <f>IFERROR(__xludf.DUMMYFUNCTION("""COMPUTED_VALUE"""),"POS")</f>
        <v>POS</v>
      </c>
      <c r="J255" s="1" t="str">
        <f>IFERROR(__xludf.DUMMYFUNCTION("""COMPUTED_VALUE"""),"Diurno")</f>
        <v>Diurno</v>
      </c>
      <c r="K255" s="1" t="str">
        <f>IFERROR(__xludf.DUMMYFUNCTION("""COMPUTED_VALUE"""),"NUEVO")</f>
        <v>NUEVO</v>
      </c>
      <c r="L255" s="1">
        <f>IFERROR(__xludf.DUMMYFUNCTION("""COMPUTED_VALUE"""),0.0)</f>
        <v>0</v>
      </c>
      <c r="M255" s="1">
        <f>IFERROR(__xludf.DUMMYFUNCTION("""COMPUTED_VALUE"""),0.0)</f>
        <v>0</v>
      </c>
      <c r="N255" s="1" t="str">
        <f>IFERROR(__xludf.DUMMYFUNCTION("""COMPUTED_VALUE"""),"BECA")</f>
        <v>BECA</v>
      </c>
      <c r="O255" s="1" t="str">
        <f>IFERROR(__xludf.DUMMYFUNCTION("""COMPUTED_VALUE"""),"BECA CARRERAS CORE")</f>
        <v>BECA CARRERAS CORE</v>
      </c>
      <c r="P255" s="4">
        <f>IFERROR(__xludf.DUMMYFUNCTION("""COMPUTED_VALUE"""),0.0)</f>
        <v>0</v>
      </c>
      <c r="Q255" s="4">
        <f>IFERROR(__xludf.DUMMYFUNCTION("""COMPUTED_VALUE"""),0.0)</f>
        <v>0</v>
      </c>
      <c r="R255" s="4">
        <f>IFERROR(__xludf.DUMMYFUNCTION("""COMPUTED_VALUE"""),1150.0)</f>
        <v>1150</v>
      </c>
      <c r="S255" s="4">
        <f>IFERROR(__xludf.DUMMYFUNCTION("""COMPUTED_VALUE"""),1000.0)</f>
        <v>1000</v>
      </c>
      <c r="T255" s="1" t="str">
        <f>IFERROR(__xludf.DUMMYFUNCTION("""COMPUTED_VALUE"""),"Palanca 700 - Refirio")</f>
        <v>Palanca 700 - Refirio</v>
      </c>
      <c r="U255" s="1" t="str">
        <f>IFERROR(__xludf.DUMMYFUNCTION("""COMPUTED_VALUE"""),"FABIOLA")</f>
        <v>FABIOLA</v>
      </c>
      <c r="V255" s="1" t="str">
        <f>IFERROR(__xludf.DUMMYFUNCTION("""COMPUTED_VALUE"""),"Ninguno")</f>
        <v>Ninguno</v>
      </c>
      <c r="W255" s="1" t="str">
        <f>IFERROR(__xludf.DUMMYFUNCTION("""COMPUTED_VALUE"""),"Metodología de enseñanza")</f>
        <v>Metodología de enseñanza</v>
      </c>
      <c r="X255" s="1" t="str">
        <f>IFERROR(__xludf.DUMMYFUNCTION("""COMPUTED_VALUE"""),"primera boleta paga 700 luego tiene beca de 1000 soles/ Beneficio del 100% en la última boleta por referir a 4703453")</f>
        <v>primera boleta paga 700 luego tiene beca de 1000 soles/ Beneficio del 100% en la última boleta por referir a 4703453</v>
      </c>
      <c r="Y255" s="1" t="str">
        <f>IFERROR(__xludf.DUMMYFUNCTION("""COMPUTED_VALUE"""),"PAGO COMPLETO")</f>
        <v>PAGO COMPLETO</v>
      </c>
      <c r="Z255" s="1">
        <f>IFERROR(__xludf.DUMMYFUNCTION("""COMPUTED_VALUE"""),0.0)</f>
        <v>0</v>
      </c>
      <c r="AA255" s="1" t="str">
        <f>IFERROR(__xludf.DUMMYFUNCTION("""COMPUTED_VALUE"""),"-")</f>
        <v>-</v>
      </c>
      <c r="AB255" s="1">
        <f>IFERROR(__xludf.DUMMYFUNCTION("""COMPUTED_VALUE"""),0.0)</f>
        <v>0</v>
      </c>
      <c r="AC255" s="1">
        <f>IFERROR(__xludf.DUMMYFUNCTION("""COMPUTED_VALUE"""),0.0)</f>
        <v>0</v>
      </c>
      <c r="AD255" s="1" t="str">
        <f>IFERROR(__xludf.DUMMYFUNCTION("""COMPUTED_VALUE"""),"Fiorella Lanegra")</f>
        <v>Fiorella Lanegra</v>
      </c>
      <c r="AE255" s="1" t="str">
        <f>IFERROR(__xludf.DUMMYFUNCTION("""COMPUTED_VALUE"""),"0")</f>
        <v>0</v>
      </c>
      <c r="AF255" s="1">
        <f>IFERROR(__xludf.DUMMYFUNCTION("""COMPUTED_VALUE"""),2024.0)</f>
        <v>2024</v>
      </c>
      <c r="AG255" s="1">
        <f>IFERROR(__xludf.DUMMYFUNCTION("""COMPUTED_VALUE"""),1082874.0)</f>
        <v>1082874</v>
      </c>
      <c r="AH255" s="1">
        <f>IFERROR(__xludf.DUMMYFUNCTION("""COMPUTED_VALUE"""),17.0)</f>
        <v>17</v>
      </c>
      <c r="AI255" s="1" t="str">
        <f>IFERROR(__xludf.DUMMYFUNCTION("""COMPUTED_VALUE"""),"0000404351")</f>
        <v>0000404351</v>
      </c>
      <c r="AJ255" s="1">
        <f>IFERROR(__xludf.DUMMYFUNCTION("""COMPUTED_VALUE"""),7.1144803E7)</f>
        <v>71144803</v>
      </c>
      <c r="AK255" s="1">
        <f>IFERROR(__xludf.DUMMYFUNCTION("""COMPUTED_VALUE"""),9.12714997E8)</f>
        <v>912714997</v>
      </c>
      <c r="AL255" s="1" t="str">
        <f>IFERROR(__xludf.DUMMYFUNCTION("""COMPUTED_VALUE"""),"iriarteleonardo835@gmail.com")</f>
        <v>iriarteleonardo835@gmail.com</v>
      </c>
      <c r="AM255" s="1" t="str">
        <f>IFERROR(__xludf.DUMMYFUNCTION("""COMPUTED_VALUE"""),"MASCULINO")</f>
        <v>MASCULINO</v>
      </c>
      <c r="AN255" s="1">
        <f>IFERROR(__xludf.DUMMYFUNCTION("""COMPUTED_VALUE"""),1775.0)</f>
        <v>1775</v>
      </c>
      <c r="AO255" s="1">
        <f>IFERROR(__xludf.DUMMYFUNCTION("""COMPUTED_VALUE"""),480.0)</f>
        <v>480</v>
      </c>
      <c r="AP255" s="1" t="str">
        <f>IFERROR(__xludf.DUMMYFUNCTION("""COMPUTED_VALUE"""),"COLEGIOS")</f>
        <v>COLEGIOS</v>
      </c>
      <c r="AQ255" s="1" t="str">
        <f>IFERROR(__xludf.DUMMYFUNCTION("""COMPUTED_VALUE"""),"COLEGIOS")</f>
        <v>COLEGIOS</v>
      </c>
      <c r="AR255" s="1" t="str">
        <f>IFERROR(__xludf.DUMMYFUNCTION("""COMPUTED_VALUE"""),"NUEVO")</f>
        <v>NUEVO</v>
      </c>
      <c r="AS255" s="1"/>
      <c r="AT255" s="2">
        <f>IFERROR(__xludf.DUMMYFUNCTION("""COMPUTED_VALUE"""),45562.0)</f>
        <v>45562</v>
      </c>
      <c r="AU255" s="1">
        <f>IFERROR(__xludf.DUMMYFUNCTION("""COMPUTED_VALUE"""),1.0)</f>
        <v>1</v>
      </c>
      <c r="AV255" s="1" t="str">
        <f>IFERROR(__xludf.DUMMYFUNCTION("""COMPUTED_VALUE"""),"NUEVO")</f>
        <v>NUEVO</v>
      </c>
      <c r="AW255" s="1" t="str">
        <f>IFERROR(__xludf.DUMMYFUNCTION("""COMPUTED_VALUE"""),"SI")</f>
        <v>SI</v>
      </c>
      <c r="AX255" s="1"/>
      <c r="AY255" s="1" t="str">
        <f>IFERROR(__xludf.DUMMYFUNCTION("""COMPUTED_VALUE"""),"PAGO COMPLETO")</f>
        <v>PAGO COMPLETO</v>
      </c>
      <c r="AZ255" s="5">
        <f>IFERROR(__xludf.DUMMYFUNCTION("""COMPUTED_VALUE"""),45644.0)</f>
        <v>45644</v>
      </c>
      <c r="BA255" s="1">
        <f>IFERROR(__xludf.DUMMYFUNCTION("""COMPUTED_VALUE"""),0.0)</f>
        <v>0</v>
      </c>
      <c r="BB255" s="1">
        <f>IFERROR(__xludf.DUMMYFUNCTION("""COMPUTED_VALUE"""),0.0)</f>
        <v>0</v>
      </c>
      <c r="BC255" s="4">
        <f>IFERROR(__xludf.DUMMYFUNCTION("""COMPUTED_VALUE"""),0.0)</f>
        <v>0</v>
      </c>
      <c r="BD255" s="4">
        <f>IFERROR(__xludf.DUMMYFUNCTION("""COMPUTED_VALUE"""),300.0)</f>
        <v>300</v>
      </c>
      <c r="BE255" s="1">
        <f>IFERROR(__xludf.DUMMYFUNCTION("""COMPUTED_VALUE"""),12.0)</f>
        <v>12</v>
      </c>
      <c r="BF255" s="6">
        <f>IFERROR(__xludf.DUMMYFUNCTION("""COMPUTED_VALUE"""),1.0)</f>
        <v>1</v>
      </c>
      <c r="BG255" s="1">
        <f>IFERROR(__xludf.DUMMYFUNCTION("""COMPUTED_VALUE"""),1.0)</f>
        <v>1</v>
      </c>
      <c r="BH255" s="1" t="str">
        <f>IFERROR(__xludf.DUMMYFUNCTION("""COMPUTED_VALUE"""),"0")</f>
        <v>0</v>
      </c>
      <c r="BI255" s="4">
        <f>IFERROR(__xludf.DUMMYFUNCTION("""COMPUTED_VALUE"""),300.0)</f>
        <v>300</v>
      </c>
      <c r="BJ255" s="1">
        <f>IFERROR(__xludf.DUMMYFUNCTION("""COMPUTED_VALUE"""),0.0)</f>
        <v>0</v>
      </c>
      <c r="BK255" s="4">
        <f>IFERROR(__xludf.DUMMYFUNCTION("""COMPUTED_VALUE"""),1300.0)</f>
        <v>1300</v>
      </c>
      <c r="BL255" s="1">
        <f>IFERROR(__xludf.DUMMYFUNCTION("""COMPUTED_VALUE"""),740.0)</f>
        <v>740</v>
      </c>
      <c r="BM255" s="1">
        <f>IFERROR(__xludf.DUMMYFUNCTION("""COMPUTED_VALUE"""),51.0)</f>
        <v>51</v>
      </c>
      <c r="BN255" s="2">
        <f>IFERROR(__xludf.DUMMYFUNCTION("""COMPUTED_VALUE"""),45642.0)</f>
        <v>45642</v>
      </c>
      <c r="BO255" s="1">
        <f>IFERROR(__xludf.DUMMYFUNCTION("""COMPUTED_VALUE"""),12.0)</f>
        <v>12</v>
      </c>
      <c r="BP255" s="1">
        <f>IFERROR(__xludf.DUMMYFUNCTION("""COMPUTED_VALUE"""),2024.0)</f>
        <v>2024</v>
      </c>
    </row>
    <row r="256">
      <c r="A256" s="1">
        <f>IFERROR(__xludf.DUMMYFUNCTION("""COMPUTED_VALUE"""),255.0)</f>
        <v>255</v>
      </c>
      <c r="B256" s="1">
        <f>IFERROR(__xludf.DUMMYFUNCTION("""COMPUTED_VALUE"""),4796714.0)</f>
        <v>4796714</v>
      </c>
      <c r="C256" s="1" t="str">
        <f>IFERROR(__xludf.DUMMYFUNCTION("""COMPUTED_VALUE"""),"2025-1")</f>
        <v>2025-1</v>
      </c>
      <c r="D256" s="1" t="str">
        <f>IFERROR(__xludf.DUMMYFUNCTION("""COMPUTED_VALUE"""),"Admisión Extraordinaria (Traslados)")</f>
        <v>Admisión Extraordinaria (Traslados)</v>
      </c>
      <c r="E256" s="2">
        <f>IFERROR(__xludf.DUMMYFUNCTION("""COMPUTED_VALUE"""),45645.0)</f>
        <v>45645</v>
      </c>
      <c r="F256" s="1" t="str">
        <f>IFERROR(__xludf.DUMMYFUNCTION("""COMPUTED_VALUE"""),"SABRINA SAMANTHA PAOLA ")</f>
        <v>SABRINA SAMANTHA PAOLA </v>
      </c>
      <c r="G256" s="1" t="str">
        <f>IFERROR(__xludf.DUMMYFUNCTION("""COMPUTED_VALUE"""),"GARCÍA CORNEJO")</f>
        <v>GARCÍA CORNEJO</v>
      </c>
      <c r="H256" s="1" t="str">
        <f>IFERROR(__xludf.DUMMYFUNCTION("""COMPUTED_VALUE"""),"Comunicación Audiovisual y Cine")</f>
        <v>Comunicación Audiovisual y Cine</v>
      </c>
      <c r="I256" s="1" t="str">
        <f>IFERROR(__xludf.DUMMYFUNCTION("""COMPUTED_VALUE"""),"POS")</f>
        <v>POS</v>
      </c>
      <c r="J256" s="1" t="str">
        <f>IFERROR(__xludf.DUMMYFUNCTION("""COMPUTED_VALUE"""),"Diurno")</f>
        <v>Diurno</v>
      </c>
      <c r="K256" s="1" t="str">
        <f>IFERROR(__xludf.DUMMYFUNCTION("""COMPUTED_VALUE"""),"TRASLADO")</f>
        <v>TRASLADO</v>
      </c>
      <c r="L256" s="1">
        <f>IFERROR(__xludf.DUMMYFUNCTION("""COMPUTED_VALUE"""),1.0)</f>
        <v>1</v>
      </c>
      <c r="M256" s="1">
        <f>IFERROR(__xludf.DUMMYFUNCTION("""COMPUTED_VALUE"""),0.0)</f>
        <v>0</v>
      </c>
      <c r="N256" s="1" t="str">
        <f>IFERROR(__xludf.DUMMYFUNCTION("""COMPUTED_VALUE"""),"RECA")</f>
        <v>RECA</v>
      </c>
      <c r="O256" s="1" t="str">
        <f>IFERROR(__xludf.DUMMYFUNCTION("""COMPUTED_VALUE"""),"RECA TRASLADO CON CONVA")</f>
        <v>RECA TRASLADO CON CONVA</v>
      </c>
      <c r="P256" s="4">
        <f>IFERROR(__xludf.DUMMYFUNCTION("""COMPUTED_VALUE"""),0.0)</f>
        <v>0</v>
      </c>
      <c r="Q256" s="4">
        <f>IFERROR(__xludf.DUMMYFUNCTION("""COMPUTED_VALUE"""),0.0)</f>
        <v>0</v>
      </c>
      <c r="R256" s="4">
        <f>IFERROR(__xludf.DUMMYFUNCTION("""COMPUTED_VALUE"""),900.0)</f>
        <v>900</v>
      </c>
      <c r="S256" s="4">
        <f>IFERROR(__xludf.DUMMYFUNCTION("""COMPUTED_VALUE"""),900.0)</f>
        <v>900</v>
      </c>
      <c r="T256" s="1" t="str">
        <f>IFERROR(__xludf.DUMMYFUNCTION("""COMPUTED_VALUE"""),"Visita Guiada")</f>
        <v>Visita Guiada</v>
      </c>
      <c r="U256" s="1" t="str">
        <f>IFERROR(__xludf.DUMMYFUNCTION("""COMPUTED_VALUE"""),"FABIOLA")</f>
        <v>FABIOLA</v>
      </c>
      <c r="V256" s="1" t="str">
        <f>IFERROR(__xludf.DUMMYFUNCTION("""COMPUTED_VALUE"""),"Ninguno")</f>
        <v>Ninguno</v>
      </c>
      <c r="W256" s="1" t="str">
        <f>IFERROR(__xludf.DUMMYFUNCTION("""COMPUTED_VALUE"""),"Metodología de enseñanza")</f>
        <v>Metodología de enseñanza</v>
      </c>
      <c r="X256" s="1" t="str">
        <f>IFERROR(__xludf.DUMMYFUNCTION("""COMPUTED_VALUE"""),"rodrigo aprobo caso excepcional")</f>
        <v>rodrigo aprobo caso excepcional</v>
      </c>
      <c r="Y256" s="1" t="str">
        <f>IFERROR(__xludf.DUMMYFUNCTION("""COMPUTED_VALUE"""),"PAGO COMPLETO")</f>
        <v>PAGO COMPLETO</v>
      </c>
      <c r="Z256" s="1">
        <f>IFERROR(__xludf.DUMMYFUNCTION("""COMPUTED_VALUE"""),0.0)</f>
        <v>0</v>
      </c>
      <c r="AA256" s="1" t="str">
        <f>IFERROR(__xludf.DUMMYFUNCTION("""COMPUTED_VALUE"""),"-")</f>
        <v>-</v>
      </c>
      <c r="AB256" s="1">
        <f>IFERROR(__xludf.DUMMYFUNCTION("""COMPUTED_VALUE"""),0.0)</f>
        <v>0</v>
      </c>
      <c r="AC256" s="1">
        <f>IFERROR(__xludf.DUMMYFUNCTION("""COMPUTED_VALUE"""),0.0)</f>
        <v>0</v>
      </c>
      <c r="AD256" s="1" t="str">
        <f>IFERROR(__xludf.DUMMYFUNCTION("""COMPUTED_VALUE"""),"Ingrid Guillermo Rivera")</f>
        <v>Ingrid Guillermo Rivera</v>
      </c>
      <c r="AE256" s="1" t="str">
        <f>IFERROR(__xludf.DUMMYFUNCTION("""COMPUTED_VALUE"""),"Universidad Femenina del Sagrado Corazón (UNIFE)")</f>
        <v>Universidad Femenina del Sagrado Corazón (UNIFE)</v>
      </c>
      <c r="AF256" s="1">
        <f>IFERROR(__xludf.DUMMYFUNCTION("""COMPUTED_VALUE"""),2022.0)</f>
        <v>2022</v>
      </c>
      <c r="AG256" s="1">
        <f>IFERROR(__xludf.DUMMYFUNCTION("""COMPUTED_VALUE"""),343616.0)</f>
        <v>343616</v>
      </c>
      <c r="AH256" s="1">
        <f>IFERROR(__xludf.DUMMYFUNCTION("""COMPUTED_VALUE"""),19.0)</f>
        <v>19</v>
      </c>
      <c r="AI256" s="1" t="str">
        <f>IFERROR(__xludf.DUMMYFUNCTION("""COMPUTED_VALUE"""),"0000404856")</f>
        <v>0000404856</v>
      </c>
      <c r="AJ256" s="1">
        <f>IFERROR(__xludf.DUMMYFUNCTION("""COMPUTED_VALUE"""),7.2187726E7)</f>
        <v>72187726</v>
      </c>
      <c r="AK256" s="1">
        <f>IFERROR(__xludf.DUMMYFUNCTION("""COMPUTED_VALUE"""),9.00169342E8)</f>
        <v>900169342</v>
      </c>
      <c r="AL256" s="1" t="str">
        <f>IFERROR(__xludf.DUMMYFUNCTION("""COMPUTED_VALUE"""),"SABRINAGARCIACORNEJOXD@gmail.com")</f>
        <v>SABRINAGARCIACORNEJOXD@gmail.com</v>
      </c>
      <c r="AM256" s="1" t="str">
        <f>IFERROR(__xludf.DUMMYFUNCTION("""COMPUTED_VALUE"""),"FEMENINO")</f>
        <v>FEMENINO</v>
      </c>
      <c r="AN256" s="1">
        <f>IFERROR(__xludf.DUMMYFUNCTION("""COMPUTED_VALUE"""),1775.0)</f>
        <v>1775</v>
      </c>
      <c r="AO256" s="1">
        <f>IFERROR(__xludf.DUMMYFUNCTION("""COMPUTED_VALUE"""),495.0)</f>
        <v>495</v>
      </c>
      <c r="AP256" s="1" t="str">
        <f>IFERROR(__xludf.DUMMYFUNCTION("""COMPUTED_VALUE"""),"FORMULARIO")</f>
        <v>FORMULARIO</v>
      </c>
      <c r="AQ256" s="1" t="str">
        <f>IFERROR(__xludf.DUMMYFUNCTION("""COMPUTED_VALUE"""),"SEARCH MARCA")</f>
        <v>SEARCH MARCA</v>
      </c>
      <c r="AR256" s="1" t="str">
        <f>IFERROR(__xludf.DUMMYFUNCTION("""COMPUTED_VALUE"""),"NUEVO")</f>
        <v>NUEVO</v>
      </c>
      <c r="AS256" s="1" t="str">
        <f>IFERROR(__xludf.DUMMYFUNCTION("""COMPUTED_VALUE"""),"ucal-pg-performance-sedes-abierta-cpl-extensiones_traslados_marca-20240401")</f>
        <v>ucal-pg-performance-sedes-abierta-cpl-extensiones_traslados_marca-20240401</v>
      </c>
      <c r="AT256" s="2">
        <f>IFERROR(__xludf.DUMMYFUNCTION("""COMPUTED_VALUE"""),45604.0)</f>
        <v>45604</v>
      </c>
      <c r="AU256" s="1">
        <f>IFERROR(__xludf.DUMMYFUNCTION("""COMPUTED_VALUE"""),1.0)</f>
        <v>1</v>
      </c>
      <c r="AV256" s="1" t="str">
        <f>IFERROR(__xludf.DUMMYFUNCTION("""COMPUTED_VALUE"""),"TRASLADO")</f>
        <v>TRASLADO</v>
      </c>
      <c r="AW256" s="1" t="str">
        <f>IFERROR(__xludf.DUMMYFUNCTION("""COMPUTED_VALUE"""),"SI")</f>
        <v>SI</v>
      </c>
      <c r="AX256" s="1"/>
      <c r="AY256" s="1" t="str">
        <f>IFERROR(__xludf.DUMMYFUNCTION("""COMPUTED_VALUE"""),"PAGO COMPLETO")</f>
        <v>PAGO COMPLETO</v>
      </c>
      <c r="AZ256" s="5">
        <f>IFERROR(__xludf.DUMMYFUNCTION("""COMPUTED_VALUE"""),45645.0)</f>
        <v>45645</v>
      </c>
      <c r="BA256" s="1">
        <f>IFERROR(__xludf.DUMMYFUNCTION("""COMPUTED_VALUE"""),0.0)</f>
        <v>0</v>
      </c>
      <c r="BB256" s="1">
        <f>IFERROR(__xludf.DUMMYFUNCTION("""COMPUTED_VALUE"""),0.0)</f>
        <v>0</v>
      </c>
      <c r="BC256" s="4">
        <f>IFERROR(__xludf.DUMMYFUNCTION("""COMPUTED_VALUE"""),0.0)</f>
        <v>0</v>
      </c>
      <c r="BD256" s="4">
        <f>IFERROR(__xludf.DUMMYFUNCTION("""COMPUTED_VALUE"""),100.0)</f>
        <v>100</v>
      </c>
      <c r="BE256" s="1">
        <f>IFERROR(__xludf.DUMMYFUNCTION("""COMPUTED_VALUE"""),12.0)</f>
        <v>12</v>
      </c>
      <c r="BF256" s="6">
        <f>IFERROR(__xludf.DUMMYFUNCTION("""COMPUTED_VALUE"""),1.0)</f>
        <v>1</v>
      </c>
      <c r="BG256" s="1">
        <f>IFERROR(__xludf.DUMMYFUNCTION("""COMPUTED_VALUE"""),1.0)</f>
        <v>1</v>
      </c>
      <c r="BH256" s="1" t="str">
        <f>IFERROR(__xludf.DUMMYFUNCTION("""COMPUTED_VALUE"""),"1")</f>
        <v>1</v>
      </c>
      <c r="BI256" s="4">
        <f>IFERROR(__xludf.DUMMYFUNCTION("""COMPUTED_VALUE"""),100.0)</f>
        <v>100</v>
      </c>
      <c r="BJ256" s="1">
        <f>IFERROR(__xludf.DUMMYFUNCTION("""COMPUTED_VALUE"""),0.0)</f>
        <v>0</v>
      </c>
      <c r="BK256" s="4">
        <f>IFERROR(__xludf.DUMMYFUNCTION("""COMPUTED_VALUE"""),100.0)</f>
        <v>100</v>
      </c>
      <c r="BL256" s="1">
        <f>IFERROR(__xludf.DUMMYFUNCTION("""COMPUTED_VALUE"""),880.0)</f>
        <v>880</v>
      </c>
      <c r="BM256" s="1">
        <f>IFERROR(__xludf.DUMMYFUNCTION("""COMPUTED_VALUE"""),51.0)</f>
        <v>51</v>
      </c>
      <c r="BN256" s="2">
        <f>IFERROR(__xludf.DUMMYFUNCTION("""COMPUTED_VALUE"""),45642.0)</f>
        <v>45642</v>
      </c>
      <c r="BO256" s="1">
        <f>IFERROR(__xludf.DUMMYFUNCTION("""COMPUTED_VALUE"""),12.0)</f>
        <v>12</v>
      </c>
      <c r="BP256" s="1">
        <f>IFERROR(__xludf.DUMMYFUNCTION("""COMPUTED_VALUE"""),2024.0)</f>
        <v>2024</v>
      </c>
    </row>
    <row r="257">
      <c r="A257" s="1">
        <f>IFERROR(__xludf.DUMMYFUNCTION("""COMPUTED_VALUE"""),256.0)</f>
        <v>256</v>
      </c>
      <c r="B257" s="1">
        <f>IFERROR(__xludf.DUMMYFUNCTION("""COMPUTED_VALUE"""),4615182.0)</f>
        <v>4615182</v>
      </c>
      <c r="C257" s="1" t="str">
        <f>IFERROR(__xludf.DUMMYFUNCTION("""COMPUTED_VALUE"""),"2025-1")</f>
        <v>2025-1</v>
      </c>
      <c r="D257" s="1" t="str">
        <f>IFERROR(__xludf.DUMMYFUNCTION("""COMPUTED_VALUE"""),"Admisión de Alto Rendimiento")</f>
        <v>Admisión de Alto Rendimiento</v>
      </c>
      <c r="E257" s="2">
        <f>IFERROR(__xludf.DUMMYFUNCTION("""COMPUTED_VALUE"""),45645.0)</f>
        <v>45645</v>
      </c>
      <c r="F257" s="1" t="str">
        <f>IFERROR(__xludf.DUMMYFUNCTION("""COMPUTED_VALUE"""),"ALYSON ")</f>
        <v>ALYSON </v>
      </c>
      <c r="G257" s="1" t="str">
        <f>IFERROR(__xludf.DUMMYFUNCTION("""COMPUTED_VALUE"""),"BRAMON OPORTO")</f>
        <v>BRAMON OPORTO</v>
      </c>
      <c r="H257" s="1" t="str">
        <f>IFERROR(__xludf.DUMMYFUNCTION("""COMPUTED_VALUE"""),"Diseño Gráfico Publicitario")</f>
        <v>Diseño Gráfico Publicitario</v>
      </c>
      <c r="I257" s="1" t="str">
        <f>IFERROR(__xludf.DUMMYFUNCTION("""COMPUTED_VALUE"""),"Pago Link")</f>
        <v>Pago Link</v>
      </c>
      <c r="J257" s="1" t="str">
        <f>IFERROR(__xludf.DUMMYFUNCTION("""COMPUTED_VALUE"""),"Diurno")</f>
        <v>Diurno</v>
      </c>
      <c r="K257" s="1" t="str">
        <f>IFERROR(__xludf.DUMMYFUNCTION("""COMPUTED_VALUE"""),"NUEVO")</f>
        <v>NUEVO</v>
      </c>
      <c r="L257" s="1">
        <f>IFERROR(__xludf.DUMMYFUNCTION("""COMPUTED_VALUE"""),0.0)</f>
        <v>0</v>
      </c>
      <c r="M257" s="1">
        <f>IFERROR(__xludf.DUMMYFUNCTION("""COMPUTED_VALUE"""),0.0)</f>
        <v>0</v>
      </c>
      <c r="N257" s="1" t="str">
        <f>IFERROR(__xludf.DUMMYFUNCTION("""COMPUTED_VALUE"""),"RECA-BECA")</f>
        <v>RECA-BECA</v>
      </c>
      <c r="O257" s="1" t="str">
        <f>IFERROR(__xludf.DUMMYFUNCTION("""COMPUTED_VALUE"""),"BECA CARRERAS CORE")</f>
        <v>BECA CARRERAS CORE</v>
      </c>
      <c r="P257" s="4">
        <f>IFERROR(__xludf.DUMMYFUNCTION("""COMPUTED_VALUE"""),100.0)</f>
        <v>100</v>
      </c>
      <c r="Q257" s="4">
        <f>IFERROR(__xludf.DUMMYFUNCTION("""COMPUTED_VALUE"""),237.5)</f>
        <v>237.5</v>
      </c>
      <c r="R257" s="4">
        <f>IFERROR(__xludf.DUMMYFUNCTION("""COMPUTED_VALUE"""),1415.0)</f>
        <v>1415</v>
      </c>
      <c r="S257" s="4">
        <f>IFERROR(__xludf.DUMMYFUNCTION("""COMPUTED_VALUE"""),1050.0)</f>
        <v>1050</v>
      </c>
      <c r="T257" s="1" t="str">
        <f>IFERROR(__xludf.DUMMYFUNCTION("""COMPUTED_VALUE"""),"NINGUNO")</f>
        <v>NINGUNO</v>
      </c>
      <c r="U257" s="1" t="str">
        <f>IFERROR(__xludf.DUMMYFUNCTION("""COMPUTED_VALUE"""),"RODRIGO")</f>
        <v>RODRIGO</v>
      </c>
      <c r="V257" s="1" t="str">
        <f>IFERROR(__xludf.DUMMYFUNCTION("""COMPUTED_VALUE"""),"Ninguno")</f>
        <v>Ninguno</v>
      </c>
      <c r="W257" s="1" t="str">
        <f>IFERROR(__xludf.DUMMYFUNCTION("""COMPUTED_VALUE"""),"Beca")</f>
        <v>Beca</v>
      </c>
      <c r="X257" s="1" t="str">
        <f>IFERROR(__xludf.DUMMYFUNCTION("""COMPUTED_VALUE"""),"beca")</f>
        <v>beca</v>
      </c>
      <c r="Y257" s="1" t="str">
        <f>IFERROR(__xludf.DUMMYFUNCTION("""COMPUTED_VALUE"""),"PAGO COMPLETO")</f>
        <v>PAGO COMPLETO</v>
      </c>
      <c r="Z257" s="1">
        <f>IFERROR(__xludf.DUMMYFUNCTION("""COMPUTED_VALUE"""),0.0)</f>
        <v>0</v>
      </c>
      <c r="AA257" s="1" t="str">
        <f>IFERROR(__xludf.DUMMYFUNCTION("""COMPUTED_VALUE"""),"-")</f>
        <v>-</v>
      </c>
      <c r="AB257" s="1">
        <f>IFERROR(__xludf.DUMMYFUNCTION("""COMPUTED_VALUE"""),0.0)</f>
        <v>0</v>
      </c>
      <c r="AC257" s="1">
        <f>IFERROR(__xludf.DUMMYFUNCTION("""COMPUTED_VALUE"""),0.0)</f>
        <v>0</v>
      </c>
      <c r="AD257" s="1" t="str">
        <f>IFERROR(__xludf.DUMMYFUNCTION("""COMPUTED_VALUE"""),"Cinthia Mariella Orosco")</f>
        <v>Cinthia Mariella Orosco</v>
      </c>
      <c r="AE257" s="1" t="str">
        <f>IFERROR(__xludf.DUMMYFUNCTION("""COMPUTED_VALUE"""),"0")</f>
        <v>0</v>
      </c>
      <c r="AF257" s="1">
        <f>IFERROR(__xludf.DUMMYFUNCTION("""COMPUTED_VALUE"""),2024.0)</f>
        <v>2024</v>
      </c>
      <c r="AG257" s="1">
        <f>IFERROR(__xludf.DUMMYFUNCTION("""COMPUTED_VALUE"""),1512524.0)</f>
        <v>1512524</v>
      </c>
      <c r="AH257" s="1">
        <f>IFERROR(__xludf.DUMMYFUNCTION("""COMPUTED_VALUE"""),16.0)</f>
        <v>16</v>
      </c>
      <c r="AI257" s="1" t="str">
        <f>IFERROR(__xludf.DUMMYFUNCTION("""COMPUTED_VALUE"""),"0000062718")</f>
        <v>0000062718</v>
      </c>
      <c r="AJ257" s="1">
        <f>IFERROR(__xludf.DUMMYFUNCTION("""COMPUTED_VALUE"""),6.1332609E7)</f>
        <v>61332609</v>
      </c>
      <c r="AK257" s="1">
        <f>IFERROR(__xludf.DUMMYFUNCTION("""COMPUTED_VALUE"""),9.75369072E8)</f>
        <v>975369072</v>
      </c>
      <c r="AL257" s="1" t="str">
        <f>IFERROR(__xludf.DUMMYFUNCTION("""COMPUTED_VALUE"""),"29238.hi@gmail.com")</f>
        <v>29238.hi@gmail.com</v>
      </c>
      <c r="AM257" s="1" t="str">
        <f>IFERROR(__xludf.DUMMYFUNCTION("""COMPUTED_VALUE"""),"FEMENINO")</f>
        <v>FEMENINO</v>
      </c>
      <c r="AN257" s="1">
        <f>IFERROR(__xludf.DUMMYFUNCTION("""COMPUTED_VALUE"""),1850.0)</f>
        <v>1850</v>
      </c>
      <c r="AO257" s="1">
        <f>IFERROR(__xludf.DUMMYFUNCTION("""COMPUTED_VALUE"""),600.0)</f>
        <v>600</v>
      </c>
      <c r="AP257" s="1" t="str">
        <f>IFERROR(__xludf.DUMMYFUNCTION("""COMPUTED_VALUE"""),"BIDIRECCIONAL")</f>
        <v>BIDIRECCIONAL</v>
      </c>
      <c r="AQ257" s="1" t="str">
        <f>IFERROR(__xludf.DUMMYFUNCTION("""COMPUTED_VALUE"""),"ORGANICO")</f>
        <v>ORGANICO</v>
      </c>
      <c r="AR257" s="1" t="str">
        <f>IFERROR(__xludf.DUMMYFUNCTION("""COMPUTED_VALUE"""),"NUEVO")</f>
        <v>NUEVO</v>
      </c>
      <c r="AS257" s="1"/>
      <c r="AT257" s="2">
        <f>IFERROR(__xludf.DUMMYFUNCTION("""COMPUTED_VALUE"""),45639.0)</f>
        <v>45639</v>
      </c>
      <c r="AU257" s="1">
        <f>IFERROR(__xludf.DUMMYFUNCTION("""COMPUTED_VALUE"""),1.0)</f>
        <v>1</v>
      </c>
      <c r="AV257" s="1" t="str">
        <f>IFERROR(__xludf.DUMMYFUNCTION("""COMPUTED_VALUE"""),"NUEVO")</f>
        <v>NUEVO</v>
      </c>
      <c r="AW257" s="1" t="str">
        <f>IFERROR(__xludf.DUMMYFUNCTION("""COMPUTED_VALUE"""),"SI")</f>
        <v>SI</v>
      </c>
      <c r="AX257" s="1"/>
      <c r="AY257" s="1" t="str">
        <f>IFERROR(__xludf.DUMMYFUNCTION("""COMPUTED_VALUE"""),"PAGO COMPLETO")</f>
        <v>PAGO COMPLETO</v>
      </c>
      <c r="AZ257" s="5">
        <f>IFERROR(__xludf.DUMMYFUNCTION("""COMPUTED_VALUE"""),45645.0)</f>
        <v>45645</v>
      </c>
      <c r="BA257" s="1">
        <f>IFERROR(__xludf.DUMMYFUNCTION("""COMPUTED_VALUE"""),0.0)</f>
        <v>0</v>
      </c>
      <c r="BB257" s="1">
        <f>IFERROR(__xludf.DUMMYFUNCTION("""COMPUTED_VALUE"""),0.0)</f>
        <v>0</v>
      </c>
      <c r="BC257" s="4">
        <f>IFERROR(__xludf.DUMMYFUNCTION("""COMPUTED_VALUE"""),0.0)</f>
        <v>0</v>
      </c>
      <c r="BD257" s="4">
        <f>IFERROR(__xludf.DUMMYFUNCTION("""COMPUTED_VALUE"""),0.0)</f>
        <v>0</v>
      </c>
      <c r="BE257" s="1">
        <f>IFERROR(__xludf.DUMMYFUNCTION("""COMPUTED_VALUE"""),12.0)</f>
        <v>12</v>
      </c>
      <c r="BF257" s="6">
        <f>IFERROR(__xludf.DUMMYFUNCTION("""COMPUTED_VALUE"""),1.0)</f>
        <v>1</v>
      </c>
      <c r="BG257" s="1">
        <f>IFERROR(__xludf.DUMMYFUNCTION("""COMPUTED_VALUE"""),1.0)</f>
        <v>1</v>
      </c>
      <c r="BH257" s="1" t="str">
        <f>IFERROR(__xludf.DUMMYFUNCTION("""COMPUTED_VALUE"""),"0")</f>
        <v>0</v>
      </c>
      <c r="BI257" s="4">
        <f>IFERROR(__xludf.DUMMYFUNCTION("""COMPUTED_VALUE"""),0.0)</f>
        <v>0</v>
      </c>
      <c r="BJ257" s="1">
        <f>IFERROR(__xludf.DUMMYFUNCTION("""COMPUTED_VALUE"""),0.0)</f>
        <v>0</v>
      </c>
      <c r="BK257" s="4">
        <f>IFERROR(__xludf.DUMMYFUNCTION("""COMPUTED_VALUE"""),0.0)</f>
        <v>0</v>
      </c>
      <c r="BL257" s="1">
        <f>IFERROR(__xludf.DUMMYFUNCTION("""COMPUTED_VALUE"""),1050.0)</f>
        <v>1050</v>
      </c>
      <c r="BM257" s="1">
        <f>IFERROR(__xludf.DUMMYFUNCTION("""COMPUTED_VALUE"""),51.0)</f>
        <v>51</v>
      </c>
      <c r="BN257" s="2">
        <f>IFERROR(__xludf.DUMMYFUNCTION("""COMPUTED_VALUE"""),45642.0)</f>
        <v>45642</v>
      </c>
      <c r="BO257" s="1">
        <f>IFERROR(__xludf.DUMMYFUNCTION("""COMPUTED_VALUE"""),12.0)</f>
        <v>12</v>
      </c>
      <c r="BP257" s="1">
        <f>IFERROR(__xludf.DUMMYFUNCTION("""COMPUTED_VALUE"""),2024.0)</f>
        <v>2024</v>
      </c>
    </row>
    <row r="258">
      <c r="A258" s="1">
        <f>IFERROR(__xludf.DUMMYFUNCTION("""COMPUTED_VALUE"""),257.0)</f>
        <v>257</v>
      </c>
      <c r="B258" s="1">
        <f>IFERROR(__xludf.DUMMYFUNCTION("""COMPUTED_VALUE"""),1419735.0)</f>
        <v>1419735</v>
      </c>
      <c r="C258" s="1" t="str">
        <f>IFERROR(__xludf.DUMMYFUNCTION("""COMPUTED_VALUE"""),"2025-1")</f>
        <v>2025-1</v>
      </c>
      <c r="D258" s="1" t="str">
        <f>IFERROR(__xludf.DUMMYFUNCTION("""COMPUTED_VALUE"""),"Admisión Ordinaria")</f>
        <v>Admisión Ordinaria</v>
      </c>
      <c r="E258" s="2">
        <f>IFERROR(__xludf.DUMMYFUNCTION("""COMPUTED_VALUE"""),45646.0)</f>
        <v>45646</v>
      </c>
      <c r="F258" s="1" t="str">
        <f>IFERROR(__xludf.DUMMYFUNCTION("""COMPUTED_VALUE"""),"ANDRES HERNAN")</f>
        <v>ANDRES HERNAN</v>
      </c>
      <c r="G258" s="1" t="str">
        <f>IFERROR(__xludf.DUMMYFUNCTION("""COMPUTED_VALUE"""),"ALTAMIRANO CAMPOS")</f>
        <v>ALTAMIRANO CAMPOS</v>
      </c>
      <c r="H258" s="1" t="str">
        <f>IFERROR(__xludf.DUMMYFUNCTION("""COMPUTED_VALUE"""),"Administración y Marketing")</f>
        <v>Administración y Marketing</v>
      </c>
      <c r="I258" s="1" t="str">
        <f>IFERROR(__xludf.DUMMYFUNCTION("""COMPUTED_VALUE"""),"Pago Link")</f>
        <v>Pago Link</v>
      </c>
      <c r="J258" s="1" t="str">
        <f>IFERROR(__xludf.DUMMYFUNCTION("""COMPUTED_VALUE"""),"Diurno")</f>
        <v>Diurno</v>
      </c>
      <c r="K258" s="1" t="str">
        <f>IFERROR(__xludf.DUMMYFUNCTION("""COMPUTED_VALUE"""),"NUEVO")</f>
        <v>NUEVO</v>
      </c>
      <c r="L258" s="1">
        <f>IFERROR(__xludf.DUMMYFUNCTION("""COMPUTED_VALUE"""),0.0)</f>
        <v>0</v>
      </c>
      <c r="M258" s="1">
        <f>IFERROR(__xludf.DUMMYFUNCTION("""COMPUTED_VALUE"""),0.0)</f>
        <v>0</v>
      </c>
      <c r="N258" s="1" t="str">
        <f>IFERROR(__xludf.DUMMYFUNCTION("""COMPUTED_VALUE"""),"RECA-BECA")</f>
        <v>RECA-BECA</v>
      </c>
      <c r="O258" s="1" t="str">
        <f>IFERROR(__xludf.DUMMYFUNCTION("""COMPUTED_VALUE"""),"BECA CONGELADA DE 2 AÑOS")</f>
        <v>BECA CONGELADA DE 2 AÑOS</v>
      </c>
      <c r="P258" s="4">
        <f>IFERROR(__xludf.DUMMYFUNCTION("""COMPUTED_VALUE"""),125.0)</f>
        <v>125</v>
      </c>
      <c r="Q258" s="4">
        <f>IFERROR(__xludf.DUMMYFUNCTION("""COMPUTED_VALUE"""),237.5)</f>
        <v>237.5</v>
      </c>
      <c r="R258" s="4">
        <f>IFERROR(__xludf.DUMMYFUNCTION("""COMPUTED_VALUE"""),1415.0)</f>
        <v>1415</v>
      </c>
      <c r="S258" s="4">
        <f>IFERROR(__xludf.DUMMYFUNCTION("""COMPUTED_VALUE"""),1050.0)</f>
        <v>1050</v>
      </c>
      <c r="T258" s="1" t="str">
        <f>IFERROR(__xludf.DUMMYFUNCTION("""COMPUTED_VALUE"""),"NINGUNO")</f>
        <v>NINGUNO</v>
      </c>
      <c r="U258" s="1" t="str">
        <f>IFERROR(__xludf.DUMMYFUNCTION("""COMPUTED_VALUE"""),"RODRIGO")</f>
        <v>RODRIGO</v>
      </c>
      <c r="V258" s="1" t="str">
        <f>IFERROR(__xludf.DUMMYFUNCTION("""COMPUTED_VALUE"""),"Ninguno")</f>
        <v>Ninguno</v>
      </c>
      <c r="W258" s="1" t="str">
        <f>IFERROR(__xludf.DUMMYFUNCTION("""COMPUTED_VALUE"""),"Malla curricular")</f>
        <v>Malla curricular</v>
      </c>
      <c r="X258" s="1" t="str">
        <f>IFERROR(__xludf.DUMMYFUNCTION("""COMPUTED_VALUE"""),"-")</f>
        <v>-</v>
      </c>
      <c r="Y258" s="1" t="str">
        <f>IFERROR(__xludf.DUMMYFUNCTION("""COMPUTED_VALUE"""),"PAGO FRACCIONADO")</f>
        <v>PAGO FRACCIONADO</v>
      </c>
      <c r="Z258" s="1">
        <f>IFERROR(__xludf.DUMMYFUNCTION("""COMPUTED_VALUE"""),887.5)</f>
        <v>887.5</v>
      </c>
      <c r="AA258" s="1" t="str">
        <f>IFERROR(__xludf.DUMMYFUNCTION("""COMPUTED_VALUE"""),"31/12/2024")</f>
        <v>31/12/2024</v>
      </c>
      <c r="AB258" s="1">
        <f>IFERROR(__xludf.DUMMYFUNCTION("""COMPUTED_VALUE"""),0.0)</f>
        <v>0</v>
      </c>
      <c r="AC258" s="1">
        <f>IFERROR(__xludf.DUMMYFUNCTION("""COMPUTED_VALUE"""),0.0)</f>
        <v>0</v>
      </c>
      <c r="AD258" s="1" t="str">
        <f>IFERROR(__xludf.DUMMYFUNCTION("""COMPUTED_VALUE"""),"Angelica Iparraguirre")</f>
        <v>Angelica Iparraguirre</v>
      </c>
      <c r="AE258" s="1" t="str">
        <f>IFERROR(__xludf.DUMMYFUNCTION("""COMPUTED_VALUE"""),"0")</f>
        <v>0</v>
      </c>
      <c r="AF258" s="1">
        <f>IFERROR(__xludf.DUMMYFUNCTION("""COMPUTED_VALUE"""),2021.0)</f>
        <v>2021</v>
      </c>
      <c r="AG258" s="1">
        <f>IFERROR(__xludf.DUMMYFUNCTION("""COMPUTED_VALUE"""),1008614.0)</f>
        <v>1008614</v>
      </c>
      <c r="AH258" s="1">
        <f>IFERROR(__xludf.DUMMYFUNCTION("""COMPUTED_VALUE"""),20.0)</f>
        <v>20</v>
      </c>
      <c r="AI258" s="1" t="str">
        <f>IFERROR(__xludf.DUMMYFUNCTION("""COMPUTED_VALUE"""),"0000027167")</f>
        <v>0000027167</v>
      </c>
      <c r="AJ258" s="1">
        <f>IFERROR(__xludf.DUMMYFUNCTION("""COMPUTED_VALUE"""),7.3945035E7)</f>
        <v>73945035</v>
      </c>
      <c r="AK258" s="1">
        <f>IFERROR(__xludf.DUMMYFUNCTION("""COMPUTED_VALUE"""),9.71405212E8)</f>
        <v>971405212</v>
      </c>
      <c r="AL258" s="1" t="str">
        <f>IFERROR(__xludf.DUMMYFUNCTION("""COMPUTED_VALUE"""),"andres.alt@hotmail.com")</f>
        <v>andres.alt@hotmail.com</v>
      </c>
      <c r="AM258" s="1" t="str">
        <f>IFERROR(__xludf.DUMMYFUNCTION("""COMPUTED_VALUE"""),"MASCULINO")</f>
        <v>MASCULINO</v>
      </c>
      <c r="AN258" s="1">
        <f>IFERROR(__xludf.DUMMYFUNCTION("""COMPUTED_VALUE"""),1350.0)</f>
        <v>1350</v>
      </c>
      <c r="AO258" s="1">
        <f>IFERROR(__xludf.DUMMYFUNCTION("""COMPUTED_VALUE"""),550.0)</f>
        <v>550</v>
      </c>
      <c r="AP258" s="1" t="str">
        <f>IFERROR(__xludf.DUMMYFUNCTION("""COMPUTED_VALUE"""),"OUTBOUND")</f>
        <v>OUTBOUND</v>
      </c>
      <c r="AQ258" s="1" t="str">
        <f>IFERROR(__xludf.DUMMYFUNCTION("""COMPUTED_VALUE"""),"OUTBOUND")</f>
        <v>OUTBOUND</v>
      </c>
      <c r="AR258" s="1" t="str">
        <f>IFERROR(__xludf.DUMMYFUNCTION("""COMPUTED_VALUE"""),"HEREDADO")</f>
        <v>HEREDADO</v>
      </c>
      <c r="AS258" s="1"/>
      <c r="AT258" s="2">
        <f>IFERROR(__xludf.DUMMYFUNCTION("""COMPUTED_VALUE"""),45645.0)</f>
        <v>45645</v>
      </c>
      <c r="AU258" s="1">
        <f>IFERROR(__xludf.DUMMYFUNCTION("""COMPUTED_VALUE"""),1.0)</f>
        <v>1</v>
      </c>
      <c r="AV258" s="1" t="str">
        <f>IFERROR(__xludf.DUMMYFUNCTION("""COMPUTED_VALUE"""),"NUEVO")</f>
        <v>NUEVO</v>
      </c>
      <c r="AW258" s="1" t="str">
        <f>IFERROR(__xludf.DUMMYFUNCTION("""COMPUTED_VALUE"""),"SI")</f>
        <v>SI</v>
      </c>
      <c r="AX258" s="1"/>
      <c r="AY258" s="1" t="str">
        <f>IFERROR(__xludf.DUMMYFUNCTION("""COMPUTED_VALUE"""),"PAGO COMPLETO")</f>
        <v>PAGO COMPLETO</v>
      </c>
      <c r="AZ258" s="5">
        <f>IFERROR(__xludf.DUMMYFUNCTION("""COMPUTED_VALUE"""),45686.0)</f>
        <v>45686</v>
      </c>
      <c r="BA258" s="1">
        <f>IFERROR(__xludf.DUMMYFUNCTION("""COMPUTED_VALUE"""),525.0)</f>
        <v>525</v>
      </c>
      <c r="BB258" s="1">
        <f>IFERROR(__xludf.DUMMYFUNCTION("""COMPUTED_VALUE"""),0.0)</f>
        <v>0</v>
      </c>
      <c r="BC258" s="4">
        <f>IFERROR(__xludf.DUMMYFUNCTION("""COMPUTED_VALUE"""),0.0)</f>
        <v>0</v>
      </c>
      <c r="BD258" s="4">
        <f>IFERROR(__xludf.DUMMYFUNCTION("""COMPUTED_VALUE"""),0.0)</f>
        <v>0</v>
      </c>
      <c r="BE258" s="1">
        <f>IFERROR(__xludf.DUMMYFUNCTION("""COMPUTED_VALUE"""),12.0)</f>
        <v>12</v>
      </c>
      <c r="BF258" s="6">
        <f>IFERROR(__xludf.DUMMYFUNCTION("""COMPUTED_VALUE"""),1.0)</f>
        <v>1</v>
      </c>
      <c r="BG258" s="1">
        <f>IFERROR(__xludf.DUMMYFUNCTION("""COMPUTED_VALUE"""),1.0)</f>
        <v>1</v>
      </c>
      <c r="BH258" s="1" t="str">
        <f>IFERROR(__xludf.DUMMYFUNCTION("""COMPUTED_VALUE"""),"0")</f>
        <v>0</v>
      </c>
      <c r="BI258" s="4">
        <f>IFERROR(__xludf.DUMMYFUNCTION("""COMPUTED_VALUE"""),1412.5)</f>
        <v>1412.5</v>
      </c>
      <c r="BJ258" s="1">
        <f>IFERROR(__xludf.DUMMYFUNCTION("""COMPUTED_VALUE"""),0.0)</f>
        <v>0</v>
      </c>
      <c r="BK258" s="4">
        <f>IFERROR(__xludf.DUMMYFUNCTION("""COMPUTED_VALUE"""),0.0)</f>
        <v>0</v>
      </c>
      <c r="BL258" s="1">
        <f>IFERROR(__xludf.DUMMYFUNCTION("""COMPUTED_VALUE"""),1050.0)</f>
        <v>1050</v>
      </c>
      <c r="BM258" s="1">
        <f>IFERROR(__xludf.DUMMYFUNCTION("""COMPUTED_VALUE"""),51.0)</f>
        <v>51</v>
      </c>
      <c r="BN258" s="2">
        <f>IFERROR(__xludf.DUMMYFUNCTION("""COMPUTED_VALUE"""),45642.0)</f>
        <v>45642</v>
      </c>
      <c r="BO258" s="1">
        <f>IFERROR(__xludf.DUMMYFUNCTION("""COMPUTED_VALUE"""),12.0)</f>
        <v>12</v>
      </c>
      <c r="BP258" s="1">
        <f>IFERROR(__xludf.DUMMYFUNCTION("""COMPUTED_VALUE"""),2024.0)</f>
        <v>2024</v>
      </c>
    </row>
    <row r="259">
      <c r="A259" s="1">
        <f>IFERROR(__xludf.DUMMYFUNCTION("""COMPUTED_VALUE"""),258.0)</f>
        <v>258</v>
      </c>
      <c r="B259" s="1">
        <f>IFERROR(__xludf.DUMMYFUNCTION("""COMPUTED_VALUE"""),1769722.0)</f>
        <v>1769722</v>
      </c>
      <c r="C259" s="1" t="str">
        <f>IFERROR(__xludf.DUMMYFUNCTION("""COMPUTED_VALUE"""),"2025-1")</f>
        <v>2025-1</v>
      </c>
      <c r="D259" s="1" t="str">
        <f>IFERROR(__xludf.DUMMYFUNCTION("""COMPUTED_VALUE"""),"Admisión Extraordinaria (Traslados)")</f>
        <v>Admisión Extraordinaria (Traslados)</v>
      </c>
      <c r="E259" s="2">
        <f>IFERROR(__xludf.DUMMYFUNCTION("""COMPUTED_VALUE"""),45646.0)</f>
        <v>45646</v>
      </c>
      <c r="F259" s="1" t="str">
        <f>IFERROR(__xludf.DUMMYFUNCTION("""COMPUTED_VALUE"""),"LISSET GERALDINE ")</f>
        <v>LISSET GERALDINE </v>
      </c>
      <c r="G259" s="1" t="str">
        <f>IFERROR(__xludf.DUMMYFUNCTION("""COMPUTED_VALUE"""),"MENDOZA BEZZOLO")</f>
        <v>MENDOZA BEZZOLO</v>
      </c>
      <c r="H259" s="1" t="str">
        <f>IFERROR(__xludf.DUMMYFUNCTION("""COMPUTED_VALUE"""),"Diseño Gráfico Publicitario")</f>
        <v>Diseño Gráfico Publicitario</v>
      </c>
      <c r="I259" s="1" t="str">
        <f>IFERROR(__xludf.DUMMYFUNCTION("""COMPUTED_VALUE"""),"CARGO")</f>
        <v>CARGO</v>
      </c>
      <c r="J259" s="1" t="str">
        <f>IFERROR(__xludf.DUMMYFUNCTION("""COMPUTED_VALUE"""),"Diurno")</f>
        <v>Diurno</v>
      </c>
      <c r="K259" s="1" t="str">
        <f>IFERROR(__xludf.DUMMYFUNCTION("""COMPUTED_VALUE"""),"TRASLADO")</f>
        <v>TRASLADO</v>
      </c>
      <c r="L259" s="1">
        <f>IFERROR(__xludf.DUMMYFUNCTION("""COMPUTED_VALUE"""),0.0)</f>
        <v>0</v>
      </c>
      <c r="M259" s="1">
        <f>IFERROR(__xludf.DUMMYFUNCTION("""COMPUTED_VALUE"""),0.0)</f>
        <v>0</v>
      </c>
      <c r="N259" s="1" t="str">
        <f>IFERROR(__xludf.DUMMYFUNCTION("""COMPUTED_VALUE"""),"BECA")</f>
        <v>BECA</v>
      </c>
      <c r="O259" s="1" t="str">
        <f>IFERROR(__xludf.DUMMYFUNCTION("""COMPUTED_VALUE"""),"BECA CARRERAS CORE-TRASLADOS SIN CONVA")</f>
        <v>BECA CARRERAS CORE-TRASLADOS SIN CONVA</v>
      </c>
      <c r="P259" s="4">
        <f>IFERROR(__xludf.DUMMYFUNCTION("""COMPUTED_VALUE"""),0.0)</f>
        <v>0</v>
      </c>
      <c r="Q259" s="4">
        <f>IFERROR(__xludf.DUMMYFUNCTION("""COMPUTED_VALUE"""),0.0)</f>
        <v>0</v>
      </c>
      <c r="R259" s="4">
        <f>IFERROR(__xludf.DUMMYFUNCTION("""COMPUTED_VALUE"""),1350.0)</f>
        <v>1350</v>
      </c>
      <c r="S259" s="4">
        <f>IFERROR(__xludf.DUMMYFUNCTION("""COMPUTED_VALUE"""),1000.0)</f>
        <v>1000</v>
      </c>
      <c r="T259" s="1" t="str">
        <f>IFERROR(__xludf.DUMMYFUNCTION("""COMPUTED_VALUE"""),"PALANCA 700")</f>
        <v>PALANCA 700</v>
      </c>
      <c r="U259" s="1" t="str">
        <f>IFERROR(__xludf.DUMMYFUNCTION("""COMPUTED_VALUE"""),"FABIOLA")</f>
        <v>FABIOLA</v>
      </c>
      <c r="V259" s="1" t="str">
        <f>IFERROR(__xludf.DUMMYFUNCTION("""COMPUTED_VALUE"""),"Ninguno")</f>
        <v>Ninguno</v>
      </c>
      <c r="W259" s="1" t="str">
        <f>IFERROR(__xludf.DUMMYFUNCTION("""COMPUTED_VALUE"""),"Metodología de enseñanza")</f>
        <v>Metodología de enseñanza</v>
      </c>
      <c r="X259" s="1" t="str">
        <f>IFERROR(__xludf.DUMMYFUNCTION("""COMPUTED_VALUE"""),"-")</f>
        <v>-</v>
      </c>
      <c r="Y259" s="1" t="str">
        <f>IFERROR(__xludf.DUMMYFUNCTION("""COMPUTED_VALUE"""),"PAGO COMPLETO")</f>
        <v>PAGO COMPLETO</v>
      </c>
      <c r="Z259" s="1">
        <f>IFERROR(__xludf.DUMMYFUNCTION("""COMPUTED_VALUE"""),0.0)</f>
        <v>0</v>
      </c>
      <c r="AA259" s="1" t="str">
        <f>IFERROR(__xludf.DUMMYFUNCTION("""COMPUTED_VALUE"""),"-")</f>
        <v>-</v>
      </c>
      <c r="AB259" s="1">
        <f>IFERROR(__xludf.DUMMYFUNCTION("""COMPUTED_VALUE"""),0.0)</f>
        <v>0</v>
      </c>
      <c r="AC259" s="1">
        <f>IFERROR(__xludf.DUMMYFUNCTION("""COMPUTED_VALUE"""),0.0)</f>
        <v>0</v>
      </c>
      <c r="AD259" s="1" t="str">
        <f>IFERROR(__xludf.DUMMYFUNCTION("""COMPUTED_VALUE"""),"Ingrid Guillermo Rivera")</f>
        <v>Ingrid Guillermo Rivera</v>
      </c>
      <c r="AE259" s="1" t="str">
        <f>IFERROR(__xludf.DUMMYFUNCTION("""COMPUTED_VALUE"""),"Instituto de Educación Superior Tecnológico Privado Toulouse Lautrec")</f>
        <v>Instituto de Educación Superior Tecnológico Privado Toulouse Lautrec</v>
      </c>
      <c r="AF259" s="1">
        <f>IFERROR(__xludf.DUMMYFUNCTION("""COMPUTED_VALUE"""),2022.0)</f>
        <v>2022</v>
      </c>
      <c r="AG259" s="1">
        <f>IFERROR(__xludf.DUMMYFUNCTION("""COMPUTED_VALUE"""),1070523.0)</f>
        <v>1070523</v>
      </c>
      <c r="AH259" s="1">
        <f>IFERROR(__xludf.DUMMYFUNCTION("""COMPUTED_VALUE"""),19.0)</f>
        <v>19</v>
      </c>
      <c r="AI259" s="1" t="str">
        <f>IFERROR(__xludf.DUMMYFUNCTION("""COMPUTED_VALUE"""),"0000042738")</f>
        <v>0000042738</v>
      </c>
      <c r="AJ259" s="1">
        <f>IFERROR(__xludf.DUMMYFUNCTION("""COMPUTED_VALUE"""),7.5830931E7)</f>
        <v>75830931</v>
      </c>
      <c r="AK259" s="1">
        <f>IFERROR(__xludf.DUMMYFUNCTION("""COMPUTED_VALUE"""),9.33015082E8)</f>
        <v>933015082</v>
      </c>
      <c r="AL259" s="1" t="str">
        <f>IFERROR(__xludf.DUMMYFUNCTION("""COMPUTED_VALUE"""),"Geralbezzolo@gmail.com")</f>
        <v>Geralbezzolo@gmail.com</v>
      </c>
      <c r="AM259" s="1" t="str">
        <f>IFERROR(__xludf.DUMMYFUNCTION("""COMPUTED_VALUE"""),"FEMENINO")</f>
        <v>FEMENINO</v>
      </c>
      <c r="AN259" s="1">
        <f>IFERROR(__xludf.DUMMYFUNCTION("""COMPUTED_VALUE"""),1850.0)</f>
        <v>1850</v>
      </c>
      <c r="AO259" s="1">
        <f>IFERROR(__xludf.DUMMYFUNCTION("""COMPUTED_VALUE"""),565.0)</f>
        <v>565</v>
      </c>
      <c r="AP259" s="1" t="str">
        <f>IFERROR(__xludf.DUMMYFUNCTION("""COMPUTED_VALUE"""),"BIDIRECCIONAL")</f>
        <v>BIDIRECCIONAL</v>
      </c>
      <c r="AQ259" s="1" t="str">
        <f>IFERROR(__xludf.DUMMYFUNCTION("""COMPUTED_VALUE"""),"SEARCH MARCA")</f>
        <v>SEARCH MARCA</v>
      </c>
      <c r="AR259" s="1" t="str">
        <f>IFERROR(__xludf.DUMMYFUNCTION("""COMPUTED_VALUE"""),"HEREDADO")</f>
        <v>HEREDADO</v>
      </c>
      <c r="AS259" s="1" t="str">
        <f>IFERROR(__xludf.DUMMYFUNCTION("""COMPUTED_VALUE"""),"ucal-pg-performance-sedes-abierta-cpl-search_conversion_marca-20240401")</f>
        <v>ucal-pg-performance-sedes-abierta-cpl-search_conversion_marca-20240401</v>
      </c>
      <c r="AT259" s="2">
        <f>IFERROR(__xludf.DUMMYFUNCTION("""COMPUTED_VALUE"""),45636.0)</f>
        <v>45636</v>
      </c>
      <c r="AU259" s="1">
        <f>IFERROR(__xludf.DUMMYFUNCTION("""COMPUTED_VALUE"""),1.0)</f>
        <v>1</v>
      </c>
      <c r="AV259" s="1" t="str">
        <f>IFERROR(__xludf.DUMMYFUNCTION("""COMPUTED_VALUE"""),"NUEVO")</f>
        <v>NUEVO</v>
      </c>
      <c r="AW259" s="1" t="str">
        <f>IFERROR(__xludf.DUMMYFUNCTION("""COMPUTED_VALUE"""),"SI")</f>
        <v>SI</v>
      </c>
      <c r="AX259" s="1"/>
      <c r="AY259" s="1" t="str">
        <f>IFERROR(__xludf.DUMMYFUNCTION("""COMPUTED_VALUE"""),"PAGO COMPLETO")</f>
        <v>PAGO COMPLETO</v>
      </c>
      <c r="AZ259" s="5">
        <f>IFERROR(__xludf.DUMMYFUNCTION("""COMPUTED_VALUE"""),45646.0)</f>
        <v>45646</v>
      </c>
      <c r="BA259" s="1">
        <f>IFERROR(__xludf.DUMMYFUNCTION("""COMPUTED_VALUE"""),0.0)</f>
        <v>0</v>
      </c>
      <c r="BB259" s="1">
        <f>IFERROR(__xludf.DUMMYFUNCTION("""COMPUTED_VALUE"""),0.0)</f>
        <v>0</v>
      </c>
      <c r="BC259" s="4">
        <f>IFERROR(__xludf.DUMMYFUNCTION("""COMPUTED_VALUE"""),0.0)</f>
        <v>0</v>
      </c>
      <c r="BD259" s="4">
        <f>IFERROR(__xludf.DUMMYFUNCTION("""COMPUTED_VALUE"""),300.0)</f>
        <v>300</v>
      </c>
      <c r="BE259" s="1">
        <f>IFERROR(__xludf.DUMMYFUNCTION("""COMPUTED_VALUE"""),12.0)</f>
        <v>12</v>
      </c>
      <c r="BF259" s="6">
        <f>IFERROR(__xludf.DUMMYFUNCTION("""COMPUTED_VALUE"""),1.0)</f>
        <v>1</v>
      </c>
      <c r="BG259" s="1">
        <f>IFERROR(__xludf.DUMMYFUNCTION("""COMPUTED_VALUE"""),1.0)</f>
        <v>1</v>
      </c>
      <c r="BH259" s="1" t="str">
        <f>IFERROR(__xludf.DUMMYFUNCTION("""COMPUTED_VALUE"""),"0")</f>
        <v>0</v>
      </c>
      <c r="BI259" s="4">
        <f>IFERROR(__xludf.DUMMYFUNCTION("""COMPUTED_VALUE"""),300.0)</f>
        <v>300</v>
      </c>
      <c r="BJ259" s="1">
        <f>IFERROR(__xludf.DUMMYFUNCTION("""COMPUTED_VALUE"""),0.0)</f>
        <v>0</v>
      </c>
      <c r="BK259" s="4">
        <f>IFERROR(__xludf.DUMMYFUNCTION("""COMPUTED_VALUE"""),300.0)</f>
        <v>300</v>
      </c>
      <c r="BL259" s="1">
        <f>IFERROR(__xludf.DUMMYFUNCTION("""COMPUTED_VALUE"""),940.0)</f>
        <v>940</v>
      </c>
      <c r="BM259" s="1">
        <f>IFERROR(__xludf.DUMMYFUNCTION("""COMPUTED_VALUE"""),51.0)</f>
        <v>51</v>
      </c>
      <c r="BN259" s="2">
        <f>IFERROR(__xludf.DUMMYFUNCTION("""COMPUTED_VALUE"""),45642.0)</f>
        <v>45642</v>
      </c>
      <c r="BO259" s="1">
        <f>IFERROR(__xludf.DUMMYFUNCTION("""COMPUTED_VALUE"""),12.0)</f>
        <v>12</v>
      </c>
      <c r="BP259" s="1">
        <f>IFERROR(__xludf.DUMMYFUNCTION("""COMPUTED_VALUE"""),2024.0)</f>
        <v>2024</v>
      </c>
    </row>
    <row r="260">
      <c r="A260" s="1">
        <f>IFERROR(__xludf.DUMMYFUNCTION("""COMPUTED_VALUE"""),259.0)</f>
        <v>259</v>
      </c>
      <c r="B260" s="1">
        <f>IFERROR(__xludf.DUMMYFUNCTION("""COMPUTED_VALUE"""),4884251.0)</f>
        <v>4884251</v>
      </c>
      <c r="C260" s="1" t="str">
        <f>IFERROR(__xludf.DUMMYFUNCTION("""COMPUTED_VALUE"""),"2025-1")</f>
        <v>2025-1</v>
      </c>
      <c r="D260" s="1" t="str">
        <f>IFERROR(__xludf.DUMMYFUNCTION("""COMPUTED_VALUE"""),"Admisión Extraordinaria (Traslados)")</f>
        <v>Admisión Extraordinaria (Traslados)</v>
      </c>
      <c r="E260" s="2">
        <f>IFERROR(__xludf.DUMMYFUNCTION("""COMPUTED_VALUE"""),45646.0)</f>
        <v>45646</v>
      </c>
      <c r="F260" s="1" t="str">
        <f>IFERROR(__xludf.DUMMYFUNCTION("""COMPUTED_VALUE"""),"GUSTAVO ")</f>
        <v>GUSTAVO </v>
      </c>
      <c r="G260" s="1" t="str">
        <f>IFERROR(__xludf.DUMMYFUNCTION("""COMPUTED_VALUE"""),"CASTRO HERRERA")</f>
        <v>CASTRO HERRERA</v>
      </c>
      <c r="H260" s="1" t="str">
        <f>IFERROR(__xludf.DUMMYFUNCTION("""COMPUTED_VALUE"""),"Psicología")</f>
        <v>Psicología</v>
      </c>
      <c r="I260" s="1" t="str">
        <f>IFERROR(__xludf.DUMMYFUNCTION("""COMPUTED_VALUE"""),"POS")</f>
        <v>POS</v>
      </c>
      <c r="J260" s="1" t="str">
        <f>IFERROR(__xludf.DUMMYFUNCTION("""COMPUTED_VALUE"""),"Diurno")</f>
        <v>Diurno</v>
      </c>
      <c r="K260" s="1" t="str">
        <f>IFERROR(__xludf.DUMMYFUNCTION("""COMPUTED_VALUE"""),"TRASLADO")</f>
        <v>TRASLADO</v>
      </c>
      <c r="L260" s="1">
        <f>IFERROR(__xludf.DUMMYFUNCTION("""COMPUTED_VALUE"""),1.0)</f>
        <v>1</v>
      </c>
      <c r="M260" s="1">
        <f>IFERROR(__xludf.DUMMYFUNCTION("""COMPUTED_VALUE"""),0.0)</f>
        <v>0</v>
      </c>
      <c r="N260" s="1" t="str">
        <f>IFERROR(__xludf.DUMMYFUNCTION("""COMPUTED_VALUE"""),"RECA")</f>
        <v>RECA</v>
      </c>
      <c r="O260" s="1" t="str">
        <f>IFERROR(__xludf.DUMMYFUNCTION("""COMPUTED_VALUE"""),"RECA TRASLADO CON CONVA")</f>
        <v>RECA TRASLADO CON CONVA</v>
      </c>
      <c r="P260" s="4">
        <f>IFERROR(__xludf.DUMMYFUNCTION("""COMPUTED_VALUE"""),0.0)</f>
        <v>0</v>
      </c>
      <c r="Q260" s="4">
        <f>IFERROR(__xludf.DUMMYFUNCTION("""COMPUTED_VALUE"""),0.0)</f>
        <v>0</v>
      </c>
      <c r="R260" s="4">
        <f>IFERROR(__xludf.DUMMYFUNCTION("""COMPUTED_VALUE"""),950.0)</f>
        <v>950</v>
      </c>
      <c r="S260" s="4">
        <f>IFERROR(__xludf.DUMMYFUNCTION("""COMPUTED_VALUE"""),950.0)</f>
        <v>950</v>
      </c>
      <c r="T260" s="1" t="str">
        <f>IFERROR(__xludf.DUMMYFUNCTION("""COMPUTED_VALUE"""),"NINGUNO")</f>
        <v>NINGUNO</v>
      </c>
      <c r="U260" s="1" t="str">
        <f>IFERROR(__xludf.DUMMYFUNCTION("""COMPUTED_VALUE"""),"FABIOLA")</f>
        <v>FABIOLA</v>
      </c>
      <c r="V260" s="1" t="str">
        <f>IFERROR(__xludf.DUMMYFUNCTION("""COMPUTED_VALUE"""),"Ninguno")</f>
        <v>Ninguno</v>
      </c>
      <c r="W260" s="1" t="str">
        <f>IFERROR(__xludf.DUMMYFUNCTION("""COMPUTED_VALUE"""),"Malla curricular")</f>
        <v>Malla curricular</v>
      </c>
      <c r="X260" s="1" t="str">
        <f>IFERROR(__xludf.DUMMYFUNCTION("""COMPUTED_VALUE"""),"malla curricular")</f>
        <v>malla curricular</v>
      </c>
      <c r="Y260" s="1" t="str">
        <f>IFERROR(__xludf.DUMMYFUNCTION("""COMPUTED_VALUE"""),"PAGO FRACCIONADO")</f>
        <v>PAGO FRACCIONADO</v>
      </c>
      <c r="Z260" s="1">
        <f>IFERROR(__xludf.DUMMYFUNCTION("""COMPUTED_VALUE"""),475.0)</f>
        <v>475</v>
      </c>
      <c r="AA260" s="1" t="str">
        <f>IFERROR(__xludf.DUMMYFUNCTION("""COMPUTED_VALUE"""),"29/12/2024")</f>
        <v>29/12/2024</v>
      </c>
      <c r="AB260" s="1">
        <f>IFERROR(__xludf.DUMMYFUNCTION("""COMPUTED_VALUE"""),0.0)</f>
        <v>0</v>
      </c>
      <c r="AC260" s="1">
        <f>IFERROR(__xludf.DUMMYFUNCTION("""COMPUTED_VALUE"""),0.0)</f>
        <v>0</v>
      </c>
      <c r="AD260" s="1" t="str">
        <f>IFERROR(__xludf.DUMMYFUNCTION("""COMPUTED_VALUE"""),"Cinthia Mariella Orosco")</f>
        <v>Cinthia Mariella Orosco</v>
      </c>
      <c r="AE260" s="1" t="str">
        <f>IFERROR(__xludf.DUMMYFUNCTION("""COMPUTED_VALUE"""),"SENATI")</f>
        <v>SENATI</v>
      </c>
      <c r="AF260" s="1">
        <f>IFERROR(__xludf.DUMMYFUNCTION("""COMPUTED_VALUE"""),2020.0)</f>
        <v>2020</v>
      </c>
      <c r="AG260" s="1">
        <f>IFERROR(__xludf.DUMMYFUNCTION("""COMPUTED_VALUE"""),1609841.0)</f>
        <v>1609841</v>
      </c>
      <c r="AH260" s="1">
        <f>IFERROR(__xludf.DUMMYFUNCTION("""COMPUTED_VALUE"""),22.0)</f>
        <v>22</v>
      </c>
      <c r="AI260" s="1" t="str">
        <f>IFERROR(__xludf.DUMMYFUNCTION("""COMPUTED_VALUE"""),"0000405013")</f>
        <v>0000405013</v>
      </c>
      <c r="AJ260" s="1">
        <f>IFERROR(__xludf.DUMMYFUNCTION("""COMPUTED_VALUE"""),7.0427062E7)</f>
        <v>70427062</v>
      </c>
      <c r="AK260" s="1">
        <f>IFERROR(__xludf.DUMMYFUNCTION("""COMPUTED_VALUE"""),9.90245977E8)</f>
        <v>990245977</v>
      </c>
      <c r="AL260" s="1" t="str">
        <f>IFERROR(__xludf.DUMMYFUNCTION("""COMPUTED_VALUE"""),"Gustavoherrera2h@hotmail.com")</f>
        <v>Gustavoherrera2h@hotmail.com</v>
      </c>
      <c r="AM260" s="1" t="str">
        <f>IFERROR(__xludf.DUMMYFUNCTION("""COMPUTED_VALUE"""),"MASCULINO")</f>
        <v>MASCULINO</v>
      </c>
      <c r="AN260" s="1">
        <f>IFERROR(__xludf.DUMMYFUNCTION("""COMPUTED_VALUE"""),1775.0)</f>
        <v>1775</v>
      </c>
      <c r="AO260" s="1">
        <f>IFERROR(__xludf.DUMMYFUNCTION("""COMPUTED_VALUE"""),470.0)</f>
        <v>470</v>
      </c>
      <c r="AP260" s="1" t="str">
        <f>IFERROR(__xludf.DUMMYFUNCTION("""COMPUTED_VALUE"""),"BIDIRECCIONAL")</f>
        <v>BIDIRECCIONAL</v>
      </c>
      <c r="AQ260" s="1" t="str">
        <f>IFERROR(__xludf.DUMMYFUNCTION("""COMPUTED_VALUE"""),"SEARCH CARRERA")</f>
        <v>SEARCH CARRERA</v>
      </c>
      <c r="AR260" s="1" t="str">
        <f>IFERROR(__xludf.DUMMYFUNCTION("""COMPUTED_VALUE"""),"NUEVO")</f>
        <v>NUEVO</v>
      </c>
      <c r="AS260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260" s="2">
        <f>IFERROR(__xludf.DUMMYFUNCTION("""COMPUTED_VALUE"""),45645.0)</f>
        <v>45645</v>
      </c>
      <c r="AU260" s="1">
        <f>IFERROR(__xludf.DUMMYFUNCTION("""COMPUTED_VALUE"""),1.0)</f>
        <v>1</v>
      </c>
      <c r="AV260" s="1" t="str">
        <f>IFERROR(__xludf.DUMMYFUNCTION("""COMPUTED_VALUE"""),"TRASLADO")</f>
        <v>TRASLADO</v>
      </c>
      <c r="AW260" s="1" t="str">
        <f>IFERROR(__xludf.DUMMYFUNCTION("""COMPUTED_VALUE"""),"SI")</f>
        <v>SI</v>
      </c>
      <c r="AX260" s="1"/>
      <c r="AY260" s="1" t="str">
        <f>IFERROR(__xludf.DUMMYFUNCTION("""COMPUTED_VALUE"""),"PAGO COMPLETO")</f>
        <v>PAGO COMPLETO</v>
      </c>
      <c r="AZ260" s="5">
        <f>IFERROR(__xludf.DUMMYFUNCTION("""COMPUTED_VALUE"""),45656.0)</f>
        <v>45656</v>
      </c>
      <c r="BA260" s="1">
        <f>IFERROR(__xludf.DUMMYFUNCTION("""COMPUTED_VALUE"""),475.0)</f>
        <v>475</v>
      </c>
      <c r="BB260" s="1">
        <f>IFERROR(__xludf.DUMMYFUNCTION("""COMPUTED_VALUE"""),0.0)</f>
        <v>0</v>
      </c>
      <c r="BC260" s="4">
        <f>IFERROR(__xludf.DUMMYFUNCTION("""COMPUTED_VALUE"""),0.0)</f>
        <v>0</v>
      </c>
      <c r="BD260" s="4">
        <f>IFERROR(__xludf.DUMMYFUNCTION("""COMPUTED_VALUE"""),0.0)</f>
        <v>0</v>
      </c>
      <c r="BE260" s="1">
        <f>IFERROR(__xludf.DUMMYFUNCTION("""COMPUTED_VALUE"""),12.0)</f>
        <v>12</v>
      </c>
      <c r="BF260" s="6">
        <f>IFERROR(__xludf.DUMMYFUNCTION("""COMPUTED_VALUE"""),1.0)</f>
        <v>1</v>
      </c>
      <c r="BG260" s="1">
        <f>IFERROR(__xludf.DUMMYFUNCTION("""COMPUTED_VALUE"""),1.0)</f>
        <v>1</v>
      </c>
      <c r="BH260" s="1" t="str">
        <f>IFERROR(__xludf.DUMMYFUNCTION("""COMPUTED_VALUE"""),"1")</f>
        <v>1</v>
      </c>
      <c r="BI260" s="4">
        <f>IFERROR(__xludf.DUMMYFUNCTION("""COMPUTED_VALUE"""),950.0)</f>
        <v>950</v>
      </c>
      <c r="BJ260" s="1">
        <f>IFERROR(__xludf.DUMMYFUNCTION("""COMPUTED_VALUE"""),0.0)</f>
        <v>0</v>
      </c>
      <c r="BK260" s="4">
        <f>IFERROR(__xludf.DUMMYFUNCTION("""COMPUTED_VALUE"""),0.0)</f>
        <v>0</v>
      </c>
      <c r="BL260" s="1">
        <f>IFERROR(__xludf.DUMMYFUNCTION("""COMPUTED_VALUE"""),950.0)</f>
        <v>950</v>
      </c>
      <c r="BM260" s="1">
        <f>IFERROR(__xludf.DUMMYFUNCTION("""COMPUTED_VALUE"""),51.0)</f>
        <v>51</v>
      </c>
      <c r="BN260" s="2">
        <f>IFERROR(__xludf.DUMMYFUNCTION("""COMPUTED_VALUE"""),45642.0)</f>
        <v>45642</v>
      </c>
      <c r="BO260" s="1">
        <f>IFERROR(__xludf.DUMMYFUNCTION("""COMPUTED_VALUE"""),12.0)</f>
        <v>12</v>
      </c>
      <c r="BP260" s="1">
        <f>IFERROR(__xludf.DUMMYFUNCTION("""COMPUTED_VALUE"""),2024.0)</f>
        <v>2024</v>
      </c>
    </row>
    <row r="261">
      <c r="A261" s="1">
        <f>IFERROR(__xludf.DUMMYFUNCTION("""COMPUTED_VALUE"""),260.0)</f>
        <v>260</v>
      </c>
      <c r="B261" s="1">
        <f>IFERROR(__xludf.DUMMYFUNCTION("""COMPUTED_VALUE"""),4873515.0)</f>
        <v>4873515</v>
      </c>
      <c r="C261" s="1" t="str">
        <f>IFERROR(__xludf.DUMMYFUNCTION("""COMPUTED_VALUE"""),"2025-1")</f>
        <v>2025-1</v>
      </c>
      <c r="D261" s="1" t="str">
        <f>IFERROR(__xludf.DUMMYFUNCTION("""COMPUTED_VALUE"""),"Admisión Extraordinaria (Traslados)")</f>
        <v>Admisión Extraordinaria (Traslados)</v>
      </c>
      <c r="E261" s="2">
        <f>IFERROR(__xludf.DUMMYFUNCTION("""COMPUTED_VALUE"""),45646.0)</f>
        <v>45646</v>
      </c>
      <c r="F261" s="1" t="str">
        <f>IFERROR(__xludf.DUMMYFUNCTION("""COMPUTED_VALUE"""),"ARIANA KATHERIN ")</f>
        <v>ARIANA KATHERIN </v>
      </c>
      <c r="G261" s="1" t="str">
        <f>IFERROR(__xludf.DUMMYFUNCTION("""COMPUTED_VALUE"""),"ROMERO FERNANDEZ")</f>
        <v>ROMERO FERNANDEZ</v>
      </c>
      <c r="H261" s="1" t="str">
        <f>IFERROR(__xludf.DUMMYFUNCTION("""COMPUTED_VALUE"""),"Arquitectura de Interiores")</f>
        <v>Arquitectura de Interiores</v>
      </c>
      <c r="I261" s="1" t="str">
        <f>IFERROR(__xludf.DUMMYFUNCTION("""COMPUTED_VALUE"""),"CARGO")</f>
        <v>CARGO</v>
      </c>
      <c r="J261" s="1" t="str">
        <f>IFERROR(__xludf.DUMMYFUNCTION("""COMPUTED_VALUE"""),"Diurno")</f>
        <v>Diurno</v>
      </c>
      <c r="K261" s="1" t="str">
        <f>IFERROR(__xludf.DUMMYFUNCTION("""COMPUTED_VALUE"""),"TRASLADO")</f>
        <v>TRASLADO</v>
      </c>
      <c r="L261" s="1">
        <f>IFERROR(__xludf.DUMMYFUNCTION("""COMPUTED_VALUE"""),1.0)</f>
        <v>1</v>
      </c>
      <c r="M261" s="1">
        <f>IFERROR(__xludf.DUMMYFUNCTION("""COMPUTED_VALUE"""),0.0)</f>
        <v>0</v>
      </c>
      <c r="N261" s="1" t="str">
        <f>IFERROR(__xludf.DUMMYFUNCTION("""COMPUTED_VALUE"""),"RECA")</f>
        <v>RECA</v>
      </c>
      <c r="O261" s="1" t="str">
        <f>IFERROR(__xludf.DUMMYFUNCTION("""COMPUTED_VALUE"""),"RECA TRASLADO CON CONVA")</f>
        <v>RECA TRASLADO CON CONVA</v>
      </c>
      <c r="P261" s="4">
        <f>IFERROR(__xludf.DUMMYFUNCTION("""COMPUTED_VALUE"""),0.0)</f>
        <v>0</v>
      </c>
      <c r="Q261" s="4">
        <f>IFERROR(__xludf.DUMMYFUNCTION("""COMPUTED_VALUE"""),0.0)</f>
        <v>0</v>
      </c>
      <c r="R261" s="4">
        <f>IFERROR(__xludf.DUMMYFUNCTION("""COMPUTED_VALUE"""),1600.0)</f>
        <v>1600</v>
      </c>
      <c r="S261" s="4">
        <f>IFERROR(__xludf.DUMMYFUNCTION("""COMPUTED_VALUE"""),900.0)</f>
        <v>900</v>
      </c>
      <c r="T261" s="1" t="str">
        <f>IFERROR(__xludf.DUMMYFUNCTION("""COMPUTED_VALUE"""),"NINGUNO")</f>
        <v>NINGUNO</v>
      </c>
      <c r="U261" s="1" t="str">
        <f>IFERROR(__xludf.DUMMYFUNCTION("""COMPUTED_VALUE"""),"FABIOLA")</f>
        <v>FABIOLA</v>
      </c>
      <c r="V261" s="1" t="str">
        <f>IFERROR(__xludf.DUMMYFUNCTION("""COMPUTED_VALUE"""),"Ninguno")</f>
        <v>Ninguno</v>
      </c>
      <c r="W261" s="1" t="str">
        <f>IFERROR(__xludf.DUMMYFUNCTION("""COMPUTED_VALUE"""),"Metodología de enseñanza")</f>
        <v>Metodología de enseñanza</v>
      </c>
      <c r="X261" s="1" t="str">
        <f>IFERROR(__xludf.DUMMYFUNCTION("""COMPUTED_VALUE"""),"convalida")</f>
        <v>convalida</v>
      </c>
      <c r="Y261" s="1" t="str">
        <f>IFERROR(__xludf.DUMMYFUNCTION("""COMPUTED_VALUE"""),"PAGO COMPLETO")</f>
        <v>PAGO COMPLETO</v>
      </c>
      <c r="Z261" s="1">
        <f>IFERROR(__xludf.DUMMYFUNCTION("""COMPUTED_VALUE"""),0.0)</f>
        <v>0</v>
      </c>
      <c r="AA261" s="1" t="str">
        <f>IFERROR(__xludf.DUMMYFUNCTION("""COMPUTED_VALUE"""),"-")</f>
        <v>-</v>
      </c>
      <c r="AB261" s="1">
        <f>IFERROR(__xludf.DUMMYFUNCTION("""COMPUTED_VALUE"""),0.0)</f>
        <v>0</v>
      </c>
      <c r="AC261" s="1">
        <f>IFERROR(__xludf.DUMMYFUNCTION("""COMPUTED_VALUE"""),0.0)</f>
        <v>0</v>
      </c>
      <c r="AD261" s="1" t="str">
        <f>IFERROR(__xludf.DUMMYFUNCTION("""COMPUTED_VALUE"""),"Rosa Ugarte")</f>
        <v>Rosa Ugarte</v>
      </c>
      <c r="AE261" s="1" t="str">
        <f>IFERROR(__xludf.DUMMYFUNCTION("""COMPUTED_VALUE"""),"Universidad Privada del Norte(UPN)")</f>
        <v>Universidad Privada del Norte(UPN)</v>
      </c>
      <c r="AF261" s="1">
        <f>IFERROR(__xludf.DUMMYFUNCTION("""COMPUTED_VALUE"""),2020.0)</f>
        <v>2020</v>
      </c>
      <c r="AG261" s="1">
        <f>IFERROR(__xludf.DUMMYFUNCTION("""COMPUTED_VALUE"""),583591.0)</f>
        <v>583591</v>
      </c>
      <c r="AH261" s="1">
        <f>IFERROR(__xludf.DUMMYFUNCTION("""COMPUTED_VALUE"""),21.0)</f>
        <v>21</v>
      </c>
      <c r="AI261" s="1" t="str">
        <f>IFERROR(__xludf.DUMMYFUNCTION("""COMPUTED_VALUE"""),"0000405018")</f>
        <v>0000405018</v>
      </c>
      <c r="AJ261" s="1">
        <f>IFERROR(__xludf.DUMMYFUNCTION("""COMPUTED_VALUE"""),7.647813E7)</f>
        <v>76478130</v>
      </c>
      <c r="AK261" s="1">
        <f>IFERROR(__xludf.DUMMYFUNCTION("""COMPUTED_VALUE"""),9.38105135E8)</f>
        <v>938105135</v>
      </c>
      <c r="AL261" s="1" t="str">
        <f>IFERROR(__xludf.DUMMYFUNCTION("""COMPUTED_VALUE"""),"arianakhaterimm@gmail.com")</f>
        <v>arianakhaterimm@gmail.com</v>
      </c>
      <c r="AM261" s="1" t="str">
        <f>IFERROR(__xludf.DUMMYFUNCTION("""COMPUTED_VALUE"""),"FEMENINO")</f>
        <v>FEMENINO</v>
      </c>
      <c r="AN261" s="1">
        <f>IFERROR(__xludf.DUMMYFUNCTION("""COMPUTED_VALUE"""),1350.0)</f>
        <v>1350</v>
      </c>
      <c r="AO261" s="1">
        <f>IFERROR(__xludf.DUMMYFUNCTION("""COMPUTED_VALUE"""),0.0)</f>
        <v>0</v>
      </c>
      <c r="AP261" s="1" t="str">
        <f>IFERROR(__xludf.DUMMYFUNCTION("""COMPUTED_VALUE"""),"BIDIRECCIONAL")</f>
        <v>BIDIRECCIONAL</v>
      </c>
      <c r="AQ261" s="1" t="str">
        <f>IFERROR(__xludf.DUMMYFUNCTION("""COMPUTED_VALUE"""),"ORGANICO")</f>
        <v>ORGANICO</v>
      </c>
      <c r="AR261" s="1" t="str">
        <f>IFERROR(__xludf.DUMMYFUNCTION("""COMPUTED_VALUE"""),"NUEVO")</f>
        <v>NUEVO</v>
      </c>
      <c r="AS261" s="1"/>
      <c r="AT261" s="2">
        <f>IFERROR(__xludf.DUMMYFUNCTION("""COMPUTED_VALUE"""),45639.0)</f>
        <v>45639</v>
      </c>
      <c r="AU261" s="1">
        <f>IFERROR(__xludf.DUMMYFUNCTION("""COMPUTED_VALUE"""),1.0)</f>
        <v>1</v>
      </c>
      <c r="AV261" s="1" t="str">
        <f>IFERROR(__xludf.DUMMYFUNCTION("""COMPUTED_VALUE"""),"TRASLADO")</f>
        <v>TRASLADO</v>
      </c>
      <c r="AW261" s="1" t="str">
        <f>IFERROR(__xludf.DUMMYFUNCTION("""COMPUTED_VALUE"""),"SI")</f>
        <v>SI</v>
      </c>
      <c r="AX261" s="1"/>
      <c r="AY261" s="1" t="str">
        <f>IFERROR(__xludf.DUMMYFUNCTION("""COMPUTED_VALUE"""),"PAGO COMPLETO")</f>
        <v>PAGO COMPLETO</v>
      </c>
      <c r="AZ261" s="5">
        <f>IFERROR(__xludf.DUMMYFUNCTION("""COMPUTED_VALUE"""),45646.0)</f>
        <v>45646</v>
      </c>
      <c r="BA261" s="1">
        <f>IFERROR(__xludf.DUMMYFUNCTION("""COMPUTED_VALUE"""),0.0)</f>
        <v>0</v>
      </c>
      <c r="BB261" s="1">
        <f>IFERROR(__xludf.DUMMYFUNCTION("""COMPUTED_VALUE"""),0.0)</f>
        <v>0</v>
      </c>
      <c r="BC261" s="4">
        <f>IFERROR(__xludf.DUMMYFUNCTION("""COMPUTED_VALUE"""),0.0)</f>
        <v>0</v>
      </c>
      <c r="BD261" s="4">
        <f>IFERROR(__xludf.DUMMYFUNCTION("""COMPUTED_VALUE"""),0.0)</f>
        <v>0</v>
      </c>
      <c r="BE261" s="1">
        <f>IFERROR(__xludf.DUMMYFUNCTION("""COMPUTED_VALUE"""),12.0)</f>
        <v>12</v>
      </c>
      <c r="BF261" s="6">
        <f>IFERROR(__xludf.DUMMYFUNCTION("""COMPUTED_VALUE"""),1.0)</f>
        <v>1</v>
      </c>
      <c r="BG261" s="1">
        <f>IFERROR(__xludf.DUMMYFUNCTION("""COMPUTED_VALUE"""),1.0)</f>
        <v>1</v>
      </c>
      <c r="BH261" s="1" t="str">
        <f>IFERROR(__xludf.DUMMYFUNCTION("""COMPUTED_VALUE"""),"1")</f>
        <v>1</v>
      </c>
      <c r="BI261" s="4">
        <f>IFERROR(__xludf.DUMMYFUNCTION("""COMPUTED_VALUE"""),0.0)</f>
        <v>0</v>
      </c>
      <c r="BJ261" s="1">
        <f>IFERROR(__xludf.DUMMYFUNCTION("""COMPUTED_VALUE"""),0.0)</f>
        <v>0</v>
      </c>
      <c r="BK261" s="4">
        <f>IFERROR(__xludf.DUMMYFUNCTION("""COMPUTED_VALUE"""),0.0)</f>
        <v>0</v>
      </c>
      <c r="BL261" s="1">
        <f>IFERROR(__xludf.DUMMYFUNCTION("""COMPUTED_VALUE"""),900.0)</f>
        <v>900</v>
      </c>
      <c r="BM261" s="1">
        <f>IFERROR(__xludf.DUMMYFUNCTION("""COMPUTED_VALUE"""),51.0)</f>
        <v>51</v>
      </c>
      <c r="BN261" s="2">
        <f>IFERROR(__xludf.DUMMYFUNCTION("""COMPUTED_VALUE"""),45642.0)</f>
        <v>45642</v>
      </c>
      <c r="BO261" s="1">
        <f>IFERROR(__xludf.DUMMYFUNCTION("""COMPUTED_VALUE"""),12.0)</f>
        <v>12</v>
      </c>
      <c r="BP261" s="1">
        <f>IFERROR(__xludf.DUMMYFUNCTION("""COMPUTED_VALUE"""),2024.0)</f>
        <v>2024</v>
      </c>
    </row>
    <row r="262">
      <c r="A262" s="1">
        <f>IFERROR(__xludf.DUMMYFUNCTION("""COMPUTED_VALUE"""),261.0)</f>
        <v>261</v>
      </c>
      <c r="B262" s="1">
        <f>IFERROR(__xludf.DUMMYFUNCTION("""COMPUTED_VALUE"""),1075933.0)</f>
        <v>1075933</v>
      </c>
      <c r="C262" s="1" t="str">
        <f>IFERROR(__xludf.DUMMYFUNCTION("""COMPUTED_VALUE"""),"2025-1")</f>
        <v>2025-1</v>
      </c>
      <c r="D262" s="1" t="str">
        <f>IFERROR(__xludf.DUMMYFUNCTION("""COMPUTED_VALUE"""),"Admisión Extraordinaria (Traslados)")</f>
        <v>Admisión Extraordinaria (Traslados)</v>
      </c>
      <c r="E262" s="2">
        <f>IFERROR(__xludf.DUMMYFUNCTION("""COMPUTED_VALUE"""),45646.0)</f>
        <v>45646</v>
      </c>
      <c r="F262" s="1" t="str">
        <f>IFERROR(__xludf.DUMMYFUNCTION("""COMPUTED_VALUE"""),"ANA SOFIA ")</f>
        <v>ANA SOFIA </v>
      </c>
      <c r="G262" s="1" t="str">
        <f>IFERROR(__xludf.DUMMYFUNCTION("""COMPUTED_VALUE"""),"CARPIO ORTEGA DIAZ")</f>
        <v>CARPIO ORTEGA DIAZ</v>
      </c>
      <c r="H262" s="1" t="str">
        <f>IFERROR(__xludf.DUMMYFUNCTION("""COMPUTED_VALUE"""),"Comunicación Audiovisual y Cine")</f>
        <v>Comunicación Audiovisual y Cine</v>
      </c>
      <c r="I262" s="1" t="str">
        <f>IFERROR(__xludf.DUMMYFUNCTION("""COMPUTED_VALUE"""),"Pago Link")</f>
        <v>Pago Link</v>
      </c>
      <c r="J262" s="1" t="str">
        <f>IFERROR(__xludf.DUMMYFUNCTION("""COMPUTED_VALUE"""),"Diurno")</f>
        <v>Diurno</v>
      </c>
      <c r="K262" s="1" t="str">
        <f>IFERROR(__xludf.DUMMYFUNCTION("""COMPUTED_VALUE"""),"TRASLADO")</f>
        <v>TRASLADO</v>
      </c>
      <c r="L262" s="1">
        <f>IFERROR(__xludf.DUMMYFUNCTION("""COMPUTED_VALUE"""),1.0)</f>
        <v>1</v>
      </c>
      <c r="M262" s="1">
        <f>IFERROR(__xludf.DUMMYFUNCTION("""COMPUTED_VALUE"""),0.0)</f>
        <v>0</v>
      </c>
      <c r="N262" s="1" t="str">
        <f>IFERROR(__xludf.DUMMYFUNCTION("""COMPUTED_VALUE"""),"RECA")</f>
        <v>RECA</v>
      </c>
      <c r="O262" s="1" t="str">
        <f>IFERROR(__xludf.DUMMYFUNCTION("""COMPUTED_VALUE"""),"RECA TRASLADO CON CONVA")</f>
        <v>RECA TRASLADO CON CONVA</v>
      </c>
      <c r="P262" s="4">
        <f>IFERROR(__xludf.DUMMYFUNCTION("""COMPUTED_VALUE"""),0.0)</f>
        <v>0</v>
      </c>
      <c r="Q262" s="4">
        <f>IFERROR(__xludf.DUMMYFUNCTION("""COMPUTED_VALUE"""),0.0)</f>
        <v>0</v>
      </c>
      <c r="R262" s="4">
        <f>IFERROR(__xludf.DUMMYFUNCTION("""COMPUTED_VALUE"""),1600.0)</f>
        <v>1600</v>
      </c>
      <c r="S262" s="4">
        <f>IFERROR(__xludf.DUMMYFUNCTION("""COMPUTED_VALUE"""),1280.0)</f>
        <v>1280</v>
      </c>
      <c r="T262" s="1" t="str">
        <f>IFERROR(__xludf.DUMMYFUNCTION("""COMPUTED_VALUE"""),"NINGUNO")</f>
        <v>NINGUNO</v>
      </c>
      <c r="U262" s="1" t="str">
        <f>IFERROR(__xludf.DUMMYFUNCTION("""COMPUTED_VALUE"""),"FABIOLA")</f>
        <v>FABIOLA</v>
      </c>
      <c r="V262" s="1" t="str">
        <f>IFERROR(__xludf.DUMMYFUNCTION("""COMPUTED_VALUE"""),"Ninguno")</f>
        <v>Ninguno</v>
      </c>
      <c r="W262" s="1" t="str">
        <f>IFERROR(__xludf.DUMMYFUNCTION("""COMPUTED_VALUE"""),"Metodología de enseñanza")</f>
        <v>Metodología de enseñanza</v>
      </c>
      <c r="X262" s="1" t="str">
        <f>IFERROR(__xludf.DUMMYFUNCTION("""COMPUTED_VALUE"""),"convalida")</f>
        <v>convalida</v>
      </c>
      <c r="Y262" s="1" t="str">
        <f>IFERROR(__xludf.DUMMYFUNCTION("""COMPUTED_VALUE"""),"PAGO FRACCIONADO")</f>
        <v>PAGO FRACCIONADO</v>
      </c>
      <c r="Z262" s="1">
        <f>IFERROR(__xludf.DUMMYFUNCTION("""COMPUTED_VALUE"""),640.0)</f>
        <v>640</v>
      </c>
      <c r="AA262" s="1" t="str">
        <f>IFERROR(__xludf.DUMMYFUNCTION("""COMPUTED_VALUE"""),"29/12/2024")</f>
        <v>29/12/2024</v>
      </c>
      <c r="AB262" s="1">
        <f>IFERROR(__xludf.DUMMYFUNCTION("""COMPUTED_VALUE"""),1.0)</f>
        <v>1</v>
      </c>
      <c r="AC262" s="1">
        <f>IFERROR(__xludf.DUMMYFUNCTION("""COMPUTED_VALUE"""),1.0)</f>
        <v>1</v>
      </c>
      <c r="AD262" s="1" t="str">
        <f>IFERROR(__xludf.DUMMYFUNCTION("""COMPUTED_VALUE"""),"Rosa Ugarte")</f>
        <v>Rosa Ugarte</v>
      </c>
      <c r="AE262" s="1" t="str">
        <f>IFERROR(__xludf.DUMMYFUNCTION("""COMPUTED_VALUE"""),"Universidad Peruana De Ciencias Aplicadas(UPC)")</f>
        <v>Universidad Peruana De Ciencias Aplicadas(UPC)</v>
      </c>
      <c r="AF262" s="1">
        <f>IFERROR(__xludf.DUMMYFUNCTION("""COMPUTED_VALUE"""),2020.0)</f>
        <v>2020</v>
      </c>
      <c r="AG262" s="1">
        <f>IFERROR(__xludf.DUMMYFUNCTION("""COMPUTED_VALUE"""),1511906.0)</f>
        <v>1511906</v>
      </c>
      <c r="AH262" s="1">
        <f>IFERROR(__xludf.DUMMYFUNCTION("""COMPUTED_VALUE"""),23.0)</f>
        <v>23</v>
      </c>
      <c r="AI262" s="1" t="str">
        <f>IFERROR(__xludf.DUMMYFUNCTION("""COMPUTED_VALUE"""),"2019003302")</f>
        <v>2019003302</v>
      </c>
      <c r="AJ262" s="1">
        <f>IFERROR(__xludf.DUMMYFUNCTION("""COMPUTED_VALUE"""),7.6926846E7)</f>
        <v>76926846</v>
      </c>
      <c r="AK262" s="1">
        <f>IFERROR(__xludf.DUMMYFUNCTION("""COMPUTED_VALUE"""),9.34582018E8)</f>
        <v>934582018</v>
      </c>
      <c r="AL262" s="1" t="str">
        <f>IFERROR(__xludf.DUMMYFUNCTION("""COMPUTED_VALUE"""),"asofia2912@gmail.com")</f>
        <v>asofia2912@gmail.com</v>
      </c>
      <c r="AM262" s="1" t="str">
        <f>IFERROR(__xludf.DUMMYFUNCTION("""COMPUTED_VALUE"""),"FEMENINO")</f>
        <v>FEMENINO</v>
      </c>
      <c r="AN262" s="1">
        <f>IFERROR(__xludf.DUMMYFUNCTION("""COMPUTED_VALUE"""),3200.0)</f>
        <v>3200</v>
      </c>
      <c r="AO262" s="1">
        <f>IFERROR(__xludf.DUMMYFUNCTION("""COMPUTED_VALUE"""),3250.0)</f>
        <v>3250</v>
      </c>
      <c r="AP262" s="1" t="str">
        <f>IFERROR(__xludf.DUMMYFUNCTION("""COMPUTED_VALUE"""),"BIDIRECCIONAL")</f>
        <v>BIDIRECCIONAL</v>
      </c>
      <c r="AQ262" s="1" t="str">
        <f>IFERROR(__xludf.DUMMYFUNCTION("""COMPUTED_VALUE"""),"ORGANICO")</f>
        <v>ORGANICO</v>
      </c>
      <c r="AR262" s="1" t="str">
        <f>IFERROR(__xludf.DUMMYFUNCTION("""COMPUTED_VALUE"""),"HEREDADO")</f>
        <v>HEREDADO</v>
      </c>
      <c r="AS262" s="1"/>
      <c r="AT262" s="2">
        <f>IFERROR(__xludf.DUMMYFUNCTION("""COMPUTED_VALUE"""),45644.0)</f>
        <v>45644</v>
      </c>
      <c r="AU262" s="1">
        <f>IFERROR(__xludf.DUMMYFUNCTION("""COMPUTED_VALUE"""),1.0)</f>
        <v>1</v>
      </c>
      <c r="AV262" s="1" t="str">
        <f>IFERROR(__xludf.DUMMYFUNCTION("""COMPUTED_VALUE"""),"TRASLADO")</f>
        <v>TRASLADO</v>
      </c>
      <c r="AW262" s="1" t="str">
        <f>IFERROR(__xludf.DUMMYFUNCTION("""COMPUTED_VALUE"""),"SI")</f>
        <v>SI</v>
      </c>
      <c r="AX262" s="1"/>
      <c r="AY262" s="1" t="str">
        <f>IFERROR(__xludf.DUMMYFUNCTION("""COMPUTED_VALUE"""),"PAGO COMPLETO")</f>
        <v>PAGO COMPLETO</v>
      </c>
      <c r="AZ262" s="5">
        <f>IFERROR(__xludf.DUMMYFUNCTION("""COMPUTED_VALUE"""),45656.0)</f>
        <v>45656</v>
      </c>
      <c r="BA262" s="1">
        <f>IFERROR(__xludf.DUMMYFUNCTION("""COMPUTED_VALUE"""),640.0)</f>
        <v>640</v>
      </c>
      <c r="BB262" s="1">
        <f>IFERROR(__xludf.DUMMYFUNCTION("""COMPUTED_VALUE"""),0.0)</f>
        <v>0</v>
      </c>
      <c r="BC262" s="4">
        <f>IFERROR(__xludf.DUMMYFUNCTION("""COMPUTED_VALUE"""),0.0)</f>
        <v>0</v>
      </c>
      <c r="BD262" s="4">
        <f>IFERROR(__xludf.DUMMYFUNCTION("""COMPUTED_VALUE"""),0.0)</f>
        <v>0</v>
      </c>
      <c r="BE262" s="1">
        <f>IFERROR(__xludf.DUMMYFUNCTION("""COMPUTED_VALUE"""),12.0)</f>
        <v>12</v>
      </c>
      <c r="BF262" s="6">
        <f>IFERROR(__xludf.DUMMYFUNCTION("""COMPUTED_VALUE"""),1.0)</f>
        <v>1</v>
      </c>
      <c r="BG262" s="1">
        <f>IFERROR(__xludf.DUMMYFUNCTION("""COMPUTED_VALUE"""),1.0)</f>
        <v>1</v>
      </c>
      <c r="BH262" s="1" t="str">
        <f>IFERROR(__xludf.DUMMYFUNCTION("""COMPUTED_VALUE"""),"1")</f>
        <v>1</v>
      </c>
      <c r="BI262" s="4">
        <f>IFERROR(__xludf.DUMMYFUNCTION("""COMPUTED_VALUE"""),1280.0)</f>
        <v>1280</v>
      </c>
      <c r="BJ262" s="1">
        <f>IFERROR(__xludf.DUMMYFUNCTION("""COMPUTED_VALUE"""),0.0)</f>
        <v>0</v>
      </c>
      <c r="BK262" s="4">
        <f>IFERROR(__xludf.DUMMYFUNCTION("""COMPUTED_VALUE"""),0.0)</f>
        <v>0</v>
      </c>
      <c r="BL262" s="1">
        <f>IFERROR(__xludf.DUMMYFUNCTION("""COMPUTED_VALUE"""),1280.0)</f>
        <v>1280</v>
      </c>
      <c r="BM262" s="1">
        <f>IFERROR(__xludf.DUMMYFUNCTION("""COMPUTED_VALUE"""),51.0)</f>
        <v>51</v>
      </c>
      <c r="BN262" s="2">
        <f>IFERROR(__xludf.DUMMYFUNCTION("""COMPUTED_VALUE"""),45642.0)</f>
        <v>45642</v>
      </c>
      <c r="BO262" s="1">
        <f>IFERROR(__xludf.DUMMYFUNCTION("""COMPUTED_VALUE"""),12.0)</f>
        <v>12</v>
      </c>
      <c r="BP262" s="1">
        <f>IFERROR(__xludf.DUMMYFUNCTION("""COMPUTED_VALUE"""),2024.0)</f>
        <v>2024</v>
      </c>
    </row>
    <row r="263">
      <c r="A263" s="1">
        <f>IFERROR(__xludf.DUMMYFUNCTION("""COMPUTED_VALUE"""),262.0)</f>
        <v>262</v>
      </c>
      <c r="B263" s="1">
        <f>IFERROR(__xludf.DUMMYFUNCTION("""COMPUTED_VALUE"""),1895207.0)</f>
        <v>1895207</v>
      </c>
      <c r="C263" s="1" t="str">
        <f>IFERROR(__xludf.DUMMYFUNCTION("""COMPUTED_VALUE"""),"2025-1")</f>
        <v>2025-1</v>
      </c>
      <c r="D263" s="1" t="str">
        <f>IFERROR(__xludf.DUMMYFUNCTION("""COMPUTED_VALUE"""),"Admisión Ordinaria")</f>
        <v>Admisión Ordinaria</v>
      </c>
      <c r="E263" s="2">
        <f>IFERROR(__xludf.DUMMYFUNCTION("""COMPUTED_VALUE"""),45647.0)</f>
        <v>45647</v>
      </c>
      <c r="F263" s="1" t="str">
        <f>IFERROR(__xludf.DUMMYFUNCTION("""COMPUTED_VALUE"""),"NELLY LUCIA ")</f>
        <v>NELLY LUCIA </v>
      </c>
      <c r="G263" s="1" t="str">
        <f>IFERROR(__xludf.DUMMYFUNCTION("""COMPUTED_VALUE"""),"GAMBOA VELASQUEZ")</f>
        <v>GAMBOA VELASQUEZ</v>
      </c>
      <c r="H263" s="1" t="str">
        <f>IFERROR(__xludf.DUMMYFUNCTION("""COMPUTED_VALUE"""),"Arquitectura")</f>
        <v>Arquitectura</v>
      </c>
      <c r="I263" s="1" t="str">
        <f>IFERROR(__xludf.DUMMYFUNCTION("""COMPUTED_VALUE"""),"CARGO")</f>
        <v>CARGO</v>
      </c>
      <c r="J263" s="1" t="str">
        <f>IFERROR(__xludf.DUMMYFUNCTION("""COMPUTED_VALUE"""),"Diurno")</f>
        <v>Diurno</v>
      </c>
      <c r="K263" s="1" t="str">
        <f>IFERROR(__xludf.DUMMYFUNCTION("""COMPUTED_VALUE"""),"NUEVO")</f>
        <v>NUEVO</v>
      </c>
      <c r="L263" s="1">
        <f>IFERROR(__xludf.DUMMYFUNCTION("""COMPUTED_VALUE"""),0.0)</f>
        <v>0</v>
      </c>
      <c r="M263" s="1">
        <f>IFERROR(__xludf.DUMMYFUNCTION("""COMPUTED_VALUE"""),0.0)</f>
        <v>0</v>
      </c>
      <c r="N263" s="1" t="str">
        <f>IFERROR(__xludf.DUMMYFUNCTION("""COMPUTED_VALUE"""),"BECA")</f>
        <v>BECA</v>
      </c>
      <c r="O263" s="1" t="str">
        <f>IFERROR(__xludf.DUMMYFUNCTION("""COMPUTED_VALUE"""),"BECA CARRERAS CORE")</f>
        <v>BECA CARRERAS CORE</v>
      </c>
      <c r="P263" s="4">
        <f>IFERROR(__xludf.DUMMYFUNCTION("""COMPUTED_VALUE"""),0.0)</f>
        <v>0</v>
      </c>
      <c r="Q263" s="4">
        <f>IFERROR(__xludf.DUMMYFUNCTION("""COMPUTED_VALUE"""),0.0)</f>
        <v>0</v>
      </c>
      <c r="R263" s="4">
        <f>IFERROR(__xludf.DUMMYFUNCTION("""COMPUTED_VALUE"""),1150.0)</f>
        <v>1150</v>
      </c>
      <c r="S263" s="4">
        <f>IFERROR(__xludf.DUMMYFUNCTION("""COMPUTED_VALUE"""),950.0)</f>
        <v>950</v>
      </c>
      <c r="T263" s="1" t="str">
        <f>IFERROR(__xludf.DUMMYFUNCTION("""COMPUTED_VALUE"""),"PALANCA 700")</f>
        <v>PALANCA 700</v>
      </c>
      <c r="U263" s="1" t="str">
        <f>IFERROR(__xludf.DUMMYFUNCTION("""COMPUTED_VALUE"""),"RODRIGO")</f>
        <v>RODRIGO</v>
      </c>
      <c r="V263" s="1" t="str">
        <f>IFERROR(__xludf.DUMMYFUNCTION("""COMPUTED_VALUE"""),"Ninguno")</f>
        <v>Ninguno</v>
      </c>
      <c r="W263" s="1" t="str">
        <f>IFERROR(__xludf.DUMMYFUNCTION("""COMPUTED_VALUE"""),"Prestigio de la institución")</f>
        <v>Prestigio de la institución</v>
      </c>
      <c r="X263" s="1" t="str">
        <f>IFERROR(__xludf.DUMMYFUNCTION("""COMPUTED_VALUE"""),"-")</f>
        <v>-</v>
      </c>
      <c r="Y263" s="1" t="str">
        <f>IFERROR(__xludf.DUMMYFUNCTION("""COMPUTED_VALUE"""),"PAGO COMPLETO")</f>
        <v>PAGO COMPLETO</v>
      </c>
      <c r="Z263" s="1">
        <f>IFERROR(__xludf.DUMMYFUNCTION("""COMPUTED_VALUE"""),0.0)</f>
        <v>0</v>
      </c>
      <c r="AA263" s="1" t="str">
        <f>IFERROR(__xludf.DUMMYFUNCTION("""COMPUTED_VALUE"""),"-")</f>
        <v>-</v>
      </c>
      <c r="AB263" s="1">
        <f>IFERROR(__xludf.DUMMYFUNCTION("""COMPUTED_VALUE"""),0.0)</f>
        <v>0</v>
      </c>
      <c r="AC263" s="1">
        <f>IFERROR(__xludf.DUMMYFUNCTION("""COMPUTED_VALUE"""),0.0)</f>
        <v>0</v>
      </c>
      <c r="AD263" s="1" t="str">
        <f>IFERROR(__xludf.DUMMYFUNCTION("""COMPUTED_VALUE"""),"Andrea Araujo Antara")</f>
        <v>Andrea Araujo Antara</v>
      </c>
      <c r="AE263" s="1" t="str">
        <f>IFERROR(__xludf.DUMMYFUNCTION("""COMPUTED_VALUE"""),"0")</f>
        <v>0</v>
      </c>
      <c r="AF263" s="1">
        <f>IFERROR(__xludf.DUMMYFUNCTION("""COMPUTED_VALUE"""),2024.0)</f>
        <v>2024</v>
      </c>
      <c r="AG263" s="1">
        <f>IFERROR(__xludf.DUMMYFUNCTION("""COMPUTED_VALUE"""),692467.0)</f>
        <v>692467</v>
      </c>
      <c r="AH263" s="1">
        <f>IFERROR(__xludf.DUMMYFUNCTION("""COMPUTED_VALUE"""),18.0)</f>
        <v>18</v>
      </c>
      <c r="AI263" s="1" t="str">
        <f>IFERROR(__xludf.DUMMYFUNCTION("""COMPUTED_VALUE"""),"0000405049")</f>
        <v>0000405049</v>
      </c>
      <c r="AJ263" s="1">
        <f>IFERROR(__xludf.DUMMYFUNCTION("""COMPUTED_VALUE"""),6.085942E7)</f>
        <v>60859420</v>
      </c>
      <c r="AK263" s="1">
        <f>IFERROR(__xludf.DUMMYFUNCTION("""COMPUTED_VALUE"""),9.31676759E8)</f>
        <v>931676759</v>
      </c>
      <c r="AL263" s="1" t="str">
        <f>IFERROR(__xludf.DUMMYFUNCTION("""COMPUTED_VALUE"""),"velaasquezlucia@gmail.com")</f>
        <v>velaasquezlucia@gmail.com</v>
      </c>
      <c r="AM263" s="1" t="str">
        <f>IFERROR(__xludf.DUMMYFUNCTION("""COMPUTED_VALUE"""),"FEMENINO")</f>
        <v>FEMENINO</v>
      </c>
      <c r="AN263" s="1">
        <f>IFERROR(__xludf.DUMMYFUNCTION("""COMPUTED_VALUE"""),1350.0)</f>
        <v>1350</v>
      </c>
      <c r="AO263" s="1">
        <f>IFERROR(__xludf.DUMMYFUNCTION("""COMPUTED_VALUE"""),0.0)</f>
        <v>0</v>
      </c>
      <c r="AP263" s="1" t="str">
        <f>IFERROR(__xludf.DUMMYFUNCTION("""COMPUTED_VALUE"""),"FORMULARIO")</f>
        <v>FORMULARIO</v>
      </c>
      <c r="AQ263" s="1" t="str">
        <f>IFERROR(__xludf.DUMMYFUNCTION("""COMPUTED_VALUE"""),"SEARCH MARCA")</f>
        <v>SEARCH MARCA</v>
      </c>
      <c r="AR263" s="1" t="str">
        <f>IFERROR(__xludf.DUMMYFUNCTION("""COMPUTED_VALUE"""),"HEREDADO")</f>
        <v>HEREDADO</v>
      </c>
      <c r="AS263" s="1" t="str">
        <f>IFERROR(__xludf.DUMMYFUNCTION("""COMPUTED_VALUE"""),"ucal-pg-performance-sedes-abierta-cpl-search_conversion_marca-20240401")</f>
        <v>ucal-pg-performance-sedes-abierta-cpl-search_conversion_marca-20240401</v>
      </c>
      <c r="AT263" s="2">
        <f>IFERROR(__xludf.DUMMYFUNCTION("""COMPUTED_VALUE"""),45639.0)</f>
        <v>45639</v>
      </c>
      <c r="AU263" s="1">
        <f>IFERROR(__xludf.DUMMYFUNCTION("""COMPUTED_VALUE"""),1.0)</f>
        <v>1</v>
      </c>
      <c r="AV263" s="1" t="str">
        <f>IFERROR(__xludf.DUMMYFUNCTION("""COMPUTED_VALUE"""),"NUEVO")</f>
        <v>NUEVO</v>
      </c>
      <c r="AW263" s="1" t="str">
        <f>IFERROR(__xludf.DUMMYFUNCTION("""COMPUTED_VALUE"""),"SI")</f>
        <v>SI</v>
      </c>
      <c r="AX263" s="1"/>
      <c r="AY263" s="1" t="str">
        <f>IFERROR(__xludf.DUMMYFUNCTION("""COMPUTED_VALUE"""),"PAGO COMPLETO")</f>
        <v>PAGO COMPLETO</v>
      </c>
      <c r="AZ263" s="5">
        <f>IFERROR(__xludf.DUMMYFUNCTION("""COMPUTED_VALUE"""),45647.0)</f>
        <v>45647</v>
      </c>
      <c r="BA263" s="1">
        <f>IFERROR(__xludf.DUMMYFUNCTION("""COMPUTED_VALUE"""),0.0)</f>
        <v>0</v>
      </c>
      <c r="BB263" s="1">
        <f>IFERROR(__xludf.DUMMYFUNCTION("""COMPUTED_VALUE"""),0.0)</f>
        <v>0</v>
      </c>
      <c r="BC263" s="4">
        <f>IFERROR(__xludf.DUMMYFUNCTION("""COMPUTED_VALUE"""),0.0)</f>
        <v>0</v>
      </c>
      <c r="BD263" s="4">
        <f>IFERROR(__xludf.DUMMYFUNCTION("""COMPUTED_VALUE"""),250.0)</f>
        <v>250</v>
      </c>
      <c r="BE263" s="1">
        <f>IFERROR(__xludf.DUMMYFUNCTION("""COMPUTED_VALUE"""),12.0)</f>
        <v>12</v>
      </c>
      <c r="BF263" s="6">
        <f>IFERROR(__xludf.DUMMYFUNCTION("""COMPUTED_VALUE"""),1.0)</f>
        <v>1</v>
      </c>
      <c r="BG263" s="1">
        <f>IFERROR(__xludf.DUMMYFUNCTION("""COMPUTED_VALUE"""),1.0)</f>
        <v>1</v>
      </c>
      <c r="BH263" s="1" t="str">
        <f>IFERROR(__xludf.DUMMYFUNCTION("""COMPUTED_VALUE"""),"0")</f>
        <v>0</v>
      </c>
      <c r="BI263" s="4">
        <f>IFERROR(__xludf.DUMMYFUNCTION("""COMPUTED_VALUE"""),250.0)</f>
        <v>250</v>
      </c>
      <c r="BJ263" s="1">
        <f>IFERROR(__xludf.DUMMYFUNCTION("""COMPUTED_VALUE"""),0.0)</f>
        <v>0</v>
      </c>
      <c r="BK263" s="4">
        <f>IFERROR(__xludf.DUMMYFUNCTION("""COMPUTED_VALUE"""),250.0)</f>
        <v>250</v>
      </c>
      <c r="BL263" s="1">
        <f>IFERROR(__xludf.DUMMYFUNCTION("""COMPUTED_VALUE"""),900.0)</f>
        <v>900</v>
      </c>
      <c r="BM263" s="1">
        <f>IFERROR(__xludf.DUMMYFUNCTION("""COMPUTED_VALUE"""),51.0)</f>
        <v>51</v>
      </c>
      <c r="BN263" s="2">
        <f>IFERROR(__xludf.DUMMYFUNCTION("""COMPUTED_VALUE"""),45642.0)</f>
        <v>45642</v>
      </c>
      <c r="BO263" s="1">
        <f>IFERROR(__xludf.DUMMYFUNCTION("""COMPUTED_VALUE"""),12.0)</f>
        <v>12</v>
      </c>
      <c r="BP263" s="1">
        <f>IFERROR(__xludf.DUMMYFUNCTION("""COMPUTED_VALUE"""),2024.0)</f>
        <v>2024</v>
      </c>
    </row>
    <row r="264">
      <c r="A264" s="1">
        <f>IFERROR(__xludf.DUMMYFUNCTION("""COMPUTED_VALUE"""),263.0)</f>
        <v>263</v>
      </c>
      <c r="B264" s="1">
        <f>IFERROR(__xludf.DUMMYFUNCTION("""COMPUTED_VALUE"""),4895848.0)</f>
        <v>4895848</v>
      </c>
      <c r="C264" s="1" t="str">
        <f>IFERROR(__xludf.DUMMYFUNCTION("""COMPUTED_VALUE"""),"2025-1")</f>
        <v>2025-1</v>
      </c>
      <c r="D264" s="1" t="str">
        <f>IFERROR(__xludf.DUMMYFUNCTION("""COMPUTED_VALUE"""),"Admisión de Alto Rendimiento")</f>
        <v>Admisión de Alto Rendimiento</v>
      </c>
      <c r="E264" s="2">
        <f>IFERROR(__xludf.DUMMYFUNCTION("""COMPUTED_VALUE"""),45649.0)</f>
        <v>45649</v>
      </c>
      <c r="F264" s="1" t="str">
        <f>IFERROR(__xludf.DUMMYFUNCTION("""COMPUTED_VALUE"""),"IAN NICOLAS	")</f>
        <v>IAN NICOLAS	</v>
      </c>
      <c r="G264" s="1" t="str">
        <f>IFERROR(__xludf.DUMMYFUNCTION("""COMPUTED_VALUE"""),"SÁNCHEZ AMORETTI	")</f>
        <v>SÁNCHEZ AMORETTI	</v>
      </c>
      <c r="H264" s="1" t="str">
        <f>IFERROR(__xludf.DUMMYFUNCTION("""COMPUTED_VALUE"""),"Comunicación Audiovisual y Cine")</f>
        <v>Comunicación Audiovisual y Cine</v>
      </c>
      <c r="I264" s="1" t="str">
        <f>IFERROR(__xludf.DUMMYFUNCTION("""COMPUTED_VALUE"""),"CARGO")</f>
        <v>CARGO</v>
      </c>
      <c r="J264" s="1" t="str">
        <f>IFERROR(__xludf.DUMMYFUNCTION("""COMPUTED_VALUE"""),"Diurno")</f>
        <v>Diurno</v>
      </c>
      <c r="K264" s="1" t="str">
        <f>IFERROR(__xludf.DUMMYFUNCTION("""COMPUTED_VALUE"""),"NUEVO")</f>
        <v>NUEVO</v>
      </c>
      <c r="L264" s="1">
        <f>IFERROR(__xludf.DUMMYFUNCTION("""COMPUTED_VALUE"""),0.0)</f>
        <v>0</v>
      </c>
      <c r="M264" s="1">
        <f>IFERROR(__xludf.DUMMYFUNCTION("""COMPUTED_VALUE"""),0.0)</f>
        <v>0</v>
      </c>
      <c r="N264" s="1" t="str">
        <f>IFERROR(__xludf.DUMMYFUNCTION("""COMPUTED_VALUE"""),"BECA")</f>
        <v>BECA</v>
      </c>
      <c r="O264" s="1" t="str">
        <f>IFERROR(__xludf.DUMMYFUNCTION("""COMPUTED_VALUE"""),"BECA RECUPERO")</f>
        <v>BECA RECUPERO</v>
      </c>
      <c r="P264" s="4">
        <f>IFERROR(__xludf.DUMMYFUNCTION("""COMPUTED_VALUE"""),0.0)</f>
        <v>0</v>
      </c>
      <c r="Q264" s="4">
        <f>IFERROR(__xludf.DUMMYFUNCTION("""COMPUTED_VALUE"""),0.0)</f>
        <v>0</v>
      </c>
      <c r="R264" s="4">
        <f>IFERROR(__xludf.DUMMYFUNCTION("""COMPUTED_VALUE"""),1075.0)</f>
        <v>1075</v>
      </c>
      <c r="S264" s="4">
        <f>IFERROR(__xludf.DUMMYFUNCTION("""COMPUTED_VALUE"""),900.0)</f>
        <v>900</v>
      </c>
      <c r="T264" s="1" t="str">
        <f>IFERROR(__xludf.DUMMYFUNCTION("""COMPUTED_VALUE"""),"PALANCA 500")</f>
        <v>PALANCA 500</v>
      </c>
      <c r="U264" s="1" t="str">
        <f>IFERROR(__xludf.DUMMYFUNCTION("""COMPUTED_VALUE"""),"FABIOLA")</f>
        <v>FABIOLA</v>
      </c>
      <c r="V264" s="1" t="str">
        <f>IFERROR(__xludf.DUMMYFUNCTION("""COMPUTED_VALUE"""),"Ninguno")</f>
        <v>Ninguno</v>
      </c>
      <c r="W264" s="1" t="str">
        <f>IFERROR(__xludf.DUMMYFUNCTION("""COMPUTED_VALUE"""),"Malla curricular")</f>
        <v>Malla curricular</v>
      </c>
      <c r="X264" s="1" t="str">
        <f>IFERROR(__xludf.DUMMYFUNCTION("""COMPUTED_VALUE"""),"-")</f>
        <v>-</v>
      </c>
      <c r="Y264" s="1" t="str">
        <f>IFERROR(__xludf.DUMMYFUNCTION("""COMPUTED_VALUE"""),"PAGO COMPLETO")</f>
        <v>PAGO COMPLETO</v>
      </c>
      <c r="Z264" s="1">
        <f>IFERROR(__xludf.DUMMYFUNCTION("""COMPUTED_VALUE"""),0.0)</f>
        <v>0</v>
      </c>
      <c r="AA264" s="1" t="str">
        <f>IFERROR(__xludf.DUMMYFUNCTION("""COMPUTED_VALUE"""),"-")</f>
        <v>-</v>
      </c>
      <c r="AB264" s="1">
        <f>IFERROR(__xludf.DUMMYFUNCTION("""COMPUTED_VALUE"""),0.0)</f>
        <v>0</v>
      </c>
      <c r="AC264" s="1">
        <f>IFERROR(__xludf.DUMMYFUNCTION("""COMPUTED_VALUE"""),0.0)</f>
        <v>0</v>
      </c>
      <c r="AD264" s="1" t="str">
        <f>IFERROR(__xludf.DUMMYFUNCTION("""COMPUTED_VALUE"""),"Fiorella Lanegra")</f>
        <v>Fiorella Lanegra</v>
      </c>
      <c r="AE264" s="1" t="str">
        <f>IFERROR(__xludf.DUMMYFUNCTION("""COMPUTED_VALUE"""),"0")</f>
        <v>0</v>
      </c>
      <c r="AF264" s="1">
        <f>IFERROR(__xludf.DUMMYFUNCTION("""COMPUTED_VALUE"""),2024.0)</f>
        <v>2024</v>
      </c>
      <c r="AG264" s="1">
        <f>IFERROR(__xludf.DUMMYFUNCTION("""COMPUTED_VALUE"""),705475.0)</f>
        <v>705475</v>
      </c>
      <c r="AH264" s="1">
        <f>IFERROR(__xludf.DUMMYFUNCTION("""COMPUTED_VALUE"""),16.0)</f>
        <v>16</v>
      </c>
      <c r="AI264" s="1" t="str">
        <f>IFERROR(__xludf.DUMMYFUNCTION("""COMPUTED_VALUE"""),"0000405238")</f>
        <v>0000405238</v>
      </c>
      <c r="AJ264" s="1">
        <f>IFERROR(__xludf.DUMMYFUNCTION("""COMPUTED_VALUE"""),7.1153572E7)</f>
        <v>71153572</v>
      </c>
      <c r="AK264" s="1">
        <f>IFERROR(__xludf.DUMMYFUNCTION("""COMPUTED_VALUE"""),9.81049333E8)</f>
        <v>981049333</v>
      </c>
      <c r="AL264" s="1" t="str">
        <f>IFERROR(__xludf.DUMMYFUNCTION("""COMPUTED_VALUE"""),"ians72937@gmail.com")</f>
        <v>ians72937@gmail.com</v>
      </c>
      <c r="AM264" s="1" t="str">
        <f>IFERROR(__xludf.DUMMYFUNCTION("""COMPUTED_VALUE"""),"MASCULINO")</f>
        <v>MASCULINO</v>
      </c>
      <c r="AN264" s="1">
        <f>IFERROR(__xludf.DUMMYFUNCTION("""COMPUTED_VALUE"""),1350.0)</f>
        <v>1350</v>
      </c>
      <c r="AO264" s="1">
        <f>IFERROR(__xludf.DUMMYFUNCTION("""COMPUTED_VALUE"""),0.0)</f>
        <v>0</v>
      </c>
      <c r="AP264" s="1" t="str">
        <f>IFERROR(__xludf.DUMMYFUNCTION("""COMPUTED_VALUE"""),"BIDIRECCIONAL")</f>
        <v>BIDIRECCIONAL</v>
      </c>
      <c r="AQ264" s="1" t="str">
        <f>IFERROR(__xludf.DUMMYFUNCTION("""COMPUTED_VALUE"""),"SEARCH CARRERA")</f>
        <v>SEARCH CARRERA</v>
      </c>
      <c r="AR264" s="1" t="str">
        <f>IFERROR(__xludf.DUMMYFUNCTION("""COMPUTED_VALUE"""),"NUEVO")</f>
        <v>NUEVO</v>
      </c>
      <c r="AS264" s="1" t="str">
        <f>IFERROR(__xludf.DUMMYFUNCTION("""COMPUTED_VALUE"""),"ucal-pg-performance-sedes-abierta-cpl-search_conversion_mundo_comunicaciones_bidi_search_carreras-20240702")</f>
        <v>ucal-pg-performance-sedes-abierta-cpl-search_conversion_mundo_comunicaciones_bidi_search_carreras-20240702</v>
      </c>
      <c r="AT264" s="2">
        <f>IFERROR(__xludf.DUMMYFUNCTION("""COMPUTED_VALUE"""),45545.0)</f>
        <v>45545</v>
      </c>
      <c r="AU264" s="1">
        <f>IFERROR(__xludf.DUMMYFUNCTION("""COMPUTED_VALUE"""),1.0)</f>
        <v>1</v>
      </c>
      <c r="AV264" s="1" t="str">
        <f>IFERROR(__xludf.DUMMYFUNCTION("""COMPUTED_VALUE"""),"NUEVO")</f>
        <v>NUEVO</v>
      </c>
      <c r="AW264" s="1" t="str">
        <f>IFERROR(__xludf.DUMMYFUNCTION("""COMPUTED_VALUE"""),"SI")</f>
        <v>SI</v>
      </c>
      <c r="AX264" s="1"/>
      <c r="AY264" s="1" t="str">
        <f>IFERROR(__xludf.DUMMYFUNCTION("""COMPUTED_VALUE"""),"PAGO COMPLETO")</f>
        <v>PAGO COMPLETO</v>
      </c>
      <c r="AZ264" s="5">
        <f>IFERROR(__xludf.DUMMYFUNCTION("""COMPUTED_VALUE"""),45649.0)</f>
        <v>45649</v>
      </c>
      <c r="BA264" s="1">
        <f>IFERROR(__xludf.DUMMYFUNCTION("""COMPUTED_VALUE"""),0.0)</f>
        <v>0</v>
      </c>
      <c r="BB264" s="1">
        <f>IFERROR(__xludf.DUMMYFUNCTION("""COMPUTED_VALUE"""),0.0)</f>
        <v>0</v>
      </c>
      <c r="BC264" s="4">
        <f>IFERROR(__xludf.DUMMYFUNCTION("""COMPUTED_VALUE"""),0.0)</f>
        <v>0</v>
      </c>
      <c r="BD264" s="4">
        <f>IFERROR(__xludf.DUMMYFUNCTION("""COMPUTED_VALUE"""),400.0)</f>
        <v>400</v>
      </c>
      <c r="BE264" s="1">
        <f>IFERROR(__xludf.DUMMYFUNCTION("""COMPUTED_VALUE"""),12.0)</f>
        <v>12</v>
      </c>
      <c r="BF264" s="6">
        <f>IFERROR(__xludf.DUMMYFUNCTION("""COMPUTED_VALUE"""),1.0)</f>
        <v>1</v>
      </c>
      <c r="BG264" s="1">
        <f>IFERROR(__xludf.DUMMYFUNCTION("""COMPUTED_VALUE"""),1.0)</f>
        <v>1</v>
      </c>
      <c r="BH264" s="1" t="str">
        <f>IFERROR(__xludf.DUMMYFUNCTION("""COMPUTED_VALUE"""),"0")</f>
        <v>0</v>
      </c>
      <c r="BI264" s="4">
        <f>IFERROR(__xludf.DUMMYFUNCTION("""COMPUTED_VALUE"""),400.0)</f>
        <v>400</v>
      </c>
      <c r="BJ264" s="1">
        <f>IFERROR(__xludf.DUMMYFUNCTION("""COMPUTED_VALUE"""),0.0)</f>
        <v>0</v>
      </c>
      <c r="BK264" s="4">
        <f>IFERROR(__xludf.DUMMYFUNCTION("""COMPUTED_VALUE"""),400.0)</f>
        <v>400</v>
      </c>
      <c r="BL264" s="1">
        <f>IFERROR(__xludf.DUMMYFUNCTION("""COMPUTED_VALUE"""),820.0)</f>
        <v>820</v>
      </c>
      <c r="BM264" s="1">
        <f>IFERROR(__xludf.DUMMYFUNCTION("""COMPUTED_VALUE"""),52.0)</f>
        <v>52</v>
      </c>
      <c r="BN264" s="2">
        <f>IFERROR(__xludf.DUMMYFUNCTION("""COMPUTED_VALUE"""),45649.0)</f>
        <v>45649</v>
      </c>
      <c r="BO264" s="1">
        <f>IFERROR(__xludf.DUMMYFUNCTION("""COMPUTED_VALUE"""),12.0)</f>
        <v>12</v>
      </c>
      <c r="BP264" s="1">
        <f>IFERROR(__xludf.DUMMYFUNCTION("""COMPUTED_VALUE"""),2024.0)</f>
        <v>2024</v>
      </c>
    </row>
    <row r="265">
      <c r="A265" s="1">
        <f>IFERROR(__xludf.DUMMYFUNCTION("""COMPUTED_VALUE"""),264.0)</f>
        <v>264</v>
      </c>
      <c r="B265" s="1">
        <f>IFERROR(__xludf.DUMMYFUNCTION("""COMPUTED_VALUE"""),4882190.0)</f>
        <v>4882190</v>
      </c>
      <c r="C265" s="1" t="str">
        <f>IFERROR(__xludf.DUMMYFUNCTION("""COMPUTED_VALUE"""),"2025-1")</f>
        <v>2025-1</v>
      </c>
      <c r="D265" s="1" t="str">
        <f>IFERROR(__xludf.DUMMYFUNCTION("""COMPUTED_VALUE"""),"Admisión de Alto Rendimiento")</f>
        <v>Admisión de Alto Rendimiento</v>
      </c>
      <c r="E265" s="2">
        <f>IFERROR(__xludf.DUMMYFUNCTION("""COMPUTED_VALUE"""),45649.0)</f>
        <v>45649</v>
      </c>
      <c r="F265" s="1" t="str">
        <f>IFERROR(__xludf.DUMMYFUNCTION("""COMPUTED_VALUE"""),"MARCELO GABRIEL ")</f>
        <v>MARCELO GABRIEL </v>
      </c>
      <c r="G265" s="1" t="str">
        <f>IFERROR(__xludf.DUMMYFUNCTION("""COMPUTED_VALUE"""),"NOVOA PACHECO")</f>
        <v>NOVOA PACHECO</v>
      </c>
      <c r="H265" s="1" t="str">
        <f>IFERROR(__xludf.DUMMYFUNCTION("""COMPUTED_VALUE"""),"Diseño Gráfico Publicitario")</f>
        <v>Diseño Gráfico Publicitario</v>
      </c>
      <c r="I265" s="1" t="str">
        <f>IFERROR(__xludf.DUMMYFUNCTION("""COMPUTED_VALUE"""),"POS")</f>
        <v>POS</v>
      </c>
      <c r="J265" s="1" t="str">
        <f>IFERROR(__xludf.DUMMYFUNCTION("""COMPUTED_VALUE"""),"Diurno")</f>
        <v>Diurno</v>
      </c>
      <c r="K265" s="1" t="str">
        <f>IFERROR(__xludf.DUMMYFUNCTION("""COMPUTED_VALUE"""),"NUEVO")</f>
        <v>NUEVO</v>
      </c>
      <c r="L265" s="1">
        <f>IFERROR(__xludf.DUMMYFUNCTION("""COMPUTED_VALUE"""),0.0)</f>
        <v>0</v>
      </c>
      <c r="M265" s="1">
        <f>IFERROR(__xludf.DUMMYFUNCTION("""COMPUTED_VALUE"""),0.0)</f>
        <v>0</v>
      </c>
      <c r="N265" s="1" t="str">
        <f>IFERROR(__xludf.DUMMYFUNCTION("""COMPUTED_VALUE"""),"BECA")</f>
        <v>BECA</v>
      </c>
      <c r="O265" s="1" t="str">
        <f>IFERROR(__xludf.DUMMYFUNCTION("""COMPUTED_VALUE"""),"BECA CARRERAS CORE")</f>
        <v>BECA CARRERAS CORE</v>
      </c>
      <c r="P265" s="4">
        <f>IFERROR(__xludf.DUMMYFUNCTION("""COMPUTED_VALUE"""),200.0)</f>
        <v>200</v>
      </c>
      <c r="Q265" s="4">
        <f>IFERROR(__xludf.DUMMYFUNCTION("""COMPUTED_VALUE"""),475.0)</f>
        <v>475</v>
      </c>
      <c r="R265" s="4">
        <f>IFERROR(__xludf.DUMMYFUNCTION("""COMPUTED_VALUE"""),1600.0)</f>
        <v>1600</v>
      </c>
      <c r="S265" s="4">
        <f>IFERROR(__xludf.DUMMYFUNCTION("""COMPUTED_VALUE"""),1000.0)</f>
        <v>1000</v>
      </c>
      <c r="T265" s="1" t="str">
        <f>IFERROR(__xludf.DUMMYFUNCTION("""COMPUTED_VALUE"""),"Reconocemos tu primera boleta")</f>
        <v>Reconocemos tu primera boleta</v>
      </c>
      <c r="U265" s="1" t="str">
        <f>IFERROR(__xludf.DUMMYFUNCTION("""COMPUTED_VALUE"""),"FABIOLA")</f>
        <v>FABIOLA</v>
      </c>
      <c r="V265" s="1" t="str">
        <f>IFERROR(__xludf.DUMMYFUNCTION("""COMPUTED_VALUE"""),"Ninguno")</f>
        <v>Ninguno</v>
      </c>
      <c r="W265" s="1" t="str">
        <f>IFERROR(__xludf.DUMMYFUNCTION("""COMPUTED_VALUE"""),"Malla curricular")</f>
        <v>Malla curricular</v>
      </c>
      <c r="X265" s="1" t="str">
        <f>IFERROR(__xludf.DUMMYFUNCTION("""COMPUTED_VALUE"""),"alumno tiene un descuento de la primera cuota por haber pagado su mensualidad en otra universidad, es por eso que solo pago matricula e inscripcion de 675 / pagara normal a partir de segunda cuota / malla curricular / 1 era boleta al 100% dscto traslado")</f>
        <v>alumno tiene un descuento de la primera cuota por haber pagado su mensualidad en otra universidad, es por eso que solo pago matricula e inscripcion de 675 / pagara normal a partir de segunda cuota / malla curricular / 1 era boleta al 100% dscto traslado</v>
      </c>
      <c r="Y265" s="1" t="str">
        <f>IFERROR(__xludf.DUMMYFUNCTION("""COMPUTED_VALUE"""),"PAGO COMPLETO")</f>
        <v>PAGO COMPLETO</v>
      </c>
      <c r="Z265" s="1">
        <f>IFERROR(__xludf.DUMMYFUNCTION("""COMPUTED_VALUE"""),0.0)</f>
        <v>0</v>
      </c>
      <c r="AA265" s="1" t="str">
        <f>IFERROR(__xludf.DUMMYFUNCTION("""COMPUTED_VALUE"""),"-")</f>
        <v>-</v>
      </c>
      <c r="AB265" s="1">
        <f>IFERROR(__xludf.DUMMYFUNCTION("""COMPUTED_VALUE"""),0.0)</f>
        <v>0</v>
      </c>
      <c r="AC265" s="1">
        <f>IFERROR(__xludf.DUMMYFUNCTION("""COMPUTED_VALUE"""),0.0)</f>
        <v>0</v>
      </c>
      <c r="AD265" s="1" t="str">
        <f>IFERROR(__xludf.DUMMYFUNCTION("""COMPUTED_VALUE"""),"Cinthia Mariella Orosco")</f>
        <v>Cinthia Mariella Orosco</v>
      </c>
      <c r="AE265" s="1" t="str">
        <f>IFERROR(__xludf.DUMMYFUNCTION("""COMPUTED_VALUE"""),"0")</f>
        <v>0</v>
      </c>
      <c r="AF265" s="1">
        <f>IFERROR(__xludf.DUMMYFUNCTION("""COMPUTED_VALUE"""),2024.0)</f>
        <v>2024</v>
      </c>
      <c r="AG265" s="1">
        <f>IFERROR(__xludf.DUMMYFUNCTION("""COMPUTED_VALUE"""),1390301.0)</f>
        <v>1390301</v>
      </c>
      <c r="AH265" s="1">
        <f>IFERROR(__xludf.DUMMYFUNCTION("""COMPUTED_VALUE"""),16.0)</f>
        <v>16</v>
      </c>
      <c r="AI265" s="1" t="str">
        <f>IFERROR(__xludf.DUMMYFUNCTION("""COMPUTED_VALUE"""),"0000405301")</f>
        <v>0000405301</v>
      </c>
      <c r="AJ265" s="1">
        <f>IFERROR(__xludf.DUMMYFUNCTION("""COMPUTED_VALUE"""),6.1264388E7)</f>
        <v>61264388</v>
      </c>
      <c r="AK265" s="1">
        <f>IFERROR(__xludf.DUMMYFUNCTION("""COMPUTED_VALUE"""),9.24209553E8)</f>
        <v>924209553</v>
      </c>
      <c r="AL265" s="1" t="str">
        <f>IFERROR(__xludf.DUMMYFUNCTION("""COMPUTED_VALUE"""),"Novoa4985@gmail.com")</f>
        <v>Novoa4985@gmail.com</v>
      </c>
      <c r="AM265" s="1" t="str">
        <f>IFERROR(__xludf.DUMMYFUNCTION("""COMPUTED_VALUE"""),"MASCULINO")</f>
        <v>MASCULINO</v>
      </c>
      <c r="AN265" s="1">
        <f>IFERROR(__xludf.DUMMYFUNCTION("""COMPUTED_VALUE"""),1600.0)</f>
        <v>1600</v>
      </c>
      <c r="AO265" s="1">
        <f>IFERROR(__xludf.DUMMYFUNCTION("""COMPUTED_VALUE"""),500.0)</f>
        <v>500</v>
      </c>
      <c r="AP265" s="1" t="str">
        <f>IFERROR(__xludf.DUMMYFUNCTION("""COMPUTED_VALUE"""),"FORMULARIO")</f>
        <v>FORMULARIO</v>
      </c>
      <c r="AQ265" s="1" t="str">
        <f>IFERROR(__xludf.DUMMYFUNCTION("""COMPUTED_VALUE"""),"SEARCH MARCA")</f>
        <v>SEARCH MARCA</v>
      </c>
      <c r="AR265" s="1" t="str">
        <f>IFERROR(__xludf.DUMMYFUNCTION("""COMPUTED_VALUE"""),"NUEVO")</f>
        <v>NUEVO</v>
      </c>
      <c r="AS265" s="1" t="str">
        <f>IFERROR(__xludf.DUMMYFUNCTION("""COMPUTED_VALUE"""),"ucal-pg-performance-sedes-abierta-cpl-search_conversion_marca-20240401")</f>
        <v>ucal-pg-performance-sedes-abierta-cpl-search_conversion_marca-20240401</v>
      </c>
      <c r="AT265" s="2">
        <f>IFERROR(__xludf.DUMMYFUNCTION("""COMPUTED_VALUE"""),45644.0)</f>
        <v>45644</v>
      </c>
      <c r="AU265" s="1">
        <f>IFERROR(__xludf.DUMMYFUNCTION("""COMPUTED_VALUE"""),1.0)</f>
        <v>1</v>
      </c>
      <c r="AV265" s="1" t="str">
        <f>IFERROR(__xludf.DUMMYFUNCTION("""COMPUTED_VALUE"""),"NUEVO")</f>
        <v>NUEVO</v>
      </c>
      <c r="AW265" s="1" t="str">
        <f>IFERROR(__xludf.DUMMYFUNCTION("""COMPUTED_VALUE"""),"SI")</f>
        <v>SI</v>
      </c>
      <c r="AX265" s="1"/>
      <c r="AY265" s="1" t="str">
        <f>IFERROR(__xludf.DUMMYFUNCTION("""COMPUTED_VALUE"""),"PAGO COMPLETO")</f>
        <v>PAGO COMPLETO</v>
      </c>
      <c r="AZ265" s="5">
        <f>IFERROR(__xludf.DUMMYFUNCTION("""COMPUTED_VALUE"""),45649.0)</f>
        <v>45649</v>
      </c>
      <c r="BA265" s="1">
        <f>IFERROR(__xludf.DUMMYFUNCTION("""COMPUTED_VALUE"""),0.0)</f>
        <v>0</v>
      </c>
      <c r="BB265" s="1">
        <f>IFERROR(__xludf.DUMMYFUNCTION("""COMPUTED_VALUE"""),0.0)</f>
        <v>0</v>
      </c>
      <c r="BC265" s="4">
        <f>IFERROR(__xludf.DUMMYFUNCTION("""COMPUTED_VALUE"""),0.0)</f>
        <v>0</v>
      </c>
      <c r="BD265" s="4">
        <f>IFERROR(__xludf.DUMMYFUNCTION("""COMPUTED_VALUE"""),1000.0)</f>
        <v>1000</v>
      </c>
      <c r="BE265" s="1">
        <f>IFERROR(__xludf.DUMMYFUNCTION("""COMPUTED_VALUE"""),12.0)</f>
        <v>12</v>
      </c>
      <c r="BF265" s="6">
        <f>IFERROR(__xludf.DUMMYFUNCTION("""COMPUTED_VALUE"""),1.0)</f>
        <v>1</v>
      </c>
      <c r="BG265" s="1"/>
      <c r="BH265" s="1" t="str">
        <f>IFERROR(__xludf.DUMMYFUNCTION("""COMPUTED_VALUE"""),"0")</f>
        <v>0</v>
      </c>
      <c r="BI265" s="4">
        <f>IFERROR(__xludf.DUMMYFUNCTION("""COMPUTED_VALUE"""),1000.0)</f>
        <v>1000</v>
      </c>
      <c r="BJ265" s="1">
        <f>IFERROR(__xludf.DUMMYFUNCTION("""COMPUTED_VALUE"""),0.0)</f>
        <v>0</v>
      </c>
      <c r="BK265" s="4">
        <f>IFERROR(__xludf.DUMMYFUNCTION("""COMPUTED_VALUE"""),1000.0)</f>
        <v>1000</v>
      </c>
      <c r="BL265" s="1">
        <f>IFERROR(__xludf.DUMMYFUNCTION("""COMPUTED_VALUE"""),800.0)</f>
        <v>800</v>
      </c>
      <c r="BM265" s="1">
        <f>IFERROR(__xludf.DUMMYFUNCTION("""COMPUTED_VALUE"""),52.0)</f>
        <v>52</v>
      </c>
      <c r="BN265" s="2">
        <f>IFERROR(__xludf.DUMMYFUNCTION("""COMPUTED_VALUE"""),45649.0)</f>
        <v>45649</v>
      </c>
      <c r="BO265" s="1">
        <f>IFERROR(__xludf.DUMMYFUNCTION("""COMPUTED_VALUE"""),12.0)</f>
        <v>12</v>
      </c>
      <c r="BP265" s="1">
        <f>IFERROR(__xludf.DUMMYFUNCTION("""COMPUTED_VALUE"""),2024.0)</f>
        <v>2024</v>
      </c>
    </row>
    <row r="266">
      <c r="A266" s="1">
        <f>IFERROR(__xludf.DUMMYFUNCTION("""COMPUTED_VALUE"""),265.0)</f>
        <v>265</v>
      </c>
      <c r="B266" s="1">
        <f>IFERROR(__xludf.DUMMYFUNCTION("""COMPUTED_VALUE"""),4884697.0)</f>
        <v>4884697</v>
      </c>
      <c r="C266" s="1" t="str">
        <f>IFERROR(__xludf.DUMMYFUNCTION("""COMPUTED_VALUE"""),"2025-1")</f>
        <v>2025-1</v>
      </c>
      <c r="D266" s="1" t="str">
        <f>IFERROR(__xludf.DUMMYFUNCTION("""COMPUTED_VALUE"""),"Admisión de Alto Rendimiento")</f>
        <v>Admisión de Alto Rendimiento</v>
      </c>
      <c r="E266" s="2">
        <f>IFERROR(__xludf.DUMMYFUNCTION("""COMPUTED_VALUE"""),45650.0)</f>
        <v>45650</v>
      </c>
      <c r="F266" s="1" t="str">
        <f>IFERROR(__xludf.DUMMYFUNCTION("""COMPUTED_VALUE"""),"IRIEL AYELEN ")</f>
        <v>IRIEL AYELEN </v>
      </c>
      <c r="G266" s="1" t="str">
        <f>IFERROR(__xludf.DUMMYFUNCTION("""COMPUTED_VALUE"""),"CASTILLO GANOZA")</f>
        <v>CASTILLO GANOZA</v>
      </c>
      <c r="H266" s="1" t="str">
        <f>IFERROR(__xludf.DUMMYFUNCTION("""COMPUTED_VALUE"""),"Diseño Gráfico Publicitario")</f>
        <v>Diseño Gráfico Publicitario</v>
      </c>
      <c r="I266" s="1" t="str">
        <f>IFERROR(__xludf.DUMMYFUNCTION("""COMPUTED_VALUE"""),"POS")</f>
        <v>POS</v>
      </c>
      <c r="J266" s="1" t="str">
        <f>IFERROR(__xludf.DUMMYFUNCTION("""COMPUTED_VALUE"""),"Diurno")</f>
        <v>Diurno</v>
      </c>
      <c r="K266" s="1" t="str">
        <f>IFERROR(__xludf.DUMMYFUNCTION("""COMPUTED_VALUE"""),"NUEVO")</f>
        <v>NUEVO</v>
      </c>
      <c r="L266" s="1">
        <f>IFERROR(__xludf.DUMMYFUNCTION("""COMPUTED_VALUE"""),0.0)</f>
        <v>0</v>
      </c>
      <c r="M266" s="1">
        <f>IFERROR(__xludf.DUMMYFUNCTION("""COMPUTED_VALUE"""),0.0)</f>
        <v>0</v>
      </c>
      <c r="N266" s="1" t="str">
        <f>IFERROR(__xludf.DUMMYFUNCTION("""COMPUTED_VALUE"""),"BECA")</f>
        <v>BECA</v>
      </c>
      <c r="O266" s="1" t="str">
        <f>IFERROR(__xludf.DUMMYFUNCTION("""COMPUTED_VALUE"""),"BECA CARRERAS CORE")</f>
        <v>BECA CARRERAS CORE</v>
      </c>
      <c r="P266" s="4">
        <f>IFERROR(__xludf.DUMMYFUNCTION("""COMPUTED_VALUE"""),100.0)</f>
        <v>100</v>
      </c>
      <c r="Q266" s="4">
        <f>IFERROR(__xludf.DUMMYFUNCTION("""COMPUTED_VALUE"""),237.5)</f>
        <v>237.5</v>
      </c>
      <c r="R266" s="4">
        <f>IFERROR(__xludf.DUMMYFUNCTION("""COMPUTED_VALUE"""),1150.0)</f>
        <v>1150</v>
      </c>
      <c r="S266" s="4">
        <f>IFERROR(__xludf.DUMMYFUNCTION("""COMPUTED_VALUE"""),850.0)</f>
        <v>850</v>
      </c>
      <c r="T266" s="1" t="str">
        <f>IFERROR(__xludf.DUMMYFUNCTION("""COMPUTED_VALUE"""),"PALANCA 700")</f>
        <v>PALANCA 700</v>
      </c>
      <c r="U266" s="1" t="str">
        <f>IFERROR(__xludf.DUMMYFUNCTION("""COMPUTED_VALUE"""),"FABIOLA")</f>
        <v>FABIOLA</v>
      </c>
      <c r="V266" s="1" t="str">
        <f>IFERROR(__xludf.DUMMYFUNCTION("""COMPUTED_VALUE"""),"Ninguno")</f>
        <v>Ninguno</v>
      </c>
      <c r="W266" s="1" t="str">
        <f>IFERROR(__xludf.DUMMYFUNCTION("""COMPUTED_VALUE"""),"Otros")</f>
        <v>Otros</v>
      </c>
      <c r="X266" s="1" t="str">
        <f>IFERROR(__xludf.DUMMYFUNCTION("""COMPUTED_VALUE"""),"aluman pago 700 en la primra boleta luego beca de 850")</f>
        <v>aluman pago 700 en la primra boleta luego beca de 850</v>
      </c>
      <c r="Y266" s="1" t="str">
        <f>IFERROR(__xludf.DUMMYFUNCTION("""COMPUTED_VALUE"""),"PAGO COMPLETO")</f>
        <v>PAGO COMPLETO</v>
      </c>
      <c r="Z266" s="1">
        <f>IFERROR(__xludf.DUMMYFUNCTION("""COMPUTED_VALUE"""),0.0)</f>
        <v>0</v>
      </c>
      <c r="AA266" s="1" t="str">
        <f>IFERROR(__xludf.DUMMYFUNCTION("""COMPUTED_VALUE"""),"-")</f>
        <v>-</v>
      </c>
      <c r="AB266" s="1">
        <f>IFERROR(__xludf.DUMMYFUNCTION("""COMPUTED_VALUE"""),0.0)</f>
        <v>0</v>
      </c>
      <c r="AC266" s="1">
        <f>IFERROR(__xludf.DUMMYFUNCTION("""COMPUTED_VALUE"""),0.0)</f>
        <v>0</v>
      </c>
      <c r="AD266" s="1" t="str">
        <f>IFERROR(__xludf.DUMMYFUNCTION("""COMPUTED_VALUE"""),"Daniel Zapata")</f>
        <v>Daniel Zapata</v>
      </c>
      <c r="AE266" s="1" t="str">
        <f>IFERROR(__xludf.DUMMYFUNCTION("""COMPUTED_VALUE"""),"0")</f>
        <v>0</v>
      </c>
      <c r="AF266" s="1">
        <f>IFERROR(__xludf.DUMMYFUNCTION("""COMPUTED_VALUE"""),2020.0)</f>
        <v>2020</v>
      </c>
      <c r="AG266" s="1">
        <f>IFERROR(__xludf.DUMMYFUNCTION("""COMPUTED_VALUE"""),900647.0)</f>
        <v>900647</v>
      </c>
      <c r="AH266" s="1">
        <f>IFERROR(__xludf.DUMMYFUNCTION("""COMPUTED_VALUE"""),20.0)</f>
        <v>20</v>
      </c>
      <c r="AI266" s="1" t="str">
        <f>IFERROR(__xludf.DUMMYFUNCTION("""COMPUTED_VALUE"""),"0000405337")</f>
        <v>0000405337</v>
      </c>
      <c r="AJ266" s="1">
        <f>IFERROR(__xludf.DUMMYFUNCTION("""COMPUTED_VALUE"""),6.1165839E7)</f>
        <v>61165839</v>
      </c>
      <c r="AK266" s="1">
        <f>IFERROR(__xludf.DUMMYFUNCTION("""COMPUTED_VALUE"""),9.9758707E8)</f>
        <v>997587070</v>
      </c>
      <c r="AL266" s="1" t="str">
        <f>IFERROR(__xludf.DUMMYFUNCTION("""COMPUTED_VALUE"""),"castilloganozai@gmail.com")</f>
        <v>castilloganozai@gmail.com</v>
      </c>
      <c r="AM266" s="1" t="str">
        <f>IFERROR(__xludf.DUMMYFUNCTION("""COMPUTED_VALUE"""),"FEMENINO")</f>
        <v>FEMENINO</v>
      </c>
      <c r="AN266" s="1">
        <f>IFERROR(__xludf.DUMMYFUNCTION("""COMPUTED_VALUE"""),1350.0)</f>
        <v>1350</v>
      </c>
      <c r="AO266" s="1">
        <f>IFERROR(__xludf.DUMMYFUNCTION("""COMPUTED_VALUE"""),0.0)</f>
        <v>0</v>
      </c>
      <c r="AP266" s="1" t="str">
        <f>IFERROR(__xludf.DUMMYFUNCTION("""COMPUTED_VALUE"""),"BIDIRECCIONAL")</f>
        <v>BIDIRECCIONAL</v>
      </c>
      <c r="AQ266" s="1" t="str">
        <f>IFERROR(__xludf.DUMMYFUNCTION("""COMPUTED_VALUE"""),"ORGANICO")</f>
        <v>ORGANICO</v>
      </c>
      <c r="AR266" s="1" t="str">
        <f>IFERROR(__xludf.DUMMYFUNCTION("""COMPUTED_VALUE"""),"NUEVO")</f>
        <v>NUEVO</v>
      </c>
      <c r="AS266" s="1"/>
      <c r="AT266" s="2">
        <f>IFERROR(__xludf.DUMMYFUNCTION("""COMPUTED_VALUE"""),45645.0)</f>
        <v>45645</v>
      </c>
      <c r="AU266" s="1">
        <f>IFERROR(__xludf.DUMMYFUNCTION("""COMPUTED_VALUE"""),1.0)</f>
        <v>1</v>
      </c>
      <c r="AV266" s="1" t="str">
        <f>IFERROR(__xludf.DUMMYFUNCTION("""COMPUTED_VALUE"""),"NUEVO")</f>
        <v>NUEVO</v>
      </c>
      <c r="AW266" s="1" t="str">
        <f>IFERROR(__xludf.DUMMYFUNCTION("""COMPUTED_VALUE"""),"SI")</f>
        <v>SI</v>
      </c>
      <c r="AX266" s="1"/>
      <c r="AY266" s="1" t="str">
        <f>IFERROR(__xludf.DUMMYFUNCTION("""COMPUTED_VALUE"""),"PAGO COMPLETO")</f>
        <v>PAGO COMPLETO</v>
      </c>
      <c r="AZ266" s="5">
        <f>IFERROR(__xludf.DUMMYFUNCTION("""COMPUTED_VALUE"""),45650.0)</f>
        <v>45650</v>
      </c>
      <c r="BA266" s="1">
        <f>IFERROR(__xludf.DUMMYFUNCTION("""COMPUTED_VALUE"""),0.0)</f>
        <v>0</v>
      </c>
      <c r="BB266" s="1">
        <f>IFERROR(__xludf.DUMMYFUNCTION("""COMPUTED_VALUE"""),0.0)</f>
        <v>0</v>
      </c>
      <c r="BC266" s="4">
        <f>IFERROR(__xludf.DUMMYFUNCTION("""COMPUTED_VALUE"""),0.0)</f>
        <v>0</v>
      </c>
      <c r="BD266" s="4">
        <f>IFERROR(__xludf.DUMMYFUNCTION("""COMPUTED_VALUE"""),150.0)</f>
        <v>150</v>
      </c>
      <c r="BE266" s="1">
        <f>IFERROR(__xludf.DUMMYFUNCTION("""COMPUTED_VALUE"""),12.0)</f>
        <v>12</v>
      </c>
      <c r="BF266" s="6">
        <f>IFERROR(__xludf.DUMMYFUNCTION("""COMPUTED_VALUE"""),1.0)</f>
        <v>1</v>
      </c>
      <c r="BG266" s="1">
        <f>IFERROR(__xludf.DUMMYFUNCTION("""COMPUTED_VALUE"""),1.0)</f>
        <v>1</v>
      </c>
      <c r="BH266" s="1" t="str">
        <f>IFERROR(__xludf.DUMMYFUNCTION("""COMPUTED_VALUE"""),"0")</f>
        <v>0</v>
      </c>
      <c r="BI266" s="4">
        <f>IFERROR(__xludf.DUMMYFUNCTION("""COMPUTED_VALUE"""),150.0)</f>
        <v>150</v>
      </c>
      <c r="BJ266" s="1">
        <f>IFERROR(__xludf.DUMMYFUNCTION("""COMPUTED_VALUE"""),0.0)</f>
        <v>0</v>
      </c>
      <c r="BK266" s="4">
        <f>IFERROR(__xludf.DUMMYFUNCTION("""COMPUTED_VALUE"""),150.0)</f>
        <v>150</v>
      </c>
      <c r="BL266" s="1">
        <f>IFERROR(__xludf.DUMMYFUNCTION("""COMPUTED_VALUE"""),820.0)</f>
        <v>820</v>
      </c>
      <c r="BM266" s="1">
        <f>IFERROR(__xludf.DUMMYFUNCTION("""COMPUTED_VALUE"""),52.0)</f>
        <v>52</v>
      </c>
      <c r="BN266" s="2">
        <f>IFERROR(__xludf.DUMMYFUNCTION("""COMPUTED_VALUE"""),45649.0)</f>
        <v>45649</v>
      </c>
      <c r="BO266" s="1">
        <f>IFERROR(__xludf.DUMMYFUNCTION("""COMPUTED_VALUE"""),12.0)</f>
        <v>12</v>
      </c>
      <c r="BP266" s="1">
        <f>IFERROR(__xludf.DUMMYFUNCTION("""COMPUTED_VALUE"""),2024.0)</f>
        <v>2024</v>
      </c>
    </row>
    <row r="267">
      <c r="A267" s="1">
        <f>IFERROR(__xludf.DUMMYFUNCTION("""COMPUTED_VALUE"""),266.0)</f>
        <v>266</v>
      </c>
      <c r="B267" s="1">
        <f>IFERROR(__xludf.DUMMYFUNCTION("""COMPUTED_VALUE"""),4897533.0)</f>
        <v>4897533</v>
      </c>
      <c r="C267" s="1" t="str">
        <f>IFERROR(__xludf.DUMMYFUNCTION("""COMPUTED_VALUE"""),"2025-1")</f>
        <v>2025-1</v>
      </c>
      <c r="D267" s="1" t="str">
        <f>IFERROR(__xludf.DUMMYFUNCTION("""COMPUTED_VALUE"""),"Admisión de Alto Rendimiento")</f>
        <v>Admisión de Alto Rendimiento</v>
      </c>
      <c r="E267" s="2">
        <f>IFERROR(__xludf.DUMMYFUNCTION("""COMPUTED_VALUE"""),45652.0)</f>
        <v>45652</v>
      </c>
      <c r="F267" s="1" t="str">
        <f>IFERROR(__xludf.DUMMYFUNCTION("""COMPUTED_VALUE"""),"DIEGO ALONSO")</f>
        <v>DIEGO ALONSO</v>
      </c>
      <c r="G267" s="1" t="str">
        <f>IFERROR(__xludf.DUMMYFUNCTION("""COMPUTED_VALUE"""),"MOTTA CONTRERAS")</f>
        <v>MOTTA CONTRERAS</v>
      </c>
      <c r="H267" s="1" t="str">
        <f>IFERROR(__xludf.DUMMYFUNCTION("""COMPUTED_VALUE"""),"Comunicación Audiovisual y Cine")</f>
        <v>Comunicación Audiovisual y Cine</v>
      </c>
      <c r="I267" s="1" t="str">
        <f>IFERROR(__xludf.DUMMYFUNCTION("""COMPUTED_VALUE"""),"POS")</f>
        <v>POS</v>
      </c>
      <c r="J267" s="1" t="str">
        <f>IFERROR(__xludf.DUMMYFUNCTION("""COMPUTED_VALUE"""),"Diurno")</f>
        <v>Diurno</v>
      </c>
      <c r="K267" s="1" t="str">
        <f>IFERROR(__xludf.DUMMYFUNCTION("""COMPUTED_VALUE"""),"NUEVO")</f>
        <v>NUEVO</v>
      </c>
      <c r="L267" s="1">
        <f>IFERROR(__xludf.DUMMYFUNCTION("""COMPUTED_VALUE"""),0.0)</f>
        <v>0</v>
      </c>
      <c r="M267" s="1">
        <f>IFERROR(__xludf.DUMMYFUNCTION("""COMPUTED_VALUE"""),0.0)</f>
        <v>0</v>
      </c>
      <c r="N267" s="1" t="str">
        <f>IFERROR(__xludf.DUMMYFUNCTION("""COMPUTED_VALUE"""),"BECA")</f>
        <v>BECA</v>
      </c>
      <c r="O267" s="1" t="str">
        <f>IFERROR(__xludf.DUMMYFUNCTION("""COMPUTED_VALUE"""),"BECA CARRERAS CORE")</f>
        <v>BECA CARRERAS CORE</v>
      </c>
      <c r="P267" s="4">
        <f>IFERROR(__xludf.DUMMYFUNCTION("""COMPUTED_VALUE"""),0.0)</f>
        <v>0</v>
      </c>
      <c r="Q267" s="4">
        <f>IFERROR(__xludf.DUMMYFUNCTION("""COMPUTED_VALUE"""),0.0)</f>
        <v>0</v>
      </c>
      <c r="R267" s="4">
        <f>IFERROR(__xludf.DUMMYFUNCTION("""COMPUTED_VALUE"""),1600.0)</f>
        <v>1600</v>
      </c>
      <c r="S267" s="4">
        <f>IFERROR(__xludf.DUMMYFUNCTION("""COMPUTED_VALUE"""),1280.0)</f>
        <v>1280</v>
      </c>
      <c r="T267" s="1" t="str">
        <f>IFERROR(__xludf.DUMMYFUNCTION("""COMPUTED_VALUE"""),"Visita guiada - refirio")</f>
        <v>Visita guiada - refirio</v>
      </c>
      <c r="U267" s="1" t="str">
        <f>IFERROR(__xludf.DUMMYFUNCTION("""COMPUTED_VALUE"""),"RODRIGO")</f>
        <v>RODRIGO</v>
      </c>
      <c r="V267" s="1" t="str">
        <f>IFERROR(__xludf.DUMMYFUNCTION("""COMPUTED_VALUE"""),"Ninguno")</f>
        <v>Ninguno</v>
      </c>
      <c r="W267" s="1" t="str">
        <f>IFERROR(__xludf.DUMMYFUNCTION("""COMPUTED_VALUE"""),"Malla curricular")</f>
        <v>Malla curricular</v>
      </c>
      <c r="X267" s="1" t="str">
        <f>IFERROR(__xludf.DUMMYFUNCTION("""COMPUTED_VALUE"""),"malla curricular")</f>
        <v>malla curricular</v>
      </c>
      <c r="Y267" s="1" t="str">
        <f>IFERROR(__xludf.DUMMYFUNCTION("""COMPUTED_VALUE"""),"PAGO COMPLETO")</f>
        <v>PAGO COMPLETO</v>
      </c>
      <c r="Z267" s="1">
        <f>IFERROR(__xludf.DUMMYFUNCTION("""COMPUTED_VALUE"""),0.0)</f>
        <v>0</v>
      </c>
      <c r="AA267" s="1" t="str">
        <f>IFERROR(__xludf.DUMMYFUNCTION("""COMPUTED_VALUE"""),"-")</f>
        <v>-</v>
      </c>
      <c r="AB267" s="1">
        <f>IFERROR(__xludf.DUMMYFUNCTION("""COMPUTED_VALUE"""),0.0)</f>
        <v>0</v>
      </c>
      <c r="AC267" s="1">
        <f>IFERROR(__xludf.DUMMYFUNCTION("""COMPUTED_VALUE"""),0.0)</f>
        <v>0</v>
      </c>
      <c r="AD267" s="1" t="str">
        <f>IFERROR(__xludf.DUMMYFUNCTION("""COMPUTED_VALUE"""),"Cinthia Mariella Orosco")</f>
        <v>Cinthia Mariella Orosco</v>
      </c>
      <c r="AE267" s="1" t="str">
        <f>IFERROR(__xludf.DUMMYFUNCTION("""COMPUTED_VALUE"""),"0")</f>
        <v>0</v>
      </c>
      <c r="AF267" s="1">
        <f>IFERROR(__xludf.DUMMYFUNCTION("""COMPUTED_VALUE"""),2022.0)</f>
        <v>2022</v>
      </c>
      <c r="AG267" s="1">
        <f>IFERROR(__xludf.DUMMYFUNCTION("""COMPUTED_VALUE"""),305763.0)</f>
        <v>305763</v>
      </c>
      <c r="AH267" s="1">
        <f>IFERROR(__xludf.DUMMYFUNCTION("""COMPUTED_VALUE"""),19.0)</f>
        <v>19</v>
      </c>
      <c r="AI267" s="1" t="str">
        <f>IFERROR(__xludf.DUMMYFUNCTION("""COMPUTED_VALUE"""),"0000405506")</f>
        <v>0000405506</v>
      </c>
      <c r="AJ267" s="1">
        <f>IFERROR(__xludf.DUMMYFUNCTION("""COMPUTED_VALUE"""),7.3039101E7)</f>
        <v>73039101</v>
      </c>
      <c r="AK267" s="1">
        <f>IFERROR(__xludf.DUMMYFUNCTION("""COMPUTED_VALUE"""),9.88341288E8)</f>
        <v>988341288</v>
      </c>
      <c r="AL267" s="1" t="str">
        <f>IFERROR(__xludf.DUMMYFUNCTION("""COMPUTED_VALUE"""),"mottad005@gmail.com")</f>
        <v>mottad005@gmail.com</v>
      </c>
      <c r="AM267" s="1" t="str">
        <f>IFERROR(__xludf.DUMMYFUNCTION("""COMPUTED_VALUE"""),"MASCULINO")</f>
        <v>MASCULINO</v>
      </c>
      <c r="AN267" s="1">
        <f>IFERROR(__xludf.DUMMYFUNCTION("""COMPUTED_VALUE"""),2200.0)</f>
        <v>2200</v>
      </c>
      <c r="AO267" s="1">
        <f>IFERROR(__xludf.DUMMYFUNCTION("""COMPUTED_VALUE"""),900.0)</f>
        <v>900</v>
      </c>
      <c r="AP267" s="1" t="str">
        <f>IFERROR(__xludf.DUMMYFUNCTION("""COMPUTED_VALUE"""),"FORMULARIO")</f>
        <v>FORMULARIO</v>
      </c>
      <c r="AQ267" s="1" t="str">
        <f>IFERROR(__xludf.DUMMYFUNCTION("""COMPUTED_VALUE"""),"ORGANICO")</f>
        <v>ORGANICO</v>
      </c>
      <c r="AR267" s="1" t="str">
        <f>IFERROR(__xludf.DUMMYFUNCTION("""COMPUTED_VALUE"""),"NUEVO")</f>
        <v>NUEVO</v>
      </c>
      <c r="AS267" s="1"/>
      <c r="AT267" s="2">
        <f>IFERROR(__xludf.DUMMYFUNCTION("""COMPUTED_VALUE"""),45649.0)</f>
        <v>45649</v>
      </c>
      <c r="AU267" s="1">
        <f>IFERROR(__xludf.DUMMYFUNCTION("""COMPUTED_VALUE"""),1.0)</f>
        <v>1</v>
      </c>
      <c r="AV267" s="1" t="str">
        <f>IFERROR(__xludf.DUMMYFUNCTION("""COMPUTED_VALUE"""),"NUEVO")</f>
        <v>NUEVO</v>
      </c>
      <c r="AW267" s="1" t="str">
        <f>IFERROR(__xludf.DUMMYFUNCTION("""COMPUTED_VALUE"""),"SI")</f>
        <v>SI</v>
      </c>
      <c r="AX267" s="1"/>
      <c r="AY267" s="1" t="str">
        <f>IFERROR(__xludf.DUMMYFUNCTION("""COMPUTED_VALUE"""),"PAGO COMPLETO")</f>
        <v>PAGO COMPLETO</v>
      </c>
      <c r="AZ267" s="5">
        <f>IFERROR(__xludf.DUMMYFUNCTION("""COMPUTED_VALUE"""),45652.0)</f>
        <v>45652</v>
      </c>
      <c r="BA267" s="1">
        <f>IFERROR(__xludf.DUMMYFUNCTION("""COMPUTED_VALUE"""),0.0)</f>
        <v>0</v>
      </c>
      <c r="BB267" s="1">
        <f>IFERROR(__xludf.DUMMYFUNCTION("""COMPUTED_VALUE"""),0.0)</f>
        <v>0</v>
      </c>
      <c r="BC267" s="4">
        <f>IFERROR(__xludf.DUMMYFUNCTION("""COMPUTED_VALUE"""),0.0)</f>
        <v>0</v>
      </c>
      <c r="BD267" s="4">
        <f>IFERROR(__xludf.DUMMYFUNCTION("""COMPUTED_VALUE"""),100.0)</f>
        <v>100</v>
      </c>
      <c r="BE267" s="1">
        <f>IFERROR(__xludf.DUMMYFUNCTION("""COMPUTED_VALUE"""),12.0)</f>
        <v>12</v>
      </c>
      <c r="BF267" s="6">
        <f>IFERROR(__xludf.DUMMYFUNCTION("""COMPUTED_VALUE"""),1.0)</f>
        <v>1</v>
      </c>
      <c r="BG267" s="1">
        <f>IFERROR(__xludf.DUMMYFUNCTION("""COMPUTED_VALUE"""),1.0)</f>
        <v>1</v>
      </c>
      <c r="BH267" s="1" t="str">
        <f>IFERROR(__xludf.DUMMYFUNCTION("""COMPUTED_VALUE"""),"0")</f>
        <v>0</v>
      </c>
      <c r="BI267" s="4">
        <f>IFERROR(__xludf.DUMMYFUNCTION("""COMPUTED_VALUE"""),100.0)</f>
        <v>100</v>
      </c>
      <c r="BJ267" s="1">
        <f>IFERROR(__xludf.DUMMYFUNCTION("""COMPUTED_VALUE"""),0.0)</f>
        <v>0</v>
      </c>
      <c r="BK267" s="4">
        <f>IFERROR(__xludf.DUMMYFUNCTION("""COMPUTED_VALUE"""),1380.0)</f>
        <v>1380</v>
      </c>
      <c r="BL267" s="1">
        <f>IFERROR(__xludf.DUMMYFUNCTION("""COMPUTED_VALUE"""),1004.0)</f>
        <v>1004</v>
      </c>
      <c r="BM267" s="1">
        <f>IFERROR(__xludf.DUMMYFUNCTION("""COMPUTED_VALUE"""),52.0)</f>
        <v>52</v>
      </c>
      <c r="BN267" s="2">
        <f>IFERROR(__xludf.DUMMYFUNCTION("""COMPUTED_VALUE"""),45649.0)</f>
        <v>45649</v>
      </c>
      <c r="BO267" s="1">
        <f>IFERROR(__xludf.DUMMYFUNCTION("""COMPUTED_VALUE"""),12.0)</f>
        <v>12</v>
      </c>
      <c r="BP267" s="1">
        <f>IFERROR(__xludf.DUMMYFUNCTION("""COMPUTED_VALUE"""),2024.0)</f>
        <v>2024</v>
      </c>
    </row>
    <row r="268">
      <c r="A268" s="1">
        <f>IFERROR(__xludf.DUMMYFUNCTION("""COMPUTED_VALUE"""),267.0)</f>
        <v>267</v>
      </c>
      <c r="B268" s="1">
        <f>IFERROR(__xludf.DUMMYFUNCTION("""COMPUTED_VALUE"""),4819070.0)</f>
        <v>4819070</v>
      </c>
      <c r="C268" s="1" t="str">
        <f>IFERROR(__xludf.DUMMYFUNCTION("""COMPUTED_VALUE"""),"2025-1")</f>
        <v>2025-1</v>
      </c>
      <c r="D268" s="1" t="str">
        <f>IFERROR(__xludf.DUMMYFUNCTION("""COMPUTED_VALUE"""),"Admisión Ordinaria")</f>
        <v>Admisión Ordinaria</v>
      </c>
      <c r="E268" s="2">
        <f>IFERROR(__xludf.DUMMYFUNCTION("""COMPUTED_VALUE"""),45652.0)</f>
        <v>45652</v>
      </c>
      <c r="F268" s="1" t="str">
        <f>IFERROR(__xludf.DUMMYFUNCTION("""COMPUTED_VALUE"""),"JUAN PABLO ")</f>
        <v>JUAN PABLO </v>
      </c>
      <c r="G268" s="1" t="str">
        <f>IFERROR(__xludf.DUMMYFUNCTION("""COMPUTED_VALUE"""),"SOLANO ALCALDE")</f>
        <v>SOLANO ALCALDE</v>
      </c>
      <c r="H268" s="1" t="str">
        <f>IFERROR(__xludf.DUMMYFUNCTION("""COMPUTED_VALUE"""),"Comunicación Audiovisual y Cine")</f>
        <v>Comunicación Audiovisual y Cine</v>
      </c>
      <c r="I268" s="1" t="str">
        <f>IFERROR(__xludf.DUMMYFUNCTION("""COMPUTED_VALUE"""),"CARGO")</f>
        <v>CARGO</v>
      </c>
      <c r="J268" s="1" t="str">
        <f>IFERROR(__xludf.DUMMYFUNCTION("""COMPUTED_VALUE"""),"Diurno")</f>
        <v>Diurno</v>
      </c>
      <c r="K268" s="1" t="str">
        <f>IFERROR(__xludf.DUMMYFUNCTION("""COMPUTED_VALUE"""),"NUEVO")</f>
        <v>NUEVO</v>
      </c>
      <c r="L268" s="1">
        <f>IFERROR(__xludf.DUMMYFUNCTION("""COMPUTED_VALUE"""),0.0)</f>
        <v>0</v>
      </c>
      <c r="M268" s="1">
        <f>IFERROR(__xludf.DUMMYFUNCTION("""COMPUTED_VALUE"""),0.0)</f>
        <v>0</v>
      </c>
      <c r="N268" s="1" t="str">
        <f>IFERROR(__xludf.DUMMYFUNCTION("""COMPUTED_VALUE"""),"BECA")</f>
        <v>BECA</v>
      </c>
      <c r="O268" s="1" t="str">
        <f>IFERROR(__xludf.DUMMYFUNCTION("""COMPUTED_VALUE"""),"BECA CARRERAS CORE")</f>
        <v>BECA CARRERAS CORE</v>
      </c>
      <c r="P268" s="4">
        <f>IFERROR(__xludf.DUMMYFUNCTION("""COMPUTED_VALUE"""),125.0)</f>
        <v>125</v>
      </c>
      <c r="Q268" s="4">
        <f>IFERROR(__xludf.DUMMYFUNCTION("""COMPUTED_VALUE"""),237.5)</f>
        <v>237.5</v>
      </c>
      <c r="R268" s="4">
        <f>IFERROR(__xludf.DUMMYFUNCTION("""COMPUTED_VALUE"""),1600.0)</f>
        <v>1600</v>
      </c>
      <c r="S268" s="4">
        <f>IFERROR(__xludf.DUMMYFUNCTION("""COMPUTED_VALUE"""),1280.0)</f>
        <v>1280</v>
      </c>
      <c r="T268" s="1" t="str">
        <f>IFERROR(__xludf.DUMMYFUNCTION("""COMPUTED_VALUE"""),"NINGUNO")</f>
        <v>NINGUNO</v>
      </c>
      <c r="U268" s="1" t="str">
        <f>IFERROR(__xludf.DUMMYFUNCTION("""COMPUTED_VALUE"""),"FABIOLA")</f>
        <v>FABIOLA</v>
      </c>
      <c r="V268" s="1" t="str">
        <f>IFERROR(__xludf.DUMMYFUNCTION("""COMPUTED_VALUE"""),"Ninguno")</f>
        <v>Ninguno</v>
      </c>
      <c r="W268" s="1" t="str">
        <f>IFERROR(__xludf.DUMMYFUNCTION("""COMPUTED_VALUE"""),"Equipos e instalaciones")</f>
        <v>Equipos e instalaciones</v>
      </c>
      <c r="X268" s="1" t="str">
        <f>IFERROR(__xludf.DUMMYFUNCTION("""COMPUTED_VALUE"""),"-")</f>
        <v>-</v>
      </c>
      <c r="Y268" s="1" t="str">
        <f>IFERROR(__xludf.DUMMYFUNCTION("""COMPUTED_VALUE"""),"PAGO COMPLETO")</f>
        <v>PAGO COMPLETO</v>
      </c>
      <c r="Z268" s="1">
        <f>IFERROR(__xludf.DUMMYFUNCTION("""COMPUTED_VALUE"""),0.0)</f>
        <v>0</v>
      </c>
      <c r="AA268" s="1" t="str">
        <f>IFERROR(__xludf.DUMMYFUNCTION("""COMPUTED_VALUE"""),"-")</f>
        <v>-</v>
      </c>
      <c r="AB268" s="1">
        <f>IFERROR(__xludf.DUMMYFUNCTION("""COMPUTED_VALUE"""),0.0)</f>
        <v>0</v>
      </c>
      <c r="AC268" s="1">
        <f>IFERROR(__xludf.DUMMYFUNCTION("""COMPUTED_VALUE"""),0.0)</f>
        <v>0</v>
      </c>
      <c r="AD268" s="1" t="str">
        <f>IFERROR(__xludf.DUMMYFUNCTION("""COMPUTED_VALUE"""),"Fiorella Lanegra")</f>
        <v>Fiorella Lanegra</v>
      </c>
      <c r="AE268" s="1" t="str">
        <f>IFERROR(__xludf.DUMMYFUNCTION("""COMPUTED_VALUE"""),"0")</f>
        <v>0</v>
      </c>
      <c r="AF268" s="1">
        <f>IFERROR(__xludf.DUMMYFUNCTION("""COMPUTED_VALUE"""),2024.0)</f>
        <v>2024</v>
      </c>
      <c r="AG268" s="1">
        <f>IFERROR(__xludf.DUMMYFUNCTION("""COMPUTED_VALUE"""),582031.0)</f>
        <v>582031</v>
      </c>
      <c r="AH268" s="1">
        <f>IFERROR(__xludf.DUMMYFUNCTION("""COMPUTED_VALUE"""),16.0)</f>
        <v>16</v>
      </c>
      <c r="AI268" s="1" t="str">
        <f>IFERROR(__xludf.DUMMYFUNCTION("""COMPUTED_VALUE"""),"0000405498")</f>
        <v>0000405498</v>
      </c>
      <c r="AJ268" s="1">
        <f>IFERROR(__xludf.DUMMYFUNCTION("""COMPUTED_VALUE"""),7.1168096E7)</f>
        <v>71168096</v>
      </c>
      <c r="AK268" s="1">
        <f>IFERROR(__xludf.DUMMYFUNCTION("""COMPUTED_VALUE"""),9.75025741E8)</f>
        <v>975025741</v>
      </c>
      <c r="AL268" s="1" t="str">
        <f>IFERROR(__xludf.DUMMYFUNCTION("""COMPUTED_VALUE"""),"juanpasolano03@gmail.com")</f>
        <v>juanpasolano03@gmail.com</v>
      </c>
      <c r="AM268" s="1" t="str">
        <f>IFERROR(__xludf.DUMMYFUNCTION("""COMPUTED_VALUE"""),"MASCULINO")</f>
        <v>MASCULINO</v>
      </c>
      <c r="AN268" s="1">
        <f>IFERROR(__xludf.DUMMYFUNCTION("""COMPUTED_VALUE"""),1775.0)</f>
        <v>1775</v>
      </c>
      <c r="AO268" s="1">
        <f>IFERROR(__xludf.DUMMYFUNCTION("""COMPUTED_VALUE"""),420.0)</f>
        <v>420</v>
      </c>
      <c r="AP268" s="1" t="str">
        <f>IFERROR(__xludf.DUMMYFUNCTION("""COMPUTED_VALUE"""),"FORMULARIO")</f>
        <v>FORMULARIO</v>
      </c>
      <c r="AQ268" s="1" t="str">
        <f>IFERROR(__xludf.DUMMYFUNCTION("""COMPUTED_VALUE"""),"SEARCH MARCA")</f>
        <v>SEARCH MARCA</v>
      </c>
      <c r="AR268" s="1" t="str">
        <f>IFERROR(__xludf.DUMMYFUNCTION("""COMPUTED_VALUE"""),"NUEVO")</f>
        <v>NUEVO</v>
      </c>
      <c r="AS268" s="1" t="str">
        <f>IFERROR(__xludf.DUMMYFUNCTION("""COMPUTED_VALUE"""),"ucal-pg-performance-sedes-abierta-cpl-search_conversion_marca-20240401")</f>
        <v>ucal-pg-performance-sedes-abierta-cpl-search_conversion_marca-20240401</v>
      </c>
      <c r="AT268" s="2">
        <f>IFERROR(__xludf.DUMMYFUNCTION("""COMPUTED_VALUE"""),45618.0)</f>
        <v>45618</v>
      </c>
      <c r="AU268" s="1">
        <f>IFERROR(__xludf.DUMMYFUNCTION("""COMPUTED_VALUE"""),1.0)</f>
        <v>1</v>
      </c>
      <c r="AV268" s="1" t="str">
        <f>IFERROR(__xludf.DUMMYFUNCTION("""COMPUTED_VALUE"""),"NUEVO")</f>
        <v>NUEVO</v>
      </c>
      <c r="AW268" s="1" t="str">
        <f>IFERROR(__xludf.DUMMYFUNCTION("""COMPUTED_VALUE"""),"SI")</f>
        <v>SI</v>
      </c>
      <c r="AX268" s="1"/>
      <c r="AY268" s="1" t="str">
        <f>IFERROR(__xludf.DUMMYFUNCTION("""COMPUTED_VALUE"""),"PAGO COMPLETO")</f>
        <v>PAGO COMPLETO</v>
      </c>
      <c r="AZ268" s="5">
        <f>IFERROR(__xludf.DUMMYFUNCTION("""COMPUTED_VALUE"""),45652.0)</f>
        <v>45652</v>
      </c>
      <c r="BA268" s="1">
        <f>IFERROR(__xludf.DUMMYFUNCTION("""COMPUTED_VALUE"""),0.0)</f>
        <v>0</v>
      </c>
      <c r="BB268" s="1">
        <f>IFERROR(__xludf.DUMMYFUNCTION("""COMPUTED_VALUE"""),0.0)</f>
        <v>0</v>
      </c>
      <c r="BC268" s="4">
        <f>IFERROR(__xludf.DUMMYFUNCTION("""COMPUTED_VALUE"""),0.0)</f>
        <v>0</v>
      </c>
      <c r="BD268" s="4">
        <f>IFERROR(__xludf.DUMMYFUNCTION("""COMPUTED_VALUE"""),0.0)</f>
        <v>0</v>
      </c>
      <c r="BE268" s="1">
        <f>IFERROR(__xludf.DUMMYFUNCTION("""COMPUTED_VALUE"""),12.0)</f>
        <v>12</v>
      </c>
      <c r="BF268" s="6">
        <f>IFERROR(__xludf.DUMMYFUNCTION("""COMPUTED_VALUE"""),1.0)</f>
        <v>1</v>
      </c>
      <c r="BG268" s="1">
        <f>IFERROR(__xludf.DUMMYFUNCTION("""COMPUTED_VALUE"""),1.0)</f>
        <v>1</v>
      </c>
      <c r="BH268" s="1" t="str">
        <f>IFERROR(__xludf.DUMMYFUNCTION("""COMPUTED_VALUE"""),"0")</f>
        <v>0</v>
      </c>
      <c r="BI268" s="4">
        <f>IFERROR(__xludf.DUMMYFUNCTION("""COMPUTED_VALUE"""),0.0)</f>
        <v>0</v>
      </c>
      <c r="BJ268" s="1">
        <f>IFERROR(__xludf.DUMMYFUNCTION("""COMPUTED_VALUE"""),0.0)</f>
        <v>0</v>
      </c>
      <c r="BK268" s="4">
        <f>IFERROR(__xludf.DUMMYFUNCTION("""COMPUTED_VALUE"""),0.0)</f>
        <v>0</v>
      </c>
      <c r="BL268" s="1">
        <f>IFERROR(__xludf.DUMMYFUNCTION("""COMPUTED_VALUE"""),1280.0)</f>
        <v>1280</v>
      </c>
      <c r="BM268" s="1">
        <f>IFERROR(__xludf.DUMMYFUNCTION("""COMPUTED_VALUE"""),52.0)</f>
        <v>52</v>
      </c>
      <c r="BN268" s="2">
        <f>IFERROR(__xludf.DUMMYFUNCTION("""COMPUTED_VALUE"""),45649.0)</f>
        <v>45649</v>
      </c>
      <c r="BO268" s="1">
        <f>IFERROR(__xludf.DUMMYFUNCTION("""COMPUTED_VALUE"""),12.0)</f>
        <v>12</v>
      </c>
      <c r="BP268" s="1">
        <f>IFERROR(__xludf.DUMMYFUNCTION("""COMPUTED_VALUE"""),2024.0)</f>
        <v>2024</v>
      </c>
    </row>
    <row r="269">
      <c r="A269" s="1">
        <f>IFERROR(__xludf.DUMMYFUNCTION("""COMPUTED_VALUE"""),268.0)</f>
        <v>268</v>
      </c>
      <c r="B269" s="1">
        <f>IFERROR(__xludf.DUMMYFUNCTION("""COMPUTED_VALUE"""),1350398.0)</f>
        <v>1350398</v>
      </c>
      <c r="C269" s="1" t="str">
        <f>IFERROR(__xludf.DUMMYFUNCTION("""COMPUTED_VALUE"""),"2025-1")</f>
        <v>2025-1</v>
      </c>
      <c r="D269" s="1" t="str">
        <f>IFERROR(__xludf.DUMMYFUNCTION("""COMPUTED_VALUE"""),"Admisión Extraordinaria (Traslados)")</f>
        <v>Admisión Extraordinaria (Traslados)</v>
      </c>
      <c r="E269" s="2">
        <f>IFERROR(__xludf.DUMMYFUNCTION("""COMPUTED_VALUE"""),45652.0)</f>
        <v>45652</v>
      </c>
      <c r="F269" s="1" t="str">
        <f>IFERROR(__xludf.DUMMYFUNCTION("""COMPUTED_VALUE"""),"KEYSI NAYELI ")</f>
        <v>KEYSI NAYELI </v>
      </c>
      <c r="G269" s="1" t="str">
        <f>IFERROR(__xludf.DUMMYFUNCTION("""COMPUTED_VALUE"""),"YACTAYO FERNÁNDEZ")</f>
        <v>YACTAYO FERNÁNDEZ</v>
      </c>
      <c r="H269" s="1" t="str">
        <f>IFERROR(__xludf.DUMMYFUNCTION("""COMPUTED_VALUE"""),"Diseño Gráfico Publicitario")</f>
        <v>Diseño Gráfico Publicitario</v>
      </c>
      <c r="I269" s="1" t="str">
        <f>IFERROR(__xludf.DUMMYFUNCTION("""COMPUTED_VALUE"""),"Pago Link")</f>
        <v>Pago Link</v>
      </c>
      <c r="J269" s="1" t="str">
        <f>IFERROR(__xludf.DUMMYFUNCTION("""COMPUTED_VALUE"""),"Diurno")</f>
        <v>Diurno</v>
      </c>
      <c r="K269" s="1" t="str">
        <f>IFERROR(__xludf.DUMMYFUNCTION("""COMPUTED_VALUE"""),"TRASLADO")</f>
        <v>TRASLADO</v>
      </c>
      <c r="L269" s="1">
        <f>IFERROR(__xludf.DUMMYFUNCTION("""COMPUTED_VALUE"""),1.0)</f>
        <v>1</v>
      </c>
      <c r="M269" s="1">
        <f>IFERROR(__xludf.DUMMYFUNCTION("""COMPUTED_VALUE"""),0.0)</f>
        <v>0</v>
      </c>
      <c r="N269" s="1" t="str">
        <f>IFERROR(__xludf.DUMMYFUNCTION("""COMPUTED_VALUE"""),"RECA")</f>
        <v>RECA</v>
      </c>
      <c r="O269" s="1" t="str">
        <f>IFERROR(__xludf.DUMMYFUNCTION("""COMPUTED_VALUE"""),"RECA TRASLADO CON CONVA")</f>
        <v>RECA TRASLADO CON CONVA</v>
      </c>
      <c r="P269" s="4">
        <f>IFERROR(__xludf.DUMMYFUNCTION("""COMPUTED_VALUE"""),0.0)</f>
        <v>0</v>
      </c>
      <c r="Q269" s="4">
        <f>IFERROR(__xludf.DUMMYFUNCTION("""COMPUTED_VALUE"""),0.0)</f>
        <v>0</v>
      </c>
      <c r="R269" s="4">
        <f>IFERROR(__xludf.DUMMYFUNCTION("""COMPUTED_VALUE"""),900.0)</f>
        <v>900</v>
      </c>
      <c r="S269" s="4">
        <f>IFERROR(__xludf.DUMMYFUNCTION("""COMPUTED_VALUE"""),900.0)</f>
        <v>900</v>
      </c>
      <c r="T269" s="1" t="str">
        <f>IFERROR(__xludf.DUMMYFUNCTION("""COMPUTED_VALUE"""),"NINGUNO")</f>
        <v>NINGUNO</v>
      </c>
      <c r="U269" s="1" t="str">
        <f>IFERROR(__xludf.DUMMYFUNCTION("""COMPUTED_VALUE"""),"FABIOLA")</f>
        <v>FABIOLA</v>
      </c>
      <c r="V269" s="1" t="str">
        <f>IFERROR(__xludf.DUMMYFUNCTION("""COMPUTED_VALUE"""),"Ninguno")</f>
        <v>Ninguno</v>
      </c>
      <c r="W269" s="1" t="str">
        <f>IFERROR(__xludf.DUMMYFUNCTION("""COMPUTED_VALUE"""),"Metodología de enseñanza")</f>
        <v>Metodología de enseñanza</v>
      </c>
      <c r="X269" s="1" t="str">
        <f>IFERROR(__xludf.DUMMYFUNCTION("""COMPUTED_VALUE"""),"-")</f>
        <v>-</v>
      </c>
      <c r="Y269" s="1" t="str">
        <f>IFERROR(__xludf.DUMMYFUNCTION("""COMPUTED_VALUE"""),"PAGO FRACCIONADO")</f>
        <v>PAGO FRACCIONADO</v>
      </c>
      <c r="Z269" s="1">
        <f>IFERROR(__xludf.DUMMYFUNCTION("""COMPUTED_VALUE"""),450.0)</f>
        <v>450</v>
      </c>
      <c r="AA269" s="1" t="str">
        <f>IFERROR(__xludf.DUMMYFUNCTION("""COMPUTED_VALUE"""),"31/12/2024")</f>
        <v>31/12/2024</v>
      </c>
      <c r="AB269" s="1">
        <f>IFERROR(__xludf.DUMMYFUNCTION("""COMPUTED_VALUE"""),0.0)</f>
        <v>0</v>
      </c>
      <c r="AC269" s="1">
        <f>IFERROR(__xludf.DUMMYFUNCTION("""COMPUTED_VALUE"""),0.0)</f>
        <v>0</v>
      </c>
      <c r="AD269" s="1" t="str">
        <f>IFERROR(__xludf.DUMMYFUNCTION("""COMPUTED_VALUE"""),"Fiorella Lanegra")</f>
        <v>Fiorella Lanegra</v>
      </c>
      <c r="AE269" s="1" t="str">
        <f>IFERROR(__xludf.DUMMYFUNCTION("""COMPUTED_VALUE"""),"SENATI")</f>
        <v>SENATI</v>
      </c>
      <c r="AF269" s="1">
        <f>IFERROR(__xludf.DUMMYFUNCTION("""COMPUTED_VALUE"""),2019.0)</f>
        <v>2019</v>
      </c>
      <c r="AG269" s="1">
        <f>IFERROR(__xludf.DUMMYFUNCTION("""COMPUTED_VALUE"""),856898.0)</f>
        <v>856898</v>
      </c>
      <c r="AH269" s="1">
        <f>IFERROR(__xludf.DUMMYFUNCTION("""COMPUTED_VALUE"""),21.0)</f>
        <v>21</v>
      </c>
      <c r="AI269" s="1" t="str">
        <f>IFERROR(__xludf.DUMMYFUNCTION("""COMPUTED_VALUE"""),"0000404733")</f>
        <v>0000404733</v>
      </c>
      <c r="AJ269" s="1">
        <f>IFERROR(__xludf.DUMMYFUNCTION("""COMPUTED_VALUE"""),7.7229157E7)</f>
        <v>77229157</v>
      </c>
      <c r="AK269" s="1">
        <f>IFERROR(__xludf.DUMMYFUNCTION("""COMPUTED_VALUE"""),9.69633878E8)</f>
        <v>969633878</v>
      </c>
      <c r="AL269" s="1" t="str">
        <f>IFERROR(__xludf.DUMMYFUNCTION("""COMPUTED_VALUE"""),"Keysiyactayo06@gmail.com")</f>
        <v>Keysiyactayo06@gmail.com</v>
      </c>
      <c r="AM269" s="1" t="str">
        <f>IFERROR(__xludf.DUMMYFUNCTION("""COMPUTED_VALUE"""),"FEMENINO")</f>
        <v>FEMENINO</v>
      </c>
      <c r="AN269" s="1">
        <f>IFERROR(__xludf.DUMMYFUNCTION("""COMPUTED_VALUE"""),1350.0)</f>
        <v>1350</v>
      </c>
      <c r="AO269" s="1">
        <f>IFERROR(__xludf.DUMMYFUNCTION("""COMPUTED_VALUE"""),0.0)</f>
        <v>0</v>
      </c>
      <c r="AP269" s="1" t="str">
        <f>IFERROR(__xludf.DUMMYFUNCTION("""COMPUTED_VALUE"""),"OUTBOUND")</f>
        <v>OUTBOUND</v>
      </c>
      <c r="AQ269" s="1" t="str">
        <f>IFERROR(__xludf.DUMMYFUNCTION("""COMPUTED_VALUE"""),"OUTBOUND")</f>
        <v>OUTBOUND</v>
      </c>
      <c r="AR269" s="1" t="str">
        <f>IFERROR(__xludf.DUMMYFUNCTION("""COMPUTED_VALUE"""),"HEREDADO")</f>
        <v>HEREDADO</v>
      </c>
      <c r="AS269" s="1"/>
      <c r="AT269" s="2">
        <f>IFERROR(__xludf.DUMMYFUNCTION("""COMPUTED_VALUE"""),45639.0)</f>
        <v>45639</v>
      </c>
      <c r="AU269" s="1">
        <f>IFERROR(__xludf.DUMMYFUNCTION("""COMPUTED_VALUE"""),1.0)</f>
        <v>1</v>
      </c>
      <c r="AV269" s="1" t="str">
        <f>IFERROR(__xludf.DUMMYFUNCTION("""COMPUTED_VALUE"""),"TRASLADO")</f>
        <v>TRASLADO</v>
      </c>
      <c r="AW269" s="1" t="str">
        <f>IFERROR(__xludf.DUMMYFUNCTION("""COMPUTED_VALUE"""),"SI")</f>
        <v>SI</v>
      </c>
      <c r="AX269" s="1"/>
      <c r="AY269" s="1" t="str">
        <f>IFERROR(__xludf.DUMMYFUNCTION("""COMPUTED_VALUE"""),"PAGO COMPLETO")</f>
        <v>PAGO COMPLETO</v>
      </c>
      <c r="AZ269" s="5">
        <f>IFERROR(__xludf.DUMMYFUNCTION("""COMPUTED_VALUE"""),45724.0)</f>
        <v>45724</v>
      </c>
      <c r="BA269" s="1">
        <f>IFERROR(__xludf.DUMMYFUNCTION("""COMPUTED_VALUE"""),450.0)</f>
        <v>450</v>
      </c>
      <c r="BB269" s="1">
        <f>IFERROR(__xludf.DUMMYFUNCTION("""COMPUTED_VALUE"""),0.0)</f>
        <v>0</v>
      </c>
      <c r="BC269" s="4">
        <f>IFERROR(__xludf.DUMMYFUNCTION("""COMPUTED_VALUE"""),0.0)</f>
        <v>0</v>
      </c>
      <c r="BD269" s="4">
        <f>IFERROR(__xludf.DUMMYFUNCTION("""COMPUTED_VALUE"""),0.0)</f>
        <v>0</v>
      </c>
      <c r="BE269" s="1">
        <f>IFERROR(__xludf.DUMMYFUNCTION("""COMPUTED_VALUE"""),12.0)</f>
        <v>12</v>
      </c>
      <c r="BF269" s="6">
        <f>IFERROR(__xludf.DUMMYFUNCTION("""COMPUTED_VALUE"""),1.0)</f>
        <v>1</v>
      </c>
      <c r="BG269" s="1">
        <f>IFERROR(__xludf.DUMMYFUNCTION("""COMPUTED_VALUE"""),1.0)</f>
        <v>1</v>
      </c>
      <c r="BH269" s="1" t="str">
        <f>IFERROR(__xludf.DUMMYFUNCTION("""COMPUTED_VALUE"""),"1")</f>
        <v>1</v>
      </c>
      <c r="BI269" s="4">
        <f>IFERROR(__xludf.DUMMYFUNCTION("""COMPUTED_VALUE"""),900.0)</f>
        <v>900</v>
      </c>
      <c r="BJ269" s="1">
        <f>IFERROR(__xludf.DUMMYFUNCTION("""COMPUTED_VALUE"""),0.0)</f>
        <v>0</v>
      </c>
      <c r="BK269" s="4">
        <f>IFERROR(__xludf.DUMMYFUNCTION("""COMPUTED_VALUE"""),0.0)</f>
        <v>0</v>
      </c>
      <c r="BL269" s="1">
        <f>IFERROR(__xludf.DUMMYFUNCTION("""COMPUTED_VALUE"""),900.0)</f>
        <v>900</v>
      </c>
      <c r="BM269" s="1">
        <f>IFERROR(__xludf.DUMMYFUNCTION("""COMPUTED_VALUE"""),52.0)</f>
        <v>52</v>
      </c>
      <c r="BN269" s="2">
        <f>IFERROR(__xludf.DUMMYFUNCTION("""COMPUTED_VALUE"""),45649.0)</f>
        <v>45649</v>
      </c>
      <c r="BO269" s="1">
        <f>IFERROR(__xludf.DUMMYFUNCTION("""COMPUTED_VALUE"""),12.0)</f>
        <v>12</v>
      </c>
      <c r="BP269" s="1">
        <f>IFERROR(__xludf.DUMMYFUNCTION("""COMPUTED_VALUE"""),2024.0)</f>
        <v>2024</v>
      </c>
    </row>
    <row r="270">
      <c r="A270" s="1">
        <f>IFERROR(__xludf.DUMMYFUNCTION("""COMPUTED_VALUE"""),269.0)</f>
        <v>269</v>
      </c>
      <c r="B270" s="1">
        <f>IFERROR(__xludf.DUMMYFUNCTION("""COMPUTED_VALUE"""),4904125.0)</f>
        <v>4904125</v>
      </c>
      <c r="C270" s="1" t="str">
        <f>IFERROR(__xludf.DUMMYFUNCTION("""COMPUTED_VALUE"""),"2025-1")</f>
        <v>2025-1</v>
      </c>
      <c r="D270" s="1" t="str">
        <f>IFERROR(__xludf.DUMMYFUNCTION("""COMPUTED_VALUE"""),"Admisión Ordinaria")</f>
        <v>Admisión Ordinaria</v>
      </c>
      <c r="E270" s="2">
        <f>IFERROR(__xludf.DUMMYFUNCTION("""COMPUTED_VALUE"""),45653.0)</f>
        <v>45653</v>
      </c>
      <c r="F270" s="1" t="str">
        <f>IFERROR(__xludf.DUMMYFUNCTION("""COMPUTED_VALUE"""),"MARIA DEL CARMEN")</f>
        <v>MARIA DEL CARMEN</v>
      </c>
      <c r="G270" s="1" t="str">
        <f>IFERROR(__xludf.DUMMYFUNCTION("""COMPUTED_VALUE"""),"INGA BRAVO")</f>
        <v>INGA BRAVO</v>
      </c>
      <c r="H270" s="1" t="str">
        <f>IFERROR(__xludf.DUMMYFUNCTION("""COMPUTED_VALUE"""),"Diseño Gráfico Publicitario")</f>
        <v>Diseño Gráfico Publicitario</v>
      </c>
      <c r="I270" s="1" t="str">
        <f>IFERROR(__xludf.DUMMYFUNCTION("""COMPUTED_VALUE"""),"Pago Link")</f>
        <v>Pago Link</v>
      </c>
      <c r="J270" s="1" t="str">
        <f>IFERROR(__xludf.DUMMYFUNCTION("""COMPUTED_VALUE"""),"Diurno")</f>
        <v>Diurno</v>
      </c>
      <c r="K270" s="1" t="str">
        <f>IFERROR(__xludf.DUMMYFUNCTION("""COMPUTED_VALUE"""),"NUEVO")</f>
        <v>NUEVO</v>
      </c>
      <c r="L270" s="1">
        <f>IFERROR(__xludf.DUMMYFUNCTION("""COMPUTED_VALUE"""),0.0)</f>
        <v>0</v>
      </c>
      <c r="M270" s="1">
        <f>IFERROR(__xludf.DUMMYFUNCTION("""COMPUTED_VALUE"""),0.0)</f>
        <v>0</v>
      </c>
      <c r="N270" s="1" t="str">
        <f>IFERROR(__xludf.DUMMYFUNCTION("""COMPUTED_VALUE"""),"BECA")</f>
        <v>BECA</v>
      </c>
      <c r="O270" s="1" t="str">
        <f>IFERROR(__xludf.DUMMYFUNCTION("""COMPUTED_VALUE"""),"BECA CARRERAS CORE")</f>
        <v>BECA CARRERAS CORE</v>
      </c>
      <c r="P270" s="4">
        <f>IFERROR(__xludf.DUMMYFUNCTION("""COMPUTED_VALUE"""),125.0)</f>
        <v>125</v>
      </c>
      <c r="Q270" s="4">
        <f>IFERROR(__xludf.DUMMYFUNCTION("""COMPUTED_VALUE"""),237.5)</f>
        <v>237.5</v>
      </c>
      <c r="R270" s="4">
        <f>IFERROR(__xludf.DUMMYFUNCTION("""COMPUTED_VALUE"""),1600.0)</f>
        <v>1600</v>
      </c>
      <c r="S270" s="4">
        <f>IFERROR(__xludf.DUMMYFUNCTION("""COMPUTED_VALUE"""),1280.0)</f>
        <v>1280</v>
      </c>
      <c r="T270" s="1" t="str">
        <f>IFERROR(__xludf.DUMMYFUNCTION("""COMPUTED_VALUE"""),"NINGUNO")</f>
        <v>NINGUNO</v>
      </c>
      <c r="U270" s="1" t="str">
        <f>IFERROR(__xludf.DUMMYFUNCTION("""COMPUTED_VALUE"""),"FABIOLA")</f>
        <v>FABIOLA</v>
      </c>
      <c r="V270" s="1" t="str">
        <f>IFERROR(__xludf.DUMMYFUNCTION("""COMPUTED_VALUE"""),"Ninguno")</f>
        <v>Ninguno</v>
      </c>
      <c r="W270" s="1" t="str">
        <f>IFERROR(__xludf.DUMMYFUNCTION("""COMPUTED_VALUE"""),"Prestigio de la institución")</f>
        <v>Prestigio de la institución</v>
      </c>
      <c r="X270" s="1" t="str">
        <f>IFERROR(__xludf.DUMMYFUNCTION("""COMPUTED_VALUE"""),"-")</f>
        <v>-</v>
      </c>
      <c r="Y270" s="1" t="str">
        <f>IFERROR(__xludf.DUMMYFUNCTION("""COMPUTED_VALUE"""),"PAGO COMPLETO")</f>
        <v>PAGO COMPLETO</v>
      </c>
      <c r="Z270" s="1">
        <f>IFERROR(__xludf.DUMMYFUNCTION("""COMPUTED_VALUE"""),0.0)</f>
        <v>0</v>
      </c>
      <c r="AA270" s="1" t="str">
        <f>IFERROR(__xludf.DUMMYFUNCTION("""COMPUTED_VALUE"""),"-")</f>
        <v>-</v>
      </c>
      <c r="AB270" s="1">
        <f>IFERROR(__xludf.DUMMYFUNCTION("""COMPUTED_VALUE"""),0.0)</f>
        <v>0</v>
      </c>
      <c r="AC270" s="1">
        <f>IFERROR(__xludf.DUMMYFUNCTION("""COMPUTED_VALUE"""),0.0)</f>
        <v>0</v>
      </c>
      <c r="AD270" s="1" t="str">
        <f>IFERROR(__xludf.DUMMYFUNCTION("""COMPUTED_VALUE"""),"Angelica Iparraguirre")</f>
        <v>Angelica Iparraguirre</v>
      </c>
      <c r="AE270" s="1" t="str">
        <f>IFERROR(__xludf.DUMMYFUNCTION("""COMPUTED_VALUE"""),"0")</f>
        <v>0</v>
      </c>
      <c r="AF270" s="1">
        <f>IFERROR(__xludf.DUMMYFUNCTION("""COMPUTED_VALUE"""),2023.0)</f>
        <v>2023</v>
      </c>
      <c r="AG270" s="1">
        <f>IFERROR(__xludf.DUMMYFUNCTION("""COMPUTED_VALUE"""),1309160.0)</f>
        <v>1309160</v>
      </c>
      <c r="AH270" s="1">
        <f>IFERROR(__xludf.DUMMYFUNCTION("""COMPUTED_VALUE"""),18.0)</f>
        <v>18</v>
      </c>
      <c r="AI270" s="1" t="str">
        <f>IFERROR(__xludf.DUMMYFUNCTION("""COMPUTED_VALUE"""),"0000405589")</f>
        <v>0000405589</v>
      </c>
      <c r="AJ270" s="1">
        <f>IFERROR(__xludf.DUMMYFUNCTION("""COMPUTED_VALUE"""),6.0765646E7)</f>
        <v>60765646</v>
      </c>
      <c r="AK270" s="1">
        <f>IFERROR(__xludf.DUMMYFUNCTION("""COMPUTED_VALUE"""),9.80803556E8)</f>
        <v>980803556</v>
      </c>
      <c r="AL270" s="1" t="str">
        <f>IFERROR(__xludf.DUMMYFUNCTION("""COMPUTED_VALUE"""),"mariadelcarmeningabravo12@gmail.com")</f>
        <v>mariadelcarmeningabravo12@gmail.com</v>
      </c>
      <c r="AM270" s="1" t="str">
        <f>IFERROR(__xludf.DUMMYFUNCTION("""COMPUTED_VALUE"""),"FEMENINO")</f>
        <v>FEMENINO</v>
      </c>
      <c r="AN270" s="1">
        <f>IFERROR(__xludf.DUMMYFUNCTION("""COMPUTED_VALUE"""),1775.0)</f>
        <v>1775</v>
      </c>
      <c r="AO270" s="1">
        <f>IFERROR(__xludf.DUMMYFUNCTION("""COMPUTED_VALUE"""),400.0)</f>
        <v>400</v>
      </c>
      <c r="AP270" s="1" t="str">
        <f>IFERROR(__xludf.DUMMYFUNCTION("""COMPUTED_VALUE"""),"OUTBOUND")</f>
        <v>OUTBOUND</v>
      </c>
      <c r="AQ270" s="1" t="str">
        <f>IFERROR(__xludf.DUMMYFUNCTION("""COMPUTED_VALUE"""),"OUTBOUND")</f>
        <v>OUTBOUND</v>
      </c>
      <c r="AR270" s="1" t="str">
        <f>IFERROR(__xludf.DUMMYFUNCTION("""COMPUTED_VALUE"""),"NUEVO")</f>
        <v>NUEVO</v>
      </c>
      <c r="AS270" s="1"/>
      <c r="AT270" s="2">
        <f>IFERROR(__xludf.DUMMYFUNCTION("""COMPUTED_VALUE"""),45653.0)</f>
        <v>45653</v>
      </c>
      <c r="AU270" s="1">
        <f>IFERROR(__xludf.DUMMYFUNCTION("""COMPUTED_VALUE"""),1.0)</f>
        <v>1</v>
      </c>
      <c r="AV270" s="1" t="str">
        <f>IFERROR(__xludf.DUMMYFUNCTION("""COMPUTED_VALUE"""),"NUEVO")</f>
        <v>NUEVO</v>
      </c>
      <c r="AW270" s="1" t="str">
        <f>IFERROR(__xludf.DUMMYFUNCTION("""COMPUTED_VALUE"""),"SI")</f>
        <v>SI</v>
      </c>
      <c r="AX270" s="1"/>
      <c r="AY270" s="1" t="str">
        <f>IFERROR(__xludf.DUMMYFUNCTION("""COMPUTED_VALUE"""),"PAGO COMPLETO")</f>
        <v>PAGO COMPLETO</v>
      </c>
      <c r="AZ270" s="5">
        <f>IFERROR(__xludf.DUMMYFUNCTION("""COMPUTED_VALUE"""),45653.0)</f>
        <v>45653</v>
      </c>
      <c r="BA270" s="1">
        <f>IFERROR(__xludf.DUMMYFUNCTION("""COMPUTED_VALUE"""),0.0)</f>
        <v>0</v>
      </c>
      <c r="BB270" s="1">
        <f>IFERROR(__xludf.DUMMYFUNCTION("""COMPUTED_VALUE"""),0.0)</f>
        <v>0</v>
      </c>
      <c r="BC270" s="4">
        <f>IFERROR(__xludf.DUMMYFUNCTION("""COMPUTED_VALUE"""),0.0)</f>
        <v>0</v>
      </c>
      <c r="BD270" s="4">
        <f>IFERROR(__xludf.DUMMYFUNCTION("""COMPUTED_VALUE"""),0.0)</f>
        <v>0</v>
      </c>
      <c r="BE270" s="1">
        <f>IFERROR(__xludf.DUMMYFUNCTION("""COMPUTED_VALUE"""),12.0)</f>
        <v>12</v>
      </c>
      <c r="BF270" s="6">
        <f>IFERROR(__xludf.DUMMYFUNCTION("""COMPUTED_VALUE"""),1.0)</f>
        <v>1</v>
      </c>
      <c r="BG270" s="1">
        <f>IFERROR(__xludf.DUMMYFUNCTION("""COMPUTED_VALUE"""),1.0)</f>
        <v>1</v>
      </c>
      <c r="BH270" s="1" t="str">
        <f>IFERROR(__xludf.DUMMYFUNCTION("""COMPUTED_VALUE"""),"0")</f>
        <v>0</v>
      </c>
      <c r="BI270" s="4">
        <f>IFERROR(__xludf.DUMMYFUNCTION("""COMPUTED_VALUE"""),0.0)</f>
        <v>0</v>
      </c>
      <c r="BJ270" s="1">
        <f>IFERROR(__xludf.DUMMYFUNCTION("""COMPUTED_VALUE"""),0.0)</f>
        <v>0</v>
      </c>
      <c r="BK270" s="4">
        <f>IFERROR(__xludf.DUMMYFUNCTION("""COMPUTED_VALUE"""),0.0)</f>
        <v>0</v>
      </c>
      <c r="BL270" s="1">
        <f>IFERROR(__xludf.DUMMYFUNCTION("""COMPUTED_VALUE"""),1280.0)</f>
        <v>1280</v>
      </c>
      <c r="BM270" s="1">
        <f>IFERROR(__xludf.DUMMYFUNCTION("""COMPUTED_VALUE"""),52.0)</f>
        <v>52</v>
      </c>
      <c r="BN270" s="2">
        <f>IFERROR(__xludf.DUMMYFUNCTION("""COMPUTED_VALUE"""),45649.0)</f>
        <v>45649</v>
      </c>
      <c r="BO270" s="1">
        <f>IFERROR(__xludf.DUMMYFUNCTION("""COMPUTED_VALUE"""),12.0)</f>
        <v>12</v>
      </c>
      <c r="BP270" s="1">
        <f>IFERROR(__xludf.DUMMYFUNCTION("""COMPUTED_VALUE"""),2024.0)</f>
        <v>2024</v>
      </c>
    </row>
    <row r="271">
      <c r="A271" s="1">
        <f>IFERROR(__xludf.DUMMYFUNCTION("""COMPUTED_VALUE"""),270.0)</f>
        <v>270</v>
      </c>
      <c r="B271" s="1">
        <f>IFERROR(__xludf.DUMMYFUNCTION("""COMPUTED_VALUE"""),4703453.0)</f>
        <v>4703453</v>
      </c>
      <c r="C271" s="1" t="str">
        <f>IFERROR(__xludf.DUMMYFUNCTION("""COMPUTED_VALUE"""),"2025-1")</f>
        <v>2025-1</v>
      </c>
      <c r="D271" s="1" t="str">
        <f>IFERROR(__xludf.DUMMYFUNCTION("""COMPUTED_VALUE"""),"Admisión de Alto Rendimiento")</f>
        <v>Admisión de Alto Rendimiento</v>
      </c>
      <c r="E271" s="2">
        <f>IFERROR(__xludf.DUMMYFUNCTION("""COMPUTED_VALUE"""),45653.0)</f>
        <v>45653</v>
      </c>
      <c r="F271" s="1" t="str">
        <f>IFERROR(__xludf.DUMMYFUNCTION("""COMPUTED_VALUE"""),"ANGELES IVANNA ")</f>
        <v>ANGELES IVANNA </v>
      </c>
      <c r="G271" s="1" t="str">
        <f>IFERROR(__xludf.DUMMYFUNCTION("""COMPUTED_VALUE"""),"DANCE HERNANDEZ")</f>
        <v>DANCE HERNANDEZ</v>
      </c>
      <c r="H271" s="1" t="str">
        <f>IFERROR(__xludf.DUMMYFUNCTION("""COMPUTED_VALUE"""),"Diseño Gráfico Publicitario")</f>
        <v>Diseño Gráfico Publicitario</v>
      </c>
      <c r="I271" s="1" t="str">
        <f>IFERROR(__xludf.DUMMYFUNCTION("""COMPUTED_VALUE"""),"Pago Link")</f>
        <v>Pago Link</v>
      </c>
      <c r="J271" s="1" t="str">
        <f>IFERROR(__xludf.DUMMYFUNCTION("""COMPUTED_VALUE"""),"Diurno")</f>
        <v>Diurno</v>
      </c>
      <c r="K271" s="1" t="str">
        <f>IFERROR(__xludf.DUMMYFUNCTION("""COMPUTED_VALUE"""),"NUEVO")</f>
        <v>NUEVO</v>
      </c>
      <c r="L271" s="1">
        <f>IFERROR(__xludf.DUMMYFUNCTION("""COMPUTED_VALUE"""),0.0)</f>
        <v>0</v>
      </c>
      <c r="M271" s="1">
        <f>IFERROR(__xludf.DUMMYFUNCTION("""COMPUTED_VALUE"""),0.0)</f>
        <v>0</v>
      </c>
      <c r="N271" s="1" t="str">
        <f>IFERROR(__xludf.DUMMYFUNCTION("""COMPUTED_VALUE"""),"BECA")</f>
        <v>BECA</v>
      </c>
      <c r="O271" s="1" t="str">
        <f>IFERROR(__xludf.DUMMYFUNCTION("""COMPUTED_VALUE"""),"BECA CARRERAS CORE")</f>
        <v>BECA CARRERAS CORE</v>
      </c>
      <c r="P271" s="4">
        <f>IFERROR(__xludf.DUMMYFUNCTION("""COMPUTED_VALUE"""),0.0)</f>
        <v>0</v>
      </c>
      <c r="Q271" s="4">
        <f>IFERROR(__xludf.DUMMYFUNCTION("""COMPUTED_VALUE"""),237.5)</f>
        <v>237.5</v>
      </c>
      <c r="R271" s="4">
        <f>IFERROR(__xludf.DUMMYFUNCTION("""COMPUTED_VALUE"""),1150.0)</f>
        <v>1150</v>
      </c>
      <c r="S271" s="4">
        <f>IFERROR(__xludf.DUMMYFUNCTION("""COMPUTED_VALUE"""),850.0)</f>
        <v>850</v>
      </c>
      <c r="T271" s="1" t="str">
        <f>IFERROR(__xludf.DUMMYFUNCTION("""COMPUTED_VALUE"""),"Palanca 700 - Refirio")</f>
        <v>Palanca 700 - Refirio</v>
      </c>
      <c r="U271" s="1" t="str">
        <f>IFERROR(__xludf.DUMMYFUNCTION("""COMPUTED_VALUE"""),"RODRIGO")</f>
        <v>RODRIGO</v>
      </c>
      <c r="V271" s="1" t="str">
        <f>IFERROR(__xludf.DUMMYFUNCTION("""COMPUTED_VALUE"""),"Ninguno")</f>
        <v>Ninguno</v>
      </c>
      <c r="W271" s="1" t="str">
        <f>IFERROR(__xludf.DUMMYFUNCTION("""COMPUTED_VALUE"""),"Metodología de enseñanza")</f>
        <v>Metodología de enseñanza</v>
      </c>
      <c r="X271" s="1" t="str">
        <f>IFERROR(__xludf.DUMMYFUNCTION("""COMPUTED_VALUE"""),"pago 700 primera cuota luego beca de 850/ beneficio del 50% en la ultima boleta por ser referida de 3257372")</f>
        <v>pago 700 primera cuota luego beca de 850/ beneficio del 50% en la ultima boleta por ser referida de 3257372</v>
      </c>
      <c r="Y271" s="1" t="str">
        <f>IFERROR(__xludf.DUMMYFUNCTION("""COMPUTED_VALUE"""),"PAGO FRACCIONADO")</f>
        <v>PAGO FRACCIONADO</v>
      </c>
      <c r="Z271" s="1">
        <f>IFERROR(__xludf.DUMMYFUNCTION("""COMPUTED_VALUE"""),700.0)</f>
        <v>700</v>
      </c>
      <c r="AA271" s="1" t="str">
        <f>IFERROR(__xludf.DUMMYFUNCTION("""COMPUTED_VALUE"""),"11/01/2025")</f>
        <v>11/01/2025</v>
      </c>
      <c r="AB271" s="1">
        <f>IFERROR(__xludf.DUMMYFUNCTION("""COMPUTED_VALUE"""),0.0)</f>
        <v>0</v>
      </c>
      <c r="AC271" s="1">
        <f>IFERROR(__xludf.DUMMYFUNCTION("""COMPUTED_VALUE"""),0.0)</f>
        <v>0</v>
      </c>
      <c r="AD271" s="1" t="str">
        <f>IFERROR(__xludf.DUMMYFUNCTION("""COMPUTED_VALUE"""),"Fiorella Lanegra")</f>
        <v>Fiorella Lanegra</v>
      </c>
      <c r="AE271" s="1" t="str">
        <f>IFERROR(__xludf.DUMMYFUNCTION("""COMPUTED_VALUE"""),"0")</f>
        <v>0</v>
      </c>
      <c r="AF271" s="1">
        <f>IFERROR(__xludf.DUMMYFUNCTION("""COMPUTED_VALUE"""),2024.0)</f>
        <v>2024</v>
      </c>
      <c r="AG271" s="1">
        <f>IFERROR(__xludf.DUMMYFUNCTION("""COMPUTED_VALUE"""),1082874.0)</f>
        <v>1082874</v>
      </c>
      <c r="AH271" s="1">
        <f>IFERROR(__xludf.DUMMYFUNCTION("""COMPUTED_VALUE"""),16.0)</f>
        <v>16</v>
      </c>
      <c r="AI271" s="1" t="str">
        <f>IFERROR(__xludf.DUMMYFUNCTION("""COMPUTED_VALUE"""),"0000405699")</f>
        <v>0000405699</v>
      </c>
      <c r="AJ271" s="1">
        <f>IFERROR(__xludf.DUMMYFUNCTION("""COMPUTED_VALUE"""),7.1177047E7)</f>
        <v>71177047</v>
      </c>
      <c r="AK271" s="1">
        <f>IFERROR(__xludf.DUMMYFUNCTION("""COMPUTED_VALUE"""),9.03173573E8)</f>
        <v>903173573</v>
      </c>
      <c r="AL271" s="1" t="str">
        <f>IFERROR(__xludf.DUMMYFUNCTION("""COMPUTED_VALUE"""),"angelesfz15.2003@gmail.com")</f>
        <v>angelesfz15.2003@gmail.com</v>
      </c>
      <c r="AM271" s="1" t="str">
        <f>IFERROR(__xludf.DUMMYFUNCTION("""COMPUTED_VALUE"""),"FEMENINO")</f>
        <v>FEMENINO</v>
      </c>
      <c r="AN271" s="1">
        <f>IFERROR(__xludf.DUMMYFUNCTION("""COMPUTED_VALUE"""),1150.0)</f>
        <v>1150</v>
      </c>
      <c r="AO271" s="1">
        <f>IFERROR(__xludf.DUMMYFUNCTION("""COMPUTED_VALUE"""),480.0)</f>
        <v>480</v>
      </c>
      <c r="AP271" s="1" t="str">
        <f>IFERROR(__xludf.DUMMYFUNCTION("""COMPUTED_VALUE"""),"COLEGIOS")</f>
        <v>COLEGIOS</v>
      </c>
      <c r="AQ271" s="1" t="str">
        <f>IFERROR(__xludf.DUMMYFUNCTION("""COMPUTED_VALUE"""),"COLEGIOS")</f>
        <v>COLEGIOS</v>
      </c>
      <c r="AR271" s="1" t="str">
        <f>IFERROR(__xludf.DUMMYFUNCTION("""COMPUTED_VALUE"""),"NUEVO")</f>
        <v>NUEVO</v>
      </c>
      <c r="AS271" s="1"/>
      <c r="AT271" s="2">
        <f>IFERROR(__xludf.DUMMYFUNCTION("""COMPUTED_VALUE"""),45562.0)</f>
        <v>45562</v>
      </c>
      <c r="AU271" s="1">
        <f>IFERROR(__xludf.DUMMYFUNCTION("""COMPUTED_VALUE"""),1.0)</f>
        <v>1</v>
      </c>
      <c r="AV271" s="1" t="str">
        <f>IFERROR(__xludf.DUMMYFUNCTION("""COMPUTED_VALUE"""),"NUEVO")</f>
        <v>NUEVO</v>
      </c>
      <c r="AW271" s="1" t="str">
        <f>IFERROR(__xludf.DUMMYFUNCTION("""COMPUTED_VALUE"""),"SI")</f>
        <v>SI</v>
      </c>
      <c r="AX271" s="1"/>
      <c r="AY271" s="1" t="str">
        <f>IFERROR(__xludf.DUMMYFUNCTION("""COMPUTED_VALUE"""),"PAGO COMPLETO")</f>
        <v>PAGO COMPLETO</v>
      </c>
      <c r="AZ271" s="5">
        <f>IFERROR(__xludf.DUMMYFUNCTION("""COMPUTED_VALUE"""),45667.0)</f>
        <v>45667</v>
      </c>
      <c r="BA271" s="1">
        <f>IFERROR(__xludf.DUMMYFUNCTION("""COMPUTED_VALUE"""),237.5)</f>
        <v>237.5</v>
      </c>
      <c r="BB271" s="1">
        <f>IFERROR(__xludf.DUMMYFUNCTION("""COMPUTED_VALUE"""),0.0)</f>
        <v>0</v>
      </c>
      <c r="BC271" s="4">
        <f>IFERROR(__xludf.DUMMYFUNCTION("""COMPUTED_VALUE"""),0.0)</f>
        <v>0</v>
      </c>
      <c r="BD271" s="4">
        <f>IFERROR(__xludf.DUMMYFUNCTION("""COMPUTED_VALUE"""),150.0)</f>
        <v>150</v>
      </c>
      <c r="BE271" s="1">
        <f>IFERROR(__xludf.DUMMYFUNCTION("""COMPUTED_VALUE"""),12.0)</f>
        <v>12</v>
      </c>
      <c r="BF271" s="6">
        <f>IFERROR(__xludf.DUMMYFUNCTION("""COMPUTED_VALUE"""),1.0)</f>
        <v>1</v>
      </c>
      <c r="BG271" s="1">
        <f>IFERROR(__xludf.DUMMYFUNCTION("""COMPUTED_VALUE"""),1.0)</f>
        <v>1</v>
      </c>
      <c r="BH271" s="1" t="str">
        <f>IFERROR(__xludf.DUMMYFUNCTION("""COMPUTED_VALUE"""),"0")</f>
        <v>0</v>
      </c>
      <c r="BI271" s="4">
        <f>IFERROR(__xludf.DUMMYFUNCTION("""COMPUTED_VALUE"""),1087.5)</f>
        <v>1087.5</v>
      </c>
      <c r="BJ271" s="1">
        <f>IFERROR(__xludf.DUMMYFUNCTION("""COMPUTED_VALUE"""),0.0)</f>
        <v>0</v>
      </c>
      <c r="BK271" s="4">
        <f>IFERROR(__xludf.DUMMYFUNCTION("""COMPUTED_VALUE"""),1000.0)</f>
        <v>1000</v>
      </c>
      <c r="BL271" s="1">
        <f>IFERROR(__xludf.DUMMYFUNCTION("""COMPUTED_VALUE"""),650.0)</f>
        <v>650</v>
      </c>
      <c r="BM271" s="1">
        <f>IFERROR(__xludf.DUMMYFUNCTION("""COMPUTED_VALUE"""),52.0)</f>
        <v>52</v>
      </c>
      <c r="BN271" s="2">
        <f>IFERROR(__xludf.DUMMYFUNCTION("""COMPUTED_VALUE"""),45649.0)</f>
        <v>45649</v>
      </c>
      <c r="BO271" s="1">
        <f>IFERROR(__xludf.DUMMYFUNCTION("""COMPUTED_VALUE"""),12.0)</f>
        <v>12</v>
      </c>
      <c r="BP271" s="1">
        <f>IFERROR(__xludf.DUMMYFUNCTION("""COMPUTED_VALUE"""),2024.0)</f>
        <v>2024</v>
      </c>
    </row>
    <row r="272">
      <c r="A272" s="1">
        <f>IFERROR(__xludf.DUMMYFUNCTION("""COMPUTED_VALUE"""),271.0)</f>
        <v>271</v>
      </c>
      <c r="B272" s="1">
        <f>IFERROR(__xludf.DUMMYFUNCTION("""COMPUTED_VALUE"""),2454778.0)</f>
        <v>2454778</v>
      </c>
      <c r="C272" s="1" t="str">
        <f>IFERROR(__xludf.DUMMYFUNCTION("""COMPUTED_VALUE"""),"2025-1")</f>
        <v>2025-1</v>
      </c>
      <c r="D272" s="1" t="str">
        <f>IFERROR(__xludf.DUMMYFUNCTION("""COMPUTED_VALUE"""),"Admisión de Alto Rendimiento")</f>
        <v>Admisión de Alto Rendimiento</v>
      </c>
      <c r="E272" s="2">
        <f>IFERROR(__xludf.DUMMYFUNCTION("""COMPUTED_VALUE"""),45653.0)</f>
        <v>45653</v>
      </c>
      <c r="F272" s="1" t="str">
        <f>IFERROR(__xludf.DUMMYFUNCTION("""COMPUTED_VALUE"""),"LETICIA BELEN")</f>
        <v>LETICIA BELEN</v>
      </c>
      <c r="G272" s="1" t="str">
        <f>IFERROR(__xludf.DUMMYFUNCTION("""COMPUTED_VALUE"""),"TACURI PALOMINO")</f>
        <v>TACURI PALOMINO</v>
      </c>
      <c r="H272" s="1" t="str">
        <f>IFERROR(__xludf.DUMMYFUNCTION("""COMPUTED_VALUE"""),"Arquitectura")</f>
        <v>Arquitectura</v>
      </c>
      <c r="I272" s="1" t="str">
        <f>IFERROR(__xludf.DUMMYFUNCTION("""COMPUTED_VALUE"""),"Pago Link")</f>
        <v>Pago Link</v>
      </c>
      <c r="J272" s="1" t="str">
        <f>IFERROR(__xludf.DUMMYFUNCTION("""COMPUTED_VALUE"""),"Diurno")</f>
        <v>Diurno</v>
      </c>
      <c r="K272" s="1" t="str">
        <f>IFERROR(__xludf.DUMMYFUNCTION("""COMPUTED_VALUE"""),"NUEVO")</f>
        <v>NUEVO</v>
      </c>
      <c r="L272" s="1">
        <f>IFERROR(__xludf.DUMMYFUNCTION("""COMPUTED_VALUE"""),0.0)</f>
        <v>0</v>
      </c>
      <c r="M272" s="1">
        <f>IFERROR(__xludf.DUMMYFUNCTION("""COMPUTED_VALUE"""),0.0)</f>
        <v>0</v>
      </c>
      <c r="N272" s="1" t="str">
        <f>IFERROR(__xludf.DUMMYFUNCTION("""COMPUTED_VALUE"""),"BECA")</f>
        <v>BECA</v>
      </c>
      <c r="O272" s="1" t="str">
        <f>IFERROR(__xludf.DUMMYFUNCTION("""COMPUTED_VALUE"""),"BECA CARRERAS CORE")</f>
        <v>BECA CARRERAS CORE</v>
      </c>
      <c r="P272" s="4">
        <f>IFERROR(__xludf.DUMMYFUNCTION("""COMPUTED_VALUE"""),0.0)</f>
        <v>0</v>
      </c>
      <c r="Q272" s="4">
        <f>IFERROR(__xludf.DUMMYFUNCTION("""COMPUTED_VALUE"""),0.0)</f>
        <v>0</v>
      </c>
      <c r="R272" s="4">
        <f>IFERROR(__xludf.DUMMYFUNCTION("""COMPUTED_VALUE"""),2300.0)</f>
        <v>2300</v>
      </c>
      <c r="S272" s="4">
        <f>IFERROR(__xludf.DUMMYFUNCTION("""COMPUTED_VALUE"""),1840.0)</f>
        <v>1840</v>
      </c>
      <c r="T272" s="1" t="str">
        <f>IFERROR(__xludf.DUMMYFUNCTION("""COMPUTED_VALUE"""),"NINGUNO")</f>
        <v>NINGUNO</v>
      </c>
      <c r="U272" s="1" t="str">
        <f>IFERROR(__xludf.DUMMYFUNCTION("""COMPUTED_VALUE"""),"RODRIGO")</f>
        <v>RODRIGO</v>
      </c>
      <c r="V272" s="1" t="str">
        <f>IFERROR(__xludf.DUMMYFUNCTION("""COMPUTED_VALUE"""),"Ninguno")</f>
        <v>Ninguno</v>
      </c>
      <c r="W272" s="1" t="str">
        <f>IFERROR(__xludf.DUMMYFUNCTION("""COMPUTED_VALUE"""),"Metodología de enseñanza")</f>
        <v>Metodología de enseñanza</v>
      </c>
      <c r="X272" s="1" t="str">
        <f>IFERROR(__xludf.DUMMYFUNCTION("""COMPUTED_VALUE"""),"APROBACION  RODRIGO")</f>
        <v>APROBACION  RODRIGO</v>
      </c>
      <c r="Y272" s="1" t="str">
        <f>IFERROR(__xludf.DUMMYFUNCTION("""COMPUTED_VALUE"""),"PAGO FRACCIONADO")</f>
        <v>PAGO FRACCIONADO</v>
      </c>
      <c r="Z272" s="1">
        <f>IFERROR(__xludf.DUMMYFUNCTION("""COMPUTED_VALUE"""),920.0)</f>
        <v>920</v>
      </c>
      <c r="AA272" s="1" t="str">
        <f>IFERROR(__xludf.DUMMYFUNCTION("""COMPUTED_VALUE"""),"30/12/2024")</f>
        <v>30/12/2024</v>
      </c>
      <c r="AB272" s="1">
        <f>IFERROR(__xludf.DUMMYFUNCTION("""COMPUTED_VALUE"""),0.0)</f>
        <v>0</v>
      </c>
      <c r="AC272" s="1">
        <f>IFERROR(__xludf.DUMMYFUNCTION("""COMPUTED_VALUE"""),0.0)</f>
        <v>0</v>
      </c>
      <c r="AD272" s="1" t="str">
        <f>IFERROR(__xludf.DUMMYFUNCTION("""COMPUTED_VALUE"""),"Ingrid Guillermo Rivera")</f>
        <v>Ingrid Guillermo Rivera</v>
      </c>
      <c r="AE272" s="1" t="str">
        <f>IFERROR(__xludf.DUMMYFUNCTION("""COMPUTED_VALUE"""),"0")</f>
        <v>0</v>
      </c>
      <c r="AF272" s="1">
        <f>IFERROR(__xludf.DUMMYFUNCTION("""COMPUTED_VALUE"""),2024.0)</f>
        <v>2024</v>
      </c>
      <c r="AG272" s="1">
        <f>IFERROR(__xludf.DUMMYFUNCTION("""COMPUTED_VALUE"""),640151.0)</f>
        <v>640151</v>
      </c>
      <c r="AH272" s="1">
        <f>IFERROR(__xludf.DUMMYFUNCTION("""COMPUTED_VALUE"""),17.0)</f>
        <v>17</v>
      </c>
      <c r="AI272" s="1" t="str">
        <f>IFERROR(__xludf.DUMMYFUNCTION("""COMPUTED_VALUE"""),"0000405719")</f>
        <v>0000405719</v>
      </c>
      <c r="AJ272" s="1">
        <f>IFERROR(__xludf.DUMMYFUNCTION("""COMPUTED_VALUE"""),7.0627673E7)</f>
        <v>70627673</v>
      </c>
      <c r="AK272" s="1">
        <f>IFERROR(__xludf.DUMMYFUNCTION("""COMPUTED_VALUE"""),9.57657996E8)</f>
        <v>957657996</v>
      </c>
      <c r="AL272" s="1" t="str">
        <f>IFERROR(__xludf.DUMMYFUNCTION("""COMPUTED_VALUE"""),"leticia.tacuri@gmail.com")</f>
        <v>leticia.tacuri@gmail.com</v>
      </c>
      <c r="AM272" s="1" t="str">
        <f>IFERROR(__xludf.DUMMYFUNCTION("""COMPUTED_VALUE"""),"FEMENINO")</f>
        <v>FEMENINO</v>
      </c>
      <c r="AN272" s="1">
        <f>IFERROR(__xludf.DUMMYFUNCTION("""COMPUTED_VALUE"""),1350.0)</f>
        <v>1350</v>
      </c>
      <c r="AO272" s="1">
        <f>IFERROR(__xludf.DUMMYFUNCTION("""COMPUTED_VALUE"""),2200.0)</f>
        <v>2200</v>
      </c>
      <c r="AP272" s="1" t="str">
        <f>IFERROR(__xludf.DUMMYFUNCTION("""COMPUTED_VALUE"""),"OUTBOUND")</f>
        <v>OUTBOUND</v>
      </c>
      <c r="AQ272" s="1" t="str">
        <f>IFERROR(__xludf.DUMMYFUNCTION("""COMPUTED_VALUE"""),"OUTBOUND")</f>
        <v>OUTBOUND</v>
      </c>
      <c r="AR272" s="1" t="str">
        <f>IFERROR(__xludf.DUMMYFUNCTION("""COMPUTED_VALUE"""),"NUEVO")</f>
        <v>NUEVO</v>
      </c>
      <c r="AS272" s="1"/>
      <c r="AT272" s="2">
        <f>IFERROR(__xludf.DUMMYFUNCTION("""COMPUTED_VALUE"""),45653.0)</f>
        <v>45653</v>
      </c>
      <c r="AU272" s="1">
        <f>IFERROR(__xludf.DUMMYFUNCTION("""COMPUTED_VALUE"""),1.0)</f>
        <v>1</v>
      </c>
      <c r="AV272" s="1" t="str">
        <f>IFERROR(__xludf.DUMMYFUNCTION("""COMPUTED_VALUE"""),"NUEVO")</f>
        <v>NUEVO</v>
      </c>
      <c r="AW272" s="1" t="str">
        <f>IFERROR(__xludf.DUMMYFUNCTION("""COMPUTED_VALUE"""),"SI")</f>
        <v>SI</v>
      </c>
      <c r="AX272" s="1"/>
      <c r="AY272" s="1" t="str">
        <f>IFERROR(__xludf.DUMMYFUNCTION("""COMPUTED_VALUE"""),"PAGO COMPLETO")</f>
        <v>PAGO COMPLETO</v>
      </c>
      <c r="AZ272" s="5">
        <f>IFERROR(__xludf.DUMMYFUNCTION("""COMPUTED_VALUE"""),45656.0)</f>
        <v>45656</v>
      </c>
      <c r="BA272" s="1">
        <f>IFERROR(__xludf.DUMMYFUNCTION("""COMPUTED_VALUE"""),920.0)</f>
        <v>920</v>
      </c>
      <c r="BB272" s="1">
        <f>IFERROR(__xludf.DUMMYFUNCTION("""COMPUTED_VALUE"""),0.0)</f>
        <v>0</v>
      </c>
      <c r="BC272" s="4">
        <f>IFERROR(__xludf.DUMMYFUNCTION("""COMPUTED_VALUE"""),0.0)</f>
        <v>0</v>
      </c>
      <c r="BD272" s="4">
        <f>IFERROR(__xludf.DUMMYFUNCTION("""COMPUTED_VALUE"""),0.0)</f>
        <v>0</v>
      </c>
      <c r="BE272" s="1">
        <f>IFERROR(__xludf.DUMMYFUNCTION("""COMPUTED_VALUE"""),12.0)</f>
        <v>12</v>
      </c>
      <c r="BF272" s="6">
        <f>IFERROR(__xludf.DUMMYFUNCTION("""COMPUTED_VALUE"""),1.0)</f>
        <v>1</v>
      </c>
      <c r="BG272" s="1">
        <f>IFERROR(__xludf.DUMMYFUNCTION("""COMPUTED_VALUE"""),1.0)</f>
        <v>1</v>
      </c>
      <c r="BH272" s="1" t="str">
        <f>IFERROR(__xludf.DUMMYFUNCTION("""COMPUTED_VALUE"""),"0")</f>
        <v>0</v>
      </c>
      <c r="BI272" s="4">
        <f>IFERROR(__xludf.DUMMYFUNCTION("""COMPUTED_VALUE"""),1840.0)</f>
        <v>1840</v>
      </c>
      <c r="BJ272" s="1">
        <f>IFERROR(__xludf.DUMMYFUNCTION("""COMPUTED_VALUE"""),0.0)</f>
        <v>0</v>
      </c>
      <c r="BK272" s="4">
        <f>IFERROR(__xludf.DUMMYFUNCTION("""COMPUTED_VALUE"""),0.0)</f>
        <v>0</v>
      </c>
      <c r="BL272" s="1">
        <f>IFERROR(__xludf.DUMMYFUNCTION("""COMPUTED_VALUE"""),1840.0)</f>
        <v>1840</v>
      </c>
      <c r="BM272" s="1">
        <f>IFERROR(__xludf.DUMMYFUNCTION("""COMPUTED_VALUE"""),52.0)</f>
        <v>52</v>
      </c>
      <c r="BN272" s="2">
        <f>IFERROR(__xludf.DUMMYFUNCTION("""COMPUTED_VALUE"""),45649.0)</f>
        <v>45649</v>
      </c>
      <c r="BO272" s="1">
        <f>IFERROR(__xludf.DUMMYFUNCTION("""COMPUTED_VALUE"""),12.0)</f>
        <v>12</v>
      </c>
      <c r="BP272" s="1">
        <f>IFERROR(__xludf.DUMMYFUNCTION("""COMPUTED_VALUE"""),2024.0)</f>
        <v>2024</v>
      </c>
    </row>
    <row r="273">
      <c r="A273" s="1">
        <f>IFERROR(__xludf.DUMMYFUNCTION("""COMPUTED_VALUE"""),272.0)</f>
        <v>272</v>
      </c>
      <c r="B273" s="1">
        <f>IFERROR(__xludf.DUMMYFUNCTION("""COMPUTED_VALUE"""),4787329.0)</f>
        <v>4787329</v>
      </c>
      <c r="C273" s="1" t="str">
        <f>IFERROR(__xludf.DUMMYFUNCTION("""COMPUTED_VALUE"""),"2025-1")</f>
        <v>2025-1</v>
      </c>
      <c r="D273" s="1" t="str">
        <f>IFERROR(__xludf.DUMMYFUNCTION("""COMPUTED_VALUE"""),"Admisión de Alto Rendimiento")</f>
        <v>Admisión de Alto Rendimiento</v>
      </c>
      <c r="E273" s="2">
        <f>IFERROR(__xludf.DUMMYFUNCTION("""COMPUTED_VALUE"""),45653.0)</f>
        <v>45653</v>
      </c>
      <c r="F273" s="1" t="str">
        <f>IFERROR(__xludf.DUMMYFUNCTION("""COMPUTED_VALUE"""),"GERARDO MATIAS ")</f>
        <v>GERARDO MATIAS </v>
      </c>
      <c r="G273" s="1" t="str">
        <f>IFERROR(__xludf.DUMMYFUNCTION("""COMPUTED_VALUE"""),"POMA ANAYPOMA")</f>
        <v>POMA ANAYPOMA</v>
      </c>
      <c r="H273" s="1" t="str">
        <f>IFERROR(__xludf.DUMMYFUNCTION("""COMPUTED_VALUE"""),"Administración")</f>
        <v>Administración</v>
      </c>
      <c r="I273" s="1" t="str">
        <f>IFERROR(__xludf.DUMMYFUNCTION("""COMPUTED_VALUE"""),"CARGO")</f>
        <v>CARGO</v>
      </c>
      <c r="J273" s="1" t="str">
        <f>IFERROR(__xludf.DUMMYFUNCTION("""COMPUTED_VALUE"""),"Diurno")</f>
        <v>Diurno</v>
      </c>
      <c r="K273" s="1" t="str">
        <f>IFERROR(__xludf.DUMMYFUNCTION("""COMPUTED_VALUE"""),"NUEVO")</f>
        <v>NUEVO</v>
      </c>
      <c r="L273" s="1">
        <f>IFERROR(__xludf.DUMMYFUNCTION("""COMPUTED_VALUE"""),0.0)</f>
        <v>0</v>
      </c>
      <c r="M273" s="1">
        <f>IFERROR(__xludf.DUMMYFUNCTION("""COMPUTED_VALUE"""),0.0)</f>
        <v>0</v>
      </c>
      <c r="N273" s="1" t="str">
        <f>IFERROR(__xludf.DUMMYFUNCTION("""COMPUTED_VALUE"""),"BECA")</f>
        <v>BECA</v>
      </c>
      <c r="O273" s="1" t="str">
        <f>IFERROR(__xludf.DUMMYFUNCTION("""COMPUTED_VALUE"""),"BECA CARRERAS NUEVAS")</f>
        <v>BECA CARRERAS NUEVAS</v>
      </c>
      <c r="P273" s="4">
        <f>IFERROR(__xludf.DUMMYFUNCTION("""COMPUTED_VALUE"""),0.0)</f>
        <v>0</v>
      </c>
      <c r="Q273" s="4">
        <f>IFERROR(__xludf.DUMMYFUNCTION("""COMPUTED_VALUE"""),0.0)</f>
        <v>0</v>
      </c>
      <c r="R273" s="4">
        <f>IFERROR(__xludf.DUMMYFUNCTION("""COMPUTED_VALUE"""),1150.0)</f>
        <v>1150</v>
      </c>
      <c r="S273" s="4">
        <f>IFERROR(__xludf.DUMMYFUNCTION("""COMPUTED_VALUE"""),850.0)</f>
        <v>850</v>
      </c>
      <c r="T273" s="1" t="str">
        <f>IFERROR(__xludf.DUMMYFUNCTION("""COMPUTED_VALUE"""),"PALANCA 700")</f>
        <v>PALANCA 700</v>
      </c>
      <c r="U273" s="1" t="str">
        <f>IFERROR(__xludf.DUMMYFUNCTION("""COMPUTED_VALUE"""),"RODRIGO")</f>
        <v>RODRIGO</v>
      </c>
      <c r="V273" s="1" t="str">
        <f>IFERROR(__xludf.DUMMYFUNCTION("""COMPUTED_VALUE"""),"Ninguno")</f>
        <v>Ninguno</v>
      </c>
      <c r="W273" s="1" t="str">
        <f>IFERROR(__xludf.DUMMYFUNCTION("""COMPUTED_VALUE"""),"Malla curricular")</f>
        <v>Malla curricular</v>
      </c>
      <c r="X273" s="1" t="str">
        <f>IFERROR(__xludf.DUMMYFUNCTION("""COMPUTED_VALUE"""),"primera cuota de 700, luego beca de 850")</f>
        <v>primera cuota de 700, luego beca de 850</v>
      </c>
      <c r="Y273" s="1" t="str">
        <f>IFERROR(__xludf.DUMMYFUNCTION("""COMPUTED_VALUE"""),"PAGO FRACCIONADO")</f>
        <v>PAGO FRACCIONADO</v>
      </c>
      <c r="Z273" s="1">
        <f>IFERROR(__xludf.DUMMYFUNCTION("""COMPUTED_VALUE"""),350.0)</f>
        <v>350</v>
      </c>
      <c r="AA273" s="1" t="str">
        <f>IFERROR(__xludf.DUMMYFUNCTION("""COMPUTED_VALUE"""),"28/12/2024")</f>
        <v>28/12/2024</v>
      </c>
      <c r="AB273" s="1">
        <f>IFERROR(__xludf.DUMMYFUNCTION("""COMPUTED_VALUE"""),0.0)</f>
        <v>0</v>
      </c>
      <c r="AC273" s="1">
        <f>IFERROR(__xludf.DUMMYFUNCTION("""COMPUTED_VALUE"""),0.0)</f>
        <v>0</v>
      </c>
      <c r="AD273" s="1" t="str">
        <f>IFERROR(__xludf.DUMMYFUNCTION("""COMPUTED_VALUE"""),"Cinthia Mariella Orosco")</f>
        <v>Cinthia Mariella Orosco</v>
      </c>
      <c r="AE273" s="1" t="str">
        <f>IFERROR(__xludf.DUMMYFUNCTION("""COMPUTED_VALUE"""),"0")</f>
        <v>0</v>
      </c>
      <c r="AF273" s="1">
        <f>IFERROR(__xludf.DUMMYFUNCTION("""COMPUTED_VALUE"""),2024.0)</f>
        <v>2024</v>
      </c>
      <c r="AG273" s="1">
        <f>IFERROR(__xludf.DUMMYFUNCTION("""COMPUTED_VALUE"""),692434.0)</f>
        <v>692434</v>
      </c>
      <c r="AH273" s="1">
        <f>IFERROR(__xludf.DUMMYFUNCTION("""COMPUTED_VALUE"""),17.0)</f>
        <v>17</v>
      </c>
      <c r="AI273" s="1" t="str">
        <f>IFERROR(__xludf.DUMMYFUNCTION("""COMPUTED_VALUE"""),"0000405716")</f>
        <v>0000405716</v>
      </c>
      <c r="AJ273" s="1">
        <f>IFERROR(__xludf.DUMMYFUNCTION("""COMPUTED_VALUE"""),7.0716648E7)</f>
        <v>70716648</v>
      </c>
      <c r="AK273" s="1">
        <f>IFERROR(__xludf.DUMMYFUNCTION("""COMPUTED_VALUE"""),9.06842405E8)</f>
        <v>906842405</v>
      </c>
      <c r="AL273" s="1" t="str">
        <f>IFERROR(__xludf.DUMMYFUNCTION("""COMPUTED_VALUE"""),"Matias-11-sayayin@hotmail.com")</f>
        <v>Matias-11-sayayin@hotmail.com</v>
      </c>
      <c r="AM273" s="1" t="str">
        <f>IFERROR(__xludf.DUMMYFUNCTION("""COMPUTED_VALUE"""),"MASCULINO")</f>
        <v>MASCULINO</v>
      </c>
      <c r="AN273" s="1">
        <f>IFERROR(__xludf.DUMMYFUNCTION("""COMPUTED_VALUE"""),1350.0)</f>
        <v>1350</v>
      </c>
      <c r="AO273" s="1">
        <f>IFERROR(__xludf.DUMMYFUNCTION("""COMPUTED_VALUE"""),0.0)</f>
        <v>0</v>
      </c>
      <c r="AP273" s="1" t="str">
        <f>IFERROR(__xludf.DUMMYFUNCTION("""COMPUTED_VALUE"""),"FORMULARIO")</f>
        <v>FORMULARIO</v>
      </c>
      <c r="AQ273" s="1" t="str">
        <f>IFERROR(__xludf.DUMMYFUNCTION("""COMPUTED_VALUE"""),"SEARCH CARRERA")</f>
        <v>SEARCH CARRERA</v>
      </c>
      <c r="AR273" s="1" t="str">
        <f>IFERROR(__xludf.DUMMYFUNCTION("""COMPUTED_VALUE"""),"NUEVO")</f>
        <v>NUEVO</v>
      </c>
      <c r="AS273" s="1" t="str">
        <f>IFERROR(__xludf.DUMMYFUNCTION("""COMPUTED_VALUE"""),"ucal-pg-performance-sedes-abierta-cpl-search_conversion_mundo_negocios-20240401")</f>
        <v>ucal-pg-performance-sedes-abierta-cpl-search_conversion_mundo_negocios-20240401</v>
      </c>
      <c r="AT273" s="2">
        <f>IFERROR(__xludf.DUMMYFUNCTION("""COMPUTED_VALUE"""),45601.0)</f>
        <v>45601</v>
      </c>
      <c r="AU273" s="1">
        <f>IFERROR(__xludf.DUMMYFUNCTION("""COMPUTED_VALUE"""),1.0)</f>
        <v>1</v>
      </c>
      <c r="AV273" s="1" t="str">
        <f>IFERROR(__xludf.DUMMYFUNCTION("""COMPUTED_VALUE"""),"NUEVO")</f>
        <v>NUEVO</v>
      </c>
      <c r="AW273" s="1" t="str">
        <f>IFERROR(__xludf.DUMMYFUNCTION("""COMPUTED_VALUE"""),"SI")</f>
        <v>SI</v>
      </c>
      <c r="AX273" s="1"/>
      <c r="AY273" s="1" t="str">
        <f>IFERROR(__xludf.DUMMYFUNCTION("""COMPUTED_VALUE"""),"PAGO COMPLETO")</f>
        <v>PAGO COMPLETO</v>
      </c>
      <c r="AZ273" s="5">
        <f>IFERROR(__xludf.DUMMYFUNCTION("""COMPUTED_VALUE"""),45654.0)</f>
        <v>45654</v>
      </c>
      <c r="BA273" s="1">
        <f>IFERROR(__xludf.DUMMYFUNCTION("""COMPUTED_VALUE"""),350.0)</f>
        <v>350</v>
      </c>
      <c r="BB273" s="1">
        <f>IFERROR(__xludf.DUMMYFUNCTION("""COMPUTED_VALUE"""),0.0)</f>
        <v>0</v>
      </c>
      <c r="BC273" s="4">
        <f>IFERROR(__xludf.DUMMYFUNCTION("""COMPUTED_VALUE"""),0.0)</f>
        <v>0</v>
      </c>
      <c r="BD273" s="4">
        <f>IFERROR(__xludf.DUMMYFUNCTION("""COMPUTED_VALUE"""),150.0)</f>
        <v>150</v>
      </c>
      <c r="BE273" s="1">
        <f>IFERROR(__xludf.DUMMYFUNCTION("""COMPUTED_VALUE"""),12.0)</f>
        <v>12</v>
      </c>
      <c r="BF273" s="6">
        <f>IFERROR(__xludf.DUMMYFUNCTION("""COMPUTED_VALUE"""),1.0)</f>
        <v>1</v>
      </c>
      <c r="BG273" s="1">
        <f>IFERROR(__xludf.DUMMYFUNCTION("""COMPUTED_VALUE"""),1.0)</f>
        <v>1</v>
      </c>
      <c r="BH273" s="1" t="str">
        <f>IFERROR(__xludf.DUMMYFUNCTION("""COMPUTED_VALUE"""),"0")</f>
        <v>0</v>
      </c>
      <c r="BI273" s="4">
        <f>IFERROR(__xludf.DUMMYFUNCTION("""COMPUTED_VALUE"""),850.0)</f>
        <v>850</v>
      </c>
      <c r="BJ273" s="1">
        <f>IFERROR(__xludf.DUMMYFUNCTION("""COMPUTED_VALUE"""),0.0)</f>
        <v>0</v>
      </c>
      <c r="BK273" s="4">
        <f>IFERROR(__xludf.DUMMYFUNCTION("""COMPUTED_VALUE"""),150.0)</f>
        <v>150</v>
      </c>
      <c r="BL273" s="1">
        <f>IFERROR(__xludf.DUMMYFUNCTION("""COMPUTED_VALUE"""),820.0)</f>
        <v>820</v>
      </c>
      <c r="BM273" s="1">
        <f>IFERROR(__xludf.DUMMYFUNCTION("""COMPUTED_VALUE"""),52.0)</f>
        <v>52</v>
      </c>
      <c r="BN273" s="2">
        <f>IFERROR(__xludf.DUMMYFUNCTION("""COMPUTED_VALUE"""),45649.0)</f>
        <v>45649</v>
      </c>
      <c r="BO273" s="1">
        <f>IFERROR(__xludf.DUMMYFUNCTION("""COMPUTED_VALUE"""),12.0)</f>
        <v>12</v>
      </c>
      <c r="BP273" s="1">
        <f>IFERROR(__xludf.DUMMYFUNCTION("""COMPUTED_VALUE"""),2024.0)</f>
        <v>2024</v>
      </c>
    </row>
    <row r="274">
      <c r="A274" s="1">
        <f>IFERROR(__xludf.DUMMYFUNCTION("""COMPUTED_VALUE"""),273.0)</f>
        <v>273</v>
      </c>
      <c r="B274" s="1">
        <f>IFERROR(__xludf.DUMMYFUNCTION("""COMPUTED_VALUE"""),2520949.0)</f>
        <v>2520949</v>
      </c>
      <c r="C274" s="1" t="str">
        <f>IFERROR(__xludf.DUMMYFUNCTION("""COMPUTED_VALUE"""),"2025-1")</f>
        <v>2025-1</v>
      </c>
      <c r="D274" s="1" t="str">
        <f>IFERROR(__xludf.DUMMYFUNCTION("""COMPUTED_VALUE"""),"Admisión Extraordinaria (Traslados)")</f>
        <v>Admisión Extraordinaria (Traslados)</v>
      </c>
      <c r="E274" s="2">
        <f>IFERROR(__xludf.DUMMYFUNCTION("""COMPUTED_VALUE"""),45654.0)</f>
        <v>45654</v>
      </c>
      <c r="F274" s="1" t="str">
        <f>IFERROR(__xludf.DUMMYFUNCTION("""COMPUTED_VALUE"""),"GABRIELA ALESSANDRA ")</f>
        <v>GABRIELA ALESSANDRA </v>
      </c>
      <c r="G274" s="1" t="str">
        <f>IFERROR(__xludf.DUMMYFUNCTION("""COMPUTED_VALUE"""),"JARA ORDOÑEZ")</f>
        <v>JARA ORDOÑEZ</v>
      </c>
      <c r="H274" s="1" t="str">
        <f>IFERROR(__xludf.DUMMYFUNCTION("""COMPUTED_VALUE"""),"Diseño Gráfico Publicitario")</f>
        <v>Diseño Gráfico Publicitario</v>
      </c>
      <c r="I274" s="1" t="str">
        <f>IFERROR(__xludf.DUMMYFUNCTION("""COMPUTED_VALUE"""),"CARGO")</f>
        <v>CARGO</v>
      </c>
      <c r="J274" s="1" t="str">
        <f>IFERROR(__xludf.DUMMYFUNCTION("""COMPUTED_VALUE"""),"Diurno")</f>
        <v>Diurno</v>
      </c>
      <c r="K274" s="1" t="str">
        <f>IFERROR(__xludf.DUMMYFUNCTION("""COMPUTED_VALUE"""),"TRASLADO")</f>
        <v>TRASLADO</v>
      </c>
      <c r="L274" s="1">
        <f>IFERROR(__xludf.DUMMYFUNCTION("""COMPUTED_VALUE"""),0.0)</f>
        <v>0</v>
      </c>
      <c r="M274" s="1">
        <f>IFERROR(__xludf.DUMMYFUNCTION("""COMPUTED_VALUE"""),0.0)</f>
        <v>0</v>
      </c>
      <c r="N274" s="1" t="str">
        <f>IFERROR(__xludf.DUMMYFUNCTION("""COMPUTED_VALUE"""),"BECA")</f>
        <v>BECA</v>
      </c>
      <c r="O274" s="1" t="str">
        <f>IFERROR(__xludf.DUMMYFUNCTION("""COMPUTED_VALUE"""),"BECA CARRERAS CORE-TRASLADOS SIN CONVA")</f>
        <v>BECA CARRERAS CORE-TRASLADOS SIN CONVA</v>
      </c>
      <c r="P274" s="4">
        <f>IFERROR(__xludf.DUMMYFUNCTION("""COMPUTED_VALUE"""),0.0)</f>
        <v>0</v>
      </c>
      <c r="Q274" s="4">
        <f>IFERROR(__xludf.DUMMYFUNCTION("""COMPUTED_VALUE"""),0.0)</f>
        <v>0</v>
      </c>
      <c r="R274" s="4">
        <f>IFERROR(__xludf.DUMMYFUNCTION("""COMPUTED_VALUE"""),1350.0)</f>
        <v>1350</v>
      </c>
      <c r="S274" s="4">
        <f>IFERROR(__xludf.DUMMYFUNCTION("""COMPUTED_VALUE"""),1000.0)</f>
        <v>1000</v>
      </c>
      <c r="T274" s="1" t="str">
        <f>IFERROR(__xludf.DUMMYFUNCTION("""COMPUTED_VALUE"""),"PALANCA 700")</f>
        <v>PALANCA 700</v>
      </c>
      <c r="U274" s="1" t="str">
        <f>IFERROR(__xludf.DUMMYFUNCTION("""COMPUTED_VALUE"""),"FABIOLA")</f>
        <v>FABIOLA</v>
      </c>
      <c r="V274" s="1" t="str">
        <f>IFERROR(__xludf.DUMMYFUNCTION("""COMPUTED_VALUE"""),"Ninguno")</f>
        <v>Ninguno</v>
      </c>
      <c r="W274" s="1" t="str">
        <f>IFERROR(__xludf.DUMMYFUNCTION("""COMPUTED_VALUE"""),"Metodología de enseñanza")</f>
        <v>Metodología de enseñanza</v>
      </c>
      <c r="X274" s="1" t="str">
        <f>IFERROR(__xludf.DUMMYFUNCTION("""COMPUTED_VALUE"""),"primera cuota de 700, traslado sin conva luego beca de 1000")</f>
        <v>primera cuota de 700, traslado sin conva luego beca de 1000</v>
      </c>
      <c r="Y274" s="1" t="str">
        <f>IFERROR(__xludf.DUMMYFUNCTION("""COMPUTED_VALUE"""),"PAGO COMPLETO")</f>
        <v>PAGO COMPLETO</v>
      </c>
      <c r="Z274" s="1">
        <f>IFERROR(__xludf.DUMMYFUNCTION("""COMPUTED_VALUE"""),0.0)</f>
        <v>0</v>
      </c>
      <c r="AA274" s="1" t="str">
        <f>IFERROR(__xludf.DUMMYFUNCTION("""COMPUTED_VALUE"""),"-")</f>
        <v>-</v>
      </c>
      <c r="AB274" s="1">
        <f>IFERROR(__xludf.DUMMYFUNCTION("""COMPUTED_VALUE"""),0.0)</f>
        <v>0</v>
      </c>
      <c r="AC274" s="1">
        <f>IFERROR(__xludf.DUMMYFUNCTION("""COMPUTED_VALUE"""),0.0)</f>
        <v>0</v>
      </c>
      <c r="AD274" s="1" t="str">
        <f>IFERROR(__xludf.DUMMYFUNCTION("""COMPUTED_VALUE"""),"Fiorella Lanegra")</f>
        <v>Fiorella Lanegra</v>
      </c>
      <c r="AE274" s="1" t="str">
        <f>IFERROR(__xludf.DUMMYFUNCTION("""COMPUTED_VALUE"""),"Cibertec")</f>
        <v>Cibertec</v>
      </c>
      <c r="AF274" s="1">
        <f>IFERROR(__xludf.DUMMYFUNCTION("""COMPUTED_VALUE"""),2020.0)</f>
        <v>2020</v>
      </c>
      <c r="AG274" s="1">
        <f>IFERROR(__xludf.DUMMYFUNCTION("""COMPUTED_VALUE"""),826941.0)</f>
        <v>826941</v>
      </c>
      <c r="AH274" s="1">
        <f>IFERROR(__xludf.DUMMYFUNCTION("""COMPUTED_VALUE"""),21.0)</f>
        <v>21</v>
      </c>
      <c r="AI274" s="1" t="str">
        <f>IFERROR(__xludf.DUMMYFUNCTION("""COMPUTED_VALUE"""),"0000405740")</f>
        <v>0000405740</v>
      </c>
      <c r="AJ274" s="1">
        <f>IFERROR(__xludf.DUMMYFUNCTION("""COMPUTED_VALUE"""),7.3882426E7)</f>
        <v>73882426</v>
      </c>
      <c r="AK274" s="1">
        <f>IFERROR(__xludf.DUMMYFUNCTION("""COMPUTED_VALUE"""),9.32496981E8)</f>
        <v>932496981</v>
      </c>
      <c r="AL274" s="1" t="str">
        <f>IFERROR(__xludf.DUMMYFUNCTION("""COMPUTED_VALUE"""),"Gabyordo05@gmail.com")</f>
        <v>Gabyordo05@gmail.com</v>
      </c>
      <c r="AM274" s="1" t="str">
        <f>IFERROR(__xludf.DUMMYFUNCTION("""COMPUTED_VALUE"""),"FEMENINO")</f>
        <v>FEMENINO</v>
      </c>
      <c r="AN274" s="1">
        <f>IFERROR(__xludf.DUMMYFUNCTION("""COMPUTED_VALUE"""),1600.0)</f>
        <v>1600</v>
      </c>
      <c r="AO274" s="1">
        <f>IFERROR(__xludf.DUMMYFUNCTION("""COMPUTED_VALUE"""),280.0)</f>
        <v>280</v>
      </c>
      <c r="AP274" s="1" t="str">
        <f>IFERROR(__xludf.DUMMYFUNCTION("""COMPUTED_VALUE"""),"FORMULARIO")</f>
        <v>FORMULARIO</v>
      </c>
      <c r="AQ274" s="1" t="str">
        <f>IFERROR(__xludf.DUMMYFUNCTION("""COMPUTED_VALUE"""),"ORGANICO")</f>
        <v>ORGANICO</v>
      </c>
      <c r="AR274" s="1" t="str">
        <f>IFERROR(__xludf.DUMMYFUNCTION("""COMPUTED_VALUE"""),"NUEVO")</f>
        <v>NUEVO</v>
      </c>
      <c r="AS274" s="1"/>
      <c r="AT274" s="2">
        <f>IFERROR(__xludf.DUMMYFUNCTION("""COMPUTED_VALUE"""),45635.0)</f>
        <v>45635</v>
      </c>
      <c r="AU274" s="1">
        <f>IFERROR(__xludf.DUMMYFUNCTION("""COMPUTED_VALUE"""),1.0)</f>
        <v>1</v>
      </c>
      <c r="AV274" s="1" t="str">
        <f>IFERROR(__xludf.DUMMYFUNCTION("""COMPUTED_VALUE"""),"NUEVO")</f>
        <v>NUEVO</v>
      </c>
      <c r="AW274" s="1" t="str">
        <f>IFERROR(__xludf.DUMMYFUNCTION("""COMPUTED_VALUE"""),"SI")</f>
        <v>SI</v>
      </c>
      <c r="AX274" s="1"/>
      <c r="AY274" s="1" t="str">
        <f>IFERROR(__xludf.DUMMYFUNCTION("""COMPUTED_VALUE"""),"PAGO COMPLETO")</f>
        <v>PAGO COMPLETO</v>
      </c>
      <c r="AZ274" s="5">
        <f>IFERROR(__xludf.DUMMYFUNCTION("""COMPUTED_VALUE"""),45654.0)</f>
        <v>45654</v>
      </c>
      <c r="BA274" s="1">
        <f>IFERROR(__xludf.DUMMYFUNCTION("""COMPUTED_VALUE"""),0.0)</f>
        <v>0</v>
      </c>
      <c r="BB274" s="1">
        <f>IFERROR(__xludf.DUMMYFUNCTION("""COMPUTED_VALUE"""),0.0)</f>
        <v>0</v>
      </c>
      <c r="BC274" s="4">
        <f>IFERROR(__xludf.DUMMYFUNCTION("""COMPUTED_VALUE"""),0.0)</f>
        <v>0</v>
      </c>
      <c r="BD274" s="4">
        <f>IFERROR(__xludf.DUMMYFUNCTION("""COMPUTED_VALUE"""),300.0)</f>
        <v>300</v>
      </c>
      <c r="BE274" s="1">
        <f>IFERROR(__xludf.DUMMYFUNCTION("""COMPUTED_VALUE"""),12.0)</f>
        <v>12</v>
      </c>
      <c r="BF274" s="6">
        <f>IFERROR(__xludf.DUMMYFUNCTION("""COMPUTED_VALUE"""),1.0)</f>
        <v>1</v>
      </c>
      <c r="BG274" s="1">
        <f>IFERROR(__xludf.DUMMYFUNCTION("""COMPUTED_VALUE"""),1.0)</f>
        <v>1</v>
      </c>
      <c r="BH274" s="1" t="str">
        <f>IFERROR(__xludf.DUMMYFUNCTION("""COMPUTED_VALUE"""),"0")</f>
        <v>0</v>
      </c>
      <c r="BI274" s="4">
        <f>IFERROR(__xludf.DUMMYFUNCTION("""COMPUTED_VALUE"""),300.0)</f>
        <v>300</v>
      </c>
      <c r="BJ274" s="1">
        <f>IFERROR(__xludf.DUMMYFUNCTION("""COMPUTED_VALUE"""),0.0)</f>
        <v>0</v>
      </c>
      <c r="BK274" s="4">
        <f>IFERROR(__xludf.DUMMYFUNCTION("""COMPUTED_VALUE"""),300.0)</f>
        <v>300</v>
      </c>
      <c r="BL274" s="1">
        <f>IFERROR(__xludf.DUMMYFUNCTION("""COMPUTED_VALUE"""),940.0)</f>
        <v>940</v>
      </c>
      <c r="BM274" s="1">
        <f>IFERROR(__xludf.DUMMYFUNCTION("""COMPUTED_VALUE"""),52.0)</f>
        <v>52</v>
      </c>
      <c r="BN274" s="2">
        <f>IFERROR(__xludf.DUMMYFUNCTION("""COMPUTED_VALUE"""),45649.0)</f>
        <v>45649</v>
      </c>
      <c r="BO274" s="1">
        <f>IFERROR(__xludf.DUMMYFUNCTION("""COMPUTED_VALUE"""),12.0)</f>
        <v>12</v>
      </c>
      <c r="BP274" s="1">
        <f>IFERROR(__xludf.DUMMYFUNCTION("""COMPUTED_VALUE"""),2024.0)</f>
        <v>2024</v>
      </c>
    </row>
    <row r="275">
      <c r="A275" s="1">
        <f>IFERROR(__xludf.DUMMYFUNCTION("""COMPUTED_VALUE"""),274.0)</f>
        <v>274</v>
      </c>
      <c r="B275" s="1">
        <f>IFERROR(__xludf.DUMMYFUNCTION("""COMPUTED_VALUE"""),4538636.0)</f>
        <v>4538636</v>
      </c>
      <c r="C275" s="1" t="str">
        <f>IFERROR(__xludf.DUMMYFUNCTION("""COMPUTED_VALUE"""),"2025-1")</f>
        <v>2025-1</v>
      </c>
      <c r="D275" s="1" t="str">
        <f>IFERROR(__xludf.DUMMYFUNCTION("""COMPUTED_VALUE"""),"Admisión de Alto Rendimiento")</f>
        <v>Admisión de Alto Rendimiento</v>
      </c>
      <c r="E275" s="2">
        <f>IFERROR(__xludf.DUMMYFUNCTION("""COMPUTED_VALUE"""),45654.0)</f>
        <v>45654</v>
      </c>
      <c r="F275" s="1" t="str">
        <f>IFERROR(__xludf.DUMMYFUNCTION("""COMPUTED_VALUE"""),"FATIMA NOEMI ")</f>
        <v>FATIMA NOEMI </v>
      </c>
      <c r="G275" s="1" t="str">
        <f>IFERROR(__xludf.DUMMYFUNCTION("""COMPUTED_VALUE"""),"DIAZ RAMIREZ")</f>
        <v>DIAZ RAMIREZ</v>
      </c>
      <c r="H275" s="1" t="str">
        <f>IFERROR(__xludf.DUMMYFUNCTION("""COMPUTED_VALUE"""),"Comunicación Audiovisual y Cine")</f>
        <v>Comunicación Audiovisual y Cine</v>
      </c>
      <c r="I275" s="1" t="str">
        <f>IFERROR(__xludf.DUMMYFUNCTION("""COMPUTED_VALUE"""),"CARGO")</f>
        <v>CARGO</v>
      </c>
      <c r="J275" s="1" t="str">
        <f>IFERROR(__xludf.DUMMYFUNCTION("""COMPUTED_VALUE"""),"Diurno")</f>
        <v>Diurno</v>
      </c>
      <c r="K275" s="1" t="str">
        <f>IFERROR(__xludf.DUMMYFUNCTION("""COMPUTED_VALUE"""),"NUEVO")</f>
        <v>NUEVO</v>
      </c>
      <c r="L275" s="1">
        <f>IFERROR(__xludf.DUMMYFUNCTION("""COMPUTED_VALUE"""),0.0)</f>
        <v>0</v>
      </c>
      <c r="M275" s="1">
        <f>IFERROR(__xludf.DUMMYFUNCTION("""COMPUTED_VALUE"""),0.0)</f>
        <v>0</v>
      </c>
      <c r="N275" s="1" t="str">
        <f>IFERROR(__xludf.DUMMYFUNCTION("""COMPUTED_VALUE"""),"BECA")</f>
        <v>BECA</v>
      </c>
      <c r="O275" s="1" t="str">
        <f>IFERROR(__xludf.DUMMYFUNCTION("""COMPUTED_VALUE"""),"BECA CARRERAS CORE")</f>
        <v>BECA CARRERAS CORE</v>
      </c>
      <c r="P275" s="4">
        <f>IFERROR(__xludf.DUMMYFUNCTION("""COMPUTED_VALUE"""),100.0)</f>
        <v>100</v>
      </c>
      <c r="Q275" s="4">
        <f>IFERROR(__xludf.DUMMYFUNCTION("""COMPUTED_VALUE"""),237.5)</f>
        <v>237.5</v>
      </c>
      <c r="R275" s="4">
        <f>IFERROR(__xludf.DUMMYFUNCTION("""COMPUTED_VALUE"""),1600.0)</f>
        <v>1600</v>
      </c>
      <c r="S275" s="4">
        <f>IFERROR(__xludf.DUMMYFUNCTION("""COMPUTED_VALUE"""),1280.0)</f>
        <v>1280</v>
      </c>
      <c r="T275" s="1" t="str">
        <f>IFERROR(__xludf.DUMMYFUNCTION("""COMPUTED_VALUE"""),"Visita Guiada")</f>
        <v>Visita Guiada</v>
      </c>
      <c r="U275" s="1" t="str">
        <f>IFERROR(__xludf.DUMMYFUNCTION("""COMPUTED_VALUE"""),"FABIOLA")</f>
        <v>FABIOLA</v>
      </c>
      <c r="V275" s="1" t="str">
        <f>IFERROR(__xludf.DUMMYFUNCTION("""COMPUTED_VALUE"""),"Ninguno")</f>
        <v>Ninguno</v>
      </c>
      <c r="W275" s="1" t="str">
        <f>IFERROR(__xludf.DUMMYFUNCTION("""COMPUTED_VALUE"""),"Convenios internacionales")</f>
        <v>Convenios internacionales</v>
      </c>
      <c r="X275" s="1" t="str">
        <f>IFERROR(__xludf.DUMMYFUNCTION("""COMPUTED_VALUE"""),"MALLA")</f>
        <v>MALLA</v>
      </c>
      <c r="Y275" s="1" t="str">
        <f>IFERROR(__xludf.DUMMYFUNCTION("""COMPUTED_VALUE"""),"PAGO COMPLETO")</f>
        <v>PAGO COMPLETO</v>
      </c>
      <c r="Z275" s="1">
        <f>IFERROR(__xludf.DUMMYFUNCTION("""COMPUTED_VALUE"""),0.0)</f>
        <v>0</v>
      </c>
      <c r="AA275" s="1" t="str">
        <f>IFERROR(__xludf.DUMMYFUNCTION("""COMPUTED_VALUE"""),"-")</f>
        <v>-</v>
      </c>
      <c r="AB275" s="1">
        <f>IFERROR(__xludf.DUMMYFUNCTION("""COMPUTED_VALUE"""),0.0)</f>
        <v>0</v>
      </c>
      <c r="AC275" s="1">
        <f>IFERROR(__xludf.DUMMYFUNCTION("""COMPUTED_VALUE"""),0.0)</f>
        <v>0</v>
      </c>
      <c r="AD275" s="1" t="str">
        <f>IFERROR(__xludf.DUMMYFUNCTION("""COMPUTED_VALUE"""),"Rosa Ugarte")</f>
        <v>Rosa Ugarte</v>
      </c>
      <c r="AE275" s="1" t="str">
        <f>IFERROR(__xludf.DUMMYFUNCTION("""COMPUTED_VALUE"""),"0")</f>
        <v>0</v>
      </c>
      <c r="AF275" s="1">
        <f>IFERROR(__xludf.DUMMYFUNCTION("""COMPUTED_VALUE"""),2024.0)</f>
        <v>2024</v>
      </c>
      <c r="AG275" s="1">
        <f>IFERROR(__xludf.DUMMYFUNCTION("""COMPUTED_VALUE"""),826982.0)</f>
        <v>826982</v>
      </c>
      <c r="AH275" s="1">
        <f>IFERROR(__xludf.DUMMYFUNCTION("""COMPUTED_VALUE"""),16.0)</f>
        <v>16</v>
      </c>
      <c r="AI275" s="1" t="str">
        <f>IFERROR(__xludf.DUMMYFUNCTION("""COMPUTED_VALUE"""),"0000405454")</f>
        <v>0000405454</v>
      </c>
      <c r="AJ275" s="1">
        <f>IFERROR(__xludf.DUMMYFUNCTION("""COMPUTED_VALUE"""),6.1527017E7)</f>
        <v>61527017</v>
      </c>
      <c r="AK275" s="1">
        <f>IFERROR(__xludf.DUMMYFUNCTION("""COMPUTED_VALUE"""),9.90323017E8)</f>
        <v>990323017</v>
      </c>
      <c r="AL275" s="1" t="str">
        <f>IFERROR(__xludf.DUMMYFUNCTION("""COMPUTED_VALUE"""),"diazramirezfatima23@gmail.com")</f>
        <v>diazramirezfatima23@gmail.com</v>
      </c>
      <c r="AM275" s="1" t="str">
        <f>IFERROR(__xludf.DUMMYFUNCTION("""COMPUTED_VALUE"""),"FEMENINO")</f>
        <v>FEMENINO</v>
      </c>
      <c r="AN275" s="1">
        <f>IFERROR(__xludf.DUMMYFUNCTION("""COMPUTED_VALUE"""),1350.0)</f>
        <v>1350</v>
      </c>
      <c r="AO275" s="1">
        <f>IFERROR(__xludf.DUMMYFUNCTION("""COMPUTED_VALUE"""),0.0)</f>
        <v>0</v>
      </c>
      <c r="AP275" s="1" t="str">
        <f>IFERROR(__xludf.DUMMYFUNCTION("""COMPUTED_VALUE"""),"COLEGIOS")</f>
        <v>COLEGIOS</v>
      </c>
      <c r="AQ275" s="1" t="str">
        <f>IFERROR(__xludf.DUMMYFUNCTION("""COMPUTED_VALUE"""),"COLEGIOS")</f>
        <v>COLEGIOS</v>
      </c>
      <c r="AR275" s="1" t="str">
        <f>IFERROR(__xludf.DUMMYFUNCTION("""COMPUTED_VALUE"""),"NUEVO")</f>
        <v>NUEVO</v>
      </c>
      <c r="AS275" s="1"/>
      <c r="AT275" s="2">
        <f>IFERROR(__xludf.DUMMYFUNCTION("""COMPUTED_VALUE"""),45532.0)</f>
        <v>45532</v>
      </c>
      <c r="AU275" s="1">
        <f>IFERROR(__xludf.DUMMYFUNCTION("""COMPUTED_VALUE"""),1.0)</f>
        <v>1</v>
      </c>
      <c r="AV275" s="1" t="str">
        <f>IFERROR(__xludf.DUMMYFUNCTION("""COMPUTED_VALUE"""),"NUEVO")</f>
        <v>NUEVO</v>
      </c>
      <c r="AW275" s="1" t="str">
        <f>IFERROR(__xludf.DUMMYFUNCTION("""COMPUTED_VALUE"""),"SI")</f>
        <v>SI</v>
      </c>
      <c r="AX275" s="1"/>
      <c r="AY275" s="1" t="str">
        <f>IFERROR(__xludf.DUMMYFUNCTION("""COMPUTED_VALUE"""),"PAGO COMPLETO")</f>
        <v>PAGO COMPLETO</v>
      </c>
      <c r="AZ275" s="5">
        <f>IFERROR(__xludf.DUMMYFUNCTION("""COMPUTED_VALUE"""),45654.0)</f>
        <v>45654</v>
      </c>
      <c r="BA275" s="1">
        <f>IFERROR(__xludf.DUMMYFUNCTION("""COMPUTED_VALUE"""),0.0)</f>
        <v>0</v>
      </c>
      <c r="BB275" s="1">
        <f>IFERROR(__xludf.DUMMYFUNCTION("""COMPUTED_VALUE"""),0.0)</f>
        <v>0</v>
      </c>
      <c r="BC275" s="4">
        <f>IFERROR(__xludf.DUMMYFUNCTION("""COMPUTED_VALUE"""),0.0)</f>
        <v>0</v>
      </c>
      <c r="BD275" s="4">
        <f>IFERROR(__xludf.DUMMYFUNCTION("""COMPUTED_VALUE"""),100.0)</f>
        <v>100</v>
      </c>
      <c r="BE275" s="1">
        <f>IFERROR(__xludf.DUMMYFUNCTION("""COMPUTED_VALUE"""),12.0)</f>
        <v>12</v>
      </c>
      <c r="BF275" s="6">
        <f>IFERROR(__xludf.DUMMYFUNCTION("""COMPUTED_VALUE"""),1.0)</f>
        <v>1</v>
      </c>
      <c r="BG275" s="1">
        <f>IFERROR(__xludf.DUMMYFUNCTION("""COMPUTED_VALUE"""),1.0)</f>
        <v>1</v>
      </c>
      <c r="BH275" s="1" t="str">
        <f>IFERROR(__xludf.DUMMYFUNCTION("""COMPUTED_VALUE"""),"0")</f>
        <v>0</v>
      </c>
      <c r="BI275" s="4">
        <f>IFERROR(__xludf.DUMMYFUNCTION("""COMPUTED_VALUE"""),100.0)</f>
        <v>100</v>
      </c>
      <c r="BJ275" s="1">
        <f>IFERROR(__xludf.DUMMYFUNCTION("""COMPUTED_VALUE"""),0.0)</f>
        <v>0</v>
      </c>
      <c r="BK275" s="4">
        <f>IFERROR(__xludf.DUMMYFUNCTION("""COMPUTED_VALUE"""),100.0)</f>
        <v>100</v>
      </c>
      <c r="BL275" s="1">
        <f>IFERROR(__xludf.DUMMYFUNCTION("""COMPUTED_VALUE"""),1260.0)</f>
        <v>1260</v>
      </c>
      <c r="BM275" s="1">
        <f>IFERROR(__xludf.DUMMYFUNCTION("""COMPUTED_VALUE"""),52.0)</f>
        <v>52</v>
      </c>
      <c r="BN275" s="2">
        <f>IFERROR(__xludf.DUMMYFUNCTION("""COMPUTED_VALUE"""),45649.0)</f>
        <v>45649</v>
      </c>
      <c r="BO275" s="1">
        <f>IFERROR(__xludf.DUMMYFUNCTION("""COMPUTED_VALUE"""),12.0)</f>
        <v>12</v>
      </c>
      <c r="BP275" s="1">
        <f>IFERROR(__xludf.DUMMYFUNCTION("""COMPUTED_VALUE"""),2024.0)</f>
        <v>2024</v>
      </c>
    </row>
    <row r="276">
      <c r="A276" s="1">
        <f>IFERROR(__xludf.DUMMYFUNCTION("""COMPUTED_VALUE"""),275.0)</f>
        <v>275</v>
      </c>
      <c r="B276" s="1">
        <f>IFERROR(__xludf.DUMMYFUNCTION("""COMPUTED_VALUE"""),2509948.0)</f>
        <v>2509948</v>
      </c>
      <c r="C276" s="1" t="str">
        <f>IFERROR(__xludf.DUMMYFUNCTION("""COMPUTED_VALUE"""),"2025-1")</f>
        <v>2025-1</v>
      </c>
      <c r="D276" s="1" t="str">
        <f>IFERROR(__xludf.DUMMYFUNCTION("""COMPUTED_VALUE"""),"Admisión de Alto Rendimiento")</f>
        <v>Admisión de Alto Rendimiento</v>
      </c>
      <c r="E276" s="2">
        <f>IFERROR(__xludf.DUMMYFUNCTION("""COMPUTED_VALUE"""),45654.0)</f>
        <v>45654</v>
      </c>
      <c r="F276" s="1" t="str">
        <f>IFERROR(__xludf.DUMMYFUNCTION("""COMPUTED_VALUE"""),"MACARENA VICTORIA ")</f>
        <v>MACARENA VICTORIA </v>
      </c>
      <c r="G276" s="1" t="str">
        <f>IFERROR(__xludf.DUMMYFUNCTION("""COMPUTED_VALUE"""),"MEZA HUAMBACHANO")</f>
        <v>MEZA HUAMBACHANO</v>
      </c>
      <c r="H276" s="1" t="str">
        <f>IFERROR(__xludf.DUMMYFUNCTION("""COMPUTED_VALUE"""),"Arquitectura de Interiores")</f>
        <v>Arquitectura de Interiores</v>
      </c>
      <c r="I276" s="1" t="str">
        <f>IFERROR(__xludf.DUMMYFUNCTION("""COMPUTED_VALUE"""),"Pago Link")</f>
        <v>Pago Link</v>
      </c>
      <c r="J276" s="1" t="str">
        <f>IFERROR(__xludf.DUMMYFUNCTION("""COMPUTED_VALUE"""),"Diurno")</f>
        <v>Diurno</v>
      </c>
      <c r="K276" s="1" t="str">
        <f>IFERROR(__xludf.DUMMYFUNCTION("""COMPUTED_VALUE"""),"NUEVO")</f>
        <v>NUEVO</v>
      </c>
      <c r="L276" s="1">
        <f>IFERROR(__xludf.DUMMYFUNCTION("""COMPUTED_VALUE"""),0.0)</f>
        <v>0</v>
      </c>
      <c r="M276" s="1">
        <f>IFERROR(__xludf.DUMMYFUNCTION("""COMPUTED_VALUE"""),0.0)</f>
        <v>0</v>
      </c>
      <c r="N276" s="1" t="str">
        <f>IFERROR(__xludf.DUMMYFUNCTION("""COMPUTED_VALUE"""),"BECA")</f>
        <v>BECA</v>
      </c>
      <c r="O276" s="1" t="str">
        <f>IFERROR(__xludf.DUMMYFUNCTION("""COMPUTED_VALUE"""),"BECA CARRERAS CORE")</f>
        <v>BECA CARRERAS CORE</v>
      </c>
      <c r="P276" s="4">
        <f>IFERROR(__xludf.DUMMYFUNCTION("""COMPUTED_VALUE"""),90.0)</f>
        <v>90</v>
      </c>
      <c r="Q276" s="4">
        <f>IFERROR(__xludf.DUMMYFUNCTION("""COMPUTED_VALUE"""),237.5)</f>
        <v>237.5</v>
      </c>
      <c r="R276" s="4">
        <f>IFERROR(__xludf.DUMMYFUNCTION("""COMPUTED_VALUE"""),1600.0)</f>
        <v>1600</v>
      </c>
      <c r="S276" s="4">
        <f>IFERROR(__xludf.DUMMYFUNCTION("""COMPUTED_VALUE"""),1280.0)</f>
        <v>1280</v>
      </c>
      <c r="T276" s="1" t="str">
        <f>IFERROR(__xludf.DUMMYFUNCTION("""COMPUTED_VALUE"""),"Visita Guiada")</f>
        <v>Visita Guiada</v>
      </c>
      <c r="U276" s="1" t="str">
        <f>IFERROR(__xludf.DUMMYFUNCTION("""COMPUTED_VALUE"""),"FABIOLA")</f>
        <v>FABIOLA</v>
      </c>
      <c r="V276" s="1" t="str">
        <f>IFERROR(__xludf.DUMMYFUNCTION("""COMPUTED_VALUE"""),"Ninguno")</f>
        <v>Ninguno</v>
      </c>
      <c r="W276" s="1" t="str">
        <f>IFERROR(__xludf.DUMMYFUNCTION("""COMPUTED_VALUE"""),"Egresados")</f>
        <v>Egresados</v>
      </c>
      <c r="X276" s="1" t="str">
        <f>IFERROR(__xludf.DUMMYFUNCTION("""COMPUTED_VALUE"""),"-")</f>
        <v>-</v>
      </c>
      <c r="Y276" s="1" t="str">
        <f>IFERROR(__xludf.DUMMYFUNCTION("""COMPUTED_VALUE"""),"PAGO FRACCIONADO")</f>
        <v>PAGO FRACCIONADO</v>
      </c>
      <c r="Z276" s="1">
        <f>IFERROR(__xludf.DUMMYFUNCTION("""COMPUTED_VALUE"""),1507.5)</f>
        <v>1507.5</v>
      </c>
      <c r="AA276" s="1" t="str">
        <f>IFERROR(__xludf.DUMMYFUNCTION("""COMPUTED_VALUE"""),"11/01/2025")</f>
        <v>11/01/2025</v>
      </c>
      <c r="AB276" s="1">
        <f>IFERROR(__xludf.DUMMYFUNCTION("""COMPUTED_VALUE"""),0.0)</f>
        <v>0</v>
      </c>
      <c r="AC276" s="1">
        <f>IFERROR(__xludf.DUMMYFUNCTION("""COMPUTED_VALUE"""),0.0)</f>
        <v>0</v>
      </c>
      <c r="AD276" s="1" t="str">
        <f>IFERROR(__xludf.DUMMYFUNCTION("""COMPUTED_VALUE"""),"Fiorella Lanegra")</f>
        <v>Fiorella Lanegra</v>
      </c>
      <c r="AE276" s="1" t="str">
        <f>IFERROR(__xludf.DUMMYFUNCTION("""COMPUTED_VALUE"""),"0")</f>
        <v>0</v>
      </c>
      <c r="AF276" s="1">
        <f>IFERROR(__xludf.DUMMYFUNCTION("""COMPUTED_VALUE"""),2024.0)</f>
        <v>2024</v>
      </c>
      <c r="AG276" s="1">
        <f>IFERROR(__xludf.DUMMYFUNCTION("""COMPUTED_VALUE"""),449462.0)</f>
        <v>449462</v>
      </c>
      <c r="AH276" s="1">
        <f>IFERROR(__xludf.DUMMYFUNCTION("""COMPUTED_VALUE"""),16.0)</f>
        <v>16</v>
      </c>
      <c r="AI276" s="1" t="str">
        <f>IFERROR(__xludf.DUMMYFUNCTION("""COMPUTED_VALUE"""),"0000405848")</f>
        <v>0000405848</v>
      </c>
      <c r="AJ276" s="1">
        <f>IFERROR(__xludf.DUMMYFUNCTION("""COMPUTED_VALUE"""),7.1168199E7)</f>
        <v>71168199</v>
      </c>
      <c r="AK276" s="1">
        <f>IFERROR(__xludf.DUMMYFUNCTION("""COMPUTED_VALUE"""),9.82187937E8)</f>
        <v>982187937</v>
      </c>
      <c r="AL276" s="1" t="str">
        <f>IFERROR(__xludf.DUMMYFUNCTION("""COMPUTED_VALUE"""),"mmezahuambachano@gmail.com")</f>
        <v>mmezahuambachano@gmail.com</v>
      </c>
      <c r="AM276" s="1" t="str">
        <f>IFERROR(__xludf.DUMMYFUNCTION("""COMPUTED_VALUE"""),"FEMENINO")</f>
        <v>FEMENINO</v>
      </c>
      <c r="AN276" s="1">
        <f>IFERROR(__xludf.DUMMYFUNCTION("""COMPUTED_VALUE"""),1350.0)</f>
        <v>1350</v>
      </c>
      <c r="AO276" s="1">
        <f>IFERROR(__xludf.DUMMYFUNCTION("""COMPUTED_VALUE"""),0.0)</f>
        <v>0</v>
      </c>
      <c r="AP276" s="1" t="str">
        <f>IFERROR(__xludf.DUMMYFUNCTION("""COMPUTED_VALUE"""),"FORMULARIO")</f>
        <v>FORMULARIO</v>
      </c>
      <c r="AQ276" s="1" t="str">
        <f>IFERROR(__xludf.DUMMYFUNCTION("""COMPUTED_VALUE"""),"SEARCH MARCA")</f>
        <v>SEARCH MARCA</v>
      </c>
      <c r="AR276" s="1" t="str">
        <f>IFERROR(__xludf.DUMMYFUNCTION("""COMPUTED_VALUE"""),"NUEVO")</f>
        <v>NUEVO</v>
      </c>
      <c r="AS276" s="1" t="str">
        <f>IFERROR(__xludf.DUMMYFUNCTION("""COMPUTED_VALUE"""),"ucal-pg-performance-sedes-abierta-cpl-search_conversion_marca-20240401")</f>
        <v>ucal-pg-performance-sedes-abierta-cpl-search_conversion_marca-20240401</v>
      </c>
      <c r="AT276" s="2">
        <f>IFERROR(__xludf.DUMMYFUNCTION("""COMPUTED_VALUE"""),45435.0)</f>
        <v>45435</v>
      </c>
      <c r="AU276" s="1">
        <f>IFERROR(__xludf.DUMMYFUNCTION("""COMPUTED_VALUE"""),1.0)</f>
        <v>1</v>
      </c>
      <c r="AV276" s="1" t="str">
        <f>IFERROR(__xludf.DUMMYFUNCTION("""COMPUTED_VALUE"""),"NUEVO")</f>
        <v>NUEVO</v>
      </c>
      <c r="AW276" s="1" t="str">
        <f>IFERROR(__xludf.DUMMYFUNCTION("""COMPUTED_VALUE"""),"SI")</f>
        <v>SI</v>
      </c>
      <c r="AX276" s="1"/>
      <c r="AY276" s="1" t="str">
        <f>IFERROR(__xludf.DUMMYFUNCTION("""COMPUTED_VALUE"""),"PAGO COMPLETO")</f>
        <v>PAGO COMPLETO</v>
      </c>
      <c r="AZ276" s="5">
        <f>IFERROR(__xludf.DUMMYFUNCTION("""COMPUTED_VALUE"""),45671.0)</f>
        <v>45671</v>
      </c>
      <c r="BA276" s="1">
        <f>IFERROR(__xludf.DUMMYFUNCTION("""COMPUTED_VALUE"""),0.0)</f>
        <v>0</v>
      </c>
      <c r="BB276" s="1">
        <f>IFERROR(__xludf.DUMMYFUNCTION("""COMPUTED_VALUE"""),0.0)</f>
        <v>0</v>
      </c>
      <c r="BC276" s="4">
        <f>IFERROR(__xludf.DUMMYFUNCTION("""COMPUTED_VALUE"""),0.0)</f>
        <v>0</v>
      </c>
      <c r="BD276" s="4">
        <f>IFERROR(__xludf.DUMMYFUNCTION("""COMPUTED_VALUE"""),100.0)</f>
        <v>100</v>
      </c>
      <c r="BE276" s="1">
        <f>IFERROR(__xludf.DUMMYFUNCTION("""COMPUTED_VALUE"""),12.0)</f>
        <v>12</v>
      </c>
      <c r="BF276" s="6">
        <f>IFERROR(__xludf.DUMMYFUNCTION("""COMPUTED_VALUE"""),1.0)</f>
        <v>1</v>
      </c>
      <c r="BG276" s="1">
        <f>IFERROR(__xludf.DUMMYFUNCTION("""COMPUTED_VALUE"""),1.0)</f>
        <v>1</v>
      </c>
      <c r="BH276" s="1" t="str">
        <f>IFERROR(__xludf.DUMMYFUNCTION("""COMPUTED_VALUE"""),"0")</f>
        <v>0</v>
      </c>
      <c r="BI276" s="4">
        <f>IFERROR(__xludf.DUMMYFUNCTION("""COMPUTED_VALUE"""),1607.5)</f>
        <v>1607.5</v>
      </c>
      <c r="BJ276" s="1">
        <f>IFERROR(__xludf.DUMMYFUNCTION("""COMPUTED_VALUE"""),0.0)</f>
        <v>0</v>
      </c>
      <c r="BK276" s="4">
        <f>IFERROR(__xludf.DUMMYFUNCTION("""COMPUTED_VALUE"""),100.0)</f>
        <v>100</v>
      </c>
      <c r="BL276" s="1">
        <f>IFERROR(__xludf.DUMMYFUNCTION("""COMPUTED_VALUE"""),1260.0)</f>
        <v>1260</v>
      </c>
      <c r="BM276" s="1">
        <f>IFERROR(__xludf.DUMMYFUNCTION("""COMPUTED_VALUE"""),52.0)</f>
        <v>52</v>
      </c>
      <c r="BN276" s="2">
        <f>IFERROR(__xludf.DUMMYFUNCTION("""COMPUTED_VALUE"""),45649.0)</f>
        <v>45649</v>
      </c>
      <c r="BO276" s="1">
        <f>IFERROR(__xludf.DUMMYFUNCTION("""COMPUTED_VALUE"""),12.0)</f>
        <v>12</v>
      </c>
      <c r="BP276" s="1">
        <f>IFERROR(__xludf.DUMMYFUNCTION("""COMPUTED_VALUE"""),2024.0)</f>
        <v>2024</v>
      </c>
    </row>
    <row r="277">
      <c r="A277" s="1">
        <f>IFERROR(__xludf.DUMMYFUNCTION("""COMPUTED_VALUE"""),276.0)</f>
        <v>276</v>
      </c>
      <c r="B277" s="1">
        <f>IFERROR(__xludf.DUMMYFUNCTION("""COMPUTED_VALUE"""),3345095.0)</f>
        <v>3345095</v>
      </c>
      <c r="C277" s="1" t="str">
        <f>IFERROR(__xludf.DUMMYFUNCTION("""COMPUTED_VALUE"""),"2025-1")</f>
        <v>2025-1</v>
      </c>
      <c r="D277" s="1" t="str">
        <f>IFERROR(__xludf.DUMMYFUNCTION("""COMPUTED_VALUE"""),"Admisión Ordinaria")</f>
        <v>Admisión Ordinaria</v>
      </c>
      <c r="E277" s="2">
        <f>IFERROR(__xludf.DUMMYFUNCTION("""COMPUTED_VALUE"""),45654.0)</f>
        <v>45654</v>
      </c>
      <c r="F277" s="1" t="str">
        <f>IFERROR(__xludf.DUMMYFUNCTION("""COMPUTED_VALUE"""),"CARMEN SOFIA ")</f>
        <v>CARMEN SOFIA </v>
      </c>
      <c r="G277" s="1" t="str">
        <f>IFERROR(__xludf.DUMMYFUNCTION("""COMPUTED_VALUE"""),"AQUINO IGLESIAS")</f>
        <v>AQUINO IGLESIAS</v>
      </c>
      <c r="H277" s="1" t="str">
        <f>IFERROR(__xludf.DUMMYFUNCTION("""COMPUTED_VALUE"""),"Arquitectura de Interiores")</f>
        <v>Arquitectura de Interiores</v>
      </c>
      <c r="I277" s="1" t="str">
        <f>IFERROR(__xludf.DUMMYFUNCTION("""COMPUTED_VALUE"""),"CARGO")</f>
        <v>CARGO</v>
      </c>
      <c r="J277" s="1" t="str">
        <f>IFERROR(__xludf.DUMMYFUNCTION("""COMPUTED_VALUE"""),"Diurno")</f>
        <v>Diurno</v>
      </c>
      <c r="K277" s="1" t="str">
        <f>IFERROR(__xludf.DUMMYFUNCTION("""COMPUTED_VALUE"""),"NUEVO")</f>
        <v>NUEVO</v>
      </c>
      <c r="L277" s="1">
        <f>IFERROR(__xludf.DUMMYFUNCTION("""COMPUTED_VALUE"""),0.0)</f>
        <v>0</v>
      </c>
      <c r="M277" s="1">
        <f>IFERROR(__xludf.DUMMYFUNCTION("""COMPUTED_VALUE"""),0.0)</f>
        <v>0</v>
      </c>
      <c r="N277" s="1" t="str">
        <f>IFERROR(__xludf.DUMMYFUNCTION("""COMPUTED_VALUE"""),"BECA")</f>
        <v>BECA</v>
      </c>
      <c r="O277" s="1" t="str">
        <f>IFERROR(__xludf.DUMMYFUNCTION("""COMPUTED_VALUE"""),"BECA CADENA COLEGIOS")</f>
        <v>BECA CADENA COLEGIOS</v>
      </c>
      <c r="P277" s="4">
        <f>IFERROR(__xludf.DUMMYFUNCTION("""COMPUTED_VALUE"""),0.0)</f>
        <v>0</v>
      </c>
      <c r="Q277" s="4">
        <f>IFERROR(__xludf.DUMMYFUNCTION("""COMPUTED_VALUE"""),0.0)</f>
        <v>0</v>
      </c>
      <c r="R277" s="4">
        <f>IFERROR(__xludf.DUMMYFUNCTION("""COMPUTED_VALUE"""),1600.0)</f>
        <v>1600</v>
      </c>
      <c r="S277" s="4">
        <f>IFERROR(__xludf.DUMMYFUNCTION("""COMPUTED_VALUE"""),1200.0)</f>
        <v>1200</v>
      </c>
      <c r="T277" s="1" t="str">
        <f>IFERROR(__xludf.DUMMYFUNCTION("""COMPUTED_VALUE"""),"NINGUNO")</f>
        <v>NINGUNO</v>
      </c>
      <c r="U277" s="1" t="str">
        <f>IFERROR(__xludf.DUMMYFUNCTION("""COMPUTED_VALUE"""),"FABIOLA")</f>
        <v>FABIOLA</v>
      </c>
      <c r="V277" s="1" t="str">
        <f>IFERROR(__xludf.DUMMYFUNCTION("""COMPUTED_VALUE"""),"Ninguno")</f>
        <v>Ninguno</v>
      </c>
      <c r="W277" s="1" t="str">
        <f>IFERROR(__xludf.DUMMYFUNCTION("""COMPUTED_VALUE"""),"Prestigio de la institución")</f>
        <v>Prestigio de la institución</v>
      </c>
      <c r="X277" s="1" t="str">
        <f>IFERROR(__xludf.DUMMYFUNCTION("""COMPUTED_VALUE"""),"-")</f>
        <v>-</v>
      </c>
      <c r="Y277" s="1" t="str">
        <f>IFERROR(__xludf.DUMMYFUNCTION("""COMPUTED_VALUE"""),"PAGO COMPLETO")</f>
        <v>PAGO COMPLETO</v>
      </c>
      <c r="Z277" s="1">
        <f>IFERROR(__xludf.DUMMYFUNCTION("""COMPUTED_VALUE"""),0.0)</f>
        <v>0</v>
      </c>
      <c r="AA277" s="1" t="str">
        <f>IFERROR(__xludf.DUMMYFUNCTION("""COMPUTED_VALUE"""),"-")</f>
        <v>-</v>
      </c>
      <c r="AB277" s="1">
        <f>IFERROR(__xludf.DUMMYFUNCTION("""COMPUTED_VALUE"""),0.0)</f>
        <v>0</v>
      </c>
      <c r="AC277" s="1">
        <f>IFERROR(__xludf.DUMMYFUNCTION("""COMPUTED_VALUE"""),0.0)</f>
        <v>0</v>
      </c>
      <c r="AD277" s="1" t="str">
        <f>IFERROR(__xludf.DUMMYFUNCTION("""COMPUTED_VALUE"""),"Andrea Araujo Antara")</f>
        <v>Andrea Araujo Antara</v>
      </c>
      <c r="AE277" s="1" t="str">
        <f>IFERROR(__xludf.DUMMYFUNCTION("""COMPUTED_VALUE"""),"0")</f>
        <v>0</v>
      </c>
      <c r="AF277" s="1">
        <f>IFERROR(__xludf.DUMMYFUNCTION("""COMPUTED_VALUE"""),2024.0)</f>
        <v>2024</v>
      </c>
      <c r="AG277" s="1">
        <f>IFERROR(__xludf.DUMMYFUNCTION("""COMPUTED_VALUE"""),1763101.0)</f>
        <v>1763101</v>
      </c>
      <c r="AH277" s="1">
        <f>IFERROR(__xludf.DUMMYFUNCTION("""COMPUTED_VALUE"""),17.0)</f>
        <v>17</v>
      </c>
      <c r="AI277" s="1" t="str">
        <f>IFERROR(__xludf.DUMMYFUNCTION("""COMPUTED_VALUE"""),"0000405842")</f>
        <v>0000405842</v>
      </c>
      <c r="AJ277" s="1">
        <f>IFERROR(__xludf.DUMMYFUNCTION("""COMPUTED_VALUE"""),6.1333981E7)</f>
        <v>61333981</v>
      </c>
      <c r="AK277" s="1">
        <f>IFERROR(__xludf.DUMMYFUNCTION("""COMPUTED_VALUE"""),9.75922304E8)</f>
        <v>975922304</v>
      </c>
      <c r="AL277" s="1" t="str">
        <f>IFERROR(__xludf.DUMMYFUNCTION("""COMPUTED_VALUE"""),"aquinoiglesiascarmensofia@gmail.com")</f>
        <v>aquinoiglesiascarmensofia@gmail.com</v>
      </c>
      <c r="AM277" s="1" t="str">
        <f>IFERROR(__xludf.DUMMYFUNCTION("""COMPUTED_VALUE"""),"FEMENINO")</f>
        <v>FEMENINO</v>
      </c>
      <c r="AN277" s="1">
        <f>IFERROR(__xludf.DUMMYFUNCTION("""COMPUTED_VALUE"""),1775.0)</f>
        <v>1775</v>
      </c>
      <c r="AO277" s="1">
        <f>IFERROR(__xludf.DUMMYFUNCTION("""COMPUTED_VALUE"""),480.0)</f>
        <v>480</v>
      </c>
      <c r="AP277" s="1" t="str">
        <f>IFERROR(__xludf.DUMMYFUNCTION("""COMPUTED_VALUE"""),"COLEGIOS")</f>
        <v>COLEGIOS</v>
      </c>
      <c r="AQ277" s="1" t="str">
        <f>IFERROR(__xludf.DUMMYFUNCTION("""COMPUTED_VALUE"""),"COLEGIOS")</f>
        <v>COLEGIOS</v>
      </c>
      <c r="AR277" s="1" t="str">
        <f>IFERROR(__xludf.DUMMYFUNCTION("""COMPUTED_VALUE"""),"NUEVO")</f>
        <v>NUEVO</v>
      </c>
      <c r="AS277" s="1"/>
      <c r="AT277" s="2">
        <f>IFERROR(__xludf.DUMMYFUNCTION("""COMPUTED_VALUE"""),45479.0)</f>
        <v>45479</v>
      </c>
      <c r="AU277" s="1">
        <f>IFERROR(__xludf.DUMMYFUNCTION("""COMPUTED_VALUE"""),1.0)</f>
        <v>1</v>
      </c>
      <c r="AV277" s="1" t="str">
        <f>IFERROR(__xludf.DUMMYFUNCTION("""COMPUTED_VALUE"""),"NUEVO")</f>
        <v>NUEVO</v>
      </c>
      <c r="AW277" s="1" t="str">
        <f>IFERROR(__xludf.DUMMYFUNCTION("""COMPUTED_VALUE"""),"SI")</f>
        <v>SI</v>
      </c>
      <c r="AX277" s="1"/>
      <c r="AY277" s="1" t="str">
        <f>IFERROR(__xludf.DUMMYFUNCTION("""COMPUTED_VALUE"""),"PAGO COMPLETO")</f>
        <v>PAGO COMPLETO</v>
      </c>
      <c r="AZ277" s="5">
        <f>IFERROR(__xludf.DUMMYFUNCTION("""COMPUTED_VALUE"""),45654.0)</f>
        <v>45654</v>
      </c>
      <c r="BA277" s="1">
        <f>IFERROR(__xludf.DUMMYFUNCTION("""COMPUTED_VALUE"""),0.0)</f>
        <v>0</v>
      </c>
      <c r="BB277" s="1">
        <f>IFERROR(__xludf.DUMMYFUNCTION("""COMPUTED_VALUE"""),0.0)</f>
        <v>0</v>
      </c>
      <c r="BC277" s="4">
        <f>IFERROR(__xludf.DUMMYFUNCTION("""COMPUTED_VALUE"""),0.0)</f>
        <v>0</v>
      </c>
      <c r="BD277" s="4">
        <f>IFERROR(__xludf.DUMMYFUNCTION("""COMPUTED_VALUE"""),0.0)</f>
        <v>0</v>
      </c>
      <c r="BE277" s="1">
        <f>IFERROR(__xludf.DUMMYFUNCTION("""COMPUTED_VALUE"""),12.0)</f>
        <v>12</v>
      </c>
      <c r="BF277" s="6">
        <f>IFERROR(__xludf.DUMMYFUNCTION("""COMPUTED_VALUE"""),1.0)</f>
        <v>1</v>
      </c>
      <c r="BG277" s="1">
        <f>IFERROR(__xludf.DUMMYFUNCTION("""COMPUTED_VALUE"""),1.0)</f>
        <v>1</v>
      </c>
      <c r="BH277" s="1" t="str">
        <f>IFERROR(__xludf.DUMMYFUNCTION("""COMPUTED_VALUE"""),"0")</f>
        <v>0</v>
      </c>
      <c r="BI277" s="4">
        <f>IFERROR(__xludf.DUMMYFUNCTION("""COMPUTED_VALUE"""),0.0)</f>
        <v>0</v>
      </c>
      <c r="BJ277" s="1">
        <f>IFERROR(__xludf.DUMMYFUNCTION("""COMPUTED_VALUE"""),0.0)</f>
        <v>0</v>
      </c>
      <c r="BK277" s="4">
        <f>IFERROR(__xludf.DUMMYFUNCTION("""COMPUTED_VALUE"""),0.0)</f>
        <v>0</v>
      </c>
      <c r="BL277" s="1">
        <f>IFERROR(__xludf.DUMMYFUNCTION("""COMPUTED_VALUE"""),1200.0)</f>
        <v>1200</v>
      </c>
      <c r="BM277" s="1">
        <f>IFERROR(__xludf.DUMMYFUNCTION("""COMPUTED_VALUE"""),52.0)</f>
        <v>52</v>
      </c>
      <c r="BN277" s="2">
        <f>IFERROR(__xludf.DUMMYFUNCTION("""COMPUTED_VALUE"""),45649.0)</f>
        <v>45649</v>
      </c>
      <c r="BO277" s="1">
        <f>IFERROR(__xludf.DUMMYFUNCTION("""COMPUTED_VALUE"""),12.0)</f>
        <v>12</v>
      </c>
      <c r="BP277" s="1">
        <f>IFERROR(__xludf.DUMMYFUNCTION("""COMPUTED_VALUE"""),2024.0)</f>
        <v>2024</v>
      </c>
    </row>
    <row r="278">
      <c r="A278" s="1">
        <f>IFERROR(__xludf.DUMMYFUNCTION("""COMPUTED_VALUE"""),277.0)</f>
        <v>277</v>
      </c>
      <c r="B278" s="1">
        <f>IFERROR(__xludf.DUMMYFUNCTION("""COMPUTED_VALUE"""),3364292.0)</f>
        <v>3364292</v>
      </c>
      <c r="C278" s="1" t="str">
        <f>IFERROR(__xludf.DUMMYFUNCTION("""COMPUTED_VALUE"""),"2025-1")</f>
        <v>2025-1</v>
      </c>
      <c r="D278" s="1" t="str">
        <f>IFERROR(__xludf.DUMMYFUNCTION("""COMPUTED_VALUE"""),"Admisión de Alto Rendimiento")</f>
        <v>Admisión de Alto Rendimiento</v>
      </c>
      <c r="E278" s="2">
        <f>IFERROR(__xludf.DUMMYFUNCTION("""COMPUTED_VALUE"""),45655.0)</f>
        <v>45655</v>
      </c>
      <c r="F278" s="1" t="str">
        <f>IFERROR(__xludf.DUMMYFUNCTION("""COMPUTED_VALUE"""),"MARYORI NICOL ")</f>
        <v>MARYORI NICOL </v>
      </c>
      <c r="G278" s="1" t="str">
        <f>IFERROR(__xludf.DUMMYFUNCTION("""COMPUTED_VALUE"""),"IRENE PAUCAR")</f>
        <v>IRENE PAUCAR</v>
      </c>
      <c r="H278" s="1" t="str">
        <f>IFERROR(__xludf.DUMMYFUNCTION("""COMPUTED_VALUE"""),"Comunicación")</f>
        <v>Comunicación</v>
      </c>
      <c r="I278" s="1" t="str">
        <f>IFERROR(__xludf.DUMMYFUNCTION("""COMPUTED_VALUE"""),"Pago Link")</f>
        <v>Pago Link</v>
      </c>
      <c r="J278" s="1" t="str">
        <f>IFERROR(__xludf.DUMMYFUNCTION("""COMPUTED_VALUE"""),"Diurno")</f>
        <v>Diurno</v>
      </c>
      <c r="K278" s="1" t="str">
        <f>IFERROR(__xludf.DUMMYFUNCTION("""COMPUTED_VALUE"""),"NUEVO")</f>
        <v>NUEVO</v>
      </c>
      <c r="L278" s="1">
        <f>IFERROR(__xludf.DUMMYFUNCTION("""COMPUTED_VALUE"""),0.0)</f>
        <v>0</v>
      </c>
      <c r="M278" s="1">
        <f>IFERROR(__xludf.DUMMYFUNCTION("""COMPUTED_VALUE"""),0.0)</f>
        <v>0</v>
      </c>
      <c r="N278" s="1" t="str">
        <f>IFERROR(__xludf.DUMMYFUNCTION("""COMPUTED_VALUE"""),"BECA")</f>
        <v>BECA</v>
      </c>
      <c r="O278" s="1" t="str">
        <f>IFERROR(__xludf.DUMMYFUNCTION("""COMPUTED_VALUE"""),"BECA CARRERAS CORE")</f>
        <v>BECA CARRERAS CORE</v>
      </c>
      <c r="P278" s="4">
        <f>IFERROR(__xludf.DUMMYFUNCTION("""COMPUTED_VALUE"""),125.0)</f>
        <v>125</v>
      </c>
      <c r="Q278" s="4">
        <f>IFERROR(__xludf.DUMMYFUNCTION("""COMPUTED_VALUE"""),237.5)</f>
        <v>237.5</v>
      </c>
      <c r="R278" s="4">
        <f>IFERROR(__xludf.DUMMYFUNCTION("""COMPUTED_VALUE"""),1150.0)</f>
        <v>1150</v>
      </c>
      <c r="S278" s="4">
        <f>IFERROR(__xludf.DUMMYFUNCTION("""COMPUTED_VALUE"""),1000.0)</f>
        <v>1000</v>
      </c>
      <c r="T278" s="1" t="str">
        <f>IFERROR(__xludf.DUMMYFUNCTION("""COMPUTED_VALUE"""),"PALANCA 700")</f>
        <v>PALANCA 700</v>
      </c>
      <c r="U278" s="1" t="str">
        <f>IFERROR(__xludf.DUMMYFUNCTION("""COMPUTED_VALUE"""),"FABIOLA")</f>
        <v>FABIOLA</v>
      </c>
      <c r="V278" s="1" t="str">
        <f>IFERROR(__xludf.DUMMYFUNCTION("""COMPUTED_VALUE"""),"Ninguno")</f>
        <v>Ninguno</v>
      </c>
      <c r="W278" s="1" t="str">
        <f>IFERROR(__xludf.DUMMYFUNCTION("""COMPUTED_VALUE"""),"Beca")</f>
        <v>Beca</v>
      </c>
      <c r="X278" s="1" t="str">
        <f>IFERROR(__xludf.DUMMYFUNCTION("""COMPUTED_VALUE"""),"BECA ELLA PAGA SUS ESTUDIOS // 3/12 solo pago su matricula de 237.50 paga su cuota el 30/12 alumna pagara primera boleta 700 y luego su beca de 1000 para las sigueintes cuotas")</f>
        <v>BECA ELLA PAGA SUS ESTUDIOS // 3/12 solo pago su matricula de 237.50 paga su cuota el 30/12 alumna pagara primera boleta 700 y luego su beca de 1000 para las sigueintes cuotas</v>
      </c>
      <c r="Y278" s="1" t="str">
        <f>IFERROR(__xludf.DUMMYFUNCTION("""COMPUTED_VALUE"""),"PAGO COMPLETO")</f>
        <v>PAGO COMPLETO</v>
      </c>
      <c r="Z278" s="1">
        <f>IFERROR(__xludf.DUMMYFUNCTION("""COMPUTED_VALUE"""),0.0)</f>
        <v>0</v>
      </c>
      <c r="AA278" s="1" t="str">
        <f>IFERROR(__xludf.DUMMYFUNCTION("""COMPUTED_VALUE"""),"30/12/2024")</f>
        <v>30/12/2024</v>
      </c>
      <c r="AB278" s="1">
        <f>IFERROR(__xludf.DUMMYFUNCTION("""COMPUTED_VALUE"""),0.0)</f>
        <v>0</v>
      </c>
      <c r="AC278" s="1">
        <f>IFERROR(__xludf.DUMMYFUNCTION("""COMPUTED_VALUE"""),0.0)</f>
        <v>0</v>
      </c>
      <c r="AD278" s="1" t="str">
        <f>IFERROR(__xludf.DUMMYFUNCTION("""COMPUTED_VALUE"""),"Cinthia Mariella Orosco")</f>
        <v>Cinthia Mariella Orosco</v>
      </c>
      <c r="AE278" s="1" t="str">
        <f>IFERROR(__xludf.DUMMYFUNCTION("""COMPUTED_VALUE"""),"0")</f>
        <v>0</v>
      </c>
      <c r="AF278" s="1">
        <f>IFERROR(__xludf.DUMMYFUNCTION("""COMPUTED_VALUE"""),2020.0)</f>
        <v>2020</v>
      </c>
      <c r="AG278" s="1">
        <f>IFERROR(__xludf.DUMMYFUNCTION("""COMPUTED_VALUE"""),1381219.0)</f>
        <v>1381219</v>
      </c>
      <c r="AH278" s="1">
        <f>IFERROR(__xludf.DUMMYFUNCTION("""COMPUTED_VALUE"""),23.0)</f>
        <v>23</v>
      </c>
      <c r="AI278" s="1" t="str">
        <f>IFERROR(__xludf.DUMMYFUNCTION("""COMPUTED_VALUE"""),"2020007717")</f>
        <v>2020007717</v>
      </c>
      <c r="AJ278" s="1">
        <f>IFERROR(__xludf.DUMMYFUNCTION("""COMPUTED_VALUE"""),7.469829E7)</f>
        <v>74698290</v>
      </c>
      <c r="AK278" s="1">
        <f>IFERROR(__xludf.DUMMYFUNCTION("""COMPUTED_VALUE"""),9.6779328E8)</f>
        <v>967793280</v>
      </c>
      <c r="AL278" s="1" t="str">
        <f>IFERROR(__xludf.DUMMYFUNCTION("""COMPUTED_VALUE"""),"nicolirenepaucar@gmail.com")</f>
        <v>nicolirenepaucar@gmail.com</v>
      </c>
      <c r="AM278" s="1" t="str">
        <f>IFERROR(__xludf.DUMMYFUNCTION("""COMPUTED_VALUE"""),"FEMENINO")</f>
        <v>FEMENINO</v>
      </c>
      <c r="AN278" s="1">
        <f>IFERROR(__xludf.DUMMYFUNCTION("""COMPUTED_VALUE"""),1350.0)</f>
        <v>1350</v>
      </c>
      <c r="AO278" s="1">
        <f>IFERROR(__xludf.DUMMYFUNCTION("""COMPUTED_VALUE"""),0.0)</f>
        <v>0</v>
      </c>
      <c r="AP278" s="1" t="str">
        <f>IFERROR(__xludf.DUMMYFUNCTION("""COMPUTED_VALUE"""),"BIDIRECCIONAL")</f>
        <v>BIDIRECCIONAL</v>
      </c>
      <c r="AQ278" s="1" t="str">
        <f>IFERROR(__xludf.DUMMYFUNCTION("""COMPUTED_VALUE"""),"ORGANICO")</f>
        <v>ORGANICO</v>
      </c>
      <c r="AR278" s="1" t="str">
        <f>IFERROR(__xludf.DUMMYFUNCTION("""COMPUTED_VALUE"""),"NUEVO")</f>
        <v>NUEVO</v>
      </c>
      <c r="AS278" s="1"/>
      <c r="AT278" s="2">
        <f>IFERROR(__xludf.DUMMYFUNCTION("""COMPUTED_VALUE"""),45591.0)</f>
        <v>45591</v>
      </c>
      <c r="AU278" s="1">
        <f>IFERROR(__xludf.DUMMYFUNCTION("""COMPUTED_VALUE"""),1.0)</f>
        <v>1</v>
      </c>
      <c r="AV278" s="1" t="str">
        <f>IFERROR(__xludf.DUMMYFUNCTION("""COMPUTED_VALUE"""),"NUEVO")</f>
        <v>NUEVO</v>
      </c>
      <c r="AW278" s="1" t="str">
        <f>IFERROR(__xludf.DUMMYFUNCTION("""COMPUTED_VALUE"""),"SI")</f>
        <v>SI</v>
      </c>
      <c r="AX278" s="1"/>
      <c r="AY278" s="1" t="str">
        <f>IFERROR(__xludf.DUMMYFUNCTION("""COMPUTED_VALUE"""),"PAGO COMPLETO")</f>
        <v>PAGO COMPLETO</v>
      </c>
      <c r="AZ278" s="5">
        <f>IFERROR(__xludf.DUMMYFUNCTION("""COMPUTED_VALUE"""),45655.0)</f>
        <v>45655</v>
      </c>
      <c r="BA278" s="1">
        <f>IFERROR(__xludf.DUMMYFUNCTION("""COMPUTED_VALUE"""),700.0)</f>
        <v>700</v>
      </c>
      <c r="BB278" s="1">
        <f>IFERROR(__xludf.DUMMYFUNCTION("""COMPUTED_VALUE"""),0.0)</f>
        <v>0</v>
      </c>
      <c r="BC278" s="4">
        <f>IFERROR(__xludf.DUMMYFUNCTION("""COMPUTED_VALUE"""),0.0)</f>
        <v>0</v>
      </c>
      <c r="BD278" s="4">
        <f>IFERROR(__xludf.DUMMYFUNCTION("""COMPUTED_VALUE"""),300.0)</f>
        <v>300</v>
      </c>
      <c r="BE278" s="1">
        <f>IFERROR(__xludf.DUMMYFUNCTION("""COMPUTED_VALUE"""),12.0)</f>
        <v>12</v>
      </c>
      <c r="BF278" s="6">
        <f>IFERROR(__xludf.DUMMYFUNCTION("""COMPUTED_VALUE"""),1.0)</f>
        <v>1</v>
      </c>
      <c r="BG278" s="1">
        <f>IFERROR(__xludf.DUMMYFUNCTION("""COMPUTED_VALUE"""),1.0)</f>
        <v>1</v>
      </c>
      <c r="BH278" s="1" t="str">
        <f>IFERROR(__xludf.DUMMYFUNCTION("""COMPUTED_VALUE"""),"0")</f>
        <v>0</v>
      </c>
      <c r="BI278" s="4">
        <f>IFERROR(__xludf.DUMMYFUNCTION("""COMPUTED_VALUE"""),1000.0)</f>
        <v>1000</v>
      </c>
      <c r="BJ278" s="1">
        <f>IFERROR(__xludf.DUMMYFUNCTION("""COMPUTED_VALUE"""),0.0)</f>
        <v>0</v>
      </c>
      <c r="BK278" s="4">
        <f>IFERROR(__xludf.DUMMYFUNCTION("""COMPUTED_VALUE"""),300.0)</f>
        <v>300</v>
      </c>
      <c r="BL278" s="1">
        <f>IFERROR(__xludf.DUMMYFUNCTION("""COMPUTED_VALUE"""),940.0)</f>
        <v>940</v>
      </c>
      <c r="BM278" s="1">
        <f>IFERROR(__xludf.DUMMYFUNCTION("""COMPUTED_VALUE"""),52.0)</f>
        <v>52</v>
      </c>
      <c r="BN278" s="2">
        <f>IFERROR(__xludf.DUMMYFUNCTION("""COMPUTED_VALUE"""),45649.0)</f>
        <v>45649</v>
      </c>
      <c r="BO278" s="1">
        <f>IFERROR(__xludf.DUMMYFUNCTION("""COMPUTED_VALUE"""),12.0)</f>
        <v>12</v>
      </c>
      <c r="BP278" s="1">
        <f>IFERROR(__xludf.DUMMYFUNCTION("""COMPUTED_VALUE"""),2024.0)</f>
        <v>2024</v>
      </c>
    </row>
    <row r="279">
      <c r="A279" s="1">
        <f>IFERROR(__xludf.DUMMYFUNCTION("""COMPUTED_VALUE"""),278.0)</f>
        <v>278</v>
      </c>
      <c r="B279" s="1">
        <f>IFERROR(__xludf.DUMMYFUNCTION("""COMPUTED_VALUE"""),4778940.0)</f>
        <v>4778940</v>
      </c>
      <c r="C279" s="1" t="str">
        <f>IFERROR(__xludf.DUMMYFUNCTION("""COMPUTED_VALUE"""),"2025-1")</f>
        <v>2025-1</v>
      </c>
      <c r="D279" s="1" t="str">
        <f>IFERROR(__xludf.DUMMYFUNCTION("""COMPUTED_VALUE"""),"Admisión de Alto Rendimiento")</f>
        <v>Admisión de Alto Rendimiento</v>
      </c>
      <c r="E279" s="2">
        <f>IFERROR(__xludf.DUMMYFUNCTION("""COMPUTED_VALUE"""),45655.0)</f>
        <v>45655</v>
      </c>
      <c r="F279" s="1" t="str">
        <f>IFERROR(__xludf.DUMMYFUNCTION("""COMPUTED_VALUE"""),"D'ALESSANDRO YANDEL")</f>
        <v>D'ALESSANDRO YANDEL</v>
      </c>
      <c r="G279" s="1" t="str">
        <f>IFERROR(__xludf.DUMMYFUNCTION("""COMPUTED_VALUE"""),"JARA SARABIA	")</f>
        <v>JARA SARABIA	</v>
      </c>
      <c r="H279" s="1" t="str">
        <f>IFERROR(__xludf.DUMMYFUNCTION("""COMPUTED_VALUE"""),"Psicología")</f>
        <v>Psicología</v>
      </c>
      <c r="I279" s="1" t="str">
        <f>IFERROR(__xludf.DUMMYFUNCTION("""COMPUTED_VALUE"""),"CARGO")</f>
        <v>CARGO</v>
      </c>
      <c r="J279" s="1" t="str">
        <f>IFERROR(__xludf.DUMMYFUNCTION("""COMPUTED_VALUE"""),"Diurno")</f>
        <v>Diurno</v>
      </c>
      <c r="K279" s="1" t="str">
        <f>IFERROR(__xludf.DUMMYFUNCTION("""COMPUTED_VALUE"""),"NUEVO")</f>
        <v>NUEVO</v>
      </c>
      <c r="L279" s="1">
        <f>IFERROR(__xludf.DUMMYFUNCTION("""COMPUTED_VALUE"""),0.0)</f>
        <v>0</v>
      </c>
      <c r="M279" s="1">
        <f>IFERROR(__xludf.DUMMYFUNCTION("""COMPUTED_VALUE"""),0.0)</f>
        <v>0</v>
      </c>
      <c r="N279" s="1" t="str">
        <f>IFERROR(__xludf.DUMMYFUNCTION("""COMPUTED_VALUE"""),"BECA")</f>
        <v>BECA</v>
      </c>
      <c r="O279" s="1" t="str">
        <f>IFERROR(__xludf.DUMMYFUNCTION("""COMPUTED_VALUE"""),"BECA RECUPERO")</f>
        <v>BECA RECUPERO</v>
      </c>
      <c r="P279" s="4">
        <f>IFERROR(__xludf.DUMMYFUNCTION("""COMPUTED_VALUE"""),0.0)</f>
        <v>0</v>
      </c>
      <c r="Q279" s="4">
        <f>IFERROR(__xludf.DUMMYFUNCTION("""COMPUTED_VALUE"""),0.0)</f>
        <v>0</v>
      </c>
      <c r="R279" s="4">
        <f>IFERROR(__xludf.DUMMYFUNCTION("""COMPUTED_VALUE"""),1075.0)</f>
        <v>1075</v>
      </c>
      <c r="S279" s="4">
        <f>IFERROR(__xludf.DUMMYFUNCTION("""COMPUTED_VALUE"""),900.0)</f>
        <v>900</v>
      </c>
      <c r="T279" s="1" t="str">
        <f>IFERROR(__xludf.DUMMYFUNCTION("""COMPUTED_VALUE"""),"PALANCA 500 - Referido")</f>
        <v>PALANCA 500 - Referido</v>
      </c>
      <c r="U279" s="1" t="str">
        <f>IFERROR(__xludf.DUMMYFUNCTION("""COMPUTED_VALUE"""),"FABIOLA")</f>
        <v>FABIOLA</v>
      </c>
      <c r="V279" s="1" t="str">
        <f>IFERROR(__xludf.DUMMYFUNCTION("""COMPUTED_VALUE"""),"Ninguno")</f>
        <v>Ninguno</v>
      </c>
      <c r="W279" s="1" t="str">
        <f>IFERROR(__xludf.DUMMYFUNCTION("""COMPUTED_VALUE"""),"Beca")</f>
        <v>Beca</v>
      </c>
      <c r="X279" s="1" t="str">
        <f>IFERROR(__xludf.DUMMYFUNCTION("""COMPUTED_VALUE"""),"Beneficio del 50% en la última boleta fue referido de Camila Cajan")</f>
        <v>Beneficio del 50% en la última boleta fue referido de Camila Cajan</v>
      </c>
      <c r="Y279" s="1" t="str">
        <f>IFERROR(__xludf.DUMMYFUNCTION("""COMPUTED_VALUE"""),"PAGO COMPLETO")</f>
        <v>PAGO COMPLETO</v>
      </c>
      <c r="Z279" s="1">
        <f>IFERROR(__xludf.DUMMYFUNCTION("""COMPUTED_VALUE"""),0.0)</f>
        <v>0</v>
      </c>
      <c r="AA279" s="1" t="str">
        <f>IFERROR(__xludf.DUMMYFUNCTION("""COMPUTED_VALUE"""),"-")</f>
        <v>-</v>
      </c>
      <c r="AB279" s="1">
        <f>IFERROR(__xludf.DUMMYFUNCTION("""COMPUTED_VALUE"""),0.0)</f>
        <v>0</v>
      </c>
      <c r="AC279" s="1">
        <f>IFERROR(__xludf.DUMMYFUNCTION("""COMPUTED_VALUE"""),0.0)</f>
        <v>0</v>
      </c>
      <c r="AD279" s="1" t="str">
        <f>IFERROR(__xludf.DUMMYFUNCTION("""COMPUTED_VALUE"""),"Fiorella Lanegra")</f>
        <v>Fiorella Lanegra</v>
      </c>
      <c r="AE279" s="1" t="str">
        <f>IFERROR(__xludf.DUMMYFUNCTION("""COMPUTED_VALUE"""),"0")</f>
        <v>0</v>
      </c>
      <c r="AF279" s="1">
        <f>IFERROR(__xludf.DUMMYFUNCTION("""COMPUTED_VALUE"""),2024.0)</f>
        <v>2024</v>
      </c>
      <c r="AG279" s="1">
        <f>IFERROR(__xludf.DUMMYFUNCTION("""COMPUTED_VALUE"""),1082874.0)</f>
        <v>1082874</v>
      </c>
      <c r="AH279" s="1">
        <f>IFERROR(__xludf.DUMMYFUNCTION("""COMPUTED_VALUE"""),17.0)</f>
        <v>17</v>
      </c>
      <c r="AI279" s="1" t="str">
        <f>IFERROR(__xludf.DUMMYFUNCTION("""COMPUTED_VALUE"""),"0000405879")</f>
        <v>0000405879</v>
      </c>
      <c r="AJ279" s="1">
        <f>IFERROR(__xludf.DUMMYFUNCTION("""COMPUTED_VALUE"""),6.1033189E7)</f>
        <v>61033189</v>
      </c>
      <c r="AK279" s="1">
        <f>IFERROR(__xludf.DUMMYFUNCTION("""COMPUTED_VALUE"""),9.69067427E8)</f>
        <v>969067427</v>
      </c>
      <c r="AL279" s="1" t="str">
        <f>IFERROR(__xludf.DUMMYFUNCTION("""COMPUTED_VALUE"""),"alessandrojara6@gmail.com")</f>
        <v>alessandrojara6@gmail.com</v>
      </c>
      <c r="AM279" s="1" t="str">
        <f>IFERROR(__xludf.DUMMYFUNCTION("""COMPUTED_VALUE"""),"MASCULINO")</f>
        <v>MASCULINO</v>
      </c>
      <c r="AN279" s="1">
        <f>IFERROR(__xludf.DUMMYFUNCTION("""COMPUTED_VALUE"""),1775.0)</f>
        <v>1775</v>
      </c>
      <c r="AO279" s="1">
        <f>IFERROR(__xludf.DUMMYFUNCTION("""COMPUTED_VALUE"""),480.0)</f>
        <v>480</v>
      </c>
      <c r="AP279" s="1" t="str">
        <f>IFERROR(__xludf.DUMMYFUNCTION("""COMPUTED_VALUE"""),"COLEGIOS")</f>
        <v>COLEGIOS</v>
      </c>
      <c r="AQ279" s="1" t="str">
        <f>IFERROR(__xludf.DUMMYFUNCTION("""COMPUTED_VALUE"""),"COLEGIOS")</f>
        <v>COLEGIOS</v>
      </c>
      <c r="AR279" s="1" t="str">
        <f>IFERROR(__xludf.DUMMYFUNCTION("""COMPUTED_VALUE"""),"NUEVO")</f>
        <v>NUEVO</v>
      </c>
      <c r="AS279" s="1"/>
      <c r="AT279" s="2">
        <f>IFERROR(__xludf.DUMMYFUNCTION("""COMPUTED_VALUE"""),45562.0)</f>
        <v>45562</v>
      </c>
      <c r="AU279" s="1">
        <f>IFERROR(__xludf.DUMMYFUNCTION("""COMPUTED_VALUE"""),1.0)</f>
        <v>1</v>
      </c>
      <c r="AV279" s="1" t="str">
        <f>IFERROR(__xludf.DUMMYFUNCTION("""COMPUTED_VALUE"""),"NUEVO")</f>
        <v>NUEVO</v>
      </c>
      <c r="AW279" s="1" t="str">
        <f>IFERROR(__xludf.DUMMYFUNCTION("""COMPUTED_VALUE"""),"SI")</f>
        <v>SI</v>
      </c>
      <c r="AX279" s="1"/>
      <c r="AY279" s="1" t="str">
        <f>IFERROR(__xludf.DUMMYFUNCTION("""COMPUTED_VALUE"""),"PAGO COMPLETO")</f>
        <v>PAGO COMPLETO</v>
      </c>
      <c r="AZ279" s="5">
        <f>IFERROR(__xludf.DUMMYFUNCTION("""COMPUTED_VALUE"""),45655.0)</f>
        <v>45655</v>
      </c>
      <c r="BA279" s="1">
        <f>IFERROR(__xludf.DUMMYFUNCTION("""COMPUTED_VALUE"""),0.0)</f>
        <v>0</v>
      </c>
      <c r="BB279" s="1">
        <f>IFERROR(__xludf.DUMMYFUNCTION("""COMPUTED_VALUE"""),0.0)</f>
        <v>0</v>
      </c>
      <c r="BC279" s="4">
        <f>IFERROR(__xludf.DUMMYFUNCTION("""COMPUTED_VALUE"""),0.0)</f>
        <v>0</v>
      </c>
      <c r="BD279" s="4">
        <f>IFERROR(__xludf.DUMMYFUNCTION("""COMPUTED_VALUE"""),400.0)</f>
        <v>400</v>
      </c>
      <c r="BE279" s="1">
        <f>IFERROR(__xludf.DUMMYFUNCTION("""COMPUTED_VALUE"""),12.0)</f>
        <v>12</v>
      </c>
      <c r="BF279" s="6">
        <f>IFERROR(__xludf.DUMMYFUNCTION("""COMPUTED_VALUE"""),1.0)</f>
        <v>1</v>
      </c>
      <c r="BG279" s="1">
        <f>IFERROR(__xludf.DUMMYFUNCTION("""COMPUTED_VALUE"""),1.0)</f>
        <v>1</v>
      </c>
      <c r="BH279" s="1" t="str">
        <f>IFERROR(__xludf.DUMMYFUNCTION("""COMPUTED_VALUE"""),"0")</f>
        <v>0</v>
      </c>
      <c r="BI279" s="4">
        <f>IFERROR(__xludf.DUMMYFUNCTION("""COMPUTED_VALUE"""),400.0)</f>
        <v>400</v>
      </c>
      <c r="BJ279" s="1">
        <f>IFERROR(__xludf.DUMMYFUNCTION("""COMPUTED_VALUE"""),0.0)</f>
        <v>0</v>
      </c>
      <c r="BK279" s="4">
        <f>IFERROR(__xludf.DUMMYFUNCTION("""COMPUTED_VALUE"""),850.0)</f>
        <v>850</v>
      </c>
      <c r="BL279" s="1">
        <f>IFERROR(__xludf.DUMMYFUNCTION("""COMPUTED_VALUE"""),730.0)</f>
        <v>730</v>
      </c>
      <c r="BM279" s="1">
        <f>IFERROR(__xludf.DUMMYFUNCTION("""COMPUTED_VALUE"""),52.0)</f>
        <v>52</v>
      </c>
      <c r="BN279" s="2">
        <f>IFERROR(__xludf.DUMMYFUNCTION("""COMPUTED_VALUE"""),45649.0)</f>
        <v>45649</v>
      </c>
      <c r="BO279" s="1">
        <f>IFERROR(__xludf.DUMMYFUNCTION("""COMPUTED_VALUE"""),12.0)</f>
        <v>12</v>
      </c>
      <c r="BP279" s="1">
        <f>IFERROR(__xludf.DUMMYFUNCTION("""COMPUTED_VALUE"""),2024.0)</f>
        <v>2024</v>
      </c>
    </row>
    <row r="280">
      <c r="A280" s="1">
        <f>IFERROR(__xludf.DUMMYFUNCTION("""COMPUTED_VALUE"""),279.0)</f>
        <v>279</v>
      </c>
      <c r="B280" s="1">
        <f>IFERROR(__xludf.DUMMYFUNCTION("""COMPUTED_VALUE"""),4832642.0)</f>
        <v>4832642</v>
      </c>
      <c r="C280" s="1" t="str">
        <f>IFERROR(__xludf.DUMMYFUNCTION("""COMPUTED_VALUE"""),"2025-1")</f>
        <v>2025-1</v>
      </c>
      <c r="D280" s="1" t="str">
        <f>IFERROR(__xludf.DUMMYFUNCTION("""COMPUTED_VALUE"""),"Admisión Ordinaria")</f>
        <v>Admisión Ordinaria</v>
      </c>
      <c r="E280" s="2">
        <f>IFERROR(__xludf.DUMMYFUNCTION("""COMPUTED_VALUE"""),45655.0)</f>
        <v>45655</v>
      </c>
      <c r="F280" s="1" t="str">
        <f>IFERROR(__xludf.DUMMYFUNCTION("""COMPUTED_VALUE"""),"KORIANCA")</f>
        <v>KORIANCA</v>
      </c>
      <c r="G280" s="1" t="str">
        <f>IFERROR(__xludf.DUMMYFUNCTION("""COMPUTED_VALUE"""),"ALTEZ ESPINOZA")</f>
        <v>ALTEZ ESPINOZA</v>
      </c>
      <c r="H280" s="1" t="str">
        <f>IFERROR(__xludf.DUMMYFUNCTION("""COMPUTED_VALUE"""),"Administración")</f>
        <v>Administración</v>
      </c>
      <c r="I280" s="1" t="str">
        <f>IFERROR(__xludf.DUMMYFUNCTION("""COMPUTED_VALUE"""),"Pago Link")</f>
        <v>Pago Link</v>
      </c>
      <c r="J280" s="1" t="str">
        <f>IFERROR(__xludf.DUMMYFUNCTION("""COMPUTED_VALUE"""),"Diurno")</f>
        <v>Diurno</v>
      </c>
      <c r="K280" s="1" t="str">
        <f>IFERROR(__xludf.DUMMYFUNCTION("""COMPUTED_VALUE"""),"NUEVO")</f>
        <v>NUEVO</v>
      </c>
      <c r="L280" s="1">
        <f>IFERROR(__xludf.DUMMYFUNCTION("""COMPUTED_VALUE"""),0.0)</f>
        <v>0</v>
      </c>
      <c r="M280" s="1">
        <f>IFERROR(__xludf.DUMMYFUNCTION("""COMPUTED_VALUE"""),0.0)</f>
        <v>0</v>
      </c>
      <c r="N280" s="1" t="str">
        <f>IFERROR(__xludf.DUMMYFUNCTION("""COMPUTED_VALUE"""),"BECA")</f>
        <v>BECA</v>
      </c>
      <c r="O280" s="1" t="str">
        <f>IFERROR(__xludf.DUMMYFUNCTION("""COMPUTED_VALUE"""),"BECA CARRERAS NUEVAS")</f>
        <v>BECA CARRERAS NUEVAS</v>
      </c>
      <c r="P280" s="4">
        <f>IFERROR(__xludf.DUMMYFUNCTION("""COMPUTED_VALUE"""),0.0)</f>
        <v>0</v>
      </c>
      <c r="Q280" s="4">
        <f>IFERROR(__xludf.DUMMYFUNCTION("""COMPUTED_VALUE"""),0.0)</f>
        <v>0</v>
      </c>
      <c r="R280" s="4">
        <f>IFERROR(__xludf.DUMMYFUNCTION("""COMPUTED_VALUE"""),1150.0)</f>
        <v>1150</v>
      </c>
      <c r="S280" s="4">
        <f>IFERROR(__xludf.DUMMYFUNCTION("""COMPUTED_VALUE"""),850.0)</f>
        <v>850</v>
      </c>
      <c r="T280" s="1" t="str">
        <f>IFERROR(__xludf.DUMMYFUNCTION("""COMPUTED_VALUE"""),"PALANCA 700")</f>
        <v>PALANCA 700</v>
      </c>
      <c r="U280" s="1" t="str">
        <f>IFERROR(__xludf.DUMMYFUNCTION("""COMPUTED_VALUE"""),"FABIOLA")</f>
        <v>FABIOLA</v>
      </c>
      <c r="V280" s="1" t="str">
        <f>IFERROR(__xludf.DUMMYFUNCTION("""COMPUTED_VALUE"""),"Ninguno")</f>
        <v>Ninguno</v>
      </c>
      <c r="W280" s="1" t="str">
        <f>IFERROR(__xludf.DUMMYFUNCTION("""COMPUTED_VALUE"""),"Equipos e instalaciones")</f>
        <v>Equipos e instalaciones</v>
      </c>
      <c r="X280" s="1" t="str">
        <f>IFERROR(__xludf.DUMMYFUNCTION("""COMPUTED_VALUE"""),"pago 700 primera cuota luego beca de 850")</f>
        <v>pago 700 primera cuota luego beca de 850</v>
      </c>
      <c r="Y280" s="1" t="str">
        <f>IFERROR(__xludf.DUMMYFUNCTION("""COMPUTED_VALUE"""),"PAGO COMPLETO")</f>
        <v>PAGO COMPLETO</v>
      </c>
      <c r="Z280" s="1">
        <f>IFERROR(__xludf.DUMMYFUNCTION("""COMPUTED_VALUE"""),0.0)</f>
        <v>0</v>
      </c>
      <c r="AA280" s="1" t="str">
        <f>IFERROR(__xludf.DUMMYFUNCTION("""COMPUTED_VALUE"""),"-")</f>
        <v>-</v>
      </c>
      <c r="AB280" s="1">
        <f>IFERROR(__xludf.DUMMYFUNCTION("""COMPUTED_VALUE"""),0.0)</f>
        <v>0</v>
      </c>
      <c r="AC280" s="1">
        <f>IFERROR(__xludf.DUMMYFUNCTION("""COMPUTED_VALUE"""),0.0)</f>
        <v>0</v>
      </c>
      <c r="AD280" s="1" t="str">
        <f>IFERROR(__xludf.DUMMYFUNCTION("""COMPUTED_VALUE"""),"César Alberto Loayza Gutiérrez")</f>
        <v>César Alberto Loayza Gutiérrez</v>
      </c>
      <c r="AE280" s="1" t="str">
        <f>IFERROR(__xludf.DUMMYFUNCTION("""COMPUTED_VALUE"""),"0")</f>
        <v>0</v>
      </c>
      <c r="AF280" s="1">
        <f>IFERROR(__xludf.DUMMYFUNCTION("""COMPUTED_VALUE"""),2024.0)</f>
        <v>2024</v>
      </c>
      <c r="AG280" s="1">
        <f>IFERROR(__xludf.DUMMYFUNCTION("""COMPUTED_VALUE"""),692434.0)</f>
        <v>692434</v>
      </c>
      <c r="AH280" s="1">
        <f>IFERROR(__xludf.DUMMYFUNCTION("""COMPUTED_VALUE"""),16.0)</f>
        <v>16</v>
      </c>
      <c r="AI280" s="1" t="str">
        <f>IFERROR(__xludf.DUMMYFUNCTION("""COMPUTED_VALUE"""),"0000405956")</f>
        <v>0000405956</v>
      </c>
      <c r="AJ280" s="1">
        <f>IFERROR(__xludf.DUMMYFUNCTION("""COMPUTED_VALUE"""),7.1157245E7)</f>
        <v>71157245</v>
      </c>
      <c r="AK280" s="1">
        <f>IFERROR(__xludf.DUMMYFUNCTION("""COMPUTED_VALUE"""),9.42192926E8)</f>
        <v>942192926</v>
      </c>
      <c r="AL280" s="1" t="str">
        <f>IFERROR(__xludf.DUMMYFUNCTION("""COMPUTED_VALUE"""),"koriancaaltez@gmail.com")</f>
        <v>koriancaaltez@gmail.com</v>
      </c>
      <c r="AM280" s="1" t="str">
        <f>IFERROR(__xludf.DUMMYFUNCTION("""COMPUTED_VALUE"""),"FEMENINO")</f>
        <v>FEMENINO</v>
      </c>
      <c r="AN280" s="1">
        <f>IFERROR(__xludf.DUMMYFUNCTION("""COMPUTED_VALUE"""),1350.0)</f>
        <v>1350</v>
      </c>
      <c r="AO280" s="1">
        <f>IFERROR(__xludf.DUMMYFUNCTION("""COMPUTED_VALUE"""),0.0)</f>
        <v>0</v>
      </c>
      <c r="AP280" s="1" t="str">
        <f>IFERROR(__xludf.DUMMYFUNCTION("""COMPUTED_VALUE"""),"FORMULARIO")</f>
        <v>FORMULARIO</v>
      </c>
      <c r="AQ280" s="1" t="str">
        <f>IFERROR(__xludf.DUMMYFUNCTION("""COMPUTED_VALUE"""),"SEARCH MARCA")</f>
        <v>SEARCH MARCA</v>
      </c>
      <c r="AR280" s="1" t="str">
        <f>IFERROR(__xludf.DUMMYFUNCTION("""COMPUTED_VALUE"""),"NUEVO")</f>
        <v>NUEVO</v>
      </c>
      <c r="AS280" s="1" t="str">
        <f>IFERROR(__xludf.DUMMYFUNCTION("""COMPUTED_VALUE"""),"ucal-pg-performance-sedes-abierta-cpl-search_conversion_marca-20240401")</f>
        <v>ucal-pg-performance-sedes-abierta-cpl-search_conversion_marca-20240401</v>
      </c>
      <c r="AT280" s="2">
        <f>IFERROR(__xludf.DUMMYFUNCTION("""COMPUTED_VALUE"""),45624.0)</f>
        <v>45624</v>
      </c>
      <c r="AU280" s="1">
        <f>IFERROR(__xludf.DUMMYFUNCTION("""COMPUTED_VALUE"""),1.0)</f>
        <v>1</v>
      </c>
      <c r="AV280" s="1" t="str">
        <f>IFERROR(__xludf.DUMMYFUNCTION("""COMPUTED_VALUE"""),"NUEVO")</f>
        <v>NUEVO</v>
      </c>
      <c r="AW280" s="1" t="str">
        <f>IFERROR(__xludf.DUMMYFUNCTION("""COMPUTED_VALUE"""),"SI")</f>
        <v>SI</v>
      </c>
      <c r="AX280" s="1"/>
      <c r="AY280" s="1" t="str">
        <f>IFERROR(__xludf.DUMMYFUNCTION("""COMPUTED_VALUE"""),"PAGO COMPLETO")</f>
        <v>PAGO COMPLETO</v>
      </c>
      <c r="AZ280" s="5">
        <f>IFERROR(__xludf.DUMMYFUNCTION("""COMPUTED_VALUE"""),45655.0)</f>
        <v>45655</v>
      </c>
      <c r="BA280" s="1">
        <f>IFERROR(__xludf.DUMMYFUNCTION("""COMPUTED_VALUE"""),0.0)</f>
        <v>0</v>
      </c>
      <c r="BB280" s="1">
        <f>IFERROR(__xludf.DUMMYFUNCTION("""COMPUTED_VALUE"""),0.0)</f>
        <v>0</v>
      </c>
      <c r="BC280" s="4">
        <f>IFERROR(__xludf.DUMMYFUNCTION("""COMPUTED_VALUE"""),0.0)</f>
        <v>0</v>
      </c>
      <c r="BD280" s="4">
        <f>IFERROR(__xludf.DUMMYFUNCTION("""COMPUTED_VALUE"""),150.0)</f>
        <v>150</v>
      </c>
      <c r="BE280" s="1">
        <f>IFERROR(__xludf.DUMMYFUNCTION("""COMPUTED_VALUE"""),12.0)</f>
        <v>12</v>
      </c>
      <c r="BF280" s="6">
        <f>IFERROR(__xludf.DUMMYFUNCTION("""COMPUTED_VALUE"""),1.0)</f>
        <v>1</v>
      </c>
      <c r="BG280" s="1">
        <f>IFERROR(__xludf.DUMMYFUNCTION("""COMPUTED_VALUE"""),1.0)</f>
        <v>1</v>
      </c>
      <c r="BH280" s="1" t="str">
        <f>IFERROR(__xludf.DUMMYFUNCTION("""COMPUTED_VALUE"""),"0")</f>
        <v>0</v>
      </c>
      <c r="BI280" s="4">
        <f>IFERROR(__xludf.DUMMYFUNCTION("""COMPUTED_VALUE"""),150.0)</f>
        <v>150</v>
      </c>
      <c r="BJ280" s="1">
        <f>IFERROR(__xludf.DUMMYFUNCTION("""COMPUTED_VALUE"""),0.0)</f>
        <v>0</v>
      </c>
      <c r="BK280" s="4">
        <f>IFERROR(__xludf.DUMMYFUNCTION("""COMPUTED_VALUE"""),150.0)</f>
        <v>150</v>
      </c>
      <c r="BL280" s="1">
        <f>IFERROR(__xludf.DUMMYFUNCTION("""COMPUTED_VALUE"""),820.0)</f>
        <v>820</v>
      </c>
      <c r="BM280" s="1">
        <f>IFERROR(__xludf.DUMMYFUNCTION("""COMPUTED_VALUE"""),52.0)</f>
        <v>52</v>
      </c>
      <c r="BN280" s="2">
        <f>IFERROR(__xludf.DUMMYFUNCTION("""COMPUTED_VALUE"""),45649.0)</f>
        <v>45649</v>
      </c>
      <c r="BO280" s="1">
        <f>IFERROR(__xludf.DUMMYFUNCTION("""COMPUTED_VALUE"""),12.0)</f>
        <v>12</v>
      </c>
      <c r="BP280" s="1">
        <f>IFERROR(__xludf.DUMMYFUNCTION("""COMPUTED_VALUE"""),2024.0)</f>
        <v>2024</v>
      </c>
    </row>
    <row r="281">
      <c r="A281" s="1">
        <f>IFERROR(__xludf.DUMMYFUNCTION("""COMPUTED_VALUE"""),280.0)</f>
        <v>280</v>
      </c>
      <c r="B281" s="1">
        <f>IFERROR(__xludf.DUMMYFUNCTION("""COMPUTED_VALUE"""),4907004.0)</f>
        <v>4907004</v>
      </c>
      <c r="C281" s="1" t="str">
        <f>IFERROR(__xludf.DUMMYFUNCTION("""COMPUTED_VALUE"""),"2025-1")</f>
        <v>2025-1</v>
      </c>
      <c r="D281" s="1" t="str">
        <f>IFERROR(__xludf.DUMMYFUNCTION("""COMPUTED_VALUE"""),"Admisión de Alto Rendimiento")</f>
        <v>Admisión de Alto Rendimiento</v>
      </c>
      <c r="E281" s="2">
        <f>IFERROR(__xludf.DUMMYFUNCTION("""COMPUTED_VALUE"""),45656.0)</f>
        <v>45656</v>
      </c>
      <c r="F281" s="1" t="str">
        <f>IFERROR(__xludf.DUMMYFUNCTION("""COMPUTED_VALUE"""),"MAICOL JUNIOR ")</f>
        <v>MAICOL JUNIOR </v>
      </c>
      <c r="G281" s="1" t="str">
        <f>IFERROR(__xludf.DUMMYFUNCTION("""COMPUTED_VALUE"""),"SANDOVAL CANDELA")</f>
        <v>SANDOVAL CANDELA</v>
      </c>
      <c r="H281" s="1" t="str">
        <f>IFERROR(__xludf.DUMMYFUNCTION("""COMPUTED_VALUE"""),"Arquitectura de Interiores")</f>
        <v>Arquitectura de Interiores</v>
      </c>
      <c r="I281" s="1" t="str">
        <f>IFERROR(__xludf.DUMMYFUNCTION("""COMPUTED_VALUE"""),"POS")</f>
        <v>POS</v>
      </c>
      <c r="J281" s="1" t="str">
        <f>IFERROR(__xludf.DUMMYFUNCTION("""COMPUTED_VALUE"""),"Diurno")</f>
        <v>Diurno</v>
      </c>
      <c r="K281" s="1" t="str">
        <f>IFERROR(__xludf.DUMMYFUNCTION("""COMPUTED_VALUE"""),"NUEVO")</f>
        <v>NUEVO</v>
      </c>
      <c r="L281" s="1">
        <f>IFERROR(__xludf.DUMMYFUNCTION("""COMPUTED_VALUE"""),0.0)</f>
        <v>0</v>
      </c>
      <c r="M281" s="1">
        <f>IFERROR(__xludf.DUMMYFUNCTION("""COMPUTED_VALUE"""),0.0)</f>
        <v>0</v>
      </c>
      <c r="N281" s="1" t="str">
        <f>IFERROR(__xludf.DUMMYFUNCTION("""COMPUTED_VALUE"""),"RECA")</f>
        <v>RECA</v>
      </c>
      <c r="O281" s="1" t="str">
        <f>IFERROR(__xludf.DUMMYFUNCTION("""COMPUTED_VALUE"""),"RECATEGORIZACIÓN")</f>
        <v>RECATEGORIZACIÓN</v>
      </c>
      <c r="P281" s="4">
        <f>IFERROR(__xludf.DUMMYFUNCTION("""COMPUTED_VALUE"""),100.0)</f>
        <v>100</v>
      </c>
      <c r="Q281" s="4">
        <f>IFERROR(__xludf.DUMMYFUNCTION("""COMPUTED_VALUE"""),237.5)</f>
        <v>237.5</v>
      </c>
      <c r="R281" s="4">
        <f>IFERROR(__xludf.DUMMYFUNCTION("""COMPUTED_VALUE"""),1600.0)</f>
        <v>1600</v>
      </c>
      <c r="S281" s="4">
        <f>IFERROR(__xludf.DUMMYFUNCTION("""COMPUTED_VALUE"""),1280.0)</f>
        <v>1280</v>
      </c>
      <c r="T281" s="1" t="str">
        <f>IFERROR(__xludf.DUMMYFUNCTION("""COMPUTED_VALUE"""),"Visita guiada - refirio")</f>
        <v>Visita guiada - refirio</v>
      </c>
      <c r="U281" s="1" t="str">
        <f>IFERROR(__xludf.DUMMYFUNCTION("""COMPUTED_VALUE"""),"RODRIGO")</f>
        <v>RODRIGO</v>
      </c>
      <c r="V281" s="1" t="str">
        <f>IFERROR(__xludf.DUMMYFUNCTION("""COMPUTED_VALUE"""),"Ninguno")</f>
        <v>Ninguno</v>
      </c>
      <c r="W281" s="1" t="str">
        <f>IFERROR(__xludf.DUMMYFUNCTION("""COMPUTED_VALUE"""),"Metodología de enseñanza")</f>
        <v>Metodología de enseñanza</v>
      </c>
      <c r="X281" s="1" t="str">
        <f>IFERROR(__xludf.DUMMYFUNCTION("""COMPUTED_VALUE"""),"metodologia")</f>
        <v>metodologia</v>
      </c>
      <c r="Y281" s="1" t="str">
        <f>IFERROR(__xludf.DUMMYFUNCTION("""COMPUTED_VALUE"""),"PAGO COMPLETO")</f>
        <v>PAGO COMPLETO</v>
      </c>
      <c r="Z281" s="1">
        <f>IFERROR(__xludf.DUMMYFUNCTION("""COMPUTED_VALUE"""),0.0)</f>
        <v>0</v>
      </c>
      <c r="AA281" s="1" t="str">
        <f>IFERROR(__xludf.DUMMYFUNCTION("""COMPUTED_VALUE"""),"-")</f>
        <v>-</v>
      </c>
      <c r="AB281" s="1">
        <f>IFERROR(__xludf.DUMMYFUNCTION("""COMPUTED_VALUE"""),1.0)</f>
        <v>1</v>
      </c>
      <c r="AC281" s="1">
        <f>IFERROR(__xludf.DUMMYFUNCTION("""COMPUTED_VALUE"""),0.0)</f>
        <v>0</v>
      </c>
      <c r="AD281" s="1" t="str">
        <f>IFERROR(__xludf.DUMMYFUNCTION("""COMPUTED_VALUE"""),"Cinthia Mariella Orosco")</f>
        <v>Cinthia Mariella Orosco</v>
      </c>
      <c r="AE281" s="1" t="str">
        <f>IFERROR(__xludf.DUMMYFUNCTION("""COMPUTED_VALUE"""),"0")</f>
        <v>0</v>
      </c>
      <c r="AF281" s="1">
        <f>IFERROR(__xludf.DUMMYFUNCTION("""COMPUTED_VALUE"""),0.0)</f>
        <v>0</v>
      </c>
      <c r="AG281" s="1">
        <f>IFERROR(__xludf.DUMMYFUNCTION("""COMPUTED_VALUE"""),1575612.0)</f>
        <v>1575612</v>
      </c>
      <c r="AH281" s="1">
        <f>IFERROR(__xludf.DUMMYFUNCTION("""COMPUTED_VALUE"""),16.0)</f>
        <v>16</v>
      </c>
      <c r="AI281" s="1" t="str">
        <f>IFERROR(__xludf.DUMMYFUNCTION("""COMPUTED_VALUE"""),"0000405991")</f>
        <v>0000405991</v>
      </c>
      <c r="AJ281" s="1">
        <f>IFERROR(__xludf.DUMMYFUNCTION("""COMPUTED_VALUE"""),6.1389859E7)</f>
        <v>61389859</v>
      </c>
      <c r="AK281" s="1">
        <f>IFERROR(__xludf.DUMMYFUNCTION("""COMPUTED_VALUE"""),9.87754309E8)</f>
        <v>987754309</v>
      </c>
      <c r="AL281" s="1" t="str">
        <f>IFERROR(__xludf.DUMMYFUNCTION("""COMPUTED_VALUE"""),"Sandovalcandelamaicoljunior@gmail.com")</f>
        <v>Sandovalcandelamaicoljunior@gmail.com</v>
      </c>
      <c r="AM281" s="1" t="str">
        <f>IFERROR(__xludf.DUMMYFUNCTION("""COMPUTED_VALUE"""),"MASCULINO")</f>
        <v>MASCULINO</v>
      </c>
      <c r="AN281" s="1">
        <f>IFERROR(__xludf.DUMMYFUNCTION("""COMPUTED_VALUE"""),1775.0)</f>
        <v>1775</v>
      </c>
      <c r="AO281" s="1">
        <f>IFERROR(__xludf.DUMMYFUNCTION("""COMPUTED_VALUE"""),350.0)</f>
        <v>350</v>
      </c>
      <c r="AP281" s="1" t="str">
        <f>IFERROR(__xludf.DUMMYFUNCTION("""COMPUTED_VALUE"""),"OUTBOUND")</f>
        <v>OUTBOUND</v>
      </c>
      <c r="AQ281" s="1" t="str">
        <f>IFERROR(__xludf.DUMMYFUNCTION("""COMPUTED_VALUE"""),"OUTBOUND")</f>
        <v>OUTBOUND</v>
      </c>
      <c r="AR281" s="1" t="str">
        <f>IFERROR(__xludf.DUMMYFUNCTION("""COMPUTED_VALUE"""),"NUEVO")</f>
        <v>NUEVO</v>
      </c>
      <c r="AS281" s="1"/>
      <c r="AT281" s="2">
        <f>IFERROR(__xludf.DUMMYFUNCTION("""COMPUTED_VALUE"""),45654.0)</f>
        <v>45654</v>
      </c>
      <c r="AU281" s="1">
        <f>IFERROR(__xludf.DUMMYFUNCTION("""COMPUTED_VALUE"""),1.0)</f>
        <v>1</v>
      </c>
      <c r="AV281" s="1" t="str">
        <f>IFERROR(__xludf.DUMMYFUNCTION("""COMPUTED_VALUE"""),"NUEVO")</f>
        <v>NUEVO</v>
      </c>
      <c r="AW281" s="1" t="str">
        <f>IFERROR(__xludf.DUMMYFUNCTION("""COMPUTED_VALUE"""),"SI")</f>
        <v>SI</v>
      </c>
      <c r="AX281" s="1"/>
      <c r="AY281" s="1" t="str">
        <f>IFERROR(__xludf.DUMMYFUNCTION("""COMPUTED_VALUE"""),"PAGO COMPLETO")</f>
        <v>PAGO COMPLETO</v>
      </c>
      <c r="AZ281" s="5">
        <f>IFERROR(__xludf.DUMMYFUNCTION("""COMPUTED_VALUE"""),45656.0)</f>
        <v>45656</v>
      </c>
      <c r="BA281" s="1">
        <f>IFERROR(__xludf.DUMMYFUNCTION("""COMPUTED_VALUE"""),0.0)</f>
        <v>0</v>
      </c>
      <c r="BB281" s="1">
        <f>IFERROR(__xludf.DUMMYFUNCTION("""COMPUTED_VALUE"""),0.0)</f>
        <v>0</v>
      </c>
      <c r="BC281" s="4">
        <f>IFERROR(__xludf.DUMMYFUNCTION("""COMPUTED_VALUE"""),0.0)</f>
        <v>0</v>
      </c>
      <c r="BD281" s="4">
        <f>IFERROR(__xludf.DUMMYFUNCTION("""COMPUTED_VALUE"""),100.0)</f>
        <v>100</v>
      </c>
      <c r="BE281" s="1">
        <f>IFERROR(__xludf.DUMMYFUNCTION("""COMPUTED_VALUE"""),12.0)</f>
        <v>12</v>
      </c>
      <c r="BF281" s="6">
        <f>IFERROR(__xludf.DUMMYFUNCTION("""COMPUTED_VALUE"""),1.0)</f>
        <v>1</v>
      </c>
      <c r="BG281" s="1">
        <f>IFERROR(__xludf.DUMMYFUNCTION("""COMPUTED_VALUE"""),1.0)</f>
        <v>1</v>
      </c>
      <c r="BH281" s="1" t="str">
        <f>IFERROR(__xludf.DUMMYFUNCTION("""COMPUTED_VALUE"""),"0")</f>
        <v>0</v>
      </c>
      <c r="BI281" s="4">
        <f>IFERROR(__xludf.DUMMYFUNCTION("""COMPUTED_VALUE"""),100.0)</f>
        <v>100</v>
      </c>
      <c r="BJ281" s="1">
        <f>IFERROR(__xludf.DUMMYFUNCTION("""COMPUTED_VALUE"""),0.0)</f>
        <v>0</v>
      </c>
      <c r="BK281" s="4">
        <f>IFERROR(__xludf.DUMMYFUNCTION("""COMPUTED_VALUE"""),1380.0)</f>
        <v>1380</v>
      </c>
      <c r="BL281" s="1">
        <f>IFERROR(__xludf.DUMMYFUNCTION("""COMPUTED_VALUE"""),1004.0)</f>
        <v>1004</v>
      </c>
      <c r="BM281" s="1">
        <f>IFERROR(__xludf.DUMMYFUNCTION("""COMPUTED_VALUE"""),53.0)</f>
        <v>53</v>
      </c>
      <c r="BN281" s="2">
        <f>IFERROR(__xludf.DUMMYFUNCTION("""COMPUTED_VALUE"""),45656.0)</f>
        <v>45656</v>
      </c>
      <c r="BO281" s="1">
        <f>IFERROR(__xludf.DUMMYFUNCTION("""COMPUTED_VALUE"""),12.0)</f>
        <v>12</v>
      </c>
      <c r="BP281" s="1">
        <f>IFERROR(__xludf.DUMMYFUNCTION("""COMPUTED_VALUE"""),2024.0)</f>
        <v>2024</v>
      </c>
    </row>
    <row r="282">
      <c r="A282" s="1">
        <f>IFERROR(__xludf.DUMMYFUNCTION("""COMPUTED_VALUE"""),281.0)</f>
        <v>281</v>
      </c>
      <c r="B282" s="1">
        <f>IFERROR(__xludf.DUMMYFUNCTION("""COMPUTED_VALUE"""),4907194.0)</f>
        <v>4907194</v>
      </c>
      <c r="C282" s="1" t="str">
        <f>IFERROR(__xludf.DUMMYFUNCTION("""COMPUTED_VALUE"""),"2025-1")</f>
        <v>2025-1</v>
      </c>
      <c r="D282" s="1" t="str">
        <f>IFERROR(__xludf.DUMMYFUNCTION("""COMPUTED_VALUE"""),"Admisión de Alto Rendimiento")</f>
        <v>Admisión de Alto Rendimiento</v>
      </c>
      <c r="E282" s="2">
        <f>IFERROR(__xludf.DUMMYFUNCTION("""COMPUTED_VALUE"""),45656.0)</f>
        <v>45656</v>
      </c>
      <c r="F282" s="1" t="str">
        <f>IFERROR(__xludf.DUMMYFUNCTION("""COMPUTED_VALUE"""),"GENESIS ROBY CARMIN ")</f>
        <v>GENESIS ROBY CARMIN </v>
      </c>
      <c r="G282" s="1" t="str">
        <f>IFERROR(__xludf.DUMMYFUNCTION("""COMPUTED_VALUE"""),"PAREDES ENCINAS")</f>
        <v>PAREDES ENCINAS</v>
      </c>
      <c r="H282" s="1" t="str">
        <f>IFERROR(__xludf.DUMMYFUNCTION("""COMPUTED_VALUE"""),"Comunicación Audiovisual y Cine")</f>
        <v>Comunicación Audiovisual y Cine</v>
      </c>
      <c r="I282" s="1" t="str">
        <f>IFERROR(__xludf.DUMMYFUNCTION("""COMPUTED_VALUE"""),"CARGO")</f>
        <v>CARGO</v>
      </c>
      <c r="J282" s="1" t="str">
        <f>IFERROR(__xludf.DUMMYFUNCTION("""COMPUTED_VALUE"""),"Diurno")</f>
        <v>Diurno</v>
      </c>
      <c r="K282" s="1" t="str">
        <f>IFERROR(__xludf.DUMMYFUNCTION("""COMPUTED_VALUE"""),"NUEVO")</f>
        <v>NUEVO</v>
      </c>
      <c r="L282" s="1">
        <f>IFERROR(__xludf.DUMMYFUNCTION("""COMPUTED_VALUE"""),0.0)</f>
        <v>0</v>
      </c>
      <c r="M282" s="1">
        <f>IFERROR(__xludf.DUMMYFUNCTION("""COMPUTED_VALUE"""),0.0)</f>
        <v>0</v>
      </c>
      <c r="N282" s="1" t="str">
        <f>IFERROR(__xludf.DUMMYFUNCTION("""COMPUTED_VALUE"""),"BECA")</f>
        <v>BECA</v>
      </c>
      <c r="O282" s="1" t="str">
        <f>IFERROR(__xludf.DUMMYFUNCTION("""COMPUTED_VALUE"""),"BECA CARRERAS CORE")</f>
        <v>BECA CARRERAS CORE</v>
      </c>
      <c r="P282" s="4">
        <f>IFERROR(__xludf.DUMMYFUNCTION("""COMPUTED_VALUE"""),100.0)</f>
        <v>100</v>
      </c>
      <c r="Q282" s="4">
        <f>IFERROR(__xludf.DUMMYFUNCTION("""COMPUTED_VALUE"""),237.5)</f>
        <v>237.5</v>
      </c>
      <c r="R282" s="4">
        <f>IFERROR(__xludf.DUMMYFUNCTION("""COMPUTED_VALUE"""),1600.0)</f>
        <v>1600</v>
      </c>
      <c r="S282" s="4">
        <f>IFERROR(__xludf.DUMMYFUNCTION("""COMPUTED_VALUE"""),1280.0)</f>
        <v>1280</v>
      </c>
      <c r="T282" s="1" t="str">
        <f>IFERROR(__xludf.DUMMYFUNCTION("""COMPUTED_VALUE"""),"NINGUNO")</f>
        <v>NINGUNO</v>
      </c>
      <c r="U282" s="1" t="str">
        <f>IFERROR(__xludf.DUMMYFUNCTION("""COMPUTED_VALUE"""),"FABIOLA")</f>
        <v>FABIOLA</v>
      </c>
      <c r="V282" s="1" t="str">
        <f>IFERROR(__xludf.DUMMYFUNCTION("""COMPUTED_VALUE"""),"Ninguno")</f>
        <v>Ninguno</v>
      </c>
      <c r="W282" s="1" t="str">
        <f>IFERROR(__xludf.DUMMYFUNCTION("""COMPUTED_VALUE"""),"Metodología de enseñanza")</f>
        <v>Metodología de enseñanza</v>
      </c>
      <c r="X282" s="1" t="str">
        <f>IFERROR(__xludf.DUMMYFUNCTION("""COMPUTED_VALUE"""),"metodologia")</f>
        <v>metodologia</v>
      </c>
      <c r="Y282" s="1" t="str">
        <f>IFERROR(__xludf.DUMMYFUNCTION("""COMPUTED_VALUE"""),"PAGO COMPLETO")</f>
        <v>PAGO COMPLETO</v>
      </c>
      <c r="Z282" s="1">
        <f>IFERROR(__xludf.DUMMYFUNCTION("""COMPUTED_VALUE"""),0.0)</f>
        <v>0</v>
      </c>
      <c r="AA282" s="1" t="str">
        <f>IFERROR(__xludf.DUMMYFUNCTION("""COMPUTED_VALUE"""),"-")</f>
        <v>-</v>
      </c>
      <c r="AB282" s="1">
        <f>IFERROR(__xludf.DUMMYFUNCTION("""COMPUTED_VALUE"""),0.0)</f>
        <v>0</v>
      </c>
      <c r="AC282" s="1">
        <f>IFERROR(__xludf.DUMMYFUNCTION("""COMPUTED_VALUE"""),0.0)</f>
        <v>0</v>
      </c>
      <c r="AD282" s="1" t="str">
        <f>IFERROR(__xludf.DUMMYFUNCTION("""COMPUTED_VALUE"""),"Cinthia Mariella Orosco")</f>
        <v>Cinthia Mariella Orosco</v>
      </c>
      <c r="AE282" s="1" t="str">
        <f>IFERROR(__xludf.DUMMYFUNCTION("""COMPUTED_VALUE"""),"0")</f>
        <v>0</v>
      </c>
      <c r="AF282" s="1">
        <f>IFERROR(__xludf.DUMMYFUNCTION("""COMPUTED_VALUE"""),2024.0)</f>
        <v>2024</v>
      </c>
      <c r="AG282" s="1">
        <f>IFERROR(__xludf.DUMMYFUNCTION("""COMPUTED_VALUE"""),1217793.0)</f>
        <v>1217793</v>
      </c>
      <c r="AH282" s="1">
        <f>IFERROR(__xludf.DUMMYFUNCTION("""COMPUTED_VALUE"""),16.0)</f>
        <v>16</v>
      </c>
      <c r="AI282" s="1" t="str">
        <f>IFERROR(__xludf.DUMMYFUNCTION("""COMPUTED_VALUE"""),"0000406027")</f>
        <v>0000406027</v>
      </c>
      <c r="AJ282" s="1">
        <f>IFERROR(__xludf.DUMMYFUNCTION("""COMPUTED_VALUE"""),6.1331479E7)</f>
        <v>61331479</v>
      </c>
      <c r="AK282" s="1">
        <f>IFERROR(__xludf.DUMMYFUNCTION("""COMPUTED_VALUE"""),9.24649693E8)</f>
        <v>924649693</v>
      </c>
      <c r="AL282" s="1" t="str">
        <f>IFERROR(__xludf.DUMMYFUNCTION("""COMPUTED_VALUE"""),"gp251579@gmail.com")</f>
        <v>gp251579@gmail.com</v>
      </c>
      <c r="AM282" s="1" t="str">
        <f>IFERROR(__xludf.DUMMYFUNCTION("""COMPUTED_VALUE"""),"FEMENINO")</f>
        <v>FEMENINO</v>
      </c>
      <c r="AN282" s="1">
        <f>IFERROR(__xludf.DUMMYFUNCTION("""COMPUTED_VALUE"""),1775.0)</f>
        <v>1775</v>
      </c>
      <c r="AO282" s="1">
        <f>IFERROR(__xludf.DUMMYFUNCTION("""COMPUTED_VALUE"""),320.0)</f>
        <v>320</v>
      </c>
      <c r="AP282" s="1" t="str">
        <f>IFERROR(__xludf.DUMMYFUNCTION("""COMPUTED_VALUE"""),"BIDIRECCIONAL")</f>
        <v>BIDIRECCIONAL</v>
      </c>
      <c r="AQ282" s="1" t="str">
        <f>IFERROR(__xludf.DUMMYFUNCTION("""COMPUTED_VALUE"""),"ORGANICO")</f>
        <v>ORGANICO</v>
      </c>
      <c r="AR282" s="1" t="str">
        <f>IFERROR(__xludf.DUMMYFUNCTION("""COMPUTED_VALUE"""),"NUEVO")</f>
        <v>NUEVO</v>
      </c>
      <c r="AS282" s="1"/>
      <c r="AT282" s="2">
        <f>IFERROR(__xludf.DUMMYFUNCTION("""COMPUTED_VALUE"""),45654.0)</f>
        <v>45654</v>
      </c>
      <c r="AU282" s="1">
        <f>IFERROR(__xludf.DUMMYFUNCTION("""COMPUTED_VALUE"""),1.0)</f>
        <v>1</v>
      </c>
      <c r="AV282" s="1" t="str">
        <f>IFERROR(__xludf.DUMMYFUNCTION("""COMPUTED_VALUE"""),"NUEVO")</f>
        <v>NUEVO</v>
      </c>
      <c r="AW282" s="1" t="str">
        <f>IFERROR(__xludf.DUMMYFUNCTION("""COMPUTED_VALUE"""),"SI")</f>
        <v>SI</v>
      </c>
      <c r="AX282" s="1"/>
      <c r="AY282" s="1" t="str">
        <f>IFERROR(__xludf.DUMMYFUNCTION("""COMPUTED_VALUE"""),"PAGO COMPLETO")</f>
        <v>PAGO COMPLETO</v>
      </c>
      <c r="AZ282" s="5">
        <f>IFERROR(__xludf.DUMMYFUNCTION("""COMPUTED_VALUE"""),45656.0)</f>
        <v>45656</v>
      </c>
      <c r="BA282" s="1">
        <f>IFERROR(__xludf.DUMMYFUNCTION("""COMPUTED_VALUE"""),0.0)</f>
        <v>0</v>
      </c>
      <c r="BB282" s="1">
        <f>IFERROR(__xludf.DUMMYFUNCTION("""COMPUTED_VALUE"""),0.0)</f>
        <v>0</v>
      </c>
      <c r="BC282" s="4">
        <f>IFERROR(__xludf.DUMMYFUNCTION("""COMPUTED_VALUE"""),0.0)</f>
        <v>0</v>
      </c>
      <c r="BD282" s="4">
        <f>IFERROR(__xludf.DUMMYFUNCTION("""COMPUTED_VALUE"""),0.0)</f>
        <v>0</v>
      </c>
      <c r="BE282" s="1">
        <f>IFERROR(__xludf.DUMMYFUNCTION("""COMPUTED_VALUE"""),12.0)</f>
        <v>12</v>
      </c>
      <c r="BF282" s="6">
        <f>IFERROR(__xludf.DUMMYFUNCTION("""COMPUTED_VALUE"""),1.0)</f>
        <v>1</v>
      </c>
      <c r="BG282" s="1">
        <f>IFERROR(__xludf.DUMMYFUNCTION("""COMPUTED_VALUE"""),1.0)</f>
        <v>1</v>
      </c>
      <c r="BH282" s="1" t="str">
        <f>IFERROR(__xludf.DUMMYFUNCTION("""COMPUTED_VALUE"""),"0")</f>
        <v>0</v>
      </c>
      <c r="BI282" s="4">
        <f>IFERROR(__xludf.DUMMYFUNCTION("""COMPUTED_VALUE"""),0.0)</f>
        <v>0</v>
      </c>
      <c r="BJ282" s="1">
        <f>IFERROR(__xludf.DUMMYFUNCTION("""COMPUTED_VALUE"""),0.0)</f>
        <v>0</v>
      </c>
      <c r="BK282" s="4">
        <f>IFERROR(__xludf.DUMMYFUNCTION("""COMPUTED_VALUE"""),0.0)</f>
        <v>0</v>
      </c>
      <c r="BL282" s="1">
        <f>IFERROR(__xludf.DUMMYFUNCTION("""COMPUTED_VALUE"""),1280.0)</f>
        <v>1280</v>
      </c>
      <c r="BM282" s="1">
        <f>IFERROR(__xludf.DUMMYFUNCTION("""COMPUTED_VALUE"""),53.0)</f>
        <v>53</v>
      </c>
      <c r="BN282" s="2">
        <f>IFERROR(__xludf.DUMMYFUNCTION("""COMPUTED_VALUE"""),45656.0)</f>
        <v>45656</v>
      </c>
      <c r="BO282" s="1">
        <f>IFERROR(__xludf.DUMMYFUNCTION("""COMPUTED_VALUE"""),12.0)</f>
        <v>12</v>
      </c>
      <c r="BP282" s="1">
        <f>IFERROR(__xludf.DUMMYFUNCTION("""COMPUTED_VALUE"""),2024.0)</f>
        <v>2024</v>
      </c>
    </row>
    <row r="283">
      <c r="A283" s="1">
        <f>IFERROR(__xludf.DUMMYFUNCTION("""COMPUTED_VALUE"""),282.0)</f>
        <v>282</v>
      </c>
      <c r="B283" s="1">
        <f>IFERROR(__xludf.DUMMYFUNCTION("""COMPUTED_VALUE"""),4909590.0)</f>
        <v>4909590</v>
      </c>
      <c r="C283" s="1" t="str">
        <f>IFERROR(__xludf.DUMMYFUNCTION("""COMPUTED_VALUE"""),"2025-1")</f>
        <v>2025-1</v>
      </c>
      <c r="D283" s="1" t="str">
        <f>IFERROR(__xludf.DUMMYFUNCTION("""COMPUTED_VALUE"""),"Admisión Ordinaria")</f>
        <v>Admisión Ordinaria</v>
      </c>
      <c r="E283" s="2">
        <f>IFERROR(__xludf.DUMMYFUNCTION("""COMPUTED_VALUE"""),45656.0)</f>
        <v>45656</v>
      </c>
      <c r="F283" s="1" t="str">
        <f>IFERROR(__xludf.DUMMYFUNCTION("""COMPUTED_VALUE"""),"AARON JHASER ")</f>
        <v>AARON JHASER </v>
      </c>
      <c r="G283" s="1" t="str">
        <f>IFERROR(__xludf.DUMMYFUNCTION("""COMPUTED_VALUE"""),"DE LA FLOR NAVARRO")</f>
        <v>DE LA FLOR NAVARRO</v>
      </c>
      <c r="H283" s="1" t="str">
        <f>IFERROR(__xludf.DUMMYFUNCTION("""COMPUTED_VALUE"""),"Diseño Gráfico Publicitario")</f>
        <v>Diseño Gráfico Publicitario</v>
      </c>
      <c r="I283" s="1" t="str">
        <f>IFERROR(__xludf.DUMMYFUNCTION("""COMPUTED_VALUE"""),"CARGO")</f>
        <v>CARGO</v>
      </c>
      <c r="J283" s="1" t="str">
        <f>IFERROR(__xludf.DUMMYFUNCTION("""COMPUTED_VALUE"""),"Nocturno - A distancia")</f>
        <v>Nocturno - A distancia</v>
      </c>
      <c r="K283" s="1" t="str">
        <f>IFERROR(__xludf.DUMMYFUNCTION("""COMPUTED_VALUE"""),"NUEVO")</f>
        <v>NUEVO</v>
      </c>
      <c r="L283" s="1">
        <f>IFERROR(__xludf.DUMMYFUNCTION("""COMPUTED_VALUE"""),0.0)</f>
        <v>0</v>
      </c>
      <c r="M283" s="1">
        <f>IFERROR(__xludf.DUMMYFUNCTION("""COMPUTED_VALUE"""),0.0)</f>
        <v>0</v>
      </c>
      <c r="N283" s="1" t="str">
        <f>IFERROR(__xludf.DUMMYFUNCTION("""COMPUTED_VALUE"""),"ESCALA DISTANCIA")</f>
        <v>ESCALA DISTANCIA</v>
      </c>
      <c r="O283" s="1" t="str">
        <f>IFERROR(__xludf.DUMMYFUNCTION("""COMPUTED_VALUE"""),"ESCALA DISTANCIA REGULAR")</f>
        <v>ESCALA DISTANCIA REGULAR</v>
      </c>
      <c r="P283" s="4">
        <f>IFERROR(__xludf.DUMMYFUNCTION("""COMPUTED_VALUE"""),0.0)</f>
        <v>0</v>
      </c>
      <c r="Q283" s="4">
        <f>IFERROR(__xludf.DUMMYFUNCTION("""COMPUTED_VALUE"""),0.0)</f>
        <v>0</v>
      </c>
      <c r="R283" s="4">
        <f>IFERROR(__xludf.DUMMYFUNCTION("""COMPUTED_VALUE"""),950.0)</f>
        <v>950</v>
      </c>
      <c r="S283" s="4">
        <f>IFERROR(__xludf.DUMMYFUNCTION("""COMPUTED_VALUE"""),950.0)</f>
        <v>950</v>
      </c>
      <c r="T283" s="1" t="str">
        <f>IFERROR(__xludf.DUMMYFUNCTION("""COMPUTED_VALUE"""),"NINGUNO")</f>
        <v>NINGUNO</v>
      </c>
      <c r="U283" s="1" t="str">
        <f>IFERROR(__xludf.DUMMYFUNCTION("""COMPUTED_VALUE"""),"FABIOLA")</f>
        <v>FABIOLA</v>
      </c>
      <c r="V283" s="1" t="str">
        <f>IFERROR(__xludf.DUMMYFUNCTION("""COMPUTED_VALUE"""),"Ninguno")</f>
        <v>Ninguno</v>
      </c>
      <c r="W283" s="1" t="str">
        <f>IFERROR(__xludf.DUMMYFUNCTION("""COMPUTED_VALUE"""),"Metodología de enseñanza")</f>
        <v>Metodología de enseñanza</v>
      </c>
      <c r="X283" s="1" t="str">
        <f>IFERROR(__xludf.DUMMYFUNCTION("""COMPUTED_VALUE"""),"-")</f>
        <v>-</v>
      </c>
      <c r="Y283" s="1" t="str">
        <f>IFERROR(__xludf.DUMMYFUNCTION("""COMPUTED_VALUE"""),"PAGO COMPLETO")</f>
        <v>PAGO COMPLETO</v>
      </c>
      <c r="Z283" s="1">
        <f>IFERROR(__xludf.DUMMYFUNCTION("""COMPUTED_VALUE"""),0.0)</f>
        <v>0</v>
      </c>
      <c r="AA283" s="1" t="str">
        <f>IFERROR(__xludf.DUMMYFUNCTION("""COMPUTED_VALUE"""),"-")</f>
        <v>-</v>
      </c>
      <c r="AB283" s="1">
        <f>IFERROR(__xludf.DUMMYFUNCTION("""COMPUTED_VALUE"""),1.0)</f>
        <v>1</v>
      </c>
      <c r="AC283" s="1">
        <f>IFERROR(__xludf.DUMMYFUNCTION("""COMPUTED_VALUE"""),0.0)</f>
        <v>0</v>
      </c>
      <c r="AD283" s="1" t="str">
        <f>IFERROR(__xludf.DUMMYFUNCTION("""COMPUTED_VALUE"""),"Andrea Araujo Antara")</f>
        <v>Andrea Araujo Antara</v>
      </c>
      <c r="AE283" s="1" t="str">
        <f>IFERROR(__xludf.DUMMYFUNCTION("""COMPUTED_VALUE"""),"0")</f>
        <v>0</v>
      </c>
      <c r="AF283" s="1">
        <f>IFERROR(__xludf.DUMMYFUNCTION("""COMPUTED_VALUE"""),0.0)</f>
        <v>0</v>
      </c>
      <c r="AG283" s="1">
        <f>IFERROR(__xludf.DUMMYFUNCTION("""COMPUTED_VALUE"""),1485549.0)</f>
        <v>1485549</v>
      </c>
      <c r="AH283" s="1">
        <f>IFERROR(__xludf.DUMMYFUNCTION("""COMPUTED_VALUE"""),18.0)</f>
        <v>18</v>
      </c>
      <c r="AI283" s="1" t="str">
        <f>IFERROR(__xludf.DUMMYFUNCTION("""COMPUTED_VALUE"""),"0000405945")</f>
        <v>0000405945</v>
      </c>
      <c r="AJ283" s="1">
        <f>IFERROR(__xludf.DUMMYFUNCTION("""COMPUTED_VALUE"""),7.7245022E7)</f>
        <v>77245022</v>
      </c>
      <c r="AK283" s="1">
        <f>IFERROR(__xludf.DUMMYFUNCTION("""COMPUTED_VALUE"""),9.38116789E8)</f>
        <v>938116789</v>
      </c>
      <c r="AL283" s="1" t="str">
        <f>IFERROR(__xludf.DUMMYFUNCTION("""COMPUTED_VALUE"""),"dead08mousex@gmail.com")</f>
        <v>dead08mousex@gmail.com</v>
      </c>
      <c r="AM283" s="1" t="str">
        <f>IFERROR(__xludf.DUMMYFUNCTION("""COMPUTED_VALUE"""),"MASCULINO")</f>
        <v>MASCULINO</v>
      </c>
      <c r="AN283" s="1">
        <f>IFERROR(__xludf.DUMMYFUNCTION("""COMPUTED_VALUE"""),1775.0)</f>
        <v>1775</v>
      </c>
      <c r="AO283" s="1">
        <f>IFERROR(__xludf.DUMMYFUNCTION("""COMPUTED_VALUE"""),350.0)</f>
        <v>350</v>
      </c>
      <c r="AP283" s="1" t="str">
        <f>IFERROR(__xludf.DUMMYFUNCTION("""COMPUTED_VALUE"""),"OUTBOUND")</f>
        <v>OUTBOUND</v>
      </c>
      <c r="AQ283" s="1" t="str">
        <f>IFERROR(__xludf.DUMMYFUNCTION("""COMPUTED_VALUE"""),"OUTBOUND")</f>
        <v>OUTBOUND</v>
      </c>
      <c r="AR283" s="1" t="str">
        <f>IFERROR(__xludf.DUMMYFUNCTION("""COMPUTED_VALUE"""),"NUEVO")</f>
        <v>NUEVO</v>
      </c>
      <c r="AS283" s="1"/>
      <c r="AT283" s="2">
        <f>IFERROR(__xludf.DUMMYFUNCTION("""COMPUTED_VALUE"""),45656.0)</f>
        <v>45656</v>
      </c>
      <c r="AU283" s="1">
        <f>IFERROR(__xludf.DUMMYFUNCTION("""COMPUTED_VALUE"""),1.0)</f>
        <v>1</v>
      </c>
      <c r="AV283" s="1" t="str">
        <f>IFERROR(__xludf.DUMMYFUNCTION("""COMPUTED_VALUE"""),"NUEVO")</f>
        <v>NUEVO</v>
      </c>
      <c r="AW283" s="1" t="str">
        <f>IFERROR(__xludf.DUMMYFUNCTION("""COMPUTED_VALUE"""),"SI")</f>
        <v>SI</v>
      </c>
      <c r="AX283" s="1"/>
      <c r="AY283" s="1" t="str">
        <f>IFERROR(__xludf.DUMMYFUNCTION("""COMPUTED_VALUE"""),"PAGO COMPLETO")</f>
        <v>PAGO COMPLETO</v>
      </c>
      <c r="AZ283" s="5">
        <f>IFERROR(__xludf.DUMMYFUNCTION("""COMPUTED_VALUE"""),45656.0)</f>
        <v>45656</v>
      </c>
      <c r="BA283" s="1">
        <f>IFERROR(__xludf.DUMMYFUNCTION("""COMPUTED_VALUE"""),0.0)</f>
        <v>0</v>
      </c>
      <c r="BB283" s="1">
        <f>IFERROR(__xludf.DUMMYFUNCTION("""COMPUTED_VALUE"""),0.0)</f>
        <v>0</v>
      </c>
      <c r="BC283" s="4">
        <f>IFERROR(__xludf.DUMMYFUNCTION("""COMPUTED_VALUE"""),0.0)</f>
        <v>0</v>
      </c>
      <c r="BD283" s="4">
        <f>IFERROR(__xludf.DUMMYFUNCTION("""COMPUTED_VALUE"""),0.0)</f>
        <v>0</v>
      </c>
      <c r="BE283" s="1">
        <f>IFERROR(__xludf.DUMMYFUNCTION("""COMPUTED_VALUE"""),12.0)</f>
        <v>12</v>
      </c>
      <c r="BF283" s="6">
        <f>IFERROR(__xludf.DUMMYFUNCTION("""COMPUTED_VALUE"""),1.0)</f>
        <v>1</v>
      </c>
      <c r="BG283" s="1">
        <f>IFERROR(__xludf.DUMMYFUNCTION("""COMPUTED_VALUE"""),1.0)</f>
        <v>1</v>
      </c>
      <c r="BH283" s="1" t="str">
        <f>IFERROR(__xludf.DUMMYFUNCTION("""COMPUTED_VALUE"""),"0")</f>
        <v>0</v>
      </c>
      <c r="BI283" s="4">
        <f>IFERROR(__xludf.DUMMYFUNCTION("""COMPUTED_VALUE"""),0.0)</f>
        <v>0</v>
      </c>
      <c r="BJ283" s="1">
        <f>IFERROR(__xludf.DUMMYFUNCTION("""COMPUTED_VALUE"""),0.0)</f>
        <v>0</v>
      </c>
      <c r="BK283" s="4">
        <f>IFERROR(__xludf.DUMMYFUNCTION("""COMPUTED_VALUE"""),0.0)</f>
        <v>0</v>
      </c>
      <c r="BL283" s="1">
        <f>IFERROR(__xludf.DUMMYFUNCTION("""COMPUTED_VALUE"""),950.0)</f>
        <v>950</v>
      </c>
      <c r="BM283" s="1">
        <f>IFERROR(__xludf.DUMMYFUNCTION("""COMPUTED_VALUE"""),53.0)</f>
        <v>53</v>
      </c>
      <c r="BN283" s="2">
        <f>IFERROR(__xludf.DUMMYFUNCTION("""COMPUTED_VALUE"""),45656.0)</f>
        <v>45656</v>
      </c>
      <c r="BO283" s="1">
        <f>IFERROR(__xludf.DUMMYFUNCTION("""COMPUTED_VALUE"""),12.0)</f>
        <v>12</v>
      </c>
      <c r="BP283" s="1">
        <f>IFERROR(__xludf.DUMMYFUNCTION("""COMPUTED_VALUE"""),2024.0)</f>
        <v>2024</v>
      </c>
    </row>
    <row r="284">
      <c r="A284" s="1">
        <f>IFERROR(__xludf.DUMMYFUNCTION("""COMPUTED_VALUE"""),283.0)</f>
        <v>283</v>
      </c>
      <c r="B284" s="1">
        <f>IFERROR(__xludf.DUMMYFUNCTION("""COMPUTED_VALUE"""),4410017.0)</f>
        <v>4410017</v>
      </c>
      <c r="C284" s="1" t="str">
        <f>IFERROR(__xludf.DUMMYFUNCTION("""COMPUTED_VALUE"""),"2025-1")</f>
        <v>2025-1</v>
      </c>
      <c r="D284" s="1" t="str">
        <f>IFERROR(__xludf.DUMMYFUNCTION("""COMPUTED_VALUE"""),"Admisión Ordinaria")</f>
        <v>Admisión Ordinaria</v>
      </c>
      <c r="E284" s="2">
        <f>IFERROR(__xludf.DUMMYFUNCTION("""COMPUTED_VALUE"""),45656.0)</f>
        <v>45656</v>
      </c>
      <c r="F284" s="1" t="str">
        <f>IFERROR(__xludf.DUMMYFUNCTION("""COMPUTED_VALUE"""),"DANITZA ESTEFANY")</f>
        <v>DANITZA ESTEFANY</v>
      </c>
      <c r="G284" s="1" t="str">
        <f>IFERROR(__xludf.DUMMYFUNCTION("""COMPUTED_VALUE"""),"GONZALES RIVERA")</f>
        <v>GONZALES RIVERA</v>
      </c>
      <c r="H284" s="1" t="str">
        <f>IFERROR(__xludf.DUMMYFUNCTION("""COMPUTED_VALUE"""),"Comunicación Audiovisual y Cine")</f>
        <v>Comunicación Audiovisual y Cine</v>
      </c>
      <c r="I284" s="1" t="str">
        <f>IFERROR(__xludf.DUMMYFUNCTION("""COMPUTED_VALUE"""),"POS")</f>
        <v>POS</v>
      </c>
      <c r="J284" s="1" t="str">
        <f>IFERROR(__xludf.DUMMYFUNCTION("""COMPUTED_VALUE"""),"Diurno")</f>
        <v>Diurno</v>
      </c>
      <c r="K284" s="1" t="str">
        <f>IFERROR(__xludf.DUMMYFUNCTION("""COMPUTED_VALUE"""),"NUEVO")</f>
        <v>NUEVO</v>
      </c>
      <c r="L284" s="1">
        <f>IFERROR(__xludf.DUMMYFUNCTION("""COMPUTED_VALUE"""),0.0)</f>
        <v>0</v>
      </c>
      <c r="M284" s="1">
        <f>IFERROR(__xludf.DUMMYFUNCTION("""COMPUTED_VALUE"""),0.0)</f>
        <v>0</v>
      </c>
      <c r="N284" s="1" t="str">
        <f>IFERROR(__xludf.DUMMYFUNCTION("""COMPUTED_VALUE"""),"BECA")</f>
        <v>BECA</v>
      </c>
      <c r="O284" s="1" t="str">
        <f>IFERROR(__xludf.DUMMYFUNCTION("""COMPUTED_VALUE"""),"BECA CARRERAS CORE")</f>
        <v>BECA CARRERAS CORE</v>
      </c>
      <c r="P284" s="4">
        <f>IFERROR(__xludf.DUMMYFUNCTION("""COMPUTED_VALUE"""),0.0)</f>
        <v>0</v>
      </c>
      <c r="Q284" s="4">
        <f>IFERROR(__xludf.DUMMYFUNCTION("""COMPUTED_VALUE"""),0.0)</f>
        <v>0</v>
      </c>
      <c r="R284" s="4">
        <f>IFERROR(__xludf.DUMMYFUNCTION("""COMPUTED_VALUE"""),1600.0)</f>
        <v>1600</v>
      </c>
      <c r="S284" s="4">
        <f>IFERROR(__xludf.DUMMYFUNCTION("""COMPUTED_VALUE"""),1280.0)</f>
        <v>1280</v>
      </c>
      <c r="T284" s="1" t="str">
        <f>IFERROR(__xludf.DUMMYFUNCTION("""COMPUTED_VALUE"""),"NINGUNO")</f>
        <v>NINGUNO</v>
      </c>
      <c r="U284" s="1" t="str">
        <f>IFERROR(__xludf.DUMMYFUNCTION("""COMPUTED_VALUE"""),"RODRIGO")</f>
        <v>RODRIGO</v>
      </c>
      <c r="V284" s="1" t="str">
        <f>IFERROR(__xludf.DUMMYFUNCTION("""COMPUTED_VALUE"""),"Ninguno")</f>
        <v>Ninguno</v>
      </c>
      <c r="W284" s="1" t="str">
        <f>IFERROR(__xludf.DUMMYFUNCTION("""COMPUTED_VALUE"""),"Prestigio de la institución")</f>
        <v>Prestigio de la institución</v>
      </c>
      <c r="X284" s="1" t="str">
        <f>IFERROR(__xludf.DUMMYFUNCTION("""COMPUTED_VALUE"""),"-")</f>
        <v>-</v>
      </c>
      <c r="Y284" s="1" t="str">
        <f>IFERROR(__xludf.DUMMYFUNCTION("""COMPUTED_VALUE"""),"PAGO COMPLETO")</f>
        <v>PAGO COMPLETO</v>
      </c>
      <c r="Z284" s="1">
        <f>IFERROR(__xludf.DUMMYFUNCTION("""COMPUTED_VALUE"""),0.0)</f>
        <v>0</v>
      </c>
      <c r="AA284" s="1" t="str">
        <f>IFERROR(__xludf.DUMMYFUNCTION("""COMPUTED_VALUE"""),"-")</f>
        <v>-</v>
      </c>
      <c r="AB284" s="1">
        <f>IFERROR(__xludf.DUMMYFUNCTION("""COMPUTED_VALUE"""),0.0)</f>
        <v>0</v>
      </c>
      <c r="AC284" s="1">
        <f>IFERROR(__xludf.DUMMYFUNCTION("""COMPUTED_VALUE"""),0.0)</f>
        <v>0</v>
      </c>
      <c r="AD284" s="1" t="str">
        <f>IFERROR(__xludf.DUMMYFUNCTION("""COMPUTED_VALUE"""),"Andrea Araujo Antara")</f>
        <v>Andrea Araujo Antara</v>
      </c>
      <c r="AE284" s="1" t="str">
        <f>IFERROR(__xludf.DUMMYFUNCTION("""COMPUTED_VALUE"""),"0")</f>
        <v>0</v>
      </c>
      <c r="AF284" s="1">
        <f>IFERROR(__xludf.DUMMYFUNCTION("""COMPUTED_VALUE"""),2024.0)</f>
        <v>2024</v>
      </c>
      <c r="AG284" s="1">
        <f>IFERROR(__xludf.DUMMYFUNCTION("""COMPUTED_VALUE"""),762831.0)</f>
        <v>762831</v>
      </c>
      <c r="AH284" s="1">
        <f>IFERROR(__xludf.DUMMYFUNCTION("""COMPUTED_VALUE"""),16.0)</f>
        <v>16</v>
      </c>
      <c r="AI284" s="1" t="str">
        <f>IFERROR(__xludf.DUMMYFUNCTION("""COMPUTED_VALUE"""),"0000406021")</f>
        <v>0000406021</v>
      </c>
      <c r="AJ284" s="1">
        <f>IFERROR(__xludf.DUMMYFUNCTION("""COMPUTED_VALUE"""),7.1162371E7)</f>
        <v>71162371</v>
      </c>
      <c r="AK284" s="1">
        <f>IFERROR(__xludf.DUMMYFUNCTION("""COMPUTED_VALUE"""),9.29402615E8)</f>
        <v>929402615</v>
      </c>
      <c r="AL284" s="1" t="str">
        <f>IFERROR(__xludf.DUMMYFUNCTION("""COMPUTED_VALUE"""),"gonzalesrivera2008@gmail.com")</f>
        <v>gonzalesrivera2008@gmail.com</v>
      </c>
      <c r="AM284" s="1" t="str">
        <f>IFERROR(__xludf.DUMMYFUNCTION("""COMPUTED_VALUE"""),"FEMENINO")</f>
        <v>FEMENINO</v>
      </c>
      <c r="AN284" s="1">
        <f>IFERROR(__xludf.DUMMYFUNCTION("""COMPUTED_VALUE"""),1600.0)</f>
        <v>1600</v>
      </c>
      <c r="AO284" s="1">
        <f>IFERROR(__xludf.DUMMYFUNCTION("""COMPUTED_VALUE"""),0.0)</f>
        <v>0</v>
      </c>
      <c r="AP284" s="1" t="str">
        <f>IFERROR(__xludf.DUMMYFUNCTION("""COMPUTED_VALUE"""),"COLEGIOS")</f>
        <v>COLEGIOS</v>
      </c>
      <c r="AQ284" s="1" t="str">
        <f>IFERROR(__xludf.DUMMYFUNCTION("""COMPUTED_VALUE"""),"COLEGIOS")</f>
        <v>COLEGIOS</v>
      </c>
      <c r="AR284" s="1" t="str">
        <f>IFERROR(__xludf.DUMMYFUNCTION("""COMPUTED_VALUE"""),"NUEVO")</f>
        <v>NUEVO</v>
      </c>
      <c r="AS284" s="1"/>
      <c r="AT284" s="2">
        <f>IFERROR(__xludf.DUMMYFUNCTION("""COMPUTED_VALUE"""),45399.0)</f>
        <v>45399</v>
      </c>
      <c r="AU284" s="1">
        <f>IFERROR(__xludf.DUMMYFUNCTION("""COMPUTED_VALUE"""),1.0)</f>
        <v>1</v>
      </c>
      <c r="AV284" s="1" t="str">
        <f>IFERROR(__xludf.DUMMYFUNCTION("""COMPUTED_VALUE"""),"NUEVO")</f>
        <v>NUEVO</v>
      </c>
      <c r="AW284" s="1" t="str">
        <f>IFERROR(__xludf.DUMMYFUNCTION("""COMPUTED_VALUE"""),"SI")</f>
        <v>SI</v>
      </c>
      <c r="AX284" s="1"/>
      <c r="AY284" s="1" t="str">
        <f>IFERROR(__xludf.DUMMYFUNCTION("""COMPUTED_VALUE"""),"PAGO COMPLETO")</f>
        <v>PAGO COMPLETO</v>
      </c>
      <c r="AZ284" s="5">
        <f>IFERROR(__xludf.DUMMYFUNCTION("""COMPUTED_VALUE"""),45656.0)</f>
        <v>45656</v>
      </c>
      <c r="BA284" s="1">
        <f>IFERROR(__xludf.DUMMYFUNCTION("""COMPUTED_VALUE"""),0.0)</f>
        <v>0</v>
      </c>
      <c r="BB284" s="1">
        <f>IFERROR(__xludf.DUMMYFUNCTION("""COMPUTED_VALUE"""),0.0)</f>
        <v>0</v>
      </c>
      <c r="BC284" s="4">
        <f>IFERROR(__xludf.DUMMYFUNCTION("""COMPUTED_VALUE"""),0.0)</f>
        <v>0</v>
      </c>
      <c r="BD284" s="4">
        <f>IFERROR(__xludf.DUMMYFUNCTION("""COMPUTED_VALUE"""),0.0)</f>
        <v>0</v>
      </c>
      <c r="BE284" s="1">
        <f>IFERROR(__xludf.DUMMYFUNCTION("""COMPUTED_VALUE"""),12.0)</f>
        <v>12</v>
      </c>
      <c r="BF284" s="6">
        <f>IFERROR(__xludf.DUMMYFUNCTION("""COMPUTED_VALUE"""),1.0)</f>
        <v>1</v>
      </c>
      <c r="BG284" s="1">
        <f>IFERROR(__xludf.DUMMYFUNCTION("""COMPUTED_VALUE"""),1.0)</f>
        <v>1</v>
      </c>
      <c r="BH284" s="1" t="str">
        <f>IFERROR(__xludf.DUMMYFUNCTION("""COMPUTED_VALUE"""),"0")</f>
        <v>0</v>
      </c>
      <c r="BI284" s="4">
        <f>IFERROR(__xludf.DUMMYFUNCTION("""COMPUTED_VALUE"""),0.0)</f>
        <v>0</v>
      </c>
      <c r="BJ284" s="1">
        <f>IFERROR(__xludf.DUMMYFUNCTION("""COMPUTED_VALUE"""),0.0)</f>
        <v>0</v>
      </c>
      <c r="BK284" s="4">
        <f>IFERROR(__xludf.DUMMYFUNCTION("""COMPUTED_VALUE"""),0.0)</f>
        <v>0</v>
      </c>
      <c r="BL284" s="1">
        <f>IFERROR(__xludf.DUMMYFUNCTION("""COMPUTED_VALUE"""),1280.0)</f>
        <v>1280</v>
      </c>
      <c r="BM284" s="1">
        <f>IFERROR(__xludf.DUMMYFUNCTION("""COMPUTED_VALUE"""),53.0)</f>
        <v>53</v>
      </c>
      <c r="BN284" s="2">
        <f>IFERROR(__xludf.DUMMYFUNCTION("""COMPUTED_VALUE"""),45656.0)</f>
        <v>45656</v>
      </c>
      <c r="BO284" s="1">
        <f>IFERROR(__xludf.DUMMYFUNCTION("""COMPUTED_VALUE"""),12.0)</f>
        <v>12</v>
      </c>
      <c r="BP284" s="1">
        <f>IFERROR(__xludf.DUMMYFUNCTION("""COMPUTED_VALUE"""),2024.0)</f>
        <v>2024</v>
      </c>
    </row>
    <row r="285">
      <c r="A285" s="1">
        <f>IFERROR(__xludf.DUMMYFUNCTION("""COMPUTED_VALUE"""),284.0)</f>
        <v>284</v>
      </c>
      <c r="B285" s="1">
        <f>IFERROR(__xludf.DUMMYFUNCTION("""COMPUTED_VALUE"""),1935474.0)</f>
        <v>1935474</v>
      </c>
      <c r="C285" s="1" t="str">
        <f>IFERROR(__xludf.DUMMYFUNCTION("""COMPUTED_VALUE"""),"2025-1")</f>
        <v>2025-1</v>
      </c>
      <c r="D285" s="1" t="str">
        <f>IFERROR(__xludf.DUMMYFUNCTION("""COMPUTED_VALUE"""),"Admisión de Alto Rendimiento")</f>
        <v>Admisión de Alto Rendimiento</v>
      </c>
      <c r="E285" s="2">
        <f>IFERROR(__xludf.DUMMYFUNCTION("""COMPUTED_VALUE"""),45657.0)</f>
        <v>45657</v>
      </c>
      <c r="F285" s="1" t="str">
        <f>IFERROR(__xludf.DUMMYFUNCTION("""COMPUTED_VALUE"""),"ANTHONY WALKER")</f>
        <v>ANTHONY WALKER</v>
      </c>
      <c r="G285" s="1" t="str">
        <f>IFERROR(__xludf.DUMMYFUNCTION("""COMPUTED_VALUE"""),"DEL AGUILA VILCHEZ")</f>
        <v>DEL AGUILA VILCHEZ</v>
      </c>
      <c r="H285" s="1" t="str">
        <f>IFERROR(__xludf.DUMMYFUNCTION("""COMPUTED_VALUE"""),"Comunicación")</f>
        <v>Comunicación</v>
      </c>
      <c r="I285" s="1" t="str">
        <f>IFERROR(__xludf.DUMMYFUNCTION("""COMPUTED_VALUE"""),"POS")</f>
        <v>POS</v>
      </c>
      <c r="J285" s="1" t="str">
        <f>IFERROR(__xludf.DUMMYFUNCTION("""COMPUTED_VALUE"""),"Diurno")</f>
        <v>Diurno</v>
      </c>
      <c r="K285" s="1" t="str">
        <f>IFERROR(__xludf.DUMMYFUNCTION("""COMPUTED_VALUE"""),"NUEVO")</f>
        <v>NUEVO</v>
      </c>
      <c r="L285" s="1">
        <f>IFERROR(__xludf.DUMMYFUNCTION("""COMPUTED_VALUE"""),0.0)</f>
        <v>0</v>
      </c>
      <c r="M285" s="1">
        <f>IFERROR(__xludf.DUMMYFUNCTION("""COMPUTED_VALUE"""),0.0)</f>
        <v>0</v>
      </c>
      <c r="N285" s="1" t="str">
        <f>IFERROR(__xludf.DUMMYFUNCTION("""COMPUTED_VALUE"""),"BECA")</f>
        <v>BECA</v>
      </c>
      <c r="O285" s="1" t="str">
        <f>IFERROR(__xludf.DUMMYFUNCTION("""COMPUTED_VALUE"""),"BECA CARRERAS CORE")</f>
        <v>BECA CARRERAS CORE</v>
      </c>
      <c r="P285" s="4">
        <f>IFERROR(__xludf.DUMMYFUNCTION("""COMPUTED_VALUE"""),100.0)</f>
        <v>100</v>
      </c>
      <c r="Q285" s="4">
        <f>IFERROR(__xludf.DUMMYFUNCTION("""COMPUTED_VALUE"""),237.5)</f>
        <v>237.5</v>
      </c>
      <c r="R285" s="4">
        <f>IFERROR(__xludf.DUMMYFUNCTION("""COMPUTED_VALUE"""),1150.0)</f>
        <v>1150</v>
      </c>
      <c r="S285" s="4">
        <f>IFERROR(__xludf.DUMMYFUNCTION("""COMPUTED_VALUE"""),850.0)</f>
        <v>850</v>
      </c>
      <c r="T285" s="1" t="str">
        <f>IFERROR(__xludf.DUMMYFUNCTION("""COMPUTED_VALUE"""),"PALANCA 700")</f>
        <v>PALANCA 700</v>
      </c>
      <c r="U285" s="1" t="str">
        <f>IFERROR(__xludf.DUMMYFUNCTION("""COMPUTED_VALUE"""),"FABIOLA")</f>
        <v>FABIOLA</v>
      </c>
      <c r="V285" s="1" t="str">
        <f>IFERROR(__xludf.DUMMYFUNCTION("""COMPUTED_VALUE"""),"Ninguno")</f>
        <v>Ninguno</v>
      </c>
      <c r="W285" s="1" t="str">
        <f>IFERROR(__xludf.DUMMYFUNCTION("""COMPUTED_VALUE"""),"Descuentos en boletas de pago")</f>
        <v>Descuentos en boletas de pago</v>
      </c>
      <c r="X285" s="1" t="str">
        <f>IFERROR(__xludf.DUMMYFUNCTION("""COMPUTED_VALUE"""),"le encanta la universidad")</f>
        <v>le encanta la universidad</v>
      </c>
      <c r="Y285" s="1" t="str">
        <f>IFERROR(__xludf.DUMMYFUNCTION("""COMPUTED_VALUE"""),"PAGO COMPLETO")</f>
        <v>PAGO COMPLETO</v>
      </c>
      <c r="Z285" s="1">
        <f>IFERROR(__xludf.DUMMYFUNCTION("""COMPUTED_VALUE"""),0.0)</f>
        <v>0</v>
      </c>
      <c r="AA285" s="1" t="str">
        <f>IFERROR(__xludf.DUMMYFUNCTION("""COMPUTED_VALUE"""),"-")</f>
        <v>-</v>
      </c>
      <c r="AB285" s="1">
        <f>IFERROR(__xludf.DUMMYFUNCTION("""COMPUTED_VALUE"""),0.0)</f>
        <v>0</v>
      </c>
      <c r="AC285" s="1">
        <f>IFERROR(__xludf.DUMMYFUNCTION("""COMPUTED_VALUE"""),0.0)</f>
        <v>0</v>
      </c>
      <c r="AD285" s="1" t="str">
        <f>IFERROR(__xludf.DUMMYFUNCTION("""COMPUTED_VALUE"""),"Daniel Zapata")</f>
        <v>Daniel Zapata</v>
      </c>
      <c r="AE285" s="1" t="str">
        <f>IFERROR(__xludf.DUMMYFUNCTION("""COMPUTED_VALUE"""),"0")</f>
        <v>0</v>
      </c>
      <c r="AF285" s="1">
        <f>IFERROR(__xludf.DUMMYFUNCTION("""COMPUTED_VALUE"""),2023.0)</f>
        <v>2023</v>
      </c>
      <c r="AG285" s="1">
        <f>IFERROR(__xludf.DUMMYFUNCTION("""COMPUTED_VALUE"""),692434.0)</f>
        <v>692434</v>
      </c>
      <c r="AH285" s="1">
        <f>IFERROR(__xludf.DUMMYFUNCTION("""COMPUTED_VALUE"""),18.0)</f>
        <v>18</v>
      </c>
      <c r="AI285" s="1" t="str">
        <f>IFERROR(__xludf.DUMMYFUNCTION("""COMPUTED_VALUE"""),"0000406103")</f>
        <v>0000406103</v>
      </c>
      <c r="AJ285" s="1">
        <f>IFERROR(__xludf.DUMMYFUNCTION("""COMPUTED_VALUE"""),6.096238E7)</f>
        <v>60962380</v>
      </c>
      <c r="AK285" s="1">
        <f>IFERROR(__xludf.DUMMYFUNCTION("""COMPUTED_VALUE"""),9.04485358E8)</f>
        <v>904485358</v>
      </c>
      <c r="AL285" s="1" t="str">
        <f>IFERROR(__xludf.DUMMYFUNCTION("""COMPUTED_VALUE"""),"freeantho2701@gmail.com")</f>
        <v>freeantho2701@gmail.com</v>
      </c>
      <c r="AM285" s="1" t="str">
        <f>IFERROR(__xludf.DUMMYFUNCTION("""COMPUTED_VALUE"""),"MASCULINO")</f>
        <v>MASCULINO</v>
      </c>
      <c r="AN285" s="1">
        <f>IFERROR(__xludf.DUMMYFUNCTION("""COMPUTED_VALUE"""),1350.0)</f>
        <v>1350</v>
      </c>
      <c r="AO285" s="1">
        <f>IFERROR(__xludf.DUMMYFUNCTION("""COMPUTED_VALUE"""),0.0)</f>
        <v>0</v>
      </c>
      <c r="AP285" s="1" t="str">
        <f>IFERROR(__xludf.DUMMYFUNCTION("""COMPUTED_VALUE"""),"BIDIRECCIONAL")</f>
        <v>BIDIRECCIONAL</v>
      </c>
      <c r="AQ285" s="1" t="str">
        <f>IFERROR(__xludf.DUMMYFUNCTION("""COMPUTED_VALUE"""),"ORGANICO")</f>
        <v>ORGANICO</v>
      </c>
      <c r="AR285" s="1" t="str">
        <f>IFERROR(__xludf.DUMMYFUNCTION("""COMPUTED_VALUE"""),"HEREDADO")</f>
        <v>HEREDADO</v>
      </c>
      <c r="AS285" s="1"/>
      <c r="AT285" s="2">
        <f>IFERROR(__xludf.DUMMYFUNCTION("""COMPUTED_VALUE"""),45656.0)</f>
        <v>45656</v>
      </c>
      <c r="AU285" s="1">
        <f>IFERROR(__xludf.DUMMYFUNCTION("""COMPUTED_VALUE"""),1.0)</f>
        <v>1</v>
      </c>
      <c r="AV285" s="1" t="str">
        <f>IFERROR(__xludf.DUMMYFUNCTION("""COMPUTED_VALUE"""),"NUEVO")</f>
        <v>NUEVO</v>
      </c>
      <c r="AW285" s="1" t="str">
        <f>IFERROR(__xludf.DUMMYFUNCTION("""COMPUTED_VALUE"""),"SI")</f>
        <v>SI</v>
      </c>
      <c r="AX285" s="1"/>
      <c r="AY285" s="1" t="str">
        <f>IFERROR(__xludf.DUMMYFUNCTION("""COMPUTED_VALUE"""),"PAGO COMPLETO")</f>
        <v>PAGO COMPLETO</v>
      </c>
      <c r="AZ285" s="5">
        <f>IFERROR(__xludf.DUMMYFUNCTION("""COMPUTED_VALUE"""),45657.0)</f>
        <v>45657</v>
      </c>
      <c r="BA285" s="1">
        <f>IFERROR(__xludf.DUMMYFUNCTION("""COMPUTED_VALUE"""),0.0)</f>
        <v>0</v>
      </c>
      <c r="BB285" s="1">
        <f>IFERROR(__xludf.DUMMYFUNCTION("""COMPUTED_VALUE"""),0.0)</f>
        <v>0</v>
      </c>
      <c r="BC285" s="4">
        <f>IFERROR(__xludf.DUMMYFUNCTION("""COMPUTED_VALUE"""),0.0)</f>
        <v>0</v>
      </c>
      <c r="BD285" s="4">
        <f>IFERROR(__xludf.DUMMYFUNCTION("""COMPUTED_VALUE"""),150.0)</f>
        <v>150</v>
      </c>
      <c r="BE285" s="1">
        <f>IFERROR(__xludf.DUMMYFUNCTION("""COMPUTED_VALUE"""),12.0)</f>
        <v>12</v>
      </c>
      <c r="BF285" s="6">
        <f>IFERROR(__xludf.DUMMYFUNCTION("""COMPUTED_VALUE"""),1.0)</f>
        <v>1</v>
      </c>
      <c r="BG285" s="1">
        <f>IFERROR(__xludf.DUMMYFUNCTION("""COMPUTED_VALUE"""),1.0)</f>
        <v>1</v>
      </c>
      <c r="BH285" s="1" t="str">
        <f>IFERROR(__xludf.DUMMYFUNCTION("""COMPUTED_VALUE"""),"0")</f>
        <v>0</v>
      </c>
      <c r="BI285" s="4">
        <f>IFERROR(__xludf.DUMMYFUNCTION("""COMPUTED_VALUE"""),150.0)</f>
        <v>150</v>
      </c>
      <c r="BJ285" s="1">
        <f>IFERROR(__xludf.DUMMYFUNCTION("""COMPUTED_VALUE"""),0.0)</f>
        <v>0</v>
      </c>
      <c r="BK285" s="4">
        <f>IFERROR(__xludf.DUMMYFUNCTION("""COMPUTED_VALUE"""),150.0)</f>
        <v>150</v>
      </c>
      <c r="BL285" s="1">
        <f>IFERROR(__xludf.DUMMYFUNCTION("""COMPUTED_VALUE"""),820.0)</f>
        <v>820</v>
      </c>
      <c r="BM285" s="1">
        <f>IFERROR(__xludf.DUMMYFUNCTION("""COMPUTED_VALUE"""),53.0)</f>
        <v>53</v>
      </c>
      <c r="BN285" s="2">
        <f>IFERROR(__xludf.DUMMYFUNCTION("""COMPUTED_VALUE"""),45656.0)</f>
        <v>45656</v>
      </c>
      <c r="BO285" s="1">
        <f>IFERROR(__xludf.DUMMYFUNCTION("""COMPUTED_VALUE"""),12.0)</f>
        <v>12</v>
      </c>
      <c r="BP285" s="1">
        <f>IFERROR(__xludf.DUMMYFUNCTION("""COMPUTED_VALUE"""),2024.0)</f>
        <v>2024</v>
      </c>
    </row>
    <row r="286">
      <c r="A286" s="1">
        <f>IFERROR(__xludf.DUMMYFUNCTION("""COMPUTED_VALUE"""),285.0)</f>
        <v>285</v>
      </c>
      <c r="B286" s="1">
        <f>IFERROR(__xludf.DUMMYFUNCTION("""COMPUTED_VALUE"""),4531000.0)</f>
        <v>4531000</v>
      </c>
      <c r="C286" s="1" t="str">
        <f>IFERROR(__xludf.DUMMYFUNCTION("""COMPUTED_VALUE"""),"2025-1")</f>
        <v>2025-1</v>
      </c>
      <c r="D286" s="1" t="str">
        <f>IFERROR(__xludf.DUMMYFUNCTION("""COMPUTED_VALUE"""),"Admisión Ordinaria")</f>
        <v>Admisión Ordinaria</v>
      </c>
      <c r="E286" s="2">
        <f>IFERROR(__xludf.DUMMYFUNCTION("""COMPUTED_VALUE"""),45657.0)</f>
        <v>45657</v>
      </c>
      <c r="F286" s="1" t="str">
        <f>IFERROR(__xludf.DUMMYFUNCTION("""COMPUTED_VALUE"""),"FABIAN ALONSO ")</f>
        <v>FABIAN ALONSO </v>
      </c>
      <c r="G286" s="1" t="str">
        <f>IFERROR(__xludf.DUMMYFUNCTION("""COMPUTED_VALUE"""),"SARAVIA PARRA")</f>
        <v>SARAVIA PARRA</v>
      </c>
      <c r="H286" s="1" t="str">
        <f>IFERROR(__xludf.DUMMYFUNCTION("""COMPUTED_VALUE"""),"Marketing e Innovación")</f>
        <v>Marketing e Innovación</v>
      </c>
      <c r="I286" s="1" t="str">
        <f>IFERROR(__xludf.DUMMYFUNCTION("""COMPUTED_VALUE"""),"CARGO")</f>
        <v>CARGO</v>
      </c>
      <c r="J286" s="1" t="str">
        <f>IFERROR(__xludf.DUMMYFUNCTION("""COMPUTED_VALUE"""),"Diurno")</f>
        <v>Diurno</v>
      </c>
      <c r="K286" s="1" t="str">
        <f>IFERROR(__xludf.DUMMYFUNCTION("""COMPUTED_VALUE"""),"NUEVO")</f>
        <v>NUEVO</v>
      </c>
      <c r="L286" s="1">
        <f>IFERROR(__xludf.DUMMYFUNCTION("""COMPUTED_VALUE"""),0.0)</f>
        <v>0</v>
      </c>
      <c r="M286" s="1">
        <f>IFERROR(__xludf.DUMMYFUNCTION("""COMPUTED_VALUE"""),0.0)</f>
        <v>0</v>
      </c>
      <c r="N286" s="1" t="str">
        <f>IFERROR(__xludf.DUMMYFUNCTION("""COMPUTED_VALUE"""),"ESCALA REGULAR")</f>
        <v>ESCALA REGULAR</v>
      </c>
      <c r="O286" s="1" t="str">
        <f>IFERROR(__xludf.DUMMYFUNCTION("""COMPUTED_VALUE"""),"NINGUNO")</f>
        <v>NINGUNO</v>
      </c>
      <c r="P286" s="4">
        <f>IFERROR(__xludf.DUMMYFUNCTION("""COMPUTED_VALUE"""),0.0)</f>
        <v>0</v>
      </c>
      <c r="Q286" s="4">
        <f>IFERROR(__xludf.DUMMYFUNCTION("""COMPUTED_VALUE"""),0.0)</f>
        <v>0</v>
      </c>
      <c r="R286" s="4">
        <f>IFERROR(__xludf.DUMMYFUNCTION("""COMPUTED_VALUE"""),1600.0)</f>
        <v>1600</v>
      </c>
      <c r="S286" s="4">
        <f>IFERROR(__xludf.DUMMYFUNCTION("""COMPUTED_VALUE"""),1600.0)</f>
        <v>1600</v>
      </c>
      <c r="T286" s="1" t="str">
        <f>IFERROR(__xludf.DUMMYFUNCTION("""COMPUTED_VALUE"""),"NINGUNO")</f>
        <v>NINGUNO</v>
      </c>
      <c r="U286" s="1" t="str">
        <f>IFERROR(__xludf.DUMMYFUNCTION("""COMPUTED_VALUE"""),"RODRIGO")</f>
        <v>RODRIGO</v>
      </c>
      <c r="V286" s="1" t="str">
        <f>IFERROR(__xludf.DUMMYFUNCTION("""COMPUTED_VALUE"""),"Ninguno")</f>
        <v>Ninguno</v>
      </c>
      <c r="W286" s="1" t="str">
        <f>IFERROR(__xludf.DUMMYFUNCTION("""COMPUTED_VALUE"""),"Metodología de enseñanza")</f>
        <v>Metodología de enseñanza</v>
      </c>
      <c r="X286" s="1" t="str">
        <f>IFERROR(__xludf.DUMMYFUNCTION("""COMPUTED_VALUE"""),"metodologia")</f>
        <v>metodologia</v>
      </c>
      <c r="Y286" s="1" t="str">
        <f>IFERROR(__xludf.DUMMYFUNCTION("""COMPUTED_VALUE"""),"PAGO COMPLETO")</f>
        <v>PAGO COMPLETO</v>
      </c>
      <c r="Z286" s="1">
        <f>IFERROR(__xludf.DUMMYFUNCTION("""COMPUTED_VALUE"""),0.0)</f>
        <v>0</v>
      </c>
      <c r="AA286" s="1" t="str">
        <f>IFERROR(__xludf.DUMMYFUNCTION("""COMPUTED_VALUE"""),"-")</f>
        <v>-</v>
      </c>
      <c r="AB286" s="1">
        <f>IFERROR(__xludf.DUMMYFUNCTION("""COMPUTED_VALUE"""),0.0)</f>
        <v>0</v>
      </c>
      <c r="AC286" s="1">
        <f>IFERROR(__xludf.DUMMYFUNCTION("""COMPUTED_VALUE"""),0.0)</f>
        <v>0</v>
      </c>
      <c r="AD286" s="1" t="str">
        <f>IFERROR(__xludf.DUMMYFUNCTION("""COMPUTED_VALUE"""),"Cinthia Mariella Orosco")</f>
        <v>Cinthia Mariella Orosco</v>
      </c>
      <c r="AE286" s="1" t="str">
        <f>IFERROR(__xludf.DUMMYFUNCTION("""COMPUTED_VALUE"""),"0")</f>
        <v>0</v>
      </c>
      <c r="AF286" s="1">
        <f>IFERROR(__xludf.DUMMYFUNCTION("""COMPUTED_VALUE"""),2024.0)</f>
        <v>2024</v>
      </c>
      <c r="AG286" s="1">
        <f>IFERROR(__xludf.DUMMYFUNCTION("""COMPUTED_VALUE"""),1304534.0)</f>
        <v>1304534</v>
      </c>
      <c r="AH286" s="1">
        <f>IFERROR(__xludf.DUMMYFUNCTION("""COMPUTED_VALUE"""),18.0)</f>
        <v>18</v>
      </c>
      <c r="AI286" s="1" t="str">
        <f>IFERROR(__xludf.DUMMYFUNCTION("""COMPUTED_VALUE"""),"0000406251")</f>
        <v>0000406251</v>
      </c>
      <c r="AJ286" s="1">
        <f>IFERROR(__xludf.DUMMYFUNCTION("""COMPUTED_VALUE"""),7.0720428E7)</f>
        <v>70720428</v>
      </c>
      <c r="AK286" s="1">
        <f>IFERROR(__xludf.DUMMYFUNCTION("""COMPUTED_VALUE"""),9.62544577E8)</f>
        <v>962544577</v>
      </c>
      <c r="AL286" s="1" t="str">
        <f>IFERROR(__xludf.DUMMYFUNCTION("""COMPUTED_VALUE"""),"tparraalejandro@gmail.com")</f>
        <v>tparraalejandro@gmail.com</v>
      </c>
      <c r="AM286" s="1" t="str">
        <f>IFERROR(__xludf.DUMMYFUNCTION("""COMPUTED_VALUE"""),"MASCULINO")</f>
        <v>MASCULINO</v>
      </c>
      <c r="AN286" s="1">
        <f>IFERROR(__xludf.DUMMYFUNCTION("""COMPUTED_VALUE"""),1525.0)</f>
        <v>1525</v>
      </c>
      <c r="AO286" s="1">
        <f>IFERROR(__xludf.DUMMYFUNCTION("""COMPUTED_VALUE"""),200.0)</f>
        <v>200</v>
      </c>
      <c r="AP286" s="1" t="str">
        <f>IFERROR(__xludf.DUMMYFUNCTION("""COMPUTED_VALUE"""),"BIDIRECCIONAL")</f>
        <v>BIDIRECCIONAL</v>
      </c>
      <c r="AQ286" s="1" t="str">
        <f>IFERROR(__xludf.DUMMYFUNCTION("""COMPUTED_VALUE"""),"ORGANICO")</f>
        <v>ORGANICO</v>
      </c>
      <c r="AR286" s="1" t="str">
        <f>IFERROR(__xludf.DUMMYFUNCTION("""COMPUTED_VALUE"""),"NUEVO")</f>
        <v>NUEVO</v>
      </c>
      <c r="AS286" s="1"/>
      <c r="AT286" s="2">
        <f>IFERROR(__xludf.DUMMYFUNCTION("""COMPUTED_VALUE"""),45529.0)</f>
        <v>45529</v>
      </c>
      <c r="AU286" s="1">
        <f>IFERROR(__xludf.DUMMYFUNCTION("""COMPUTED_VALUE"""),1.0)</f>
        <v>1</v>
      </c>
      <c r="AV286" s="1" t="str">
        <f>IFERROR(__xludf.DUMMYFUNCTION("""COMPUTED_VALUE"""),"NUEVO")</f>
        <v>NUEVO</v>
      </c>
      <c r="AW286" s="1" t="str">
        <f>IFERROR(__xludf.DUMMYFUNCTION("""COMPUTED_VALUE"""),"SI")</f>
        <v>SI</v>
      </c>
      <c r="AX286" s="1"/>
      <c r="AY286" s="1" t="str">
        <f>IFERROR(__xludf.DUMMYFUNCTION("""COMPUTED_VALUE"""),"PAGO COMPLETO")</f>
        <v>PAGO COMPLETO</v>
      </c>
      <c r="AZ286" s="5">
        <f>IFERROR(__xludf.DUMMYFUNCTION("""COMPUTED_VALUE"""),45657.0)</f>
        <v>45657</v>
      </c>
      <c r="BA286" s="1">
        <f>IFERROR(__xludf.DUMMYFUNCTION("""COMPUTED_VALUE"""),0.0)</f>
        <v>0</v>
      </c>
      <c r="BB286" s="1">
        <f>IFERROR(__xludf.DUMMYFUNCTION("""COMPUTED_VALUE"""),0.0)</f>
        <v>0</v>
      </c>
      <c r="BC286" s="4">
        <f>IFERROR(__xludf.DUMMYFUNCTION("""COMPUTED_VALUE"""),0.0)</f>
        <v>0</v>
      </c>
      <c r="BD286" s="4">
        <f>IFERROR(__xludf.DUMMYFUNCTION("""COMPUTED_VALUE"""),0.0)</f>
        <v>0</v>
      </c>
      <c r="BE286" s="1">
        <f>IFERROR(__xludf.DUMMYFUNCTION("""COMPUTED_VALUE"""),12.0)</f>
        <v>12</v>
      </c>
      <c r="BF286" s="6">
        <f>IFERROR(__xludf.DUMMYFUNCTION("""COMPUTED_VALUE"""),1.0)</f>
        <v>1</v>
      </c>
      <c r="BG286" s="1">
        <f>IFERROR(__xludf.DUMMYFUNCTION("""COMPUTED_VALUE"""),1.0)</f>
        <v>1</v>
      </c>
      <c r="BH286" s="1" t="str">
        <f>IFERROR(__xludf.DUMMYFUNCTION("""COMPUTED_VALUE"""),"0")</f>
        <v>0</v>
      </c>
      <c r="BI286" s="4">
        <f>IFERROR(__xludf.DUMMYFUNCTION("""COMPUTED_VALUE"""),0.0)</f>
        <v>0</v>
      </c>
      <c r="BJ286" s="1">
        <f>IFERROR(__xludf.DUMMYFUNCTION("""COMPUTED_VALUE"""),0.0)</f>
        <v>0</v>
      </c>
      <c r="BK286" s="4">
        <f>IFERROR(__xludf.DUMMYFUNCTION("""COMPUTED_VALUE"""),0.0)</f>
        <v>0</v>
      </c>
      <c r="BL286" s="1">
        <f>IFERROR(__xludf.DUMMYFUNCTION("""COMPUTED_VALUE"""),1600.0)</f>
        <v>1600</v>
      </c>
      <c r="BM286" s="1">
        <f>IFERROR(__xludf.DUMMYFUNCTION("""COMPUTED_VALUE"""),53.0)</f>
        <v>53</v>
      </c>
      <c r="BN286" s="2">
        <f>IFERROR(__xludf.DUMMYFUNCTION("""COMPUTED_VALUE"""),45656.0)</f>
        <v>45656</v>
      </c>
      <c r="BO286" s="1">
        <f>IFERROR(__xludf.DUMMYFUNCTION("""COMPUTED_VALUE"""),12.0)</f>
        <v>12</v>
      </c>
      <c r="BP286" s="1">
        <f>IFERROR(__xludf.DUMMYFUNCTION("""COMPUTED_VALUE"""),2024.0)</f>
        <v>2024</v>
      </c>
    </row>
    <row r="287">
      <c r="A287" s="1">
        <f>IFERROR(__xludf.DUMMYFUNCTION("""COMPUTED_VALUE"""),286.0)</f>
        <v>286</v>
      </c>
      <c r="B287" s="1">
        <f>IFERROR(__xludf.DUMMYFUNCTION("""COMPUTED_VALUE"""),4847795.0)</f>
        <v>4847795</v>
      </c>
      <c r="C287" s="1" t="str">
        <f>IFERROR(__xludf.DUMMYFUNCTION("""COMPUTED_VALUE"""),"2025-1")</f>
        <v>2025-1</v>
      </c>
      <c r="D287" s="1" t="str">
        <f>IFERROR(__xludf.DUMMYFUNCTION("""COMPUTED_VALUE"""),"Admisión de Alto Rendimiento")</f>
        <v>Admisión de Alto Rendimiento</v>
      </c>
      <c r="E287" s="2">
        <f>IFERROR(__xludf.DUMMYFUNCTION("""COMPUTED_VALUE"""),45659.0)</f>
        <v>45659</v>
      </c>
      <c r="F287" s="1" t="str">
        <f>IFERROR(__xludf.DUMMYFUNCTION("""COMPUTED_VALUE"""),"YARASHKA YARLEY MARIA ")</f>
        <v>YARASHKA YARLEY MARIA </v>
      </c>
      <c r="G287" s="1" t="str">
        <f>IFERROR(__xludf.DUMMYFUNCTION("""COMPUTED_VALUE"""),"LA BARRERA IBAÑEZ")</f>
        <v>LA BARRERA IBAÑEZ</v>
      </c>
      <c r="H287" s="1" t="str">
        <f>IFERROR(__xludf.DUMMYFUNCTION("""COMPUTED_VALUE"""),"Comunicación Audiovisual y Cine")</f>
        <v>Comunicación Audiovisual y Cine</v>
      </c>
      <c r="I287" s="1" t="str">
        <f>IFERROR(__xludf.DUMMYFUNCTION("""COMPUTED_VALUE"""),"POS")</f>
        <v>POS</v>
      </c>
      <c r="J287" s="1" t="str">
        <f>IFERROR(__xludf.DUMMYFUNCTION("""COMPUTED_VALUE"""),"Diurno")</f>
        <v>Diurno</v>
      </c>
      <c r="K287" s="1" t="str">
        <f>IFERROR(__xludf.DUMMYFUNCTION("""COMPUTED_VALUE"""),"NUEVO")</f>
        <v>NUEVO</v>
      </c>
      <c r="L287" s="1">
        <f>IFERROR(__xludf.DUMMYFUNCTION("""COMPUTED_VALUE"""),0.0)</f>
        <v>0</v>
      </c>
      <c r="M287" s="1">
        <f>IFERROR(__xludf.DUMMYFUNCTION("""COMPUTED_VALUE"""),0.0)</f>
        <v>0</v>
      </c>
      <c r="N287" s="1" t="str">
        <f>IFERROR(__xludf.DUMMYFUNCTION("""COMPUTED_VALUE"""),"BECA")</f>
        <v>BECA</v>
      </c>
      <c r="O287" s="1" t="str">
        <f>IFERROR(__xludf.DUMMYFUNCTION("""COMPUTED_VALUE"""),"BECA CARRERAS CORE")</f>
        <v>BECA CARRERAS CORE</v>
      </c>
      <c r="P287" s="4">
        <f>IFERROR(__xludf.DUMMYFUNCTION("""COMPUTED_VALUE"""),0.0)</f>
        <v>0</v>
      </c>
      <c r="Q287" s="4">
        <f>IFERROR(__xludf.DUMMYFUNCTION("""COMPUTED_VALUE"""),237.5)</f>
        <v>237.5</v>
      </c>
      <c r="R287" s="4">
        <f>IFERROR(__xludf.DUMMYFUNCTION("""COMPUTED_VALUE"""),1600.0)</f>
        <v>1600</v>
      </c>
      <c r="S287" s="4">
        <f>IFERROR(__xludf.DUMMYFUNCTION("""COMPUTED_VALUE"""),1280.0)</f>
        <v>1280</v>
      </c>
      <c r="T287" s="1" t="str">
        <f>IFERROR(__xludf.DUMMYFUNCTION("""COMPUTED_VALUE"""),"NINGUNO")</f>
        <v>NINGUNO</v>
      </c>
      <c r="U287" s="1" t="str">
        <f>IFERROR(__xludf.DUMMYFUNCTION("""COMPUTED_VALUE"""),"FABIOLA")</f>
        <v>FABIOLA</v>
      </c>
      <c r="V287" s="1" t="str">
        <f>IFERROR(__xludf.DUMMYFUNCTION("""COMPUTED_VALUE"""),"Ninguno")</f>
        <v>Ninguno</v>
      </c>
      <c r="W287" s="1" t="str">
        <f>IFERROR(__xludf.DUMMYFUNCTION("""COMPUTED_VALUE"""),"Equipos e instalaciones")</f>
        <v>Equipos e instalaciones</v>
      </c>
      <c r="X287" s="1" t="str">
        <f>IFERROR(__xludf.DUMMYFUNCTION("""COMPUTED_VALUE"""),"-")</f>
        <v>-</v>
      </c>
      <c r="Y287" s="1" t="str">
        <f>IFERROR(__xludf.DUMMYFUNCTION("""COMPUTED_VALUE"""),"PAGO COMPLETO")</f>
        <v>PAGO COMPLETO</v>
      </c>
      <c r="Z287" s="1">
        <f>IFERROR(__xludf.DUMMYFUNCTION("""COMPUTED_VALUE"""),0.0)</f>
        <v>0</v>
      </c>
      <c r="AA287" s="1" t="str">
        <f>IFERROR(__xludf.DUMMYFUNCTION("""COMPUTED_VALUE"""),"-")</f>
        <v>-</v>
      </c>
      <c r="AB287" s="1">
        <f>IFERROR(__xludf.DUMMYFUNCTION("""COMPUTED_VALUE"""),0.0)</f>
        <v>0</v>
      </c>
      <c r="AC287" s="1">
        <f>IFERROR(__xludf.DUMMYFUNCTION("""COMPUTED_VALUE"""),0.0)</f>
        <v>0</v>
      </c>
      <c r="AD287" s="1" t="str">
        <f>IFERROR(__xludf.DUMMYFUNCTION("""COMPUTED_VALUE"""),"Fiorella Lanegra")</f>
        <v>Fiorella Lanegra</v>
      </c>
      <c r="AE287" s="1" t="str">
        <f>IFERROR(__xludf.DUMMYFUNCTION("""COMPUTED_VALUE"""),"0")</f>
        <v>0</v>
      </c>
      <c r="AF287" s="1">
        <f>IFERROR(__xludf.DUMMYFUNCTION("""COMPUTED_VALUE"""),2024.0)</f>
        <v>2024</v>
      </c>
      <c r="AG287" s="1">
        <f>IFERROR(__xludf.DUMMYFUNCTION("""COMPUTED_VALUE"""),1507839.0)</f>
        <v>1507839</v>
      </c>
      <c r="AH287" s="1">
        <f>IFERROR(__xludf.DUMMYFUNCTION("""COMPUTED_VALUE"""),17.0)</f>
        <v>17</v>
      </c>
      <c r="AI287" s="1" t="str">
        <f>IFERROR(__xludf.DUMMYFUNCTION("""COMPUTED_VALUE"""),"0000406363")</f>
        <v>0000406363</v>
      </c>
      <c r="AJ287" s="1">
        <f>IFERROR(__xludf.DUMMYFUNCTION("""COMPUTED_VALUE"""),7.1361505E7)</f>
        <v>71361505</v>
      </c>
      <c r="AK287" s="1">
        <f>IFERROR(__xludf.DUMMYFUNCTION("""COMPUTED_VALUE"""),9.6898027E8)</f>
        <v>968980270</v>
      </c>
      <c r="AL287" s="1" t="str">
        <f>IFERROR(__xludf.DUMMYFUNCTION("""COMPUTED_VALUE"""),"yarashkamaria21@gmail.com")</f>
        <v>yarashkamaria21@gmail.com</v>
      </c>
      <c r="AM287" s="1" t="str">
        <f>IFERROR(__xludf.DUMMYFUNCTION("""COMPUTED_VALUE"""),"FEMENINO")</f>
        <v>FEMENINO</v>
      </c>
      <c r="AN287" s="1">
        <f>IFERROR(__xludf.DUMMYFUNCTION("""COMPUTED_VALUE"""),1350.0)</f>
        <v>1350</v>
      </c>
      <c r="AO287" s="1">
        <f>IFERROR(__xludf.DUMMYFUNCTION("""COMPUTED_VALUE"""),0.0)</f>
        <v>0</v>
      </c>
      <c r="AP287" s="1" t="str">
        <f>IFERROR(__xludf.DUMMYFUNCTION("""COMPUTED_VALUE"""),"COLEGIOS")</f>
        <v>COLEGIOS</v>
      </c>
      <c r="AQ287" s="1" t="str">
        <f>IFERROR(__xludf.DUMMYFUNCTION("""COMPUTED_VALUE"""),"COLEGIOS")</f>
        <v>COLEGIOS</v>
      </c>
      <c r="AR287" s="1" t="str">
        <f>IFERROR(__xludf.DUMMYFUNCTION("""COMPUTED_VALUE"""),"NUEVO")</f>
        <v>NUEVO</v>
      </c>
      <c r="AS287" s="1"/>
      <c r="AT287" s="2">
        <f>IFERROR(__xludf.DUMMYFUNCTION("""COMPUTED_VALUE"""),45531.0)</f>
        <v>45531</v>
      </c>
      <c r="AU287" s="1">
        <f>IFERROR(__xludf.DUMMYFUNCTION("""COMPUTED_VALUE"""),1.0)</f>
        <v>1</v>
      </c>
      <c r="AV287" s="1" t="str">
        <f>IFERROR(__xludf.DUMMYFUNCTION("""COMPUTED_VALUE"""),"NUEVO")</f>
        <v>NUEVO</v>
      </c>
      <c r="AW287" s="1" t="str">
        <f>IFERROR(__xludf.DUMMYFUNCTION("""COMPUTED_VALUE"""),"SI")</f>
        <v>SI</v>
      </c>
      <c r="AX287" s="1"/>
      <c r="AY287" s="1" t="str">
        <f>IFERROR(__xludf.DUMMYFUNCTION("""COMPUTED_VALUE"""),"PAGO COMPLETO")</f>
        <v>PAGO COMPLETO</v>
      </c>
      <c r="AZ287" s="5">
        <f>IFERROR(__xludf.DUMMYFUNCTION("""COMPUTED_VALUE"""),45659.0)</f>
        <v>45659</v>
      </c>
      <c r="BA287" s="1">
        <f>IFERROR(__xludf.DUMMYFUNCTION("""COMPUTED_VALUE"""),0.0)</f>
        <v>0</v>
      </c>
      <c r="BB287" s="1">
        <f>IFERROR(__xludf.DUMMYFUNCTION("""COMPUTED_VALUE"""),0.0)</f>
        <v>0</v>
      </c>
      <c r="BC287" s="4">
        <f>IFERROR(__xludf.DUMMYFUNCTION("""COMPUTED_VALUE"""),0.0)</f>
        <v>0</v>
      </c>
      <c r="BD287" s="4">
        <f>IFERROR(__xludf.DUMMYFUNCTION("""COMPUTED_VALUE"""),0.0)</f>
        <v>0</v>
      </c>
      <c r="BE287" s="1">
        <f>IFERROR(__xludf.DUMMYFUNCTION("""COMPUTED_VALUE"""),1.0)</f>
        <v>1</v>
      </c>
      <c r="BF287" s="6">
        <f>IFERROR(__xludf.DUMMYFUNCTION("""COMPUTED_VALUE"""),1.0)</f>
        <v>1</v>
      </c>
      <c r="BG287" s="1">
        <f>IFERROR(__xludf.DUMMYFUNCTION("""COMPUTED_VALUE"""),1.0)</f>
        <v>1</v>
      </c>
      <c r="BH287" s="1" t="str">
        <f>IFERROR(__xludf.DUMMYFUNCTION("""COMPUTED_VALUE"""),"0")</f>
        <v>0</v>
      </c>
      <c r="BI287" s="4">
        <f>IFERROR(__xludf.DUMMYFUNCTION("""COMPUTED_VALUE"""),0.0)</f>
        <v>0</v>
      </c>
      <c r="BJ287" s="1">
        <f>IFERROR(__xludf.DUMMYFUNCTION("""COMPUTED_VALUE"""),0.0)</f>
        <v>0</v>
      </c>
      <c r="BK287" s="4">
        <f>IFERROR(__xludf.DUMMYFUNCTION("""COMPUTED_VALUE"""),0.0)</f>
        <v>0</v>
      </c>
      <c r="BL287" s="1">
        <f>IFERROR(__xludf.DUMMYFUNCTION("""COMPUTED_VALUE"""),1280.0)</f>
        <v>1280</v>
      </c>
      <c r="BM287" s="1">
        <f>IFERROR(__xludf.DUMMYFUNCTION("""COMPUTED_VALUE"""),1.0)</f>
        <v>1</v>
      </c>
      <c r="BN287" s="2">
        <f>IFERROR(__xludf.DUMMYFUNCTION("""COMPUTED_VALUE"""),45656.0)</f>
        <v>45656</v>
      </c>
      <c r="BO287" s="1">
        <f>IFERROR(__xludf.DUMMYFUNCTION("""COMPUTED_VALUE"""),1.0)</f>
        <v>1</v>
      </c>
      <c r="BP287" s="1">
        <f>IFERROR(__xludf.DUMMYFUNCTION("""COMPUTED_VALUE"""),2025.0)</f>
        <v>2025</v>
      </c>
    </row>
    <row r="288">
      <c r="A288" s="1">
        <f>IFERROR(__xludf.DUMMYFUNCTION("""COMPUTED_VALUE"""),287.0)</f>
        <v>287</v>
      </c>
      <c r="B288" s="1">
        <f>IFERROR(__xludf.DUMMYFUNCTION("""COMPUTED_VALUE"""),4743798.0)</f>
        <v>4743798</v>
      </c>
      <c r="C288" s="1" t="str">
        <f>IFERROR(__xludf.DUMMYFUNCTION("""COMPUTED_VALUE"""),"2025-1")</f>
        <v>2025-1</v>
      </c>
      <c r="D288" s="1" t="str">
        <f>IFERROR(__xludf.DUMMYFUNCTION("""COMPUTED_VALUE"""),"Admisión de Alto Rendimiento")</f>
        <v>Admisión de Alto Rendimiento</v>
      </c>
      <c r="E288" s="2">
        <f>IFERROR(__xludf.DUMMYFUNCTION("""COMPUTED_VALUE"""),45659.0)</f>
        <v>45659</v>
      </c>
      <c r="F288" s="1" t="str">
        <f>IFERROR(__xludf.DUMMYFUNCTION("""COMPUTED_VALUE"""),"XIMENA MARIA PIA ")</f>
        <v>XIMENA MARIA PIA </v>
      </c>
      <c r="G288" s="1" t="str">
        <f>IFERROR(__xludf.DUMMYFUNCTION("""COMPUTED_VALUE"""),"PANTIGOSO VILCAPUMA")</f>
        <v>PANTIGOSO VILCAPUMA</v>
      </c>
      <c r="H288" s="1" t="str">
        <f>IFERROR(__xludf.DUMMYFUNCTION("""COMPUTED_VALUE"""),"Diseño Gráfico Publicitario")</f>
        <v>Diseño Gráfico Publicitario</v>
      </c>
      <c r="I288" s="1" t="str">
        <f>IFERROR(__xludf.DUMMYFUNCTION("""COMPUTED_VALUE"""),"CARGO")</f>
        <v>CARGO</v>
      </c>
      <c r="J288" s="1" t="str">
        <f>IFERROR(__xludf.DUMMYFUNCTION("""COMPUTED_VALUE"""),"Diurno")</f>
        <v>Diurno</v>
      </c>
      <c r="K288" s="1" t="str">
        <f>IFERROR(__xludf.DUMMYFUNCTION("""COMPUTED_VALUE"""),"NUEVO")</f>
        <v>NUEVO</v>
      </c>
      <c r="L288" s="1">
        <f>IFERROR(__xludf.DUMMYFUNCTION("""COMPUTED_VALUE"""),0.0)</f>
        <v>0</v>
      </c>
      <c r="M288" s="1">
        <f>IFERROR(__xludf.DUMMYFUNCTION("""COMPUTED_VALUE"""),0.0)</f>
        <v>0</v>
      </c>
      <c r="N288" s="1" t="str">
        <f>IFERROR(__xludf.DUMMYFUNCTION("""COMPUTED_VALUE"""),"BECA")</f>
        <v>BECA</v>
      </c>
      <c r="O288" s="1" t="str">
        <f>IFERROR(__xludf.DUMMYFUNCTION("""COMPUTED_VALUE"""),"BECA CARRERAS CORE")</f>
        <v>BECA CARRERAS CORE</v>
      </c>
      <c r="P288" s="4">
        <f>IFERROR(__xludf.DUMMYFUNCTION("""COMPUTED_VALUE"""),100.0)</f>
        <v>100</v>
      </c>
      <c r="Q288" s="4">
        <f>IFERROR(__xludf.DUMMYFUNCTION("""COMPUTED_VALUE"""),237.5)</f>
        <v>237.5</v>
      </c>
      <c r="R288" s="4">
        <f>IFERROR(__xludf.DUMMYFUNCTION("""COMPUTED_VALUE"""),1150.0)</f>
        <v>1150</v>
      </c>
      <c r="S288" s="4">
        <f>IFERROR(__xludf.DUMMYFUNCTION("""COMPUTED_VALUE"""),850.0)</f>
        <v>850</v>
      </c>
      <c r="T288" s="1" t="str">
        <f>IFERROR(__xludf.DUMMYFUNCTION("""COMPUTED_VALUE"""),"PALANCA 700")</f>
        <v>PALANCA 700</v>
      </c>
      <c r="U288" s="1" t="str">
        <f>IFERROR(__xludf.DUMMYFUNCTION("""COMPUTED_VALUE"""),"FABIOLA")</f>
        <v>FABIOLA</v>
      </c>
      <c r="V288" s="1" t="str">
        <f>IFERROR(__xludf.DUMMYFUNCTION("""COMPUTED_VALUE"""),"Ninguno")</f>
        <v>Ninguno</v>
      </c>
      <c r="W288" s="1" t="str">
        <f>IFERROR(__xludf.DUMMYFUNCTION("""COMPUTED_VALUE"""),"Metodología de enseñanza")</f>
        <v>Metodología de enseñanza</v>
      </c>
      <c r="X288" s="1" t="str">
        <f>IFERROR(__xludf.DUMMYFUNCTION("""COMPUTED_VALUE"""),"Primera cuota 700,malla curricular ")</f>
        <v>Primera cuota 700,malla curricular </v>
      </c>
      <c r="Y288" s="1" t="str">
        <f>IFERROR(__xludf.DUMMYFUNCTION("""COMPUTED_VALUE"""),"PAGO COMPLETO")</f>
        <v>PAGO COMPLETO</v>
      </c>
      <c r="Z288" s="1">
        <f>IFERROR(__xludf.DUMMYFUNCTION("""COMPUTED_VALUE"""),0.0)</f>
        <v>0</v>
      </c>
      <c r="AA288" s="1" t="str">
        <f>IFERROR(__xludf.DUMMYFUNCTION("""COMPUTED_VALUE"""),"-")</f>
        <v>-</v>
      </c>
      <c r="AB288" s="1">
        <f>IFERROR(__xludf.DUMMYFUNCTION("""COMPUTED_VALUE"""),0.0)</f>
        <v>0</v>
      </c>
      <c r="AC288" s="1">
        <f>IFERROR(__xludf.DUMMYFUNCTION("""COMPUTED_VALUE"""),0.0)</f>
        <v>0</v>
      </c>
      <c r="AD288" s="1" t="str">
        <f>IFERROR(__xludf.DUMMYFUNCTION("""COMPUTED_VALUE"""),"Rosa Ugarte")</f>
        <v>Rosa Ugarte</v>
      </c>
      <c r="AE288" s="1" t="str">
        <f>IFERROR(__xludf.DUMMYFUNCTION("""COMPUTED_VALUE"""),"0")</f>
        <v>0</v>
      </c>
      <c r="AF288" s="1">
        <f>IFERROR(__xludf.DUMMYFUNCTION("""COMPUTED_VALUE"""),2024.0)</f>
        <v>2024</v>
      </c>
      <c r="AG288" s="1">
        <f>IFERROR(__xludf.DUMMYFUNCTION("""COMPUTED_VALUE"""),707117.0)</f>
        <v>707117</v>
      </c>
      <c r="AH288" s="1">
        <f>IFERROR(__xludf.DUMMYFUNCTION("""COMPUTED_VALUE"""),20.0)</f>
        <v>20</v>
      </c>
      <c r="AI288" s="1" t="str">
        <f>IFERROR(__xludf.DUMMYFUNCTION("""COMPUTED_VALUE"""),"0000406396")</f>
        <v>0000406396</v>
      </c>
      <c r="AJ288" s="1">
        <f>IFERROR(__xludf.DUMMYFUNCTION("""COMPUTED_VALUE"""),7.3257881E7)</f>
        <v>73257881</v>
      </c>
      <c r="AK288" s="1">
        <f>IFERROR(__xludf.DUMMYFUNCTION("""COMPUTED_VALUE"""),9.14051796E8)</f>
        <v>914051796</v>
      </c>
      <c r="AL288" s="1" t="str">
        <f>IFERROR(__xludf.DUMMYFUNCTION("""COMPUTED_VALUE"""),"verovilcapuma20@gmail.com")</f>
        <v>verovilcapuma20@gmail.com</v>
      </c>
      <c r="AM288" s="1" t="str">
        <f>IFERROR(__xludf.DUMMYFUNCTION("""COMPUTED_VALUE"""),"FEMENINO")</f>
        <v>FEMENINO</v>
      </c>
      <c r="AN288" s="1">
        <f>IFERROR(__xludf.DUMMYFUNCTION("""COMPUTED_VALUE"""),1350.0)</f>
        <v>1350</v>
      </c>
      <c r="AO288" s="1">
        <f>IFERROR(__xludf.DUMMYFUNCTION("""COMPUTED_VALUE"""),0.0)</f>
        <v>0</v>
      </c>
      <c r="AP288" s="1" t="str">
        <f>IFERROR(__xludf.DUMMYFUNCTION("""COMPUTED_VALUE"""),"FORMULARIO")</f>
        <v>FORMULARIO</v>
      </c>
      <c r="AQ288" s="1" t="str">
        <f>IFERROR(__xludf.DUMMYFUNCTION("""COMPUTED_VALUE"""),"SEARCH MARCA")</f>
        <v>SEARCH MARCA</v>
      </c>
      <c r="AR288" s="1" t="str">
        <f>IFERROR(__xludf.DUMMYFUNCTION("""COMPUTED_VALUE"""),"HEREDADO")</f>
        <v>HEREDADO</v>
      </c>
      <c r="AS288" s="1" t="str">
        <f>IFERROR(__xludf.DUMMYFUNCTION("""COMPUTED_VALUE"""),"ucal-pg-performance-sedes-abierta-cpl-search_conversion_marca-20240401")</f>
        <v>ucal-pg-performance-sedes-abierta-cpl-search_conversion_marca-20240401</v>
      </c>
      <c r="AT288" s="2">
        <f>IFERROR(__xludf.DUMMYFUNCTION("""COMPUTED_VALUE"""),45574.0)</f>
        <v>45574</v>
      </c>
      <c r="AU288" s="1">
        <f>IFERROR(__xludf.DUMMYFUNCTION("""COMPUTED_VALUE"""),1.0)</f>
        <v>1</v>
      </c>
      <c r="AV288" s="1" t="str">
        <f>IFERROR(__xludf.DUMMYFUNCTION("""COMPUTED_VALUE"""),"NUEVO")</f>
        <v>NUEVO</v>
      </c>
      <c r="AW288" s="1" t="str">
        <f>IFERROR(__xludf.DUMMYFUNCTION("""COMPUTED_VALUE"""),"SI")</f>
        <v>SI</v>
      </c>
      <c r="AX288" s="1"/>
      <c r="AY288" s="1" t="str">
        <f>IFERROR(__xludf.DUMMYFUNCTION("""COMPUTED_VALUE"""),"PAGO COMPLETO")</f>
        <v>PAGO COMPLETO</v>
      </c>
      <c r="AZ288" s="5">
        <f>IFERROR(__xludf.DUMMYFUNCTION("""COMPUTED_VALUE"""),45659.0)</f>
        <v>45659</v>
      </c>
      <c r="BA288" s="1">
        <f>IFERROR(__xludf.DUMMYFUNCTION("""COMPUTED_VALUE"""),0.0)</f>
        <v>0</v>
      </c>
      <c r="BB288" s="1">
        <f>IFERROR(__xludf.DUMMYFUNCTION("""COMPUTED_VALUE"""),0.0)</f>
        <v>0</v>
      </c>
      <c r="BC288" s="4">
        <f>IFERROR(__xludf.DUMMYFUNCTION("""COMPUTED_VALUE"""),0.0)</f>
        <v>0</v>
      </c>
      <c r="BD288" s="4">
        <f>IFERROR(__xludf.DUMMYFUNCTION("""COMPUTED_VALUE"""),150.0)</f>
        <v>150</v>
      </c>
      <c r="BE288" s="1">
        <f>IFERROR(__xludf.DUMMYFUNCTION("""COMPUTED_VALUE"""),1.0)</f>
        <v>1</v>
      </c>
      <c r="BF288" s="6">
        <f>IFERROR(__xludf.DUMMYFUNCTION("""COMPUTED_VALUE"""),1.0)</f>
        <v>1</v>
      </c>
      <c r="BG288" s="1">
        <f>IFERROR(__xludf.DUMMYFUNCTION("""COMPUTED_VALUE"""),1.0)</f>
        <v>1</v>
      </c>
      <c r="BH288" s="1" t="str">
        <f>IFERROR(__xludf.DUMMYFUNCTION("""COMPUTED_VALUE"""),"0")</f>
        <v>0</v>
      </c>
      <c r="BI288" s="4">
        <f>IFERROR(__xludf.DUMMYFUNCTION("""COMPUTED_VALUE"""),150.0)</f>
        <v>150</v>
      </c>
      <c r="BJ288" s="1">
        <f>IFERROR(__xludf.DUMMYFUNCTION("""COMPUTED_VALUE"""),0.0)</f>
        <v>0</v>
      </c>
      <c r="BK288" s="4">
        <f>IFERROR(__xludf.DUMMYFUNCTION("""COMPUTED_VALUE"""),150.0)</f>
        <v>150</v>
      </c>
      <c r="BL288" s="1">
        <f>IFERROR(__xludf.DUMMYFUNCTION("""COMPUTED_VALUE"""),820.0)</f>
        <v>820</v>
      </c>
      <c r="BM288" s="1">
        <f>IFERROR(__xludf.DUMMYFUNCTION("""COMPUTED_VALUE"""),1.0)</f>
        <v>1</v>
      </c>
      <c r="BN288" s="2">
        <f>IFERROR(__xludf.DUMMYFUNCTION("""COMPUTED_VALUE"""),45656.0)</f>
        <v>45656</v>
      </c>
      <c r="BO288" s="1">
        <f>IFERROR(__xludf.DUMMYFUNCTION("""COMPUTED_VALUE"""),1.0)</f>
        <v>1</v>
      </c>
      <c r="BP288" s="1">
        <f>IFERROR(__xludf.DUMMYFUNCTION("""COMPUTED_VALUE"""),2025.0)</f>
        <v>2025</v>
      </c>
    </row>
    <row r="289">
      <c r="A289" s="1">
        <f>IFERROR(__xludf.DUMMYFUNCTION("""COMPUTED_VALUE"""),288.0)</f>
        <v>288</v>
      </c>
      <c r="B289" s="1">
        <f>IFERROR(__xludf.DUMMYFUNCTION("""COMPUTED_VALUE"""),4741361.0)</f>
        <v>4741361</v>
      </c>
      <c r="C289" s="1" t="str">
        <f>IFERROR(__xludf.DUMMYFUNCTION("""COMPUTED_VALUE"""),"2025-1")</f>
        <v>2025-1</v>
      </c>
      <c r="D289" s="1" t="str">
        <f>IFERROR(__xludf.DUMMYFUNCTION("""COMPUTED_VALUE"""),"Admisión de Alto Rendimiento")</f>
        <v>Admisión de Alto Rendimiento</v>
      </c>
      <c r="E289" s="2">
        <f>IFERROR(__xludf.DUMMYFUNCTION("""COMPUTED_VALUE"""),45659.0)</f>
        <v>45659</v>
      </c>
      <c r="F289" s="1" t="str">
        <f>IFERROR(__xludf.DUMMYFUNCTION("""COMPUTED_VALUE"""),"YANIRA ROSA ")</f>
        <v>YANIRA ROSA </v>
      </c>
      <c r="G289" s="1" t="str">
        <f>IFERROR(__xludf.DUMMYFUNCTION("""COMPUTED_VALUE"""),"ALACUTE VILCAYAURI")</f>
        <v>ALACUTE VILCAYAURI</v>
      </c>
      <c r="H289" s="1" t="str">
        <f>IFERROR(__xludf.DUMMYFUNCTION("""COMPUTED_VALUE"""),"Diseño Gráfico Publicitario")</f>
        <v>Diseño Gráfico Publicitario</v>
      </c>
      <c r="I289" s="1" t="str">
        <f>IFERROR(__xludf.DUMMYFUNCTION("""COMPUTED_VALUE"""),"POS")</f>
        <v>POS</v>
      </c>
      <c r="J289" s="1" t="str">
        <f>IFERROR(__xludf.DUMMYFUNCTION("""COMPUTED_VALUE"""),"Diurno")</f>
        <v>Diurno</v>
      </c>
      <c r="K289" s="1" t="str">
        <f>IFERROR(__xludf.DUMMYFUNCTION("""COMPUTED_VALUE"""),"NUEVO")</f>
        <v>NUEVO</v>
      </c>
      <c r="L289" s="1">
        <f>IFERROR(__xludf.DUMMYFUNCTION("""COMPUTED_VALUE"""),0.0)</f>
        <v>0</v>
      </c>
      <c r="M289" s="1">
        <f>IFERROR(__xludf.DUMMYFUNCTION("""COMPUTED_VALUE"""),0.0)</f>
        <v>0</v>
      </c>
      <c r="N289" s="1" t="str">
        <f>IFERROR(__xludf.DUMMYFUNCTION("""COMPUTED_VALUE"""),"RECA")</f>
        <v>RECA</v>
      </c>
      <c r="O289" s="1" t="str">
        <f>IFERROR(__xludf.DUMMYFUNCTION("""COMPUTED_VALUE"""),"RECATEGORIZACIÓN")</f>
        <v>RECATEGORIZACIÓN</v>
      </c>
      <c r="P289" s="4">
        <f>IFERROR(__xludf.DUMMYFUNCTION("""COMPUTED_VALUE"""),100.0)</f>
        <v>100</v>
      </c>
      <c r="Q289" s="4">
        <f>IFERROR(__xludf.DUMMYFUNCTION("""COMPUTED_VALUE"""),237.5)</f>
        <v>237.5</v>
      </c>
      <c r="R289" s="4">
        <f>IFERROR(__xludf.DUMMYFUNCTION("""COMPUTED_VALUE"""),1150.0)</f>
        <v>1150</v>
      </c>
      <c r="S289" s="4">
        <f>IFERROR(__xludf.DUMMYFUNCTION("""COMPUTED_VALUE"""),850.0)</f>
        <v>850</v>
      </c>
      <c r="T289" s="1" t="str">
        <f>IFERROR(__xludf.DUMMYFUNCTION("""COMPUTED_VALUE"""),"PALANCA 700")</f>
        <v>PALANCA 700</v>
      </c>
      <c r="U289" s="1" t="str">
        <f>IFERROR(__xludf.DUMMYFUNCTION("""COMPUTED_VALUE"""),"FABIOLA")</f>
        <v>FABIOLA</v>
      </c>
      <c r="V289" s="1" t="str">
        <f>IFERROR(__xludf.DUMMYFUNCTION("""COMPUTED_VALUE"""),"Ninguno")</f>
        <v>Ninguno</v>
      </c>
      <c r="W289" s="1" t="str">
        <f>IFERROR(__xludf.DUMMYFUNCTION("""COMPUTED_VALUE"""),"Malla curricular")</f>
        <v>Malla curricular</v>
      </c>
      <c r="X289" s="1" t="str">
        <f>IFERROR(__xludf.DUMMYFUNCTION("""COMPUTED_VALUE"""),"-")</f>
        <v>-</v>
      </c>
      <c r="Y289" s="1" t="str">
        <f>IFERROR(__xludf.DUMMYFUNCTION("""COMPUTED_VALUE"""),"PAGO COMPLETO")</f>
        <v>PAGO COMPLETO</v>
      </c>
      <c r="Z289" s="1">
        <f>IFERROR(__xludf.DUMMYFUNCTION("""COMPUTED_VALUE"""),0.0)</f>
        <v>0</v>
      </c>
      <c r="AA289" s="1" t="str">
        <f>IFERROR(__xludf.DUMMYFUNCTION("""COMPUTED_VALUE"""),"-")</f>
        <v>-</v>
      </c>
      <c r="AB289" s="1">
        <f>IFERROR(__xludf.DUMMYFUNCTION("""COMPUTED_VALUE"""),0.0)</f>
        <v>0</v>
      </c>
      <c r="AC289" s="1">
        <f>IFERROR(__xludf.DUMMYFUNCTION("""COMPUTED_VALUE"""),0.0)</f>
        <v>0</v>
      </c>
      <c r="AD289" s="1" t="str">
        <f>IFERROR(__xludf.DUMMYFUNCTION("""COMPUTED_VALUE"""),"Angelica Iparraguirre")</f>
        <v>Angelica Iparraguirre</v>
      </c>
      <c r="AE289" s="1" t="str">
        <f>IFERROR(__xludf.DUMMYFUNCTION("""COMPUTED_VALUE"""),"0")</f>
        <v>0</v>
      </c>
      <c r="AF289" s="1">
        <f>IFERROR(__xludf.DUMMYFUNCTION("""COMPUTED_VALUE"""),2024.0)</f>
        <v>2024</v>
      </c>
      <c r="AG289" s="1">
        <f>IFERROR(__xludf.DUMMYFUNCTION("""COMPUTED_VALUE"""),703223.0)</f>
        <v>703223</v>
      </c>
      <c r="AH289" s="1">
        <f>IFERROR(__xludf.DUMMYFUNCTION("""COMPUTED_VALUE"""),19.0)</f>
        <v>19</v>
      </c>
      <c r="AI289" s="1" t="str">
        <f>IFERROR(__xludf.DUMMYFUNCTION("""COMPUTED_VALUE"""),"0000406561")</f>
        <v>0000406561</v>
      </c>
      <c r="AJ289" s="1">
        <f>IFERROR(__xludf.DUMMYFUNCTION("""COMPUTED_VALUE"""),7.1147831E7)</f>
        <v>71147831</v>
      </c>
      <c r="AK289" s="1">
        <f>IFERROR(__xludf.DUMMYFUNCTION("""COMPUTED_VALUE"""),9.23240245E8)</f>
        <v>923240245</v>
      </c>
      <c r="AL289" s="1" t="str">
        <f>IFERROR(__xludf.DUMMYFUNCTION("""COMPUTED_VALUE"""),"yalacutevilcayauri@gmail.com")</f>
        <v>yalacutevilcayauri@gmail.com</v>
      </c>
      <c r="AM289" s="1" t="str">
        <f>IFERROR(__xludf.DUMMYFUNCTION("""COMPUTED_VALUE"""),"FEMENINO")</f>
        <v>FEMENINO</v>
      </c>
      <c r="AN289" s="1">
        <f>IFERROR(__xludf.DUMMYFUNCTION("""COMPUTED_VALUE"""),1350.0)</f>
        <v>1350</v>
      </c>
      <c r="AO289" s="1">
        <f>IFERROR(__xludf.DUMMYFUNCTION("""COMPUTED_VALUE"""),0.0)</f>
        <v>0</v>
      </c>
      <c r="AP289" s="1" t="str">
        <f>IFERROR(__xludf.DUMMYFUNCTION("""COMPUTED_VALUE"""),"FORMULARIO")</f>
        <v>FORMULARIO</v>
      </c>
      <c r="AQ289" s="1" t="str">
        <f>IFERROR(__xludf.DUMMYFUNCTION("""COMPUTED_VALUE"""),"ORGANICO")</f>
        <v>ORGANICO</v>
      </c>
      <c r="AR289" s="1" t="str">
        <f>IFERROR(__xludf.DUMMYFUNCTION("""COMPUTED_VALUE"""),"NUEVO")</f>
        <v>NUEVO</v>
      </c>
      <c r="AS289" s="1"/>
      <c r="AT289" s="2">
        <f>IFERROR(__xludf.DUMMYFUNCTION("""COMPUTED_VALUE"""),45659.0)</f>
        <v>45659</v>
      </c>
      <c r="AU289" s="1">
        <f>IFERROR(__xludf.DUMMYFUNCTION("""COMPUTED_VALUE"""),1.0)</f>
        <v>1</v>
      </c>
      <c r="AV289" s="1" t="str">
        <f>IFERROR(__xludf.DUMMYFUNCTION("""COMPUTED_VALUE"""),"NUEVO")</f>
        <v>NUEVO</v>
      </c>
      <c r="AW289" s="1" t="str">
        <f>IFERROR(__xludf.DUMMYFUNCTION("""COMPUTED_VALUE"""),"SI")</f>
        <v>SI</v>
      </c>
      <c r="AX289" s="1"/>
      <c r="AY289" s="1" t="str">
        <f>IFERROR(__xludf.DUMMYFUNCTION("""COMPUTED_VALUE"""),"PAGO COMPLETO")</f>
        <v>PAGO COMPLETO</v>
      </c>
      <c r="AZ289" s="5">
        <f>IFERROR(__xludf.DUMMYFUNCTION("""COMPUTED_VALUE"""),45659.0)</f>
        <v>45659</v>
      </c>
      <c r="BA289" s="1">
        <f>IFERROR(__xludf.DUMMYFUNCTION("""COMPUTED_VALUE"""),0.0)</f>
        <v>0</v>
      </c>
      <c r="BB289" s="1">
        <f>IFERROR(__xludf.DUMMYFUNCTION("""COMPUTED_VALUE"""),0.0)</f>
        <v>0</v>
      </c>
      <c r="BC289" s="4">
        <f>IFERROR(__xludf.DUMMYFUNCTION("""COMPUTED_VALUE"""),0.0)</f>
        <v>0</v>
      </c>
      <c r="BD289" s="4">
        <f>IFERROR(__xludf.DUMMYFUNCTION("""COMPUTED_VALUE"""),150.0)</f>
        <v>150</v>
      </c>
      <c r="BE289" s="1">
        <f>IFERROR(__xludf.DUMMYFUNCTION("""COMPUTED_VALUE"""),1.0)</f>
        <v>1</v>
      </c>
      <c r="BF289" s="6">
        <f>IFERROR(__xludf.DUMMYFUNCTION("""COMPUTED_VALUE"""),1.0)</f>
        <v>1</v>
      </c>
      <c r="BG289" s="1">
        <f>IFERROR(__xludf.DUMMYFUNCTION("""COMPUTED_VALUE"""),1.0)</f>
        <v>1</v>
      </c>
      <c r="BH289" s="1" t="str">
        <f>IFERROR(__xludf.DUMMYFUNCTION("""COMPUTED_VALUE"""),"0")</f>
        <v>0</v>
      </c>
      <c r="BI289" s="4">
        <f>IFERROR(__xludf.DUMMYFUNCTION("""COMPUTED_VALUE"""),150.0)</f>
        <v>150</v>
      </c>
      <c r="BJ289" s="1">
        <f>IFERROR(__xludf.DUMMYFUNCTION("""COMPUTED_VALUE"""),0.0)</f>
        <v>0</v>
      </c>
      <c r="BK289" s="4">
        <f>IFERROR(__xludf.DUMMYFUNCTION("""COMPUTED_VALUE"""),150.0)</f>
        <v>150</v>
      </c>
      <c r="BL289" s="1">
        <f>IFERROR(__xludf.DUMMYFUNCTION("""COMPUTED_VALUE"""),820.0)</f>
        <v>820</v>
      </c>
      <c r="BM289" s="1">
        <f>IFERROR(__xludf.DUMMYFUNCTION("""COMPUTED_VALUE"""),1.0)</f>
        <v>1</v>
      </c>
      <c r="BN289" s="2">
        <f>IFERROR(__xludf.DUMMYFUNCTION("""COMPUTED_VALUE"""),45656.0)</f>
        <v>45656</v>
      </c>
      <c r="BO289" s="1">
        <f>IFERROR(__xludf.DUMMYFUNCTION("""COMPUTED_VALUE"""),1.0)</f>
        <v>1</v>
      </c>
      <c r="BP289" s="1">
        <f>IFERROR(__xludf.DUMMYFUNCTION("""COMPUTED_VALUE"""),2025.0)</f>
        <v>2025</v>
      </c>
    </row>
    <row r="290">
      <c r="A290" s="1">
        <f>IFERROR(__xludf.DUMMYFUNCTION("""COMPUTED_VALUE"""),289.0)</f>
        <v>289</v>
      </c>
      <c r="B290" s="1">
        <f>IFERROR(__xludf.DUMMYFUNCTION("""COMPUTED_VALUE"""),4380316.0)</f>
        <v>4380316</v>
      </c>
      <c r="C290" s="1" t="str">
        <f>IFERROR(__xludf.DUMMYFUNCTION("""COMPUTED_VALUE"""),"2025-1")</f>
        <v>2025-1</v>
      </c>
      <c r="D290" s="1" t="str">
        <f>IFERROR(__xludf.DUMMYFUNCTION("""COMPUTED_VALUE"""),"Admisión Ordinaria")</f>
        <v>Admisión Ordinaria</v>
      </c>
      <c r="E290" s="2">
        <f>IFERROR(__xludf.DUMMYFUNCTION("""COMPUTED_VALUE"""),45660.0)</f>
        <v>45660</v>
      </c>
      <c r="F290" s="1" t="str">
        <f>IFERROR(__xludf.DUMMYFUNCTION("""COMPUTED_VALUE"""),"JOAQUIN ALONSO ")</f>
        <v>JOAQUIN ALONSO </v>
      </c>
      <c r="G290" s="1" t="str">
        <f>IFERROR(__xludf.DUMMYFUNCTION("""COMPUTED_VALUE"""),"AMASIFEN RAMOS")</f>
        <v>AMASIFEN RAMOS</v>
      </c>
      <c r="H290" s="1" t="str">
        <f>IFERROR(__xludf.DUMMYFUNCTION("""COMPUTED_VALUE"""),"Comunicación Audiovisual y Cine")</f>
        <v>Comunicación Audiovisual y Cine</v>
      </c>
      <c r="I290" s="1" t="str">
        <f>IFERROR(__xludf.DUMMYFUNCTION("""COMPUTED_VALUE"""),"CARGO")</f>
        <v>CARGO</v>
      </c>
      <c r="J290" s="1" t="str">
        <f>IFERROR(__xludf.DUMMYFUNCTION("""COMPUTED_VALUE"""),"Diurno")</f>
        <v>Diurno</v>
      </c>
      <c r="K290" s="1" t="str">
        <f>IFERROR(__xludf.DUMMYFUNCTION("""COMPUTED_VALUE"""),"NUEVO")</f>
        <v>NUEVO</v>
      </c>
      <c r="L290" s="1">
        <f>IFERROR(__xludf.DUMMYFUNCTION("""COMPUTED_VALUE"""),0.0)</f>
        <v>0</v>
      </c>
      <c r="M290" s="1">
        <f>IFERROR(__xludf.DUMMYFUNCTION("""COMPUTED_VALUE"""),0.0)</f>
        <v>0</v>
      </c>
      <c r="N290" s="1" t="str">
        <f>IFERROR(__xludf.DUMMYFUNCTION("""COMPUTED_VALUE"""),"BECA")</f>
        <v>BECA</v>
      </c>
      <c r="O290" s="1" t="str">
        <f>IFERROR(__xludf.DUMMYFUNCTION("""COMPUTED_VALUE"""),"BECA CARRERAS CORE")</f>
        <v>BECA CARRERAS CORE</v>
      </c>
      <c r="P290" s="4">
        <f>IFERROR(__xludf.DUMMYFUNCTION("""COMPUTED_VALUE"""),125.0)</f>
        <v>125</v>
      </c>
      <c r="Q290" s="4">
        <f>IFERROR(__xludf.DUMMYFUNCTION("""COMPUTED_VALUE"""),237.5)</f>
        <v>237.5</v>
      </c>
      <c r="R290" s="4">
        <f>IFERROR(__xludf.DUMMYFUNCTION("""COMPUTED_VALUE"""),1150.0)</f>
        <v>1150</v>
      </c>
      <c r="S290" s="4">
        <f>IFERROR(__xludf.DUMMYFUNCTION("""COMPUTED_VALUE"""),1000.0)</f>
        <v>1000</v>
      </c>
      <c r="T290" s="1" t="str">
        <f>IFERROR(__xludf.DUMMYFUNCTION("""COMPUTED_VALUE"""),"Palanca 700 - Referido")</f>
        <v>Palanca 700 - Referido</v>
      </c>
      <c r="U290" s="1" t="str">
        <f>IFERROR(__xludf.DUMMYFUNCTION("""COMPUTED_VALUE"""),"SEBASTIAN")</f>
        <v>SEBASTIAN</v>
      </c>
      <c r="V290" s="1" t="str">
        <f>IFERROR(__xludf.DUMMYFUNCTION("""COMPUTED_VALUE"""),"Ninguno")</f>
        <v>Ninguno</v>
      </c>
      <c r="W290" s="1" t="str">
        <f>IFERROR(__xludf.DUMMYFUNCTION("""COMPUTED_VALUE"""),"Metodología de enseñanza")</f>
        <v>Metodología de enseñanza</v>
      </c>
      <c r="X290" s="1" t="str">
        <f>IFERROR(__xludf.DUMMYFUNCTION("""COMPUTED_VALUE"""),"-")</f>
        <v>-</v>
      </c>
      <c r="Y290" s="1" t="str">
        <f>IFERROR(__xludf.DUMMYFUNCTION("""COMPUTED_VALUE"""),"PAGO COMPLETO")</f>
        <v>PAGO COMPLETO</v>
      </c>
      <c r="Z290" s="1">
        <f>IFERROR(__xludf.DUMMYFUNCTION("""COMPUTED_VALUE"""),0.0)</f>
        <v>0</v>
      </c>
      <c r="AA290" s="1" t="str">
        <f>IFERROR(__xludf.DUMMYFUNCTION("""COMPUTED_VALUE"""),"-")</f>
        <v>-</v>
      </c>
      <c r="AB290" s="1">
        <f>IFERROR(__xludf.DUMMYFUNCTION("""COMPUTED_VALUE"""),0.0)</f>
        <v>0</v>
      </c>
      <c r="AC290" s="1">
        <f>IFERROR(__xludf.DUMMYFUNCTION("""COMPUTED_VALUE"""),0.0)</f>
        <v>0</v>
      </c>
      <c r="AD290" s="1" t="str">
        <f>IFERROR(__xludf.DUMMYFUNCTION("""COMPUTED_VALUE"""),"Fiorella Lanegra")</f>
        <v>Fiorella Lanegra</v>
      </c>
      <c r="AE290" s="1" t="str">
        <f>IFERROR(__xludf.DUMMYFUNCTION("""COMPUTED_VALUE"""),"0")</f>
        <v>0</v>
      </c>
      <c r="AF290" s="1">
        <f>IFERROR(__xludf.DUMMYFUNCTION("""COMPUTED_VALUE"""),2024.0)</f>
        <v>2024</v>
      </c>
      <c r="AG290" s="1">
        <f>IFERROR(__xludf.DUMMYFUNCTION("""COMPUTED_VALUE"""),1664044.0)</f>
        <v>1664044</v>
      </c>
      <c r="AH290" s="1">
        <f>IFERROR(__xludf.DUMMYFUNCTION("""COMPUTED_VALUE"""),17.0)</f>
        <v>17</v>
      </c>
      <c r="AI290" s="1" t="str">
        <f>IFERROR(__xludf.DUMMYFUNCTION("""COMPUTED_VALUE"""),"0000406821")</f>
        <v>0000406821</v>
      </c>
      <c r="AJ290" s="1">
        <f>IFERROR(__xludf.DUMMYFUNCTION("""COMPUTED_VALUE"""),7.1360289E7)</f>
        <v>71360289</v>
      </c>
      <c r="AK290" s="1">
        <f>IFERROR(__xludf.DUMMYFUNCTION("""COMPUTED_VALUE"""),9.07323874E8)</f>
        <v>907323874</v>
      </c>
      <c r="AL290" s="1" t="str">
        <f>IFERROR(__xludf.DUMMYFUNCTION("""COMPUTED_VALUE"""),"joaquinalonso116@gmail.com")</f>
        <v>joaquinalonso116@gmail.com</v>
      </c>
      <c r="AM290" s="1" t="str">
        <f>IFERROR(__xludf.DUMMYFUNCTION("""COMPUTED_VALUE"""),"MASCULINO")</f>
        <v>MASCULINO</v>
      </c>
      <c r="AN290" s="1">
        <f>IFERROR(__xludf.DUMMYFUNCTION("""COMPUTED_VALUE"""),1775.0)</f>
        <v>1775</v>
      </c>
      <c r="AO290" s="1">
        <f>IFERROR(__xludf.DUMMYFUNCTION("""COMPUTED_VALUE"""),430.0)</f>
        <v>430</v>
      </c>
      <c r="AP290" s="1" t="str">
        <f>IFERROR(__xludf.DUMMYFUNCTION("""COMPUTED_VALUE"""),"COLEGIOS")</f>
        <v>COLEGIOS</v>
      </c>
      <c r="AQ290" s="1" t="str">
        <f>IFERROR(__xludf.DUMMYFUNCTION("""COMPUTED_VALUE"""),"COLEGIOS")</f>
        <v>COLEGIOS</v>
      </c>
      <c r="AR290" s="1" t="str">
        <f>IFERROR(__xludf.DUMMYFUNCTION("""COMPUTED_VALUE"""),"NUEVO")</f>
        <v>NUEVO</v>
      </c>
      <c r="AS290" s="1"/>
      <c r="AT290" s="2">
        <f>IFERROR(__xludf.DUMMYFUNCTION("""COMPUTED_VALUE"""),45488.0)</f>
        <v>45488</v>
      </c>
      <c r="AU290" s="1">
        <f>IFERROR(__xludf.DUMMYFUNCTION("""COMPUTED_VALUE"""),1.0)</f>
        <v>1</v>
      </c>
      <c r="AV290" s="1" t="str">
        <f>IFERROR(__xludf.DUMMYFUNCTION("""COMPUTED_VALUE"""),"NUEVO")</f>
        <v>NUEVO</v>
      </c>
      <c r="AW290" s="1" t="str">
        <f>IFERROR(__xludf.DUMMYFUNCTION("""COMPUTED_VALUE"""),"SI")</f>
        <v>SI</v>
      </c>
      <c r="AX290" s="1"/>
      <c r="AY290" s="1" t="str">
        <f>IFERROR(__xludf.DUMMYFUNCTION("""COMPUTED_VALUE"""),"PAGO COMPLETO")</f>
        <v>PAGO COMPLETO</v>
      </c>
      <c r="AZ290" s="5">
        <f>IFERROR(__xludf.DUMMYFUNCTION("""COMPUTED_VALUE"""),45660.0)</f>
        <v>45660</v>
      </c>
      <c r="BA290" s="1">
        <f>IFERROR(__xludf.DUMMYFUNCTION("""COMPUTED_VALUE"""),0.0)</f>
        <v>0</v>
      </c>
      <c r="BB290" s="1">
        <f>IFERROR(__xludf.DUMMYFUNCTION("""COMPUTED_VALUE"""),0.0)</f>
        <v>0</v>
      </c>
      <c r="BC290" s="4">
        <f>IFERROR(__xludf.DUMMYFUNCTION("""COMPUTED_VALUE"""),0.0)</f>
        <v>0</v>
      </c>
      <c r="BD290" s="4">
        <f>IFERROR(__xludf.DUMMYFUNCTION("""COMPUTED_VALUE"""),300.0)</f>
        <v>300</v>
      </c>
      <c r="BE290" s="1">
        <f>IFERROR(__xludf.DUMMYFUNCTION("""COMPUTED_VALUE"""),1.0)</f>
        <v>1</v>
      </c>
      <c r="BF290" s="6">
        <f>IFERROR(__xludf.DUMMYFUNCTION("""COMPUTED_VALUE"""),1.0)</f>
        <v>1</v>
      </c>
      <c r="BG290" s="1">
        <f>IFERROR(__xludf.DUMMYFUNCTION("""COMPUTED_VALUE"""),1.0)</f>
        <v>1</v>
      </c>
      <c r="BH290" s="1" t="str">
        <f>IFERROR(__xludf.DUMMYFUNCTION("""COMPUTED_VALUE"""),"0")</f>
        <v>0</v>
      </c>
      <c r="BI290" s="4">
        <f>IFERROR(__xludf.DUMMYFUNCTION("""COMPUTED_VALUE"""),300.0)</f>
        <v>300</v>
      </c>
      <c r="BJ290" s="1">
        <f>IFERROR(__xludf.DUMMYFUNCTION("""COMPUTED_VALUE"""),0.0)</f>
        <v>0</v>
      </c>
      <c r="BK290" s="4">
        <f>IFERROR(__xludf.DUMMYFUNCTION("""COMPUTED_VALUE"""),800.0)</f>
        <v>800</v>
      </c>
      <c r="BL290" s="1">
        <f>IFERROR(__xludf.DUMMYFUNCTION("""COMPUTED_VALUE"""),840.0)</f>
        <v>840</v>
      </c>
      <c r="BM290" s="1">
        <f>IFERROR(__xludf.DUMMYFUNCTION("""COMPUTED_VALUE"""),1.0)</f>
        <v>1</v>
      </c>
      <c r="BN290" s="2">
        <f>IFERROR(__xludf.DUMMYFUNCTION("""COMPUTED_VALUE"""),45656.0)</f>
        <v>45656</v>
      </c>
      <c r="BO290" s="1">
        <f>IFERROR(__xludf.DUMMYFUNCTION("""COMPUTED_VALUE"""),1.0)</f>
        <v>1</v>
      </c>
      <c r="BP290" s="1">
        <f>IFERROR(__xludf.DUMMYFUNCTION("""COMPUTED_VALUE"""),2025.0)</f>
        <v>2025</v>
      </c>
    </row>
    <row r="291">
      <c r="A291" s="1">
        <f>IFERROR(__xludf.DUMMYFUNCTION("""COMPUTED_VALUE"""),290.0)</f>
        <v>290</v>
      </c>
      <c r="B291" s="1">
        <f>IFERROR(__xludf.DUMMYFUNCTION("""COMPUTED_VALUE"""),4918378.0)</f>
        <v>4918378</v>
      </c>
      <c r="C291" s="1" t="str">
        <f>IFERROR(__xludf.DUMMYFUNCTION("""COMPUTED_VALUE"""),"2025-1")</f>
        <v>2025-1</v>
      </c>
      <c r="D291" s="1" t="str">
        <f>IFERROR(__xludf.DUMMYFUNCTION("""COMPUTED_VALUE"""),"Admisión de Alto Rendimiento")</f>
        <v>Admisión de Alto Rendimiento</v>
      </c>
      <c r="E291" s="2">
        <f>IFERROR(__xludf.DUMMYFUNCTION("""COMPUTED_VALUE"""),45660.0)</f>
        <v>45660</v>
      </c>
      <c r="F291" s="1" t="str">
        <f>IFERROR(__xludf.DUMMYFUNCTION("""COMPUTED_VALUE"""),"KIM AMAUTA")</f>
        <v>KIM AMAUTA</v>
      </c>
      <c r="G291" s="1" t="str">
        <f>IFERROR(__xludf.DUMMYFUNCTION("""COMPUTED_VALUE"""),"FLORES VILA ")</f>
        <v>FLORES VILA </v>
      </c>
      <c r="H291" s="1" t="str">
        <f>IFERROR(__xludf.DUMMYFUNCTION("""COMPUTED_VALUE"""),"Arquitectura")</f>
        <v>Arquitectura</v>
      </c>
      <c r="I291" s="1" t="str">
        <f>IFERROR(__xludf.DUMMYFUNCTION("""COMPUTED_VALUE"""),"CARGO")</f>
        <v>CARGO</v>
      </c>
      <c r="J291" s="1" t="str">
        <f>IFERROR(__xludf.DUMMYFUNCTION("""COMPUTED_VALUE"""),"Diurno")</f>
        <v>Diurno</v>
      </c>
      <c r="K291" s="1" t="str">
        <f>IFERROR(__xludf.DUMMYFUNCTION("""COMPUTED_VALUE"""),"NUEVO")</f>
        <v>NUEVO</v>
      </c>
      <c r="L291" s="1">
        <f>IFERROR(__xludf.DUMMYFUNCTION("""COMPUTED_VALUE"""),0.0)</f>
        <v>0</v>
      </c>
      <c r="M291" s="1">
        <f>IFERROR(__xludf.DUMMYFUNCTION("""COMPUTED_VALUE"""),0.0)</f>
        <v>0</v>
      </c>
      <c r="N291" s="1" t="str">
        <f>IFERROR(__xludf.DUMMYFUNCTION("""COMPUTED_VALUE"""),"BECA")</f>
        <v>BECA</v>
      </c>
      <c r="O291" s="1" t="str">
        <f>IFERROR(__xludf.DUMMYFUNCTION("""COMPUTED_VALUE"""),"BECA CADENA COLEGIOS")</f>
        <v>BECA CADENA COLEGIOS</v>
      </c>
      <c r="P291" s="4">
        <f>IFERROR(__xludf.DUMMYFUNCTION("""COMPUTED_VALUE"""),0.0)</f>
        <v>0</v>
      </c>
      <c r="Q291" s="4">
        <f>IFERROR(__xludf.DUMMYFUNCTION("""COMPUTED_VALUE"""),337.5)</f>
        <v>337.5</v>
      </c>
      <c r="R291" s="4">
        <f>IFERROR(__xludf.DUMMYFUNCTION("""COMPUTED_VALUE"""),1600.0)</f>
        <v>1600</v>
      </c>
      <c r="S291" s="4">
        <f>IFERROR(__xludf.DUMMYFUNCTION("""COMPUTED_VALUE"""),850.0)</f>
        <v>850</v>
      </c>
      <c r="T291" s="1" t="str">
        <f>IFERROR(__xludf.DUMMYFUNCTION("""COMPUTED_VALUE"""),"NINGUNO")</f>
        <v>NINGUNO</v>
      </c>
      <c r="U291" s="1" t="str">
        <f>IFERROR(__xludf.DUMMYFUNCTION("""COMPUTED_VALUE"""),"FABIOLA")</f>
        <v>FABIOLA</v>
      </c>
      <c r="V291" s="1" t="str">
        <f>IFERROR(__xludf.DUMMYFUNCTION("""COMPUTED_VALUE"""),"Ninguno")</f>
        <v>Ninguno</v>
      </c>
      <c r="W291" s="1" t="str">
        <f>IFERROR(__xludf.DUMMYFUNCTION("""COMPUTED_VALUE"""),"Beca")</f>
        <v>Beca</v>
      </c>
      <c r="X291" s="1" t="str">
        <f>IFERROR(__xludf.DUMMYFUNCTION("""COMPUTED_VALUE"""),"LE GUSTA LA UNIVERSIDAD ")</f>
        <v>LE GUSTA LA UNIVERSIDAD </v>
      </c>
      <c r="Y291" s="1" t="str">
        <f>IFERROR(__xludf.DUMMYFUNCTION("""COMPUTED_VALUE"""),"PAGO FRACCIONADO")</f>
        <v>PAGO FRACCIONADO</v>
      </c>
      <c r="Z291" s="1">
        <f>IFERROR(__xludf.DUMMYFUNCTION("""COMPUTED_VALUE"""),337.5)</f>
        <v>337.5</v>
      </c>
      <c r="AA291" s="1" t="str">
        <f>IFERROR(__xludf.DUMMYFUNCTION("""COMPUTED_VALUE"""),"27/01/2025")</f>
        <v>27/01/2025</v>
      </c>
      <c r="AB291" s="1">
        <f>IFERROR(__xludf.DUMMYFUNCTION("""COMPUTED_VALUE"""),0.0)</f>
        <v>0</v>
      </c>
      <c r="AC291" s="1">
        <f>IFERROR(__xludf.DUMMYFUNCTION("""COMPUTED_VALUE"""),0.0)</f>
        <v>0</v>
      </c>
      <c r="AD291" s="1" t="str">
        <f>IFERROR(__xludf.DUMMYFUNCTION("""COMPUTED_VALUE"""),"Daniel Zapata")</f>
        <v>Daniel Zapata</v>
      </c>
      <c r="AE291" s="1" t="str">
        <f>IFERROR(__xludf.DUMMYFUNCTION("""COMPUTED_VALUE"""),"0")</f>
        <v>0</v>
      </c>
      <c r="AF291" s="1">
        <f>IFERROR(__xludf.DUMMYFUNCTION("""COMPUTED_VALUE"""),2024.0)</f>
        <v>2024</v>
      </c>
      <c r="AG291" s="1">
        <f>IFERROR(__xludf.DUMMYFUNCTION("""COMPUTED_VALUE"""),1583574.0)</f>
        <v>1583574</v>
      </c>
      <c r="AH291" s="1">
        <f>IFERROR(__xludf.DUMMYFUNCTION("""COMPUTED_VALUE"""),17.0)</f>
        <v>17</v>
      </c>
      <c r="AI291" s="1" t="str">
        <f>IFERROR(__xludf.DUMMYFUNCTION("""COMPUTED_VALUE"""),"0000406824")</f>
        <v>0000406824</v>
      </c>
      <c r="AJ291" s="1">
        <f>IFERROR(__xludf.DUMMYFUNCTION("""COMPUTED_VALUE"""),7.1352418E7)</f>
        <v>71352418</v>
      </c>
      <c r="AK291" s="1">
        <f>IFERROR(__xludf.DUMMYFUNCTION("""COMPUTED_VALUE"""),9.29128476E8)</f>
        <v>929128476</v>
      </c>
      <c r="AL291" s="1" t="str">
        <f>IFERROR(__xludf.DUMMYFUNCTION("""COMPUTED_VALUE"""),"1kim.fv@gmail.com")</f>
        <v>1kim.fv@gmail.com</v>
      </c>
      <c r="AM291" s="1" t="str">
        <f>IFERROR(__xludf.DUMMYFUNCTION("""COMPUTED_VALUE"""),"MASCULINO")</f>
        <v>MASCULINO</v>
      </c>
      <c r="AN291" s="1">
        <f>IFERROR(__xludf.DUMMYFUNCTION("""COMPUTED_VALUE"""),1775.0)</f>
        <v>1775</v>
      </c>
      <c r="AO291" s="1">
        <f>IFERROR(__xludf.DUMMYFUNCTION("""COMPUTED_VALUE"""),527.0)</f>
        <v>527</v>
      </c>
      <c r="AP291" s="1" t="str">
        <f>IFERROR(__xludf.DUMMYFUNCTION("""COMPUTED_VALUE"""),"FORMULARIO")</f>
        <v>FORMULARIO</v>
      </c>
      <c r="AQ291" s="1" t="str">
        <f>IFERROR(__xludf.DUMMYFUNCTION("""COMPUTED_VALUE"""),"ORGANICO")</f>
        <v>ORGANICO</v>
      </c>
      <c r="AR291" s="1" t="str">
        <f>IFERROR(__xludf.DUMMYFUNCTION("""COMPUTED_VALUE"""),"NUEVO")</f>
        <v>NUEVO</v>
      </c>
      <c r="AS291" s="1"/>
      <c r="AT291" s="2">
        <f>IFERROR(__xludf.DUMMYFUNCTION("""COMPUTED_VALUE"""),45660.0)</f>
        <v>45660</v>
      </c>
      <c r="AU291" s="1">
        <f>IFERROR(__xludf.DUMMYFUNCTION("""COMPUTED_VALUE"""),1.0)</f>
        <v>1</v>
      </c>
      <c r="AV291" s="1" t="str">
        <f>IFERROR(__xludf.DUMMYFUNCTION("""COMPUTED_VALUE"""),"NUEVO")</f>
        <v>NUEVO</v>
      </c>
      <c r="AW291" s="1" t="str">
        <f>IFERROR(__xludf.DUMMYFUNCTION("""COMPUTED_VALUE"""),"SI")</f>
        <v>SI</v>
      </c>
      <c r="AX291" s="1"/>
      <c r="AY291" s="1" t="str">
        <f>IFERROR(__xludf.DUMMYFUNCTION("""COMPUTED_VALUE"""),"PAGO COMPLETO")</f>
        <v>PAGO COMPLETO</v>
      </c>
      <c r="AZ291" s="5">
        <f>IFERROR(__xludf.DUMMYFUNCTION("""COMPUTED_VALUE"""),45688.0)</f>
        <v>45688</v>
      </c>
      <c r="BA291" s="1">
        <f>IFERROR(__xludf.DUMMYFUNCTION("""COMPUTED_VALUE"""),850.0)</f>
        <v>850</v>
      </c>
      <c r="BB291" s="1">
        <f>IFERROR(__xludf.DUMMYFUNCTION("""COMPUTED_VALUE"""),0.0)</f>
        <v>0</v>
      </c>
      <c r="BC291" s="4">
        <f>IFERROR(__xludf.DUMMYFUNCTION("""COMPUTED_VALUE"""),0.0)</f>
        <v>0</v>
      </c>
      <c r="BD291" s="4">
        <f>IFERROR(__xludf.DUMMYFUNCTION("""COMPUTED_VALUE"""),0.0)</f>
        <v>0</v>
      </c>
      <c r="BE291" s="1">
        <f>IFERROR(__xludf.DUMMYFUNCTION("""COMPUTED_VALUE"""),1.0)</f>
        <v>1</v>
      </c>
      <c r="BF291" s="6">
        <f>IFERROR(__xludf.DUMMYFUNCTION("""COMPUTED_VALUE"""),1.0)</f>
        <v>1</v>
      </c>
      <c r="BG291" s="1">
        <f>IFERROR(__xludf.DUMMYFUNCTION("""COMPUTED_VALUE"""),0.0)</f>
        <v>0</v>
      </c>
      <c r="BH291" s="1" t="str">
        <f>IFERROR(__xludf.DUMMYFUNCTION("""COMPUTED_VALUE"""),"0")</f>
        <v>0</v>
      </c>
      <c r="BI291" s="4">
        <f>IFERROR(__xludf.DUMMYFUNCTION("""COMPUTED_VALUE"""),1187.5)</f>
        <v>1187.5</v>
      </c>
      <c r="BJ291" s="1">
        <f>IFERROR(__xludf.DUMMYFUNCTION("""COMPUTED_VALUE"""),0.0)</f>
        <v>0</v>
      </c>
      <c r="BK291" s="4">
        <f>IFERROR(__xludf.DUMMYFUNCTION("""COMPUTED_VALUE"""),0.0)</f>
        <v>0</v>
      </c>
      <c r="BL291" s="1">
        <f>IFERROR(__xludf.DUMMYFUNCTION("""COMPUTED_VALUE"""),850.0)</f>
        <v>850</v>
      </c>
      <c r="BM291" s="1">
        <f>IFERROR(__xludf.DUMMYFUNCTION("""COMPUTED_VALUE"""),1.0)</f>
        <v>1</v>
      </c>
      <c r="BN291" s="2">
        <f>IFERROR(__xludf.DUMMYFUNCTION("""COMPUTED_VALUE"""),45656.0)</f>
        <v>45656</v>
      </c>
      <c r="BO291" s="1">
        <f>IFERROR(__xludf.DUMMYFUNCTION("""COMPUTED_VALUE"""),1.0)</f>
        <v>1</v>
      </c>
      <c r="BP291" s="1">
        <f>IFERROR(__xludf.DUMMYFUNCTION("""COMPUTED_VALUE"""),2025.0)</f>
        <v>2025</v>
      </c>
    </row>
    <row r="292">
      <c r="A292" s="1">
        <f>IFERROR(__xludf.DUMMYFUNCTION("""COMPUTED_VALUE"""),291.0)</f>
        <v>291</v>
      </c>
      <c r="B292" s="1">
        <f>IFERROR(__xludf.DUMMYFUNCTION("""COMPUTED_VALUE"""),4918217.0)</f>
        <v>4918217</v>
      </c>
      <c r="C292" s="1" t="str">
        <f>IFERROR(__xludf.DUMMYFUNCTION("""COMPUTED_VALUE"""),"2025-1")</f>
        <v>2025-1</v>
      </c>
      <c r="D292" s="1" t="str">
        <f>IFERROR(__xludf.DUMMYFUNCTION("""COMPUTED_VALUE"""),"Admisión Ordinaria")</f>
        <v>Admisión Ordinaria</v>
      </c>
      <c r="E292" s="2">
        <f>IFERROR(__xludf.DUMMYFUNCTION("""COMPUTED_VALUE"""),45660.0)</f>
        <v>45660</v>
      </c>
      <c r="F292" s="1" t="str">
        <f>IFERROR(__xludf.DUMMYFUNCTION("""COMPUTED_VALUE"""),"NICOLAS LUIS SPENCER ")</f>
        <v>NICOLAS LUIS SPENCER </v>
      </c>
      <c r="G292" s="1" t="str">
        <f>IFERROR(__xludf.DUMMYFUNCTION("""COMPUTED_VALUE"""),"QUINTANA CHAVEZ")</f>
        <v>QUINTANA CHAVEZ</v>
      </c>
      <c r="H292" s="1" t="str">
        <f>IFERROR(__xludf.DUMMYFUNCTION("""COMPUTED_VALUE"""),"Comunicación Audiovisual y Cine")</f>
        <v>Comunicación Audiovisual y Cine</v>
      </c>
      <c r="I292" s="1" t="str">
        <f>IFERROR(__xludf.DUMMYFUNCTION("""COMPUTED_VALUE"""),"CARGO")</f>
        <v>CARGO</v>
      </c>
      <c r="J292" s="1" t="str">
        <f>IFERROR(__xludf.DUMMYFUNCTION("""COMPUTED_VALUE"""),"Diurno")</f>
        <v>Diurno</v>
      </c>
      <c r="K292" s="1" t="str">
        <f>IFERROR(__xludf.DUMMYFUNCTION("""COMPUTED_VALUE"""),"NUEVO")</f>
        <v>NUEVO</v>
      </c>
      <c r="L292" s="1">
        <f>IFERROR(__xludf.DUMMYFUNCTION("""COMPUTED_VALUE"""),0.0)</f>
        <v>0</v>
      </c>
      <c r="M292" s="1">
        <f>IFERROR(__xludf.DUMMYFUNCTION("""COMPUTED_VALUE"""),0.0)</f>
        <v>0</v>
      </c>
      <c r="N292" s="1" t="str">
        <f>IFERROR(__xludf.DUMMYFUNCTION("""COMPUTED_VALUE"""),"BECA")</f>
        <v>BECA</v>
      </c>
      <c r="O292" s="1" t="str">
        <f>IFERROR(__xludf.DUMMYFUNCTION("""COMPUTED_VALUE"""),"BECA CARRERAS CORE")</f>
        <v>BECA CARRERAS CORE</v>
      </c>
      <c r="P292" s="4">
        <f>IFERROR(__xludf.DUMMYFUNCTION("""COMPUTED_VALUE"""),125.0)</f>
        <v>125</v>
      </c>
      <c r="Q292" s="4">
        <f>IFERROR(__xludf.DUMMYFUNCTION("""COMPUTED_VALUE"""),237.5)</f>
        <v>237.5</v>
      </c>
      <c r="R292" s="4">
        <f>IFERROR(__xludf.DUMMYFUNCTION("""COMPUTED_VALUE"""),1150.0)</f>
        <v>1150</v>
      </c>
      <c r="S292" s="4">
        <f>IFERROR(__xludf.DUMMYFUNCTION("""COMPUTED_VALUE"""),1000.0)</f>
        <v>1000</v>
      </c>
      <c r="T292" s="1" t="str">
        <f>IFERROR(__xludf.DUMMYFUNCTION("""COMPUTED_VALUE"""),"PALANCA 700")</f>
        <v>PALANCA 700</v>
      </c>
      <c r="U292" s="1" t="str">
        <f>IFERROR(__xludf.DUMMYFUNCTION("""COMPUTED_VALUE"""),"FABIOLA")</f>
        <v>FABIOLA</v>
      </c>
      <c r="V292" s="1" t="str">
        <f>IFERROR(__xludf.DUMMYFUNCTION("""COMPUTED_VALUE"""),"Ninguno")</f>
        <v>Ninguno</v>
      </c>
      <c r="W292" s="1" t="str">
        <f>IFERROR(__xludf.DUMMYFUNCTION("""COMPUTED_VALUE"""),"Prestigio de la institución")</f>
        <v>Prestigio de la institución</v>
      </c>
      <c r="X292" s="1" t="str">
        <f>IFERROR(__xludf.DUMMYFUNCTION("""COMPUTED_VALUE"""),"-")</f>
        <v>-</v>
      </c>
      <c r="Y292" s="1" t="str">
        <f>IFERROR(__xludf.DUMMYFUNCTION("""COMPUTED_VALUE"""),"PAGO COMPLETO")</f>
        <v>PAGO COMPLETO</v>
      </c>
      <c r="Z292" s="1">
        <f>IFERROR(__xludf.DUMMYFUNCTION("""COMPUTED_VALUE"""),0.0)</f>
        <v>0</v>
      </c>
      <c r="AA292" s="1" t="str">
        <f>IFERROR(__xludf.DUMMYFUNCTION("""COMPUTED_VALUE"""),"-")</f>
        <v>-</v>
      </c>
      <c r="AB292" s="1">
        <f>IFERROR(__xludf.DUMMYFUNCTION("""COMPUTED_VALUE"""),0.0)</f>
        <v>0</v>
      </c>
      <c r="AC292" s="1">
        <f>IFERROR(__xludf.DUMMYFUNCTION("""COMPUTED_VALUE"""),0.0)</f>
        <v>0</v>
      </c>
      <c r="AD292" s="1" t="str">
        <f>IFERROR(__xludf.DUMMYFUNCTION("""COMPUTED_VALUE"""),"Andrea Araujo Antara")</f>
        <v>Andrea Araujo Antara</v>
      </c>
      <c r="AE292" s="1" t="str">
        <f>IFERROR(__xludf.DUMMYFUNCTION("""COMPUTED_VALUE"""),"0")</f>
        <v>0</v>
      </c>
      <c r="AF292" s="1">
        <f>IFERROR(__xludf.DUMMYFUNCTION("""COMPUTED_VALUE"""),2024.0)</f>
        <v>2024</v>
      </c>
      <c r="AG292" s="1">
        <f>IFERROR(__xludf.DUMMYFUNCTION("""COMPUTED_VALUE"""),690024.0)</f>
        <v>690024</v>
      </c>
      <c r="AH292" s="1">
        <f>IFERROR(__xludf.DUMMYFUNCTION("""COMPUTED_VALUE"""),18.0)</f>
        <v>18</v>
      </c>
      <c r="AI292" s="1" t="str">
        <f>IFERROR(__xludf.DUMMYFUNCTION("""COMPUTED_VALUE"""),"0000406846")</f>
        <v>0000406846</v>
      </c>
      <c r="AJ292" s="1">
        <f>IFERROR(__xludf.DUMMYFUNCTION("""COMPUTED_VALUE"""),6.1253634E7)</f>
        <v>61253634</v>
      </c>
      <c r="AK292" s="1">
        <f>IFERROR(__xludf.DUMMYFUNCTION("""COMPUTED_VALUE"""),9.47333744E8)</f>
        <v>947333744</v>
      </c>
      <c r="AL292" s="1" t="str">
        <f>IFERROR(__xludf.DUMMYFUNCTION("""COMPUTED_VALUE"""),"Luisnicolas562@gmail.com")</f>
        <v>Luisnicolas562@gmail.com</v>
      </c>
      <c r="AM292" s="1" t="str">
        <f>IFERROR(__xludf.DUMMYFUNCTION("""COMPUTED_VALUE"""),"MASCULINO")</f>
        <v>MASCULINO</v>
      </c>
      <c r="AN292" s="1">
        <f>IFERROR(__xludf.DUMMYFUNCTION("""COMPUTED_VALUE"""),1350.0)</f>
        <v>1350</v>
      </c>
      <c r="AO292" s="1">
        <f>IFERROR(__xludf.DUMMYFUNCTION("""COMPUTED_VALUE"""),0.0)</f>
        <v>0</v>
      </c>
      <c r="AP292" s="1" t="str">
        <f>IFERROR(__xludf.DUMMYFUNCTION("""COMPUTED_VALUE"""),"FORMULARIO")</f>
        <v>FORMULARIO</v>
      </c>
      <c r="AQ292" s="1" t="str">
        <f>IFERROR(__xludf.DUMMYFUNCTION("""COMPUTED_VALUE"""),"SEARCH MARCA")</f>
        <v>SEARCH MARCA</v>
      </c>
      <c r="AR292" s="1" t="str">
        <f>IFERROR(__xludf.DUMMYFUNCTION("""COMPUTED_VALUE"""),"NUEVO")</f>
        <v>NUEVO</v>
      </c>
      <c r="AS292" s="1" t="str">
        <f>IFERROR(__xludf.DUMMYFUNCTION("""COMPUTED_VALUE"""),"ucal-pg-performance-sedes-abierta-cpl-search_conversion_marca-20240401")</f>
        <v>ucal-pg-performance-sedes-abierta-cpl-search_conversion_marca-20240401</v>
      </c>
      <c r="AT292" s="2">
        <f>IFERROR(__xludf.DUMMYFUNCTION("""COMPUTED_VALUE"""),45660.0)</f>
        <v>45660</v>
      </c>
      <c r="AU292" s="1">
        <f>IFERROR(__xludf.DUMMYFUNCTION("""COMPUTED_VALUE"""),1.0)</f>
        <v>1</v>
      </c>
      <c r="AV292" s="1" t="str">
        <f>IFERROR(__xludf.DUMMYFUNCTION("""COMPUTED_VALUE"""),"NUEVO")</f>
        <v>NUEVO</v>
      </c>
      <c r="AW292" s="1" t="str">
        <f>IFERROR(__xludf.DUMMYFUNCTION("""COMPUTED_VALUE"""),"SI")</f>
        <v>SI</v>
      </c>
      <c r="AX292" s="1"/>
      <c r="AY292" s="1" t="str">
        <f>IFERROR(__xludf.DUMMYFUNCTION("""COMPUTED_VALUE"""),"PAGO COMPLETO")</f>
        <v>PAGO COMPLETO</v>
      </c>
      <c r="AZ292" s="5">
        <f>IFERROR(__xludf.DUMMYFUNCTION("""COMPUTED_VALUE"""),45660.0)</f>
        <v>45660</v>
      </c>
      <c r="BA292" s="1">
        <f>IFERROR(__xludf.DUMMYFUNCTION("""COMPUTED_VALUE"""),0.0)</f>
        <v>0</v>
      </c>
      <c r="BB292" s="1">
        <f>IFERROR(__xludf.DUMMYFUNCTION("""COMPUTED_VALUE"""),0.0)</f>
        <v>0</v>
      </c>
      <c r="BC292" s="4">
        <f>IFERROR(__xludf.DUMMYFUNCTION("""COMPUTED_VALUE"""),0.0)</f>
        <v>0</v>
      </c>
      <c r="BD292" s="4">
        <f>IFERROR(__xludf.DUMMYFUNCTION("""COMPUTED_VALUE"""),300.0)</f>
        <v>300</v>
      </c>
      <c r="BE292" s="1">
        <f>IFERROR(__xludf.DUMMYFUNCTION("""COMPUTED_VALUE"""),1.0)</f>
        <v>1</v>
      </c>
      <c r="BF292" s="6">
        <f>IFERROR(__xludf.DUMMYFUNCTION("""COMPUTED_VALUE"""),1.0)</f>
        <v>1</v>
      </c>
      <c r="BG292" s="1">
        <f>IFERROR(__xludf.DUMMYFUNCTION("""COMPUTED_VALUE"""),1.0)</f>
        <v>1</v>
      </c>
      <c r="BH292" s="1" t="str">
        <f>IFERROR(__xludf.DUMMYFUNCTION("""COMPUTED_VALUE"""),"0")</f>
        <v>0</v>
      </c>
      <c r="BI292" s="4">
        <f>IFERROR(__xludf.DUMMYFUNCTION("""COMPUTED_VALUE"""),300.0)</f>
        <v>300</v>
      </c>
      <c r="BJ292" s="1">
        <f>IFERROR(__xludf.DUMMYFUNCTION("""COMPUTED_VALUE"""),0.0)</f>
        <v>0</v>
      </c>
      <c r="BK292" s="4">
        <f>IFERROR(__xludf.DUMMYFUNCTION("""COMPUTED_VALUE"""),300.0)</f>
        <v>300</v>
      </c>
      <c r="BL292" s="1">
        <f>IFERROR(__xludf.DUMMYFUNCTION("""COMPUTED_VALUE"""),940.0)</f>
        <v>940</v>
      </c>
      <c r="BM292" s="1">
        <f>IFERROR(__xludf.DUMMYFUNCTION("""COMPUTED_VALUE"""),1.0)</f>
        <v>1</v>
      </c>
      <c r="BN292" s="2">
        <f>IFERROR(__xludf.DUMMYFUNCTION("""COMPUTED_VALUE"""),45656.0)</f>
        <v>45656</v>
      </c>
      <c r="BO292" s="1">
        <f>IFERROR(__xludf.DUMMYFUNCTION("""COMPUTED_VALUE"""),1.0)</f>
        <v>1</v>
      </c>
      <c r="BP292" s="1">
        <f>IFERROR(__xludf.DUMMYFUNCTION("""COMPUTED_VALUE"""),2025.0)</f>
        <v>2025</v>
      </c>
    </row>
    <row r="293">
      <c r="A293" s="1">
        <f>IFERROR(__xludf.DUMMYFUNCTION("""COMPUTED_VALUE"""),292.0)</f>
        <v>292</v>
      </c>
      <c r="B293" s="1">
        <f>IFERROR(__xludf.DUMMYFUNCTION("""COMPUTED_VALUE"""),1756724.0)</f>
        <v>1756724</v>
      </c>
      <c r="C293" s="1" t="str">
        <f>IFERROR(__xludf.DUMMYFUNCTION("""COMPUTED_VALUE"""),"2025-1")</f>
        <v>2025-1</v>
      </c>
      <c r="D293" s="1" t="str">
        <f>IFERROR(__xludf.DUMMYFUNCTION("""COMPUTED_VALUE"""),"Admisión Extraordinaria (Traslados)")</f>
        <v>Admisión Extraordinaria (Traslados)</v>
      </c>
      <c r="E293" s="2">
        <f>IFERROR(__xludf.DUMMYFUNCTION("""COMPUTED_VALUE"""),45660.0)</f>
        <v>45660</v>
      </c>
      <c r="F293" s="1" t="str">
        <f>IFERROR(__xludf.DUMMYFUNCTION("""COMPUTED_VALUE"""),"JUAN ALFREDO ")</f>
        <v>JUAN ALFREDO </v>
      </c>
      <c r="G293" s="1" t="str">
        <f>IFERROR(__xludf.DUMMYFUNCTION("""COMPUTED_VALUE"""),"OLIVERA ZEVALLOS")</f>
        <v>OLIVERA ZEVALLOS</v>
      </c>
      <c r="H293" s="1" t="str">
        <f>IFERROR(__xludf.DUMMYFUNCTION("""COMPUTED_VALUE"""),"Marketing e Innovación")</f>
        <v>Marketing e Innovación</v>
      </c>
      <c r="I293" s="1" t="str">
        <f>IFERROR(__xludf.DUMMYFUNCTION("""COMPUTED_VALUE"""),"Pago Link")</f>
        <v>Pago Link</v>
      </c>
      <c r="J293" s="1" t="str">
        <f>IFERROR(__xludf.DUMMYFUNCTION("""COMPUTED_VALUE"""),"Diurno")</f>
        <v>Diurno</v>
      </c>
      <c r="K293" s="1" t="str">
        <f>IFERROR(__xludf.DUMMYFUNCTION("""COMPUTED_VALUE"""),"TRASLADO")</f>
        <v>TRASLADO</v>
      </c>
      <c r="L293" s="1">
        <f>IFERROR(__xludf.DUMMYFUNCTION("""COMPUTED_VALUE"""),0.0)</f>
        <v>0</v>
      </c>
      <c r="M293" s="1">
        <f>IFERROR(__xludf.DUMMYFUNCTION("""COMPUTED_VALUE"""),1.0)</f>
        <v>1</v>
      </c>
      <c r="N293" s="1" t="str">
        <f>IFERROR(__xludf.DUMMYFUNCTION("""COMPUTED_VALUE"""),"RECA")</f>
        <v>RECA</v>
      </c>
      <c r="O293" s="1" t="str">
        <f>IFERROR(__xludf.DUMMYFUNCTION("""COMPUTED_VALUE"""),"RECA TRASLADO SIN CONVA")</f>
        <v>RECA TRASLADO SIN CONVA</v>
      </c>
      <c r="P293" s="4">
        <f>IFERROR(__xludf.DUMMYFUNCTION("""COMPUTED_VALUE"""),0.0)</f>
        <v>0</v>
      </c>
      <c r="Q293" s="4">
        <f>IFERROR(__xludf.DUMMYFUNCTION("""COMPUTED_VALUE"""),0.0)</f>
        <v>0</v>
      </c>
      <c r="R293" s="4">
        <f>IFERROR(__xludf.DUMMYFUNCTION("""COMPUTED_VALUE"""),1975.0)</f>
        <v>1975</v>
      </c>
      <c r="S293" s="4">
        <f>IFERROR(__xludf.DUMMYFUNCTION("""COMPUTED_VALUE"""),1350.0)</f>
        <v>1350</v>
      </c>
      <c r="T293" s="1" t="str">
        <f>IFERROR(__xludf.DUMMYFUNCTION("""COMPUTED_VALUE"""),"NINGUNO")</f>
        <v>NINGUNO</v>
      </c>
      <c r="U293" s="1" t="str">
        <f>IFERROR(__xludf.DUMMYFUNCTION("""COMPUTED_VALUE"""),"RODRIGO")</f>
        <v>RODRIGO</v>
      </c>
      <c r="V293" s="1" t="str">
        <f>IFERROR(__xludf.DUMMYFUNCTION("""COMPUTED_VALUE"""),"Ninguno")</f>
        <v>Ninguno</v>
      </c>
      <c r="W293" s="1" t="str">
        <f>IFERROR(__xludf.DUMMYFUNCTION("""COMPUTED_VALUE"""),"Precio accesible")</f>
        <v>Precio accesible</v>
      </c>
      <c r="X293" s="1" t="str">
        <f>IFERROR(__xludf.DUMMYFUNCTION("""COMPUTED_VALUE"""),"-")</f>
        <v>-</v>
      </c>
      <c r="Y293" s="1" t="str">
        <f>IFERROR(__xludf.DUMMYFUNCTION("""COMPUTED_VALUE"""),"PAGO FRACCIONADO")</f>
        <v>PAGO FRACCIONADO</v>
      </c>
      <c r="Z293" s="1">
        <f>IFERROR(__xludf.DUMMYFUNCTION("""COMPUTED_VALUE"""),675.0)</f>
        <v>675</v>
      </c>
      <c r="AA293" s="1" t="str">
        <f>IFERROR(__xludf.DUMMYFUNCTION("""COMPUTED_VALUE"""),"4/01/2025")</f>
        <v>4/01/2025</v>
      </c>
      <c r="AB293" s="1">
        <f>IFERROR(__xludf.DUMMYFUNCTION("""COMPUTED_VALUE"""),0.0)</f>
        <v>0</v>
      </c>
      <c r="AC293" s="1">
        <f>IFERROR(__xludf.DUMMYFUNCTION("""COMPUTED_VALUE"""),0.0)</f>
        <v>0</v>
      </c>
      <c r="AD293" s="1" t="str">
        <f>IFERROR(__xludf.DUMMYFUNCTION("""COMPUTED_VALUE"""),"Andrea Araujo Antara")</f>
        <v>Andrea Araujo Antara</v>
      </c>
      <c r="AE293" s="1" t="str">
        <f>IFERROR(__xludf.DUMMYFUNCTION("""COMPUTED_VALUE"""),"Universidad Peruana De Ciencias Aplicadas(UPC)")</f>
        <v>Universidad Peruana De Ciencias Aplicadas(UPC)</v>
      </c>
      <c r="AF293" s="1">
        <f>IFERROR(__xludf.DUMMYFUNCTION("""COMPUTED_VALUE"""),0.0)</f>
        <v>0</v>
      </c>
      <c r="AG293" s="1">
        <f>IFERROR(__xludf.DUMMYFUNCTION("""COMPUTED_VALUE"""),1359652.0)</f>
        <v>1359652</v>
      </c>
      <c r="AH293" s="1">
        <f>IFERROR(__xludf.DUMMYFUNCTION("""COMPUTED_VALUE"""),20.0)</f>
        <v>20</v>
      </c>
      <c r="AI293" s="1" t="str">
        <f>IFERROR(__xludf.DUMMYFUNCTION("""COMPUTED_VALUE"""),"0000406752")</f>
        <v>0000406752</v>
      </c>
      <c r="AJ293" s="1">
        <f>IFERROR(__xludf.DUMMYFUNCTION("""COMPUTED_VALUE"""),7.1343879E7)</f>
        <v>71343879</v>
      </c>
      <c r="AK293" s="1">
        <f>IFERROR(__xludf.DUMMYFUNCTION("""COMPUTED_VALUE"""),9.62972477E8)</f>
        <v>962972477</v>
      </c>
      <c r="AL293" s="1" t="str">
        <f>IFERROR(__xludf.DUMMYFUNCTION("""COMPUTED_VALUE"""),"juanalfredooliverazevallos10@gmail.com")</f>
        <v>juanalfredooliverazevallos10@gmail.com</v>
      </c>
      <c r="AM293" s="1" t="str">
        <f>IFERROR(__xludf.DUMMYFUNCTION("""COMPUTED_VALUE"""),"MASCULINO")</f>
        <v>MASCULINO</v>
      </c>
      <c r="AN293" s="1">
        <f>IFERROR(__xludf.DUMMYFUNCTION("""COMPUTED_VALUE"""),1350.0)</f>
        <v>1350</v>
      </c>
      <c r="AO293" s="1">
        <f>IFERROR(__xludf.DUMMYFUNCTION("""COMPUTED_VALUE"""),0.0)</f>
        <v>0</v>
      </c>
      <c r="AP293" s="1" t="str">
        <f>IFERROR(__xludf.DUMMYFUNCTION("""COMPUTED_VALUE"""),"OUTBOUND")</f>
        <v>OUTBOUND</v>
      </c>
      <c r="AQ293" s="1" t="str">
        <f>IFERROR(__xludf.DUMMYFUNCTION("""COMPUTED_VALUE"""),"OUTBOUND")</f>
        <v>OUTBOUND</v>
      </c>
      <c r="AR293" s="1" t="str">
        <f>IFERROR(__xludf.DUMMYFUNCTION("""COMPUTED_VALUE"""),"NUEVO")</f>
        <v>NUEVO</v>
      </c>
      <c r="AS293" s="1"/>
      <c r="AT293" s="2">
        <f>IFERROR(__xludf.DUMMYFUNCTION("""COMPUTED_VALUE"""),45660.0)</f>
        <v>45660</v>
      </c>
      <c r="AU293" s="1">
        <f>IFERROR(__xludf.DUMMYFUNCTION("""COMPUTED_VALUE"""),1.0)</f>
        <v>1</v>
      </c>
      <c r="AV293" s="1" t="str">
        <f>IFERROR(__xludf.DUMMYFUNCTION("""COMPUTED_VALUE"""),"NUEVO")</f>
        <v>NUEVO</v>
      </c>
      <c r="AW293" s="1" t="str">
        <f>IFERROR(__xludf.DUMMYFUNCTION("""COMPUTED_VALUE"""),"SI")</f>
        <v>SI</v>
      </c>
      <c r="AX293" s="1"/>
      <c r="AY293" s="1" t="str">
        <f>IFERROR(__xludf.DUMMYFUNCTION("""COMPUTED_VALUE"""),"PAGO COMPLETO")</f>
        <v>PAGO COMPLETO</v>
      </c>
      <c r="AZ293" s="5">
        <f>IFERROR(__xludf.DUMMYFUNCTION("""COMPUTED_VALUE"""),45662.0)</f>
        <v>45662</v>
      </c>
      <c r="BA293" s="1">
        <f>IFERROR(__xludf.DUMMYFUNCTION("""COMPUTED_VALUE"""),675.0)</f>
        <v>675</v>
      </c>
      <c r="BB293" s="1">
        <f>IFERROR(__xludf.DUMMYFUNCTION("""COMPUTED_VALUE"""),0.0)</f>
        <v>0</v>
      </c>
      <c r="BC293" s="4">
        <f>IFERROR(__xludf.DUMMYFUNCTION("""COMPUTED_VALUE"""),0.0)</f>
        <v>0</v>
      </c>
      <c r="BD293" s="4">
        <f>IFERROR(__xludf.DUMMYFUNCTION("""COMPUTED_VALUE"""),0.0)</f>
        <v>0</v>
      </c>
      <c r="BE293" s="1">
        <f>IFERROR(__xludf.DUMMYFUNCTION("""COMPUTED_VALUE"""),1.0)</f>
        <v>1</v>
      </c>
      <c r="BF293" s="6">
        <f>IFERROR(__xludf.DUMMYFUNCTION("""COMPUTED_VALUE"""),1.0)</f>
        <v>1</v>
      </c>
      <c r="BG293" s="1">
        <f>IFERROR(__xludf.DUMMYFUNCTION("""COMPUTED_VALUE"""),1.0)</f>
        <v>1</v>
      </c>
      <c r="BH293" s="1" t="str">
        <f>IFERROR(__xludf.DUMMYFUNCTION("""COMPUTED_VALUE"""),"0")</f>
        <v>0</v>
      </c>
      <c r="BI293" s="4">
        <f>IFERROR(__xludf.DUMMYFUNCTION("""COMPUTED_VALUE"""),1350.0)</f>
        <v>1350</v>
      </c>
      <c r="BJ293" s="1">
        <f>IFERROR(__xludf.DUMMYFUNCTION("""COMPUTED_VALUE"""),0.0)</f>
        <v>0</v>
      </c>
      <c r="BK293" s="4">
        <f>IFERROR(__xludf.DUMMYFUNCTION("""COMPUTED_VALUE"""),0.0)</f>
        <v>0</v>
      </c>
      <c r="BL293" s="1">
        <f>IFERROR(__xludf.DUMMYFUNCTION("""COMPUTED_VALUE"""),1350.0)</f>
        <v>1350</v>
      </c>
      <c r="BM293" s="1">
        <f>IFERROR(__xludf.DUMMYFUNCTION("""COMPUTED_VALUE"""),1.0)</f>
        <v>1</v>
      </c>
      <c r="BN293" s="2">
        <f>IFERROR(__xludf.DUMMYFUNCTION("""COMPUTED_VALUE"""),45656.0)</f>
        <v>45656</v>
      </c>
      <c r="BO293" s="1">
        <f>IFERROR(__xludf.DUMMYFUNCTION("""COMPUTED_VALUE"""),1.0)</f>
        <v>1</v>
      </c>
      <c r="BP293" s="1">
        <f>IFERROR(__xludf.DUMMYFUNCTION("""COMPUTED_VALUE"""),2025.0)</f>
        <v>2025</v>
      </c>
    </row>
    <row r="294">
      <c r="A294" s="1">
        <f>IFERROR(__xludf.DUMMYFUNCTION("""COMPUTED_VALUE"""),293.0)</f>
        <v>293</v>
      </c>
      <c r="B294" s="1">
        <f>IFERROR(__xludf.DUMMYFUNCTION("""COMPUTED_VALUE"""),1793581.0)</f>
        <v>1793581</v>
      </c>
      <c r="C294" s="1" t="str">
        <f>IFERROR(__xludf.DUMMYFUNCTION("""COMPUTED_VALUE"""),"2025-1")</f>
        <v>2025-1</v>
      </c>
      <c r="D294" s="1" t="str">
        <f>IFERROR(__xludf.DUMMYFUNCTION("""COMPUTED_VALUE"""),"Admisión Ordinaria")</f>
        <v>Admisión Ordinaria</v>
      </c>
      <c r="E294" s="2">
        <f>IFERROR(__xludf.DUMMYFUNCTION("""COMPUTED_VALUE"""),45662.0)</f>
        <v>45662</v>
      </c>
      <c r="F294" s="1" t="str">
        <f>IFERROR(__xludf.DUMMYFUNCTION("""COMPUTED_VALUE"""),"DEYSI GIOMARA ")</f>
        <v>DEYSI GIOMARA </v>
      </c>
      <c r="G294" s="1" t="str">
        <f>IFERROR(__xludf.DUMMYFUNCTION("""COMPUTED_VALUE"""),"ASTO SIMON")</f>
        <v>ASTO SIMON</v>
      </c>
      <c r="H294" s="1" t="str">
        <f>IFERROR(__xludf.DUMMYFUNCTION("""COMPUTED_VALUE"""),"Comunicación Audiovisual y Cine")</f>
        <v>Comunicación Audiovisual y Cine</v>
      </c>
      <c r="I294" s="1" t="str">
        <f>IFERROR(__xludf.DUMMYFUNCTION("""COMPUTED_VALUE"""),"CARGO")</f>
        <v>CARGO</v>
      </c>
      <c r="J294" s="1" t="str">
        <f>IFERROR(__xludf.DUMMYFUNCTION("""COMPUTED_VALUE"""),"Diurno")</f>
        <v>Diurno</v>
      </c>
      <c r="K294" s="1" t="str">
        <f>IFERROR(__xludf.DUMMYFUNCTION("""COMPUTED_VALUE"""),"NUEVO")</f>
        <v>NUEVO</v>
      </c>
      <c r="L294" s="1">
        <f>IFERROR(__xludf.DUMMYFUNCTION("""COMPUTED_VALUE"""),0.0)</f>
        <v>0</v>
      </c>
      <c r="M294" s="1">
        <f>IFERROR(__xludf.DUMMYFUNCTION("""COMPUTED_VALUE"""),0.0)</f>
        <v>0</v>
      </c>
      <c r="N294" s="1" t="str">
        <f>IFERROR(__xludf.DUMMYFUNCTION("""COMPUTED_VALUE"""),"BECA")</f>
        <v>BECA</v>
      </c>
      <c r="O294" s="1" t="str">
        <f>IFERROR(__xludf.DUMMYFUNCTION("""COMPUTED_VALUE"""),"BECA CARRERAS CORE")</f>
        <v>BECA CARRERAS CORE</v>
      </c>
      <c r="P294" s="4">
        <f>IFERROR(__xludf.DUMMYFUNCTION("""COMPUTED_VALUE"""),0.0)</f>
        <v>0</v>
      </c>
      <c r="Q294" s="4">
        <f>IFERROR(__xludf.DUMMYFUNCTION("""COMPUTED_VALUE"""),0.0)</f>
        <v>0</v>
      </c>
      <c r="R294" s="4">
        <f>IFERROR(__xludf.DUMMYFUNCTION("""COMPUTED_VALUE"""),1350.0)</f>
        <v>1350</v>
      </c>
      <c r="S294" s="4">
        <f>IFERROR(__xludf.DUMMYFUNCTION("""COMPUTED_VALUE"""),1000.0)</f>
        <v>1000</v>
      </c>
      <c r="T294" s="1" t="str">
        <f>IFERROR(__xludf.DUMMYFUNCTION("""COMPUTED_VALUE"""),"PALANCA 700")</f>
        <v>PALANCA 700</v>
      </c>
      <c r="U294" s="1" t="str">
        <f>IFERROR(__xludf.DUMMYFUNCTION("""COMPUTED_VALUE"""),"RODRIGO")</f>
        <v>RODRIGO</v>
      </c>
      <c r="V294" s="1" t="str">
        <f>IFERROR(__xludf.DUMMYFUNCTION("""COMPUTED_VALUE"""),"Ninguno")</f>
        <v>Ninguno</v>
      </c>
      <c r="W294" s="1" t="str">
        <f>IFERROR(__xludf.DUMMYFUNCTION("""COMPUTED_VALUE"""),"Prestigio de la institución")</f>
        <v>Prestigio de la institución</v>
      </c>
      <c r="X294" s="1" t="str">
        <f>IFERROR(__xludf.DUMMYFUNCTION("""COMPUTED_VALUE"""),"primera cuota 700")</f>
        <v>primera cuota 700</v>
      </c>
      <c r="Y294" s="1" t="str">
        <f>IFERROR(__xludf.DUMMYFUNCTION("""COMPUTED_VALUE"""),"PAGO COMPLETO")</f>
        <v>PAGO COMPLETO</v>
      </c>
      <c r="Z294" s="1">
        <f>IFERROR(__xludf.DUMMYFUNCTION("""COMPUTED_VALUE"""),0.0)</f>
        <v>0</v>
      </c>
      <c r="AA294" s="1" t="str">
        <f>IFERROR(__xludf.DUMMYFUNCTION("""COMPUTED_VALUE"""),"-")</f>
        <v>-</v>
      </c>
      <c r="AB294" s="1">
        <f>IFERROR(__xludf.DUMMYFUNCTION("""COMPUTED_VALUE"""),0.0)</f>
        <v>0</v>
      </c>
      <c r="AC294" s="1">
        <f>IFERROR(__xludf.DUMMYFUNCTION("""COMPUTED_VALUE"""),0.0)</f>
        <v>0</v>
      </c>
      <c r="AD294" s="1" t="str">
        <f>IFERROR(__xludf.DUMMYFUNCTION("""COMPUTED_VALUE"""),"Ingrid Guillermo Rivera")</f>
        <v>Ingrid Guillermo Rivera</v>
      </c>
      <c r="AE294" s="1" t="str">
        <f>IFERROR(__xludf.DUMMYFUNCTION("""COMPUTED_VALUE"""),"0")</f>
        <v>0</v>
      </c>
      <c r="AF294" s="1">
        <f>IFERROR(__xludf.DUMMYFUNCTION("""COMPUTED_VALUE"""),2021.0)</f>
        <v>2021</v>
      </c>
      <c r="AG294" s="1">
        <f>IFERROR(__xludf.DUMMYFUNCTION("""COMPUTED_VALUE"""),340323.0)</f>
        <v>340323</v>
      </c>
      <c r="AH294" s="1">
        <f>IFERROR(__xludf.DUMMYFUNCTION("""COMPUTED_VALUE"""),20.0)</f>
        <v>20</v>
      </c>
      <c r="AI294" s="1" t="str">
        <f>IFERROR(__xludf.DUMMYFUNCTION("""COMPUTED_VALUE"""),"0000407101")</f>
        <v>0000407101</v>
      </c>
      <c r="AJ294" s="1">
        <f>IFERROR(__xludf.DUMMYFUNCTION("""COMPUTED_VALUE"""),7.6647311E7)</f>
        <v>76647311</v>
      </c>
      <c r="AK294" s="1">
        <f>IFERROR(__xludf.DUMMYFUNCTION("""COMPUTED_VALUE"""),9.5258575E8)</f>
        <v>952585750</v>
      </c>
      <c r="AL294" s="1" t="str">
        <f>IFERROR(__xludf.DUMMYFUNCTION("""COMPUTED_VALUE"""),"astosimondeysigiomara@gmail.com")</f>
        <v>astosimondeysigiomara@gmail.com</v>
      </c>
      <c r="AM294" s="1" t="str">
        <f>IFERROR(__xludf.DUMMYFUNCTION("""COMPUTED_VALUE"""),"FEMENINO")</f>
        <v>FEMENINO</v>
      </c>
      <c r="AN294" s="1">
        <f>IFERROR(__xludf.DUMMYFUNCTION("""COMPUTED_VALUE"""),1350.0)</f>
        <v>1350</v>
      </c>
      <c r="AO294" s="1">
        <f>IFERROR(__xludf.DUMMYFUNCTION("""COMPUTED_VALUE"""),0.0)</f>
        <v>0</v>
      </c>
      <c r="AP294" s="1" t="str">
        <f>IFERROR(__xludf.DUMMYFUNCTION("""COMPUTED_VALUE"""),"BIDIRECCIONAL")</f>
        <v>BIDIRECCIONAL</v>
      </c>
      <c r="AQ294" s="1" t="str">
        <f>IFERROR(__xludf.DUMMYFUNCTION("""COMPUTED_VALUE"""),"SEARCH MARCA")</f>
        <v>SEARCH MARCA</v>
      </c>
      <c r="AR294" s="1" t="str">
        <f>IFERROR(__xludf.DUMMYFUNCTION("""COMPUTED_VALUE"""),"HEREDADO")</f>
        <v>HEREDADO</v>
      </c>
      <c r="AS294" s="1" t="str">
        <f>IFERROR(__xludf.DUMMYFUNCTION("""COMPUTED_VALUE"""),"ucal-pg-performance-sedes-abierta-cpl-search_conversion_marca-20240401")</f>
        <v>ucal-pg-performance-sedes-abierta-cpl-search_conversion_marca-20240401</v>
      </c>
      <c r="AT294" s="2">
        <f>IFERROR(__xludf.DUMMYFUNCTION("""COMPUTED_VALUE"""),45569.0)</f>
        <v>45569</v>
      </c>
      <c r="AU294" s="1">
        <f>IFERROR(__xludf.DUMMYFUNCTION("""COMPUTED_VALUE"""),1.0)</f>
        <v>1</v>
      </c>
      <c r="AV294" s="1" t="str">
        <f>IFERROR(__xludf.DUMMYFUNCTION("""COMPUTED_VALUE"""),"NUEVO")</f>
        <v>NUEVO</v>
      </c>
      <c r="AW294" s="1" t="str">
        <f>IFERROR(__xludf.DUMMYFUNCTION("""COMPUTED_VALUE"""),"SI")</f>
        <v>SI</v>
      </c>
      <c r="AX294" s="1"/>
      <c r="AY294" s="1" t="str">
        <f>IFERROR(__xludf.DUMMYFUNCTION("""COMPUTED_VALUE"""),"PAGO COMPLETO")</f>
        <v>PAGO COMPLETO</v>
      </c>
      <c r="AZ294" s="5">
        <f>IFERROR(__xludf.DUMMYFUNCTION("""COMPUTED_VALUE"""),45662.0)</f>
        <v>45662</v>
      </c>
      <c r="BA294" s="1">
        <f>IFERROR(__xludf.DUMMYFUNCTION("""COMPUTED_VALUE"""),0.0)</f>
        <v>0</v>
      </c>
      <c r="BB294" s="1">
        <f>IFERROR(__xludf.DUMMYFUNCTION("""COMPUTED_VALUE"""),0.0)</f>
        <v>0</v>
      </c>
      <c r="BC294" s="4">
        <f>IFERROR(__xludf.DUMMYFUNCTION("""COMPUTED_VALUE"""),0.0)</f>
        <v>0</v>
      </c>
      <c r="BD294" s="4">
        <f>IFERROR(__xludf.DUMMYFUNCTION("""COMPUTED_VALUE"""),300.0)</f>
        <v>300</v>
      </c>
      <c r="BE294" s="1">
        <f>IFERROR(__xludf.DUMMYFUNCTION("""COMPUTED_VALUE"""),1.0)</f>
        <v>1</v>
      </c>
      <c r="BF294" s="6">
        <f>IFERROR(__xludf.DUMMYFUNCTION("""COMPUTED_VALUE"""),1.0)</f>
        <v>1</v>
      </c>
      <c r="BG294" s="1">
        <f>IFERROR(__xludf.DUMMYFUNCTION("""COMPUTED_VALUE"""),1.0)</f>
        <v>1</v>
      </c>
      <c r="BH294" s="1" t="str">
        <f>IFERROR(__xludf.DUMMYFUNCTION("""COMPUTED_VALUE"""),"0")</f>
        <v>0</v>
      </c>
      <c r="BI294" s="4">
        <f>IFERROR(__xludf.DUMMYFUNCTION("""COMPUTED_VALUE"""),300.0)</f>
        <v>300</v>
      </c>
      <c r="BJ294" s="1">
        <f>IFERROR(__xludf.DUMMYFUNCTION("""COMPUTED_VALUE"""),0.0)</f>
        <v>0</v>
      </c>
      <c r="BK294" s="4">
        <f>IFERROR(__xludf.DUMMYFUNCTION("""COMPUTED_VALUE"""),300.0)</f>
        <v>300</v>
      </c>
      <c r="BL294" s="1">
        <f>IFERROR(__xludf.DUMMYFUNCTION("""COMPUTED_VALUE"""),940.0)</f>
        <v>940</v>
      </c>
      <c r="BM294" s="1">
        <f>IFERROR(__xludf.DUMMYFUNCTION("""COMPUTED_VALUE"""),1.0)</f>
        <v>1</v>
      </c>
      <c r="BN294" s="2">
        <f>IFERROR(__xludf.DUMMYFUNCTION("""COMPUTED_VALUE"""),45656.0)</f>
        <v>45656</v>
      </c>
      <c r="BO294" s="1">
        <f>IFERROR(__xludf.DUMMYFUNCTION("""COMPUTED_VALUE"""),1.0)</f>
        <v>1</v>
      </c>
      <c r="BP294" s="1">
        <f>IFERROR(__xludf.DUMMYFUNCTION("""COMPUTED_VALUE"""),2025.0)</f>
        <v>2025</v>
      </c>
    </row>
    <row r="295">
      <c r="A295" s="1">
        <f>IFERROR(__xludf.DUMMYFUNCTION("""COMPUTED_VALUE"""),294.0)</f>
        <v>294</v>
      </c>
      <c r="B295" s="1">
        <f>IFERROR(__xludf.DUMMYFUNCTION("""COMPUTED_VALUE"""),2159970.0)</f>
        <v>2159970</v>
      </c>
      <c r="C295" s="1" t="str">
        <f>IFERROR(__xludf.DUMMYFUNCTION("""COMPUTED_VALUE"""),"2025-1")</f>
        <v>2025-1</v>
      </c>
      <c r="D295" s="1" t="str">
        <f>IFERROR(__xludf.DUMMYFUNCTION("""COMPUTED_VALUE"""),"Admisión de Alto Rendimiento")</f>
        <v>Admisión de Alto Rendimiento</v>
      </c>
      <c r="E295" s="2">
        <f>IFERROR(__xludf.DUMMYFUNCTION("""COMPUTED_VALUE"""),45663.0)</f>
        <v>45663</v>
      </c>
      <c r="F295" s="1" t="str">
        <f>IFERROR(__xludf.DUMMYFUNCTION("""COMPUTED_VALUE"""),"DAYANA DAMARIZ ")</f>
        <v>DAYANA DAMARIZ </v>
      </c>
      <c r="G295" s="1" t="str">
        <f>IFERROR(__xludf.DUMMYFUNCTION("""COMPUTED_VALUE"""),"GUTIERREZ JURADO")</f>
        <v>GUTIERREZ JURADO</v>
      </c>
      <c r="H295" s="1" t="str">
        <f>IFERROR(__xludf.DUMMYFUNCTION("""COMPUTED_VALUE"""),"Administración y Negocios Internacionales")</f>
        <v>Administración y Negocios Internacionales</v>
      </c>
      <c r="I295" s="1" t="str">
        <f>IFERROR(__xludf.DUMMYFUNCTION("""COMPUTED_VALUE"""),"CARGO")</f>
        <v>CARGO</v>
      </c>
      <c r="J295" s="1" t="str">
        <f>IFERROR(__xludf.DUMMYFUNCTION("""COMPUTED_VALUE"""),"Diurno")</f>
        <v>Diurno</v>
      </c>
      <c r="K295" s="1" t="str">
        <f>IFERROR(__xludf.DUMMYFUNCTION("""COMPUTED_VALUE"""),"NUEVO")</f>
        <v>NUEVO</v>
      </c>
      <c r="L295" s="1">
        <f>IFERROR(__xludf.DUMMYFUNCTION("""COMPUTED_VALUE"""),0.0)</f>
        <v>0</v>
      </c>
      <c r="M295" s="1">
        <f>IFERROR(__xludf.DUMMYFUNCTION("""COMPUTED_VALUE"""),0.0)</f>
        <v>0</v>
      </c>
      <c r="N295" s="1" t="str">
        <f>IFERROR(__xludf.DUMMYFUNCTION("""COMPUTED_VALUE"""),"BECA")</f>
        <v>BECA</v>
      </c>
      <c r="O295" s="1" t="str">
        <f>IFERROR(__xludf.DUMMYFUNCTION("""COMPUTED_VALUE"""),"BECA CARRERAS NUEVAS")</f>
        <v>BECA CARRERAS NUEVAS</v>
      </c>
      <c r="P295" s="4">
        <f>IFERROR(__xludf.DUMMYFUNCTION("""COMPUTED_VALUE"""),100.0)</f>
        <v>100</v>
      </c>
      <c r="Q295" s="4">
        <f>IFERROR(__xludf.DUMMYFUNCTION("""COMPUTED_VALUE"""),237.5)</f>
        <v>237.5</v>
      </c>
      <c r="R295" s="4">
        <f>IFERROR(__xludf.DUMMYFUNCTION("""COMPUTED_VALUE"""),1150.0)</f>
        <v>1150</v>
      </c>
      <c r="S295" s="4">
        <f>IFERROR(__xludf.DUMMYFUNCTION("""COMPUTED_VALUE"""),850.0)</f>
        <v>850</v>
      </c>
      <c r="T295" s="1" t="str">
        <f>IFERROR(__xludf.DUMMYFUNCTION("""COMPUTED_VALUE"""),"PALANCA 700")</f>
        <v>PALANCA 700</v>
      </c>
      <c r="U295" s="1" t="str">
        <f>IFERROR(__xludf.DUMMYFUNCTION("""COMPUTED_VALUE"""),"RODRIGO")</f>
        <v>RODRIGO</v>
      </c>
      <c r="V295" s="1" t="str">
        <f>IFERROR(__xludf.DUMMYFUNCTION("""COMPUTED_VALUE"""),"Ninguno")</f>
        <v>Ninguno</v>
      </c>
      <c r="W295" s="1" t="str">
        <f>IFERROR(__xludf.DUMMYFUNCTION("""COMPUTED_VALUE"""),"Malla curricular")</f>
        <v>Malla curricular</v>
      </c>
      <c r="X295" s="1" t="str">
        <f>IFERROR(__xludf.DUMMYFUNCTION("""COMPUTED_VALUE"""),"PRIMERA BOLETA ES 700")</f>
        <v>PRIMERA BOLETA ES 700</v>
      </c>
      <c r="Y295" s="1" t="str">
        <f>IFERROR(__xludf.DUMMYFUNCTION("""COMPUTED_VALUE"""),"PAGO FRACCIONADO")</f>
        <v>PAGO FRACCIONADO</v>
      </c>
      <c r="Z295" s="1">
        <f>IFERROR(__xludf.DUMMYFUNCTION("""COMPUTED_VALUE"""),337.5)</f>
        <v>337.5</v>
      </c>
      <c r="AA295" s="1" t="str">
        <f>IFERROR(__xludf.DUMMYFUNCTION("""COMPUTED_VALUE"""),"22/01/2025")</f>
        <v>22/01/2025</v>
      </c>
      <c r="AB295" s="1">
        <f>IFERROR(__xludf.DUMMYFUNCTION("""COMPUTED_VALUE"""),0.0)</f>
        <v>0</v>
      </c>
      <c r="AC295" s="1">
        <f>IFERROR(__xludf.DUMMYFUNCTION("""COMPUTED_VALUE"""),0.0)</f>
        <v>0</v>
      </c>
      <c r="AD295" s="1" t="str">
        <f>IFERROR(__xludf.DUMMYFUNCTION("""COMPUTED_VALUE"""),"Ingrid Guillermo Rivera")</f>
        <v>Ingrid Guillermo Rivera</v>
      </c>
      <c r="AE295" s="1" t="str">
        <f>IFERROR(__xludf.DUMMYFUNCTION("""COMPUTED_VALUE"""),"0")</f>
        <v>0</v>
      </c>
      <c r="AF295" s="1">
        <f>IFERROR(__xludf.DUMMYFUNCTION("""COMPUTED_VALUE"""),2022.0)</f>
        <v>2022</v>
      </c>
      <c r="AG295" s="1">
        <f>IFERROR(__xludf.DUMMYFUNCTION("""COMPUTED_VALUE"""),0.0)</f>
        <v>0</v>
      </c>
      <c r="AH295" s="1">
        <f>IFERROR(__xludf.DUMMYFUNCTION("""COMPUTED_VALUE"""),20.0)</f>
        <v>20</v>
      </c>
      <c r="AI295" s="1" t="str">
        <f>IFERROR(__xludf.DUMMYFUNCTION("""COMPUTED_VALUE"""),"0000407167")</f>
        <v>0000407167</v>
      </c>
      <c r="AJ295" s="1">
        <f>IFERROR(__xludf.DUMMYFUNCTION("""COMPUTED_VALUE"""),7.5607441E7)</f>
        <v>75607441</v>
      </c>
      <c r="AK295" s="1">
        <f>IFERROR(__xludf.DUMMYFUNCTION("""COMPUTED_VALUE"""),9.89383948E8)</f>
        <v>989383948</v>
      </c>
      <c r="AL295" s="1" t="str">
        <f>IFERROR(__xludf.DUMMYFUNCTION("""COMPUTED_VALUE"""),"Ayanadyou2@gmail.com")</f>
        <v>Ayanadyou2@gmail.com</v>
      </c>
      <c r="AM295" s="1" t="str">
        <f>IFERROR(__xludf.DUMMYFUNCTION("""COMPUTED_VALUE"""),"FEMENINO")</f>
        <v>FEMENINO</v>
      </c>
      <c r="AN295" s="1">
        <f>IFERROR(__xludf.DUMMYFUNCTION("""COMPUTED_VALUE"""),1350.0)</f>
        <v>1350</v>
      </c>
      <c r="AO295" s="1">
        <f>IFERROR(__xludf.DUMMYFUNCTION("""COMPUTED_VALUE"""),0.0)</f>
        <v>0</v>
      </c>
      <c r="AP295" s="1" t="str">
        <f>IFERROR(__xludf.DUMMYFUNCTION("""COMPUTED_VALUE"""),"FORMULARIO")</f>
        <v>FORMULARIO</v>
      </c>
      <c r="AQ295" s="1" t="str">
        <f>IFERROR(__xludf.DUMMYFUNCTION("""COMPUTED_VALUE"""),"SEARCH MARCA")</f>
        <v>SEARCH MARCA</v>
      </c>
      <c r="AR295" s="1" t="str">
        <f>IFERROR(__xludf.DUMMYFUNCTION("""COMPUTED_VALUE"""),"HEREDADO")</f>
        <v>HEREDADO</v>
      </c>
      <c r="AS295" s="1" t="str">
        <f>IFERROR(__xludf.DUMMYFUNCTION("""COMPUTED_VALUE"""),"ucal-pg-performance-sedes-abierta-cpl-search_conversion_marca-20240401")</f>
        <v>ucal-pg-performance-sedes-abierta-cpl-search_conversion_marca-20240401</v>
      </c>
      <c r="AT295" s="2">
        <f>IFERROR(__xludf.DUMMYFUNCTION("""COMPUTED_VALUE"""),45662.0)</f>
        <v>45662</v>
      </c>
      <c r="AU295" s="1">
        <f>IFERROR(__xludf.DUMMYFUNCTION("""COMPUTED_VALUE"""),1.0)</f>
        <v>1</v>
      </c>
      <c r="AV295" s="1" t="str">
        <f>IFERROR(__xludf.DUMMYFUNCTION("""COMPUTED_VALUE"""),"NUEVO")</f>
        <v>NUEVO</v>
      </c>
      <c r="AW295" s="1" t="str">
        <f>IFERROR(__xludf.DUMMYFUNCTION("""COMPUTED_VALUE"""),"SI")</f>
        <v>SI</v>
      </c>
      <c r="AX295" s="1"/>
      <c r="AY295" s="1" t="str">
        <f>IFERROR(__xludf.DUMMYFUNCTION("""COMPUTED_VALUE"""),"PAGO COMPLETO")</f>
        <v>PAGO COMPLETO</v>
      </c>
      <c r="AZ295" s="5">
        <f>IFERROR(__xludf.DUMMYFUNCTION("""COMPUTED_VALUE"""),45668.0)</f>
        <v>45668</v>
      </c>
      <c r="BA295" s="1">
        <f>IFERROR(__xludf.DUMMYFUNCTION("""COMPUTED_VALUE"""),700.0)</f>
        <v>700</v>
      </c>
      <c r="BB295" s="1">
        <f>IFERROR(__xludf.DUMMYFUNCTION("""COMPUTED_VALUE"""),0.0)</f>
        <v>0</v>
      </c>
      <c r="BC295" s="4">
        <f>IFERROR(__xludf.DUMMYFUNCTION("""COMPUTED_VALUE"""),0.0)</f>
        <v>0</v>
      </c>
      <c r="BD295" s="4">
        <f>IFERROR(__xludf.DUMMYFUNCTION("""COMPUTED_VALUE"""),150.0)</f>
        <v>150</v>
      </c>
      <c r="BE295" s="1">
        <f>IFERROR(__xludf.DUMMYFUNCTION("""COMPUTED_VALUE"""),1.0)</f>
        <v>1</v>
      </c>
      <c r="BF295" s="6">
        <f>IFERROR(__xludf.DUMMYFUNCTION("""COMPUTED_VALUE"""),1.0)</f>
        <v>1</v>
      </c>
      <c r="BG295" s="1">
        <f>IFERROR(__xludf.DUMMYFUNCTION("""COMPUTED_VALUE"""),0.0)</f>
        <v>0</v>
      </c>
      <c r="BH295" s="1" t="str">
        <f>IFERROR(__xludf.DUMMYFUNCTION("""COMPUTED_VALUE"""),"0")</f>
        <v>0</v>
      </c>
      <c r="BI295" s="4">
        <f>IFERROR(__xludf.DUMMYFUNCTION("""COMPUTED_VALUE"""),1187.5)</f>
        <v>1187.5</v>
      </c>
      <c r="BJ295" s="1">
        <f>IFERROR(__xludf.DUMMYFUNCTION("""COMPUTED_VALUE"""),0.0)</f>
        <v>0</v>
      </c>
      <c r="BK295" s="4">
        <f>IFERROR(__xludf.DUMMYFUNCTION("""COMPUTED_VALUE"""),150.0)</f>
        <v>150</v>
      </c>
      <c r="BL295" s="1">
        <f>IFERROR(__xludf.DUMMYFUNCTION("""COMPUTED_VALUE"""),820.0)</f>
        <v>820</v>
      </c>
      <c r="BM295" s="1">
        <f>IFERROR(__xludf.DUMMYFUNCTION("""COMPUTED_VALUE"""),2.0)</f>
        <v>2</v>
      </c>
      <c r="BN295" s="2">
        <f>IFERROR(__xludf.DUMMYFUNCTION("""COMPUTED_VALUE"""),45663.0)</f>
        <v>45663</v>
      </c>
      <c r="BO295" s="1">
        <f>IFERROR(__xludf.DUMMYFUNCTION("""COMPUTED_VALUE"""),1.0)</f>
        <v>1</v>
      </c>
      <c r="BP295" s="1">
        <f>IFERROR(__xludf.DUMMYFUNCTION("""COMPUTED_VALUE"""),2025.0)</f>
        <v>2025</v>
      </c>
    </row>
    <row r="296">
      <c r="A296" s="1">
        <f>IFERROR(__xludf.DUMMYFUNCTION("""COMPUTED_VALUE"""),295.0)</f>
        <v>295</v>
      </c>
      <c r="B296" s="1">
        <f>IFERROR(__xludf.DUMMYFUNCTION("""COMPUTED_VALUE"""),2380567.0)</f>
        <v>2380567</v>
      </c>
      <c r="C296" s="1" t="str">
        <f>IFERROR(__xludf.DUMMYFUNCTION("""COMPUTED_VALUE"""),"2025-1")</f>
        <v>2025-1</v>
      </c>
      <c r="D296" s="1" t="str">
        <f>IFERROR(__xludf.DUMMYFUNCTION("""COMPUTED_VALUE"""),"Admisión de Alto Rendimiento")</f>
        <v>Admisión de Alto Rendimiento</v>
      </c>
      <c r="E296" s="2">
        <f>IFERROR(__xludf.DUMMYFUNCTION("""COMPUTED_VALUE"""),45663.0)</f>
        <v>45663</v>
      </c>
      <c r="F296" s="1" t="str">
        <f>IFERROR(__xludf.DUMMYFUNCTION("""COMPUTED_VALUE"""),"JOSÉ ANTONIO FERNANDO")</f>
        <v>JOSÉ ANTONIO FERNANDO</v>
      </c>
      <c r="G296" s="1" t="str">
        <f>IFERROR(__xludf.DUMMYFUNCTION("""COMPUTED_VALUE"""),"CALIXTO LOAYZA")</f>
        <v>CALIXTO LOAYZA</v>
      </c>
      <c r="H296" s="1" t="str">
        <f>IFERROR(__xludf.DUMMYFUNCTION("""COMPUTED_VALUE"""),"Diseño Gráfico Publicitario")</f>
        <v>Diseño Gráfico Publicitario</v>
      </c>
      <c r="I296" s="1" t="str">
        <f>IFERROR(__xludf.DUMMYFUNCTION("""COMPUTED_VALUE"""),"Pago Link")</f>
        <v>Pago Link</v>
      </c>
      <c r="J296" s="1" t="str">
        <f>IFERROR(__xludf.DUMMYFUNCTION("""COMPUTED_VALUE"""),"Diurno")</f>
        <v>Diurno</v>
      </c>
      <c r="K296" s="1" t="str">
        <f>IFERROR(__xludf.DUMMYFUNCTION("""COMPUTED_VALUE"""),"NUEVO")</f>
        <v>NUEVO</v>
      </c>
      <c r="L296" s="1">
        <f>IFERROR(__xludf.DUMMYFUNCTION("""COMPUTED_VALUE"""),0.0)</f>
        <v>0</v>
      </c>
      <c r="M296" s="1">
        <f>IFERROR(__xludf.DUMMYFUNCTION("""COMPUTED_VALUE"""),0.0)</f>
        <v>0</v>
      </c>
      <c r="N296" s="1" t="str">
        <f>IFERROR(__xludf.DUMMYFUNCTION("""COMPUTED_VALUE"""),"RECA-BECA")</f>
        <v>RECA-BECA</v>
      </c>
      <c r="O296" s="1" t="str">
        <f>IFERROR(__xludf.DUMMYFUNCTION("""COMPUTED_VALUE"""),"BECA RECUPERO")</f>
        <v>BECA RECUPERO</v>
      </c>
      <c r="P296" s="4">
        <f>IFERROR(__xludf.DUMMYFUNCTION("""COMPUTED_VALUE"""),0.0)</f>
        <v>0</v>
      </c>
      <c r="Q296" s="4">
        <f>IFERROR(__xludf.DUMMYFUNCTION("""COMPUTED_VALUE"""),0.0)</f>
        <v>0</v>
      </c>
      <c r="R296" s="4">
        <f>IFERROR(__xludf.DUMMYFUNCTION("""COMPUTED_VALUE"""),1075.0)</f>
        <v>1075</v>
      </c>
      <c r="S296" s="4">
        <f>IFERROR(__xludf.DUMMYFUNCTION("""COMPUTED_VALUE"""),900.0)</f>
        <v>900</v>
      </c>
      <c r="T296" s="1" t="str">
        <f>IFERROR(__xludf.DUMMYFUNCTION("""COMPUTED_VALUE"""),"PALANCA 500")</f>
        <v>PALANCA 500</v>
      </c>
      <c r="U296" s="1" t="str">
        <f>IFERROR(__xludf.DUMMYFUNCTION("""COMPUTED_VALUE"""),"FABIOLA")</f>
        <v>FABIOLA</v>
      </c>
      <c r="V296" s="1" t="str">
        <f>IFERROR(__xludf.DUMMYFUNCTION("""COMPUTED_VALUE"""),"Ninguno")</f>
        <v>Ninguno</v>
      </c>
      <c r="W296" s="1" t="str">
        <f>IFERROR(__xludf.DUMMYFUNCTION("""COMPUTED_VALUE"""),"Otros")</f>
        <v>Otros</v>
      </c>
      <c r="X296" s="1" t="str">
        <f>IFERROR(__xludf.DUMMYFUNCTION("""COMPUTED_VALUE"""),"-")</f>
        <v>-</v>
      </c>
      <c r="Y296" s="1" t="str">
        <f>IFERROR(__xludf.DUMMYFUNCTION("""COMPUTED_VALUE"""),"PAGO COMPLETO")</f>
        <v>PAGO COMPLETO</v>
      </c>
      <c r="Z296" s="1">
        <f>IFERROR(__xludf.DUMMYFUNCTION("""COMPUTED_VALUE"""),0.0)</f>
        <v>0</v>
      </c>
      <c r="AA296" s="1" t="str">
        <f>IFERROR(__xludf.DUMMYFUNCTION("""COMPUTED_VALUE"""),"-")</f>
        <v>-</v>
      </c>
      <c r="AB296" s="1">
        <f>IFERROR(__xludf.DUMMYFUNCTION("""COMPUTED_VALUE"""),0.0)</f>
        <v>0</v>
      </c>
      <c r="AC296" s="1">
        <f>IFERROR(__xludf.DUMMYFUNCTION("""COMPUTED_VALUE"""),0.0)</f>
        <v>0</v>
      </c>
      <c r="AD296" s="1" t="str">
        <f>IFERROR(__xludf.DUMMYFUNCTION("""COMPUTED_VALUE"""),"Stefano Napuri")</f>
        <v>Stefano Napuri</v>
      </c>
      <c r="AE296" s="1" t="str">
        <f>IFERROR(__xludf.DUMMYFUNCTION("""COMPUTED_VALUE"""),"0")</f>
        <v>0</v>
      </c>
      <c r="AF296" s="1">
        <f>IFERROR(__xludf.DUMMYFUNCTION("""COMPUTED_VALUE"""),2024.0)</f>
        <v>2024</v>
      </c>
      <c r="AG296" s="1">
        <f>IFERROR(__xludf.DUMMYFUNCTION("""COMPUTED_VALUE"""),1195668.0)</f>
        <v>1195668</v>
      </c>
      <c r="AH296" s="1">
        <f>IFERROR(__xludf.DUMMYFUNCTION("""COMPUTED_VALUE"""),17.0)</f>
        <v>17</v>
      </c>
      <c r="AI296" s="1" t="str">
        <f>IFERROR(__xludf.DUMMYFUNCTION("""COMPUTED_VALUE"""),"0000407217")</f>
        <v>0000407217</v>
      </c>
      <c r="AJ296" s="1">
        <f>IFERROR(__xludf.DUMMYFUNCTION("""COMPUTED_VALUE"""),7.1157563E7)</f>
        <v>71157563</v>
      </c>
      <c r="AK296" s="1">
        <f>IFERROR(__xludf.DUMMYFUNCTION("""COMPUTED_VALUE"""),9.52936344E8)</f>
        <v>952936344</v>
      </c>
      <c r="AL296" s="1" t="str">
        <f>IFERROR(__xludf.DUMMYFUNCTION("""COMPUTED_VALUE"""),"rteresa1415@hotmail.com")</f>
        <v>rteresa1415@hotmail.com</v>
      </c>
      <c r="AM296" s="1" t="str">
        <f>IFERROR(__xludf.DUMMYFUNCTION("""COMPUTED_VALUE"""),"MASCULINO")</f>
        <v>MASCULINO</v>
      </c>
      <c r="AN296" s="1">
        <f>IFERROR(__xludf.DUMMYFUNCTION("""COMPUTED_VALUE"""),1600.0)</f>
        <v>1600</v>
      </c>
      <c r="AO296" s="1">
        <f>IFERROR(__xludf.DUMMYFUNCTION("""COMPUTED_VALUE"""),300.0)</f>
        <v>300</v>
      </c>
      <c r="AP296" s="1" t="str">
        <f>IFERROR(__xludf.DUMMYFUNCTION("""COMPUTED_VALUE"""),"COLEGIOS")</f>
        <v>COLEGIOS</v>
      </c>
      <c r="AQ296" s="1" t="str">
        <f>IFERROR(__xludf.DUMMYFUNCTION("""COMPUTED_VALUE"""),"COLEGIOS")</f>
        <v>COLEGIOS</v>
      </c>
      <c r="AR296" s="1" t="str">
        <f>IFERROR(__xludf.DUMMYFUNCTION("""COMPUTED_VALUE"""),"NUEVO")</f>
        <v>NUEVO</v>
      </c>
      <c r="AS296" s="1"/>
      <c r="AT296" s="2">
        <f>IFERROR(__xludf.DUMMYFUNCTION("""COMPUTED_VALUE"""),45461.0)</f>
        <v>45461</v>
      </c>
      <c r="AU296" s="1">
        <f>IFERROR(__xludf.DUMMYFUNCTION("""COMPUTED_VALUE"""),1.0)</f>
        <v>1</v>
      </c>
      <c r="AV296" s="1" t="str">
        <f>IFERROR(__xludf.DUMMYFUNCTION("""COMPUTED_VALUE"""),"NUEVO")</f>
        <v>NUEVO</v>
      </c>
      <c r="AW296" s="1" t="str">
        <f>IFERROR(__xludf.DUMMYFUNCTION("""COMPUTED_VALUE"""),"SI")</f>
        <v>SI</v>
      </c>
      <c r="AX296" s="1"/>
      <c r="AY296" s="1" t="str">
        <f>IFERROR(__xludf.DUMMYFUNCTION("""COMPUTED_VALUE"""),"PAGO COMPLETO")</f>
        <v>PAGO COMPLETO</v>
      </c>
      <c r="AZ296" s="5">
        <f>IFERROR(__xludf.DUMMYFUNCTION("""COMPUTED_VALUE"""),45663.0)</f>
        <v>45663</v>
      </c>
      <c r="BA296" s="1">
        <f>IFERROR(__xludf.DUMMYFUNCTION("""COMPUTED_VALUE"""),0.0)</f>
        <v>0</v>
      </c>
      <c r="BB296" s="1">
        <f>IFERROR(__xludf.DUMMYFUNCTION("""COMPUTED_VALUE"""),0.0)</f>
        <v>0</v>
      </c>
      <c r="BC296" s="4">
        <f>IFERROR(__xludf.DUMMYFUNCTION("""COMPUTED_VALUE"""),0.0)</f>
        <v>0</v>
      </c>
      <c r="BD296" s="4">
        <f>IFERROR(__xludf.DUMMYFUNCTION("""COMPUTED_VALUE"""),400.0)</f>
        <v>400</v>
      </c>
      <c r="BE296" s="1">
        <f>IFERROR(__xludf.DUMMYFUNCTION("""COMPUTED_VALUE"""),1.0)</f>
        <v>1</v>
      </c>
      <c r="BF296" s="6">
        <f>IFERROR(__xludf.DUMMYFUNCTION("""COMPUTED_VALUE"""),1.0)</f>
        <v>1</v>
      </c>
      <c r="BG296" s="1">
        <f>IFERROR(__xludf.DUMMYFUNCTION("""COMPUTED_VALUE"""),1.0)</f>
        <v>1</v>
      </c>
      <c r="BH296" s="1" t="str">
        <f>IFERROR(__xludf.DUMMYFUNCTION("""COMPUTED_VALUE"""),"0")</f>
        <v>0</v>
      </c>
      <c r="BI296" s="4">
        <f>IFERROR(__xludf.DUMMYFUNCTION("""COMPUTED_VALUE"""),400.0)</f>
        <v>400</v>
      </c>
      <c r="BJ296" s="1">
        <f>IFERROR(__xludf.DUMMYFUNCTION("""COMPUTED_VALUE"""),0.0)</f>
        <v>0</v>
      </c>
      <c r="BK296" s="4">
        <f>IFERROR(__xludf.DUMMYFUNCTION("""COMPUTED_VALUE"""),400.0)</f>
        <v>400</v>
      </c>
      <c r="BL296" s="1">
        <f>IFERROR(__xludf.DUMMYFUNCTION("""COMPUTED_VALUE"""),820.0)</f>
        <v>820</v>
      </c>
      <c r="BM296" s="1">
        <f>IFERROR(__xludf.DUMMYFUNCTION("""COMPUTED_VALUE"""),2.0)</f>
        <v>2</v>
      </c>
      <c r="BN296" s="2">
        <f>IFERROR(__xludf.DUMMYFUNCTION("""COMPUTED_VALUE"""),45663.0)</f>
        <v>45663</v>
      </c>
      <c r="BO296" s="1">
        <f>IFERROR(__xludf.DUMMYFUNCTION("""COMPUTED_VALUE"""),1.0)</f>
        <v>1</v>
      </c>
      <c r="BP296" s="1">
        <f>IFERROR(__xludf.DUMMYFUNCTION("""COMPUTED_VALUE"""),2025.0)</f>
        <v>2025</v>
      </c>
    </row>
    <row r="297">
      <c r="A297" s="1">
        <f>IFERROR(__xludf.DUMMYFUNCTION("""COMPUTED_VALUE"""),296.0)</f>
        <v>296</v>
      </c>
      <c r="B297" s="1">
        <f>IFERROR(__xludf.DUMMYFUNCTION("""COMPUTED_VALUE"""),2341780.0)</f>
        <v>2341780</v>
      </c>
      <c r="C297" s="1" t="str">
        <f>IFERROR(__xludf.DUMMYFUNCTION("""COMPUTED_VALUE"""),"2025-1")</f>
        <v>2025-1</v>
      </c>
      <c r="D297" s="1" t="str">
        <f>IFERROR(__xludf.DUMMYFUNCTION("""COMPUTED_VALUE"""),"Admisión de Alto Rendimiento")</f>
        <v>Admisión de Alto Rendimiento</v>
      </c>
      <c r="E297" s="2">
        <f>IFERROR(__xludf.DUMMYFUNCTION("""COMPUTED_VALUE"""),45663.0)</f>
        <v>45663</v>
      </c>
      <c r="F297" s="1" t="str">
        <f>IFERROR(__xludf.DUMMYFUNCTION("""COMPUTED_VALUE"""),"ALEJANDRO ")</f>
        <v>ALEJANDRO </v>
      </c>
      <c r="G297" s="1" t="str">
        <f>IFERROR(__xludf.DUMMYFUNCTION("""COMPUTED_VALUE"""),"PISCOYA HUAYANEY")</f>
        <v>PISCOYA HUAYANEY</v>
      </c>
      <c r="H297" s="1" t="str">
        <f>IFERROR(__xludf.DUMMYFUNCTION("""COMPUTED_VALUE"""),"Comunicación Audiovisual y Cine")</f>
        <v>Comunicación Audiovisual y Cine</v>
      </c>
      <c r="I297" s="1" t="str">
        <f>IFERROR(__xludf.DUMMYFUNCTION("""COMPUTED_VALUE"""),"POS")</f>
        <v>POS</v>
      </c>
      <c r="J297" s="1" t="str">
        <f>IFERROR(__xludf.DUMMYFUNCTION("""COMPUTED_VALUE"""),"Diurno")</f>
        <v>Diurno</v>
      </c>
      <c r="K297" s="1" t="str">
        <f>IFERROR(__xludf.DUMMYFUNCTION("""COMPUTED_VALUE"""),"NUEVO")</f>
        <v>NUEVO</v>
      </c>
      <c r="L297" s="1">
        <f>IFERROR(__xludf.DUMMYFUNCTION("""COMPUTED_VALUE"""),0.0)</f>
        <v>0</v>
      </c>
      <c r="M297" s="1">
        <f>IFERROR(__xludf.DUMMYFUNCTION("""COMPUTED_VALUE"""),0.0)</f>
        <v>0</v>
      </c>
      <c r="N297" s="1" t="str">
        <f>IFERROR(__xludf.DUMMYFUNCTION("""COMPUTED_VALUE"""),"BECA")</f>
        <v>BECA</v>
      </c>
      <c r="O297" s="1" t="str">
        <f>IFERROR(__xludf.DUMMYFUNCTION("""COMPUTED_VALUE"""),"BECA CARRERAS CORE")</f>
        <v>BECA CARRERAS CORE</v>
      </c>
      <c r="P297" s="4">
        <f>IFERROR(__xludf.DUMMYFUNCTION("""COMPUTED_VALUE"""),100.0)</f>
        <v>100</v>
      </c>
      <c r="Q297" s="4">
        <f>IFERROR(__xludf.DUMMYFUNCTION("""COMPUTED_VALUE"""),237.5)</f>
        <v>237.5</v>
      </c>
      <c r="R297" s="4">
        <f>IFERROR(__xludf.DUMMYFUNCTION("""COMPUTED_VALUE"""),1600.0)</f>
        <v>1600</v>
      </c>
      <c r="S297" s="4">
        <f>IFERROR(__xludf.DUMMYFUNCTION("""COMPUTED_VALUE"""),1280.0)</f>
        <v>1280</v>
      </c>
      <c r="T297" s="1" t="str">
        <f>IFERROR(__xludf.DUMMYFUNCTION("""COMPUTED_VALUE"""),"Visita Guiada")</f>
        <v>Visita Guiada</v>
      </c>
      <c r="U297" s="1" t="str">
        <f>IFERROR(__xludf.DUMMYFUNCTION("""COMPUTED_VALUE"""),"FABIOLA")</f>
        <v>FABIOLA</v>
      </c>
      <c r="V297" s="1" t="str">
        <f>IFERROR(__xludf.DUMMYFUNCTION("""COMPUTED_VALUE"""),"Cinthia Orosco")</f>
        <v>Cinthia Orosco</v>
      </c>
      <c r="W297" s="1" t="str">
        <f>IFERROR(__xludf.DUMMYFUNCTION("""COMPUTED_VALUE"""),"Metodología de enseñanza")</f>
        <v>Metodología de enseñanza</v>
      </c>
      <c r="X297" s="1" t="str">
        <f>IFERROR(__xludf.DUMMYFUNCTION("""COMPUTED_VALUE"""),"metodologia")</f>
        <v>metodologia</v>
      </c>
      <c r="Y297" s="1" t="str">
        <f>IFERROR(__xludf.DUMMYFUNCTION("""COMPUTED_VALUE"""),"PAGO COMPLETO")</f>
        <v>PAGO COMPLETO</v>
      </c>
      <c r="Z297" s="1">
        <f>IFERROR(__xludf.DUMMYFUNCTION("""COMPUTED_VALUE"""),0.0)</f>
        <v>0</v>
      </c>
      <c r="AA297" s="1" t="str">
        <f>IFERROR(__xludf.DUMMYFUNCTION("""COMPUTED_VALUE"""),"6/01/2025")</f>
        <v>6/01/2025</v>
      </c>
      <c r="AB297" s="1">
        <f>IFERROR(__xludf.DUMMYFUNCTION("""COMPUTED_VALUE"""),0.0)</f>
        <v>0</v>
      </c>
      <c r="AC297" s="1">
        <f>IFERROR(__xludf.DUMMYFUNCTION("""COMPUTED_VALUE"""),0.0)</f>
        <v>0</v>
      </c>
      <c r="AD297" s="1" t="str">
        <f>IFERROR(__xludf.DUMMYFUNCTION("""COMPUTED_VALUE"""),"Cinthia Mariella Orosco")</f>
        <v>Cinthia Mariella Orosco</v>
      </c>
      <c r="AE297" s="1" t="str">
        <f>IFERROR(__xludf.DUMMYFUNCTION("""COMPUTED_VALUE"""),"0")</f>
        <v>0</v>
      </c>
      <c r="AF297" s="1">
        <f>IFERROR(__xludf.DUMMYFUNCTION("""COMPUTED_VALUE"""),2023.0)</f>
        <v>2023</v>
      </c>
      <c r="AG297" s="1">
        <f>IFERROR(__xludf.DUMMYFUNCTION("""COMPUTED_VALUE"""),1477199.0)</f>
        <v>1477199</v>
      </c>
      <c r="AH297" s="1">
        <f>IFERROR(__xludf.DUMMYFUNCTION("""COMPUTED_VALUE"""),19.0)</f>
        <v>19</v>
      </c>
      <c r="AI297" s="1" t="str">
        <f>IFERROR(__xludf.DUMMYFUNCTION("""COMPUTED_VALUE"""),"0000407249")</f>
        <v>0000407249</v>
      </c>
      <c r="AJ297" s="1">
        <f>IFERROR(__xludf.DUMMYFUNCTION("""COMPUTED_VALUE"""),6.0896201E7)</f>
        <v>60896201</v>
      </c>
      <c r="AK297" s="1">
        <f>IFERROR(__xludf.DUMMYFUNCTION("""COMPUTED_VALUE"""),9.8254821E8)</f>
        <v>982548210</v>
      </c>
      <c r="AL297" s="1" t="str">
        <f>IFERROR(__xludf.DUMMYFUNCTION("""COMPUTED_VALUE"""),"Deckbuda@gmail.com")</f>
        <v>Deckbuda@gmail.com</v>
      </c>
      <c r="AM297" s="1" t="str">
        <f>IFERROR(__xludf.DUMMYFUNCTION("""COMPUTED_VALUE"""),"MASCULINO")</f>
        <v>MASCULINO</v>
      </c>
      <c r="AN297" s="1">
        <f>IFERROR(__xludf.DUMMYFUNCTION("""COMPUTED_VALUE"""),1775.0)</f>
        <v>1775</v>
      </c>
      <c r="AO297" s="1">
        <f>IFERROR(__xludf.DUMMYFUNCTION("""COMPUTED_VALUE"""),330.0)</f>
        <v>330</v>
      </c>
      <c r="AP297" s="1" t="str">
        <f>IFERROR(__xludf.DUMMYFUNCTION("""COMPUTED_VALUE"""),"INBOUND")</f>
        <v>INBOUND</v>
      </c>
      <c r="AQ297" s="1" t="str">
        <f>IFERROR(__xludf.DUMMYFUNCTION("""COMPUTED_VALUE"""),"INBOUND")</f>
        <v>INBOUND</v>
      </c>
      <c r="AR297" s="1" t="str">
        <f>IFERROR(__xludf.DUMMYFUNCTION("""COMPUTED_VALUE"""),"HEREDADO")</f>
        <v>HEREDADO</v>
      </c>
      <c r="AS297" s="1"/>
      <c r="AT297" s="2">
        <f>IFERROR(__xludf.DUMMYFUNCTION("""COMPUTED_VALUE"""),45663.0)</f>
        <v>45663</v>
      </c>
      <c r="AU297" s="1">
        <f>IFERROR(__xludf.DUMMYFUNCTION("""COMPUTED_VALUE"""),1.0)</f>
        <v>1</v>
      </c>
      <c r="AV297" s="1" t="str">
        <f>IFERROR(__xludf.DUMMYFUNCTION("""COMPUTED_VALUE"""),"NUEVO")</f>
        <v>NUEVO</v>
      </c>
      <c r="AW297" s="1" t="str">
        <f>IFERROR(__xludf.DUMMYFUNCTION("""COMPUTED_VALUE"""),"SI")</f>
        <v>SI</v>
      </c>
      <c r="AX297" s="1"/>
      <c r="AY297" s="1" t="str">
        <f>IFERROR(__xludf.DUMMYFUNCTION("""COMPUTED_VALUE"""),"PAGO COMPLETO")</f>
        <v>PAGO COMPLETO</v>
      </c>
      <c r="AZ297" s="5">
        <f>IFERROR(__xludf.DUMMYFUNCTION("""COMPUTED_VALUE"""),45663.0)</f>
        <v>45663</v>
      </c>
      <c r="BA297" s="1">
        <f>IFERROR(__xludf.DUMMYFUNCTION("""COMPUTED_VALUE"""),1180.0)</f>
        <v>1180</v>
      </c>
      <c r="BB297" s="1">
        <f>IFERROR(__xludf.DUMMYFUNCTION("""COMPUTED_VALUE"""),0.0)</f>
        <v>0</v>
      </c>
      <c r="BC297" s="4">
        <f>IFERROR(__xludf.DUMMYFUNCTION("""COMPUTED_VALUE"""),0.0)</f>
        <v>0</v>
      </c>
      <c r="BD297" s="4">
        <f>IFERROR(__xludf.DUMMYFUNCTION("""COMPUTED_VALUE"""),100.0)</f>
        <v>100</v>
      </c>
      <c r="BE297" s="1">
        <f>IFERROR(__xludf.DUMMYFUNCTION("""COMPUTED_VALUE"""),1.0)</f>
        <v>1</v>
      </c>
      <c r="BF297" s="6">
        <f>IFERROR(__xludf.DUMMYFUNCTION("""COMPUTED_VALUE"""),1.0)</f>
        <v>1</v>
      </c>
      <c r="BG297" s="1">
        <f>IFERROR(__xludf.DUMMYFUNCTION("""COMPUTED_VALUE"""),1.0)</f>
        <v>1</v>
      </c>
      <c r="BH297" s="1" t="str">
        <f>IFERROR(__xludf.DUMMYFUNCTION("""COMPUTED_VALUE"""),"0")</f>
        <v>0</v>
      </c>
      <c r="BI297" s="4">
        <f>IFERROR(__xludf.DUMMYFUNCTION("""COMPUTED_VALUE"""),1280.0)</f>
        <v>1280</v>
      </c>
      <c r="BJ297" s="1">
        <f>IFERROR(__xludf.DUMMYFUNCTION("""COMPUTED_VALUE"""),0.0)</f>
        <v>0</v>
      </c>
      <c r="BK297" s="4">
        <f>IFERROR(__xludf.DUMMYFUNCTION("""COMPUTED_VALUE"""),100.0)</f>
        <v>100</v>
      </c>
      <c r="BL297" s="1">
        <f>IFERROR(__xludf.DUMMYFUNCTION("""COMPUTED_VALUE"""),1260.0)</f>
        <v>1260</v>
      </c>
      <c r="BM297" s="1">
        <f>IFERROR(__xludf.DUMMYFUNCTION("""COMPUTED_VALUE"""),2.0)</f>
        <v>2</v>
      </c>
      <c r="BN297" s="2">
        <f>IFERROR(__xludf.DUMMYFUNCTION("""COMPUTED_VALUE"""),45663.0)</f>
        <v>45663</v>
      </c>
      <c r="BO297" s="1">
        <f>IFERROR(__xludf.DUMMYFUNCTION("""COMPUTED_VALUE"""),1.0)</f>
        <v>1</v>
      </c>
      <c r="BP297" s="1">
        <f>IFERROR(__xludf.DUMMYFUNCTION("""COMPUTED_VALUE"""),2025.0)</f>
        <v>2025</v>
      </c>
    </row>
    <row r="298">
      <c r="A298" s="1">
        <f>IFERROR(__xludf.DUMMYFUNCTION("""COMPUTED_VALUE"""),297.0)</f>
        <v>297</v>
      </c>
      <c r="B298" s="1">
        <f>IFERROR(__xludf.DUMMYFUNCTION("""COMPUTED_VALUE"""),2477343.0)</f>
        <v>2477343</v>
      </c>
      <c r="C298" s="1" t="str">
        <f>IFERROR(__xludf.DUMMYFUNCTION("""COMPUTED_VALUE"""),"2025-1")</f>
        <v>2025-1</v>
      </c>
      <c r="D298" s="1" t="str">
        <f>IFERROR(__xludf.DUMMYFUNCTION("""COMPUTED_VALUE"""),"Admisión Ordinaria")</f>
        <v>Admisión Ordinaria</v>
      </c>
      <c r="E298" s="2">
        <f>IFERROR(__xludf.DUMMYFUNCTION("""COMPUTED_VALUE"""),45663.0)</f>
        <v>45663</v>
      </c>
      <c r="F298" s="1" t="str">
        <f>IFERROR(__xludf.DUMMYFUNCTION("""COMPUTED_VALUE"""),"MAYRA JULISSA ")</f>
        <v>MAYRA JULISSA </v>
      </c>
      <c r="G298" s="1" t="str">
        <f>IFERROR(__xludf.DUMMYFUNCTION("""COMPUTED_VALUE"""),"VERA JARA")</f>
        <v>VERA JARA</v>
      </c>
      <c r="H298" s="1" t="str">
        <f>IFERROR(__xludf.DUMMYFUNCTION("""COMPUTED_VALUE"""),"Administración y Marketing")</f>
        <v>Administración y Marketing</v>
      </c>
      <c r="I298" s="1" t="str">
        <f>IFERROR(__xludf.DUMMYFUNCTION("""COMPUTED_VALUE"""),"Pago Link")</f>
        <v>Pago Link</v>
      </c>
      <c r="J298" s="1" t="str">
        <f>IFERROR(__xludf.DUMMYFUNCTION("""COMPUTED_VALUE"""),"Nocturno - A distancia")</f>
        <v>Nocturno - A distancia</v>
      </c>
      <c r="K298" s="1" t="str">
        <f>IFERROR(__xludf.DUMMYFUNCTION("""COMPUTED_VALUE"""),"NUEVO")</f>
        <v>NUEVO</v>
      </c>
      <c r="L298" s="1">
        <f>IFERROR(__xludf.DUMMYFUNCTION("""COMPUTED_VALUE"""),0.0)</f>
        <v>0</v>
      </c>
      <c r="M298" s="1">
        <f>IFERROR(__xludf.DUMMYFUNCTION("""COMPUTED_VALUE"""),0.0)</f>
        <v>0</v>
      </c>
      <c r="N298" s="1" t="str">
        <f>IFERROR(__xludf.DUMMYFUNCTION("""COMPUTED_VALUE"""),"BECA")</f>
        <v>BECA</v>
      </c>
      <c r="O298" s="1" t="str">
        <f>IFERROR(__xludf.DUMMYFUNCTION("""COMPUTED_VALUE"""),"BECA CARRERAS NUEVAS")</f>
        <v>BECA CARRERAS NUEVAS</v>
      </c>
      <c r="P298" s="4">
        <f>IFERROR(__xludf.DUMMYFUNCTION("""COMPUTED_VALUE"""),125.0)</f>
        <v>125</v>
      </c>
      <c r="Q298" s="4">
        <f>IFERROR(__xludf.DUMMYFUNCTION("""COMPUTED_VALUE"""),237.5)</f>
        <v>237.5</v>
      </c>
      <c r="R298" s="4">
        <f>IFERROR(__xludf.DUMMYFUNCTION("""COMPUTED_VALUE"""),1600.0)</f>
        <v>1600</v>
      </c>
      <c r="S298" s="4">
        <f>IFERROR(__xludf.DUMMYFUNCTION("""COMPUTED_VALUE"""),1200.0)</f>
        <v>1200</v>
      </c>
      <c r="T298" s="1" t="str">
        <f>IFERROR(__xludf.DUMMYFUNCTION("""COMPUTED_VALUE"""),"NINGUNO")</f>
        <v>NINGUNO</v>
      </c>
      <c r="U298" s="1" t="str">
        <f>IFERROR(__xludf.DUMMYFUNCTION("""COMPUTED_VALUE"""),"FABIOLA")</f>
        <v>FABIOLA</v>
      </c>
      <c r="V298" s="1" t="str">
        <f>IFERROR(__xludf.DUMMYFUNCTION("""COMPUTED_VALUE"""),"Ninguno")</f>
        <v>Ninguno</v>
      </c>
      <c r="W298" s="1" t="str">
        <f>IFERROR(__xludf.DUMMYFUNCTION("""COMPUTED_VALUE"""),"Metodología de enseñanza")</f>
        <v>Metodología de enseñanza</v>
      </c>
      <c r="X298" s="1" t="str">
        <f>IFERROR(__xludf.DUMMYFUNCTION("""COMPUTED_VALUE"""),"METODOLOGIA")</f>
        <v>METODOLOGIA</v>
      </c>
      <c r="Y298" s="1" t="str">
        <f>IFERROR(__xludf.DUMMYFUNCTION("""COMPUTED_VALUE"""),"PAGO COMPLETO")</f>
        <v>PAGO COMPLETO</v>
      </c>
      <c r="Z298" s="1">
        <f>IFERROR(__xludf.DUMMYFUNCTION("""COMPUTED_VALUE"""),0.0)</f>
        <v>0</v>
      </c>
      <c r="AA298" s="1" t="str">
        <f>IFERROR(__xludf.DUMMYFUNCTION("""COMPUTED_VALUE"""),"-")</f>
        <v>-</v>
      </c>
      <c r="AB298" s="1">
        <f>IFERROR(__xludf.DUMMYFUNCTION("""COMPUTED_VALUE"""),0.0)</f>
        <v>0</v>
      </c>
      <c r="AC298" s="1">
        <f>IFERROR(__xludf.DUMMYFUNCTION("""COMPUTED_VALUE"""),0.0)</f>
        <v>0</v>
      </c>
      <c r="AD298" s="1" t="str">
        <f>IFERROR(__xludf.DUMMYFUNCTION("""COMPUTED_VALUE"""),"Cinthia Mariella Orosco")</f>
        <v>Cinthia Mariella Orosco</v>
      </c>
      <c r="AE298" s="1" t="str">
        <f>IFERROR(__xludf.DUMMYFUNCTION("""COMPUTED_VALUE"""),"0")</f>
        <v>0</v>
      </c>
      <c r="AF298" s="1">
        <f>IFERROR(__xludf.DUMMYFUNCTION("""COMPUTED_VALUE"""),2020.0)</f>
        <v>2020</v>
      </c>
      <c r="AG298" s="1">
        <f>IFERROR(__xludf.DUMMYFUNCTION("""COMPUTED_VALUE"""),1346675.0)</f>
        <v>1346675</v>
      </c>
      <c r="AH298" s="1">
        <f>IFERROR(__xludf.DUMMYFUNCTION("""COMPUTED_VALUE"""),24.0)</f>
        <v>24</v>
      </c>
      <c r="AI298" s="1" t="str">
        <f>IFERROR(__xludf.DUMMYFUNCTION("""COMPUTED_VALUE"""),"0000407271")</f>
        <v>0000407271</v>
      </c>
      <c r="AJ298" s="1">
        <f>IFERROR(__xludf.DUMMYFUNCTION("""COMPUTED_VALUE"""),7.4142477E7)</f>
        <v>74142477</v>
      </c>
      <c r="AK298" s="1">
        <f>IFERROR(__xludf.DUMMYFUNCTION("""COMPUTED_VALUE"""),9.63023416E8)</f>
        <v>963023416</v>
      </c>
      <c r="AL298" s="1" t="str">
        <f>IFERROR(__xludf.DUMMYFUNCTION("""COMPUTED_VALUE"""),"mayravera711@gmail.com")</f>
        <v>mayravera711@gmail.com</v>
      </c>
      <c r="AM298" s="1" t="str">
        <f>IFERROR(__xludf.DUMMYFUNCTION("""COMPUTED_VALUE"""),"FEMENINO")</f>
        <v>FEMENINO</v>
      </c>
      <c r="AN298" s="1">
        <f>IFERROR(__xludf.DUMMYFUNCTION("""COMPUTED_VALUE"""),1850.0)</f>
        <v>1850</v>
      </c>
      <c r="AO298" s="1">
        <f>IFERROR(__xludf.DUMMYFUNCTION("""COMPUTED_VALUE"""),605.0)</f>
        <v>605</v>
      </c>
      <c r="AP298" s="1" t="str">
        <f>IFERROR(__xludf.DUMMYFUNCTION("""COMPUTED_VALUE"""),"FORMULARIO")</f>
        <v>FORMULARIO</v>
      </c>
      <c r="AQ298" s="1" t="str">
        <f>IFERROR(__xludf.DUMMYFUNCTION("""COMPUTED_VALUE"""),"SEARCH MARCA")</f>
        <v>SEARCH MARCA</v>
      </c>
      <c r="AR298" s="1" t="str">
        <f>IFERROR(__xludf.DUMMYFUNCTION("""COMPUTED_VALUE"""),"NUEVO")</f>
        <v>NUEVO</v>
      </c>
      <c r="AS298" s="1" t="str">
        <f>IFERROR(__xludf.DUMMYFUNCTION("""COMPUTED_VALUE"""),"ucal-pg-performance-sedes-abierta-cpl-search_conversion_marca-20240401")</f>
        <v>ucal-pg-performance-sedes-abierta-cpl-search_conversion_marca-20240401</v>
      </c>
      <c r="AT298" s="2">
        <f>IFERROR(__xludf.DUMMYFUNCTION("""COMPUTED_VALUE"""),45654.0)</f>
        <v>45654</v>
      </c>
      <c r="AU298" s="1">
        <f>IFERROR(__xludf.DUMMYFUNCTION("""COMPUTED_VALUE"""),1.0)</f>
        <v>1</v>
      </c>
      <c r="AV298" s="1" t="str">
        <f>IFERROR(__xludf.DUMMYFUNCTION("""COMPUTED_VALUE"""),"NUEVO")</f>
        <v>NUEVO</v>
      </c>
      <c r="AW298" s="1" t="str">
        <f>IFERROR(__xludf.DUMMYFUNCTION("""COMPUTED_VALUE"""),"SI")</f>
        <v>SI</v>
      </c>
      <c r="AX298" s="1"/>
      <c r="AY298" s="1" t="str">
        <f>IFERROR(__xludf.DUMMYFUNCTION("""COMPUTED_VALUE"""),"PAGO COMPLETO")</f>
        <v>PAGO COMPLETO</v>
      </c>
      <c r="AZ298" s="5">
        <f>IFERROR(__xludf.DUMMYFUNCTION("""COMPUTED_VALUE"""),45663.0)</f>
        <v>45663</v>
      </c>
      <c r="BA298" s="1">
        <f>IFERROR(__xludf.DUMMYFUNCTION("""COMPUTED_VALUE"""),0.0)</f>
        <v>0</v>
      </c>
      <c r="BB298" s="1">
        <f>IFERROR(__xludf.DUMMYFUNCTION("""COMPUTED_VALUE"""),0.0)</f>
        <v>0</v>
      </c>
      <c r="BC298" s="4">
        <f>IFERROR(__xludf.DUMMYFUNCTION("""COMPUTED_VALUE"""),0.0)</f>
        <v>0</v>
      </c>
      <c r="BD298" s="4">
        <f>IFERROR(__xludf.DUMMYFUNCTION("""COMPUTED_VALUE"""),0.0)</f>
        <v>0</v>
      </c>
      <c r="BE298" s="1">
        <f>IFERROR(__xludf.DUMMYFUNCTION("""COMPUTED_VALUE"""),1.0)</f>
        <v>1</v>
      </c>
      <c r="BF298" s="6">
        <f>IFERROR(__xludf.DUMMYFUNCTION("""COMPUTED_VALUE"""),1.0)</f>
        <v>1</v>
      </c>
      <c r="BG298" s="1">
        <f>IFERROR(__xludf.DUMMYFUNCTION("""COMPUTED_VALUE"""),1.0)</f>
        <v>1</v>
      </c>
      <c r="BH298" s="1" t="str">
        <f>IFERROR(__xludf.DUMMYFUNCTION("""COMPUTED_VALUE"""),"0")</f>
        <v>0</v>
      </c>
      <c r="BI298" s="4">
        <f>IFERROR(__xludf.DUMMYFUNCTION("""COMPUTED_VALUE"""),0.0)</f>
        <v>0</v>
      </c>
      <c r="BJ298" s="1">
        <f>IFERROR(__xludf.DUMMYFUNCTION("""COMPUTED_VALUE"""),0.0)</f>
        <v>0</v>
      </c>
      <c r="BK298" s="4">
        <f>IFERROR(__xludf.DUMMYFUNCTION("""COMPUTED_VALUE"""),0.0)</f>
        <v>0</v>
      </c>
      <c r="BL298" s="1">
        <f>IFERROR(__xludf.DUMMYFUNCTION("""COMPUTED_VALUE"""),1200.0)</f>
        <v>1200</v>
      </c>
      <c r="BM298" s="1">
        <f>IFERROR(__xludf.DUMMYFUNCTION("""COMPUTED_VALUE"""),2.0)</f>
        <v>2</v>
      </c>
      <c r="BN298" s="2">
        <f>IFERROR(__xludf.DUMMYFUNCTION("""COMPUTED_VALUE"""),45663.0)</f>
        <v>45663</v>
      </c>
      <c r="BO298" s="1">
        <f>IFERROR(__xludf.DUMMYFUNCTION("""COMPUTED_VALUE"""),1.0)</f>
        <v>1</v>
      </c>
      <c r="BP298" s="1">
        <f>IFERROR(__xludf.DUMMYFUNCTION("""COMPUTED_VALUE"""),2025.0)</f>
        <v>2025</v>
      </c>
    </row>
    <row r="299">
      <c r="A299" s="1">
        <f>IFERROR(__xludf.DUMMYFUNCTION("""COMPUTED_VALUE"""),298.0)</f>
        <v>298</v>
      </c>
      <c r="B299" s="1">
        <f>IFERROR(__xludf.DUMMYFUNCTION("""COMPUTED_VALUE"""),4922420.0)</f>
        <v>4922420</v>
      </c>
      <c r="C299" s="1" t="str">
        <f>IFERROR(__xludf.DUMMYFUNCTION("""COMPUTED_VALUE"""),"2025-1")</f>
        <v>2025-1</v>
      </c>
      <c r="D299" s="1" t="str">
        <f>IFERROR(__xludf.DUMMYFUNCTION("""COMPUTED_VALUE"""),"Admisión de Alto Rendimiento")</f>
        <v>Admisión de Alto Rendimiento</v>
      </c>
      <c r="E299" s="2">
        <f>IFERROR(__xludf.DUMMYFUNCTION("""COMPUTED_VALUE"""),45663.0)</f>
        <v>45663</v>
      </c>
      <c r="F299" s="1" t="str">
        <f>IFERROR(__xludf.DUMMYFUNCTION("""COMPUTED_VALUE"""),"ASHLYE GABRIELA ")</f>
        <v>ASHLYE GABRIELA </v>
      </c>
      <c r="G299" s="1" t="str">
        <f>IFERROR(__xludf.DUMMYFUNCTION("""COMPUTED_VALUE"""),"FABIAN BERMUDEZ")</f>
        <v>FABIAN BERMUDEZ</v>
      </c>
      <c r="H299" s="1" t="str">
        <f>IFERROR(__xludf.DUMMYFUNCTION("""COMPUTED_VALUE"""),"Diseño Gráfico Publicitario")</f>
        <v>Diseño Gráfico Publicitario</v>
      </c>
      <c r="I299" s="1" t="str">
        <f>IFERROR(__xludf.DUMMYFUNCTION("""COMPUTED_VALUE"""),"POS")</f>
        <v>POS</v>
      </c>
      <c r="J299" s="1" t="str">
        <f>IFERROR(__xludf.DUMMYFUNCTION("""COMPUTED_VALUE"""),"Diurno")</f>
        <v>Diurno</v>
      </c>
      <c r="K299" s="1" t="str">
        <f>IFERROR(__xludf.DUMMYFUNCTION("""COMPUTED_VALUE"""),"NUEVO")</f>
        <v>NUEVO</v>
      </c>
      <c r="L299" s="1">
        <f>IFERROR(__xludf.DUMMYFUNCTION("""COMPUTED_VALUE"""),0.0)</f>
        <v>0</v>
      </c>
      <c r="M299" s="1">
        <f>IFERROR(__xludf.DUMMYFUNCTION("""COMPUTED_VALUE"""),0.0)</f>
        <v>0</v>
      </c>
      <c r="N299" s="1" t="str">
        <f>IFERROR(__xludf.DUMMYFUNCTION("""COMPUTED_VALUE"""),"BECA")</f>
        <v>BECA</v>
      </c>
      <c r="O299" s="1" t="str">
        <f>IFERROR(__xludf.DUMMYFUNCTION("""COMPUTED_VALUE"""),"BECA DGP")</f>
        <v>BECA DGP</v>
      </c>
      <c r="P299" s="4">
        <f>IFERROR(__xludf.DUMMYFUNCTION("""COMPUTED_VALUE"""),0.0)</f>
        <v>0</v>
      </c>
      <c r="Q299" s="4">
        <f>IFERROR(__xludf.DUMMYFUNCTION("""COMPUTED_VALUE"""),0.0)</f>
        <v>0</v>
      </c>
      <c r="R299" s="4">
        <f>IFERROR(__xludf.DUMMYFUNCTION("""COMPUTED_VALUE"""),1150.0)</f>
        <v>1150</v>
      </c>
      <c r="S299" s="4">
        <f>IFERROR(__xludf.DUMMYFUNCTION("""COMPUTED_VALUE"""),850.0)</f>
        <v>850</v>
      </c>
      <c r="T299" s="1" t="str">
        <f>IFERROR(__xludf.DUMMYFUNCTION("""COMPUTED_VALUE"""),"PALANCA 700")</f>
        <v>PALANCA 700</v>
      </c>
      <c r="U299" s="1" t="str">
        <f>IFERROR(__xludf.DUMMYFUNCTION("""COMPUTED_VALUE"""),"FABIOLA")</f>
        <v>FABIOLA</v>
      </c>
      <c r="V299" s="1" t="str">
        <f>IFERROR(__xludf.DUMMYFUNCTION("""COMPUTED_VALUE"""),"Ninguno")</f>
        <v>Ninguno</v>
      </c>
      <c r="W299" s="1" t="str">
        <f>IFERROR(__xludf.DUMMYFUNCTION("""COMPUTED_VALUE"""),"Metodología de enseñanza")</f>
        <v>Metodología de enseñanza</v>
      </c>
      <c r="X299" s="1" t="str">
        <f>IFERROR(__xludf.DUMMYFUNCTION("""COMPUTED_VALUE"""),"metodologia")</f>
        <v>metodologia</v>
      </c>
      <c r="Y299" s="1" t="str">
        <f>IFERROR(__xludf.DUMMYFUNCTION("""COMPUTED_VALUE"""),"PAGO COMPLETO")</f>
        <v>PAGO COMPLETO</v>
      </c>
      <c r="Z299" s="1">
        <f>IFERROR(__xludf.DUMMYFUNCTION("""COMPUTED_VALUE"""),0.0)</f>
        <v>0</v>
      </c>
      <c r="AA299" s="1" t="str">
        <f>IFERROR(__xludf.DUMMYFUNCTION("""COMPUTED_VALUE"""),"-")</f>
        <v>-</v>
      </c>
      <c r="AB299" s="1">
        <f>IFERROR(__xludf.DUMMYFUNCTION("""COMPUTED_VALUE"""),0.0)</f>
        <v>0</v>
      </c>
      <c r="AC299" s="1">
        <f>IFERROR(__xludf.DUMMYFUNCTION("""COMPUTED_VALUE"""),0.0)</f>
        <v>0</v>
      </c>
      <c r="AD299" s="1" t="str">
        <f>IFERROR(__xludf.DUMMYFUNCTION("""COMPUTED_VALUE"""),"Cinthia Mariella Orosco")</f>
        <v>Cinthia Mariella Orosco</v>
      </c>
      <c r="AE299" s="1" t="str">
        <f>IFERROR(__xludf.DUMMYFUNCTION("""COMPUTED_VALUE"""),"0")</f>
        <v>0</v>
      </c>
      <c r="AF299" s="1">
        <f>IFERROR(__xludf.DUMMYFUNCTION("""COMPUTED_VALUE"""),2024.0)</f>
        <v>2024</v>
      </c>
      <c r="AG299" s="1">
        <f>IFERROR(__xludf.DUMMYFUNCTION("""COMPUTED_VALUE"""),777995.0)</f>
        <v>777995</v>
      </c>
      <c r="AH299" s="1">
        <f>IFERROR(__xludf.DUMMYFUNCTION("""COMPUTED_VALUE"""),17.0)</f>
        <v>17</v>
      </c>
      <c r="AI299" s="1" t="str">
        <f>IFERROR(__xludf.DUMMYFUNCTION("""COMPUTED_VALUE"""),"0000407376")</f>
        <v>0000407376</v>
      </c>
      <c r="AJ299" s="1">
        <f>IFERROR(__xludf.DUMMYFUNCTION("""COMPUTED_VALUE"""),6.0621685E7)</f>
        <v>60621685</v>
      </c>
      <c r="AK299" s="1">
        <f>IFERROR(__xludf.DUMMYFUNCTION("""COMPUTED_VALUE"""),9.12137018E8)</f>
        <v>912137018</v>
      </c>
      <c r="AL299" s="1" t="str">
        <f>IFERROR(__xludf.DUMMYFUNCTION("""COMPUTED_VALUE"""),"ashlyefabian23@gmail.com")</f>
        <v>ashlyefabian23@gmail.com</v>
      </c>
      <c r="AM299" s="1" t="str">
        <f>IFERROR(__xludf.DUMMYFUNCTION("""COMPUTED_VALUE"""),"FEMENINO")</f>
        <v>FEMENINO</v>
      </c>
      <c r="AN299" s="1">
        <f>IFERROR(__xludf.DUMMYFUNCTION("""COMPUTED_VALUE"""),1350.0)</f>
        <v>1350</v>
      </c>
      <c r="AO299" s="1">
        <f>IFERROR(__xludf.DUMMYFUNCTION("""COMPUTED_VALUE"""),0.0)</f>
        <v>0</v>
      </c>
      <c r="AP299" s="1" t="str">
        <f>IFERROR(__xludf.DUMMYFUNCTION("""COMPUTED_VALUE"""),"FORMULARIO")</f>
        <v>FORMULARIO</v>
      </c>
      <c r="AQ299" s="1" t="str">
        <f>IFERROR(__xludf.DUMMYFUNCTION("""COMPUTED_VALUE"""),"ORGANICO")</f>
        <v>ORGANICO</v>
      </c>
      <c r="AR299" s="1" t="str">
        <f>IFERROR(__xludf.DUMMYFUNCTION("""COMPUTED_VALUE"""),"NUEVO")</f>
        <v>NUEVO</v>
      </c>
      <c r="AS299" s="1"/>
      <c r="AT299" s="2">
        <f>IFERROR(__xludf.DUMMYFUNCTION("""COMPUTED_VALUE"""),45661.0)</f>
        <v>45661</v>
      </c>
      <c r="AU299" s="1">
        <f>IFERROR(__xludf.DUMMYFUNCTION("""COMPUTED_VALUE"""),1.0)</f>
        <v>1</v>
      </c>
      <c r="AV299" s="1" t="str">
        <f>IFERROR(__xludf.DUMMYFUNCTION("""COMPUTED_VALUE"""),"NUEVO")</f>
        <v>NUEVO</v>
      </c>
      <c r="AW299" s="1" t="str">
        <f>IFERROR(__xludf.DUMMYFUNCTION("""COMPUTED_VALUE"""),"SI")</f>
        <v>SI</v>
      </c>
      <c r="AX299" s="1"/>
      <c r="AY299" s="1" t="str">
        <f>IFERROR(__xludf.DUMMYFUNCTION("""COMPUTED_VALUE"""),"PAGO COMPLETO")</f>
        <v>PAGO COMPLETO</v>
      </c>
      <c r="AZ299" s="5">
        <f>IFERROR(__xludf.DUMMYFUNCTION("""COMPUTED_VALUE"""),45663.0)</f>
        <v>45663</v>
      </c>
      <c r="BA299" s="1">
        <f>IFERROR(__xludf.DUMMYFUNCTION("""COMPUTED_VALUE"""),0.0)</f>
        <v>0</v>
      </c>
      <c r="BB299" s="1">
        <f>IFERROR(__xludf.DUMMYFUNCTION("""COMPUTED_VALUE"""),0.0)</f>
        <v>0</v>
      </c>
      <c r="BC299" s="4">
        <f>IFERROR(__xludf.DUMMYFUNCTION("""COMPUTED_VALUE"""),0.0)</f>
        <v>0</v>
      </c>
      <c r="BD299" s="4">
        <f>IFERROR(__xludf.DUMMYFUNCTION("""COMPUTED_VALUE"""),150.0)</f>
        <v>150</v>
      </c>
      <c r="BE299" s="1">
        <f>IFERROR(__xludf.DUMMYFUNCTION("""COMPUTED_VALUE"""),1.0)</f>
        <v>1</v>
      </c>
      <c r="BF299" s="6">
        <f>IFERROR(__xludf.DUMMYFUNCTION("""COMPUTED_VALUE"""),1.0)</f>
        <v>1</v>
      </c>
      <c r="BG299" s="1">
        <f>IFERROR(__xludf.DUMMYFUNCTION("""COMPUTED_VALUE"""),1.0)</f>
        <v>1</v>
      </c>
      <c r="BH299" s="1" t="str">
        <f>IFERROR(__xludf.DUMMYFUNCTION("""COMPUTED_VALUE"""),"0")</f>
        <v>0</v>
      </c>
      <c r="BI299" s="4">
        <f>IFERROR(__xludf.DUMMYFUNCTION("""COMPUTED_VALUE"""),150.0)</f>
        <v>150</v>
      </c>
      <c r="BJ299" s="1">
        <f>IFERROR(__xludf.DUMMYFUNCTION("""COMPUTED_VALUE"""),0.0)</f>
        <v>0</v>
      </c>
      <c r="BK299" s="4">
        <f>IFERROR(__xludf.DUMMYFUNCTION("""COMPUTED_VALUE"""),150.0)</f>
        <v>150</v>
      </c>
      <c r="BL299" s="1">
        <f>IFERROR(__xludf.DUMMYFUNCTION("""COMPUTED_VALUE"""),820.0)</f>
        <v>820</v>
      </c>
      <c r="BM299" s="1">
        <f>IFERROR(__xludf.DUMMYFUNCTION("""COMPUTED_VALUE"""),2.0)</f>
        <v>2</v>
      </c>
      <c r="BN299" s="2">
        <f>IFERROR(__xludf.DUMMYFUNCTION("""COMPUTED_VALUE"""),45663.0)</f>
        <v>45663</v>
      </c>
      <c r="BO299" s="1">
        <f>IFERROR(__xludf.DUMMYFUNCTION("""COMPUTED_VALUE"""),1.0)</f>
        <v>1</v>
      </c>
      <c r="BP299" s="1">
        <f>IFERROR(__xludf.DUMMYFUNCTION("""COMPUTED_VALUE"""),2025.0)</f>
        <v>2025</v>
      </c>
    </row>
    <row r="300">
      <c r="A300" s="1">
        <f>IFERROR(__xludf.DUMMYFUNCTION("""COMPUTED_VALUE"""),299.0)</f>
        <v>299</v>
      </c>
      <c r="B300" s="1">
        <f>IFERROR(__xludf.DUMMYFUNCTION("""COMPUTED_VALUE"""),4623997.0)</f>
        <v>4623997</v>
      </c>
      <c r="C300" s="1" t="str">
        <f>IFERROR(__xludf.DUMMYFUNCTION("""COMPUTED_VALUE"""),"2025-1")</f>
        <v>2025-1</v>
      </c>
      <c r="D300" s="1" t="str">
        <f>IFERROR(__xludf.DUMMYFUNCTION("""COMPUTED_VALUE"""),"Admisión de Alto Rendimiento")</f>
        <v>Admisión de Alto Rendimiento</v>
      </c>
      <c r="E300" s="2">
        <f>IFERROR(__xludf.DUMMYFUNCTION("""COMPUTED_VALUE"""),45663.0)</f>
        <v>45663</v>
      </c>
      <c r="F300" s="1" t="str">
        <f>IFERROR(__xludf.DUMMYFUNCTION("""COMPUTED_VALUE"""),"DENNIS JOSUE ")</f>
        <v>DENNIS JOSUE </v>
      </c>
      <c r="G300" s="1" t="str">
        <f>IFERROR(__xludf.DUMMYFUNCTION("""COMPUTED_VALUE"""),"OSNAYO MENDOZA")</f>
        <v>OSNAYO MENDOZA</v>
      </c>
      <c r="H300" s="1" t="str">
        <f>IFERROR(__xludf.DUMMYFUNCTION("""COMPUTED_VALUE"""),"Comunicación Audiovisual y Cine")</f>
        <v>Comunicación Audiovisual y Cine</v>
      </c>
      <c r="I300" s="1" t="str">
        <f>IFERROR(__xludf.DUMMYFUNCTION("""COMPUTED_VALUE"""),"CARGO")</f>
        <v>CARGO</v>
      </c>
      <c r="J300" s="1" t="str">
        <f>IFERROR(__xludf.DUMMYFUNCTION("""COMPUTED_VALUE"""),"Diurno")</f>
        <v>Diurno</v>
      </c>
      <c r="K300" s="1" t="str">
        <f>IFERROR(__xludf.DUMMYFUNCTION("""COMPUTED_VALUE"""),"NUEVO")</f>
        <v>NUEVO</v>
      </c>
      <c r="L300" s="1">
        <f>IFERROR(__xludf.DUMMYFUNCTION("""COMPUTED_VALUE"""),0.0)</f>
        <v>0</v>
      </c>
      <c r="M300" s="1">
        <f>IFERROR(__xludf.DUMMYFUNCTION("""COMPUTED_VALUE"""),0.0)</f>
        <v>0</v>
      </c>
      <c r="N300" s="1" t="str">
        <f>IFERROR(__xludf.DUMMYFUNCTION("""COMPUTED_VALUE"""),"BECA")</f>
        <v>BECA</v>
      </c>
      <c r="O300" s="1" t="str">
        <f>IFERROR(__xludf.DUMMYFUNCTION("""COMPUTED_VALUE"""),"BECA CARRERAS CORE")</f>
        <v>BECA CARRERAS CORE</v>
      </c>
      <c r="P300" s="4">
        <f>IFERROR(__xludf.DUMMYFUNCTION("""COMPUTED_VALUE"""),100.0)</f>
        <v>100</v>
      </c>
      <c r="Q300" s="4">
        <f>IFERROR(__xludf.DUMMYFUNCTION("""COMPUTED_VALUE"""),237.5)</f>
        <v>237.5</v>
      </c>
      <c r="R300" s="4">
        <f>IFERROR(__xludf.DUMMYFUNCTION("""COMPUTED_VALUE"""),1600.0)</f>
        <v>1600</v>
      </c>
      <c r="S300" s="4">
        <f>IFERROR(__xludf.DUMMYFUNCTION("""COMPUTED_VALUE"""),1280.0)</f>
        <v>1280</v>
      </c>
      <c r="T300" s="1" t="str">
        <f>IFERROR(__xludf.DUMMYFUNCTION("""COMPUTED_VALUE"""),"Visita Guiada")</f>
        <v>Visita Guiada</v>
      </c>
      <c r="U300" s="1" t="str">
        <f>IFERROR(__xludf.DUMMYFUNCTION("""COMPUTED_VALUE"""),"FABIOLA")</f>
        <v>FABIOLA</v>
      </c>
      <c r="V300" s="1" t="str">
        <f>IFERROR(__xludf.DUMMYFUNCTION("""COMPUTED_VALUE"""),"Leandro Urbina")</f>
        <v>Leandro Urbina</v>
      </c>
      <c r="W300" s="1" t="str">
        <f>IFERROR(__xludf.DUMMYFUNCTION("""COMPUTED_VALUE"""),"Equipos e instalaciones")</f>
        <v>Equipos e instalaciones</v>
      </c>
      <c r="X300" s="1" t="str">
        <f>IFERROR(__xludf.DUMMYFUNCTION("""COMPUTED_VALUE"""),"LE ENCANTA LA UNIVERSIDAD")</f>
        <v>LE ENCANTA LA UNIVERSIDAD</v>
      </c>
      <c r="Y300" s="1" t="str">
        <f>IFERROR(__xludf.DUMMYFUNCTION("""COMPUTED_VALUE"""),"PAGO COMPLETO")</f>
        <v>PAGO COMPLETO</v>
      </c>
      <c r="Z300" s="1">
        <f>IFERROR(__xludf.DUMMYFUNCTION("""COMPUTED_VALUE"""),0.0)</f>
        <v>0</v>
      </c>
      <c r="AA300" s="1" t="str">
        <f>IFERROR(__xludf.DUMMYFUNCTION("""COMPUTED_VALUE"""),"-")</f>
        <v>-</v>
      </c>
      <c r="AB300" s="1">
        <f>IFERROR(__xludf.DUMMYFUNCTION("""COMPUTED_VALUE"""),0.0)</f>
        <v>0</v>
      </c>
      <c r="AC300" s="1">
        <f>IFERROR(__xludf.DUMMYFUNCTION("""COMPUTED_VALUE"""),0.0)</f>
        <v>0</v>
      </c>
      <c r="AD300" s="1" t="str">
        <f>IFERROR(__xludf.DUMMYFUNCTION("""COMPUTED_VALUE"""),"Daniel Zapata")</f>
        <v>Daniel Zapata</v>
      </c>
      <c r="AE300" s="1" t="str">
        <f>IFERROR(__xludf.DUMMYFUNCTION("""COMPUTED_VALUE"""),"0")</f>
        <v>0</v>
      </c>
      <c r="AF300" s="1">
        <f>IFERROR(__xludf.DUMMYFUNCTION("""COMPUTED_VALUE"""),2024.0)</f>
        <v>2024</v>
      </c>
      <c r="AG300" s="1">
        <f>IFERROR(__xludf.DUMMYFUNCTION("""COMPUTED_VALUE"""),1499300.0)</f>
        <v>1499300</v>
      </c>
      <c r="AH300" s="1">
        <f>IFERROR(__xludf.DUMMYFUNCTION("""COMPUTED_VALUE"""),18.0)</f>
        <v>18</v>
      </c>
      <c r="AI300" s="1" t="str">
        <f>IFERROR(__xludf.DUMMYFUNCTION("""COMPUTED_VALUE"""),"0000407237")</f>
        <v>0000407237</v>
      </c>
      <c r="AJ300" s="1">
        <f>IFERROR(__xludf.DUMMYFUNCTION("""COMPUTED_VALUE"""),6.1184528E7)</f>
        <v>61184528</v>
      </c>
      <c r="AK300" s="1">
        <f>IFERROR(__xludf.DUMMYFUNCTION("""COMPUTED_VALUE"""),9.84986179E8)</f>
        <v>984986179</v>
      </c>
      <c r="AL300" s="1" t="str">
        <f>IFERROR(__xludf.DUMMYFUNCTION("""COMPUTED_VALUE"""),"dennisosnayomendoza@gmail.com")</f>
        <v>dennisosnayomendoza@gmail.com</v>
      </c>
      <c r="AM300" s="1" t="str">
        <f>IFERROR(__xludf.DUMMYFUNCTION("""COMPUTED_VALUE"""),"MASCULINO")</f>
        <v>MASCULINO</v>
      </c>
      <c r="AN300" s="1">
        <f>IFERROR(__xludf.DUMMYFUNCTION("""COMPUTED_VALUE"""),1600.0)</f>
        <v>1600</v>
      </c>
      <c r="AO300" s="1">
        <f>IFERROR(__xludf.DUMMYFUNCTION("""COMPUTED_VALUE"""),290.0)</f>
        <v>290</v>
      </c>
      <c r="AP300" s="1" t="str">
        <f>IFERROR(__xludf.DUMMYFUNCTION("""COMPUTED_VALUE"""),"BIDIRECCIONAL")</f>
        <v>BIDIRECCIONAL</v>
      </c>
      <c r="AQ300" s="1" t="str">
        <f>IFERROR(__xludf.DUMMYFUNCTION("""COMPUTED_VALUE"""),"ORGANICO")</f>
        <v>ORGANICO</v>
      </c>
      <c r="AR300" s="1" t="str">
        <f>IFERROR(__xludf.DUMMYFUNCTION("""COMPUTED_VALUE"""),"NUEVO")</f>
        <v>NUEVO</v>
      </c>
      <c r="AS300" s="1"/>
      <c r="AT300" s="2">
        <f>IFERROR(__xludf.DUMMYFUNCTION("""COMPUTED_VALUE"""),45661.0)</f>
        <v>45661</v>
      </c>
      <c r="AU300" s="1">
        <f>IFERROR(__xludf.DUMMYFUNCTION("""COMPUTED_VALUE"""),1.0)</f>
        <v>1</v>
      </c>
      <c r="AV300" s="1" t="str">
        <f>IFERROR(__xludf.DUMMYFUNCTION("""COMPUTED_VALUE"""),"NUEVO")</f>
        <v>NUEVO</v>
      </c>
      <c r="AW300" s="1" t="str">
        <f>IFERROR(__xludf.DUMMYFUNCTION("""COMPUTED_VALUE"""),"SI")</f>
        <v>SI</v>
      </c>
      <c r="AX300" s="1"/>
      <c r="AY300" s="1" t="str">
        <f>IFERROR(__xludf.DUMMYFUNCTION("""COMPUTED_VALUE"""),"PAGO COMPLETO")</f>
        <v>PAGO COMPLETO</v>
      </c>
      <c r="AZ300" s="5">
        <f>IFERROR(__xludf.DUMMYFUNCTION("""COMPUTED_VALUE"""),45663.0)</f>
        <v>45663</v>
      </c>
      <c r="BA300" s="1">
        <f>IFERROR(__xludf.DUMMYFUNCTION("""COMPUTED_VALUE"""),0.0)</f>
        <v>0</v>
      </c>
      <c r="BB300" s="1">
        <f>IFERROR(__xludf.DUMMYFUNCTION("""COMPUTED_VALUE"""),0.0)</f>
        <v>0</v>
      </c>
      <c r="BC300" s="4">
        <f>IFERROR(__xludf.DUMMYFUNCTION("""COMPUTED_VALUE"""),0.0)</f>
        <v>0</v>
      </c>
      <c r="BD300" s="4">
        <f>IFERROR(__xludf.DUMMYFUNCTION("""COMPUTED_VALUE"""),100.0)</f>
        <v>100</v>
      </c>
      <c r="BE300" s="1">
        <f>IFERROR(__xludf.DUMMYFUNCTION("""COMPUTED_VALUE"""),1.0)</f>
        <v>1</v>
      </c>
      <c r="BF300" s="6">
        <f>IFERROR(__xludf.DUMMYFUNCTION("""COMPUTED_VALUE"""),1.0)</f>
        <v>1</v>
      </c>
      <c r="BG300" s="1">
        <f>IFERROR(__xludf.DUMMYFUNCTION("""COMPUTED_VALUE"""),1.0)</f>
        <v>1</v>
      </c>
      <c r="BH300" s="1" t="str">
        <f>IFERROR(__xludf.DUMMYFUNCTION("""COMPUTED_VALUE"""),"0")</f>
        <v>0</v>
      </c>
      <c r="BI300" s="4">
        <f>IFERROR(__xludf.DUMMYFUNCTION("""COMPUTED_VALUE"""),100.0)</f>
        <v>100</v>
      </c>
      <c r="BJ300" s="1">
        <f>IFERROR(__xludf.DUMMYFUNCTION("""COMPUTED_VALUE"""),0.0)</f>
        <v>0</v>
      </c>
      <c r="BK300" s="4">
        <f>IFERROR(__xludf.DUMMYFUNCTION("""COMPUTED_VALUE"""),100.0)</f>
        <v>100</v>
      </c>
      <c r="BL300" s="1">
        <f>IFERROR(__xludf.DUMMYFUNCTION("""COMPUTED_VALUE"""),1260.0)</f>
        <v>1260</v>
      </c>
      <c r="BM300" s="1">
        <f>IFERROR(__xludf.DUMMYFUNCTION("""COMPUTED_VALUE"""),2.0)</f>
        <v>2</v>
      </c>
      <c r="BN300" s="2">
        <f>IFERROR(__xludf.DUMMYFUNCTION("""COMPUTED_VALUE"""),45663.0)</f>
        <v>45663</v>
      </c>
      <c r="BO300" s="1">
        <f>IFERROR(__xludf.DUMMYFUNCTION("""COMPUTED_VALUE"""),1.0)</f>
        <v>1</v>
      </c>
      <c r="BP300" s="1">
        <f>IFERROR(__xludf.DUMMYFUNCTION("""COMPUTED_VALUE"""),2025.0)</f>
        <v>2025</v>
      </c>
    </row>
    <row r="301">
      <c r="A301" s="1">
        <f>IFERROR(__xludf.DUMMYFUNCTION("""COMPUTED_VALUE"""),300.0)</f>
        <v>300</v>
      </c>
      <c r="B301" s="1">
        <f>IFERROR(__xludf.DUMMYFUNCTION("""COMPUTED_VALUE"""),4588960.0)</f>
        <v>4588960</v>
      </c>
      <c r="C301" s="1" t="str">
        <f>IFERROR(__xludf.DUMMYFUNCTION("""COMPUTED_VALUE"""),"2025-1")</f>
        <v>2025-1</v>
      </c>
      <c r="D301" s="1" t="str">
        <f>IFERROR(__xludf.DUMMYFUNCTION("""COMPUTED_VALUE"""),"Admisión de Alto Rendimiento")</f>
        <v>Admisión de Alto Rendimiento</v>
      </c>
      <c r="E301" s="2">
        <f>IFERROR(__xludf.DUMMYFUNCTION("""COMPUTED_VALUE"""),45664.0)</f>
        <v>45664</v>
      </c>
      <c r="F301" s="1" t="str">
        <f>IFERROR(__xludf.DUMMYFUNCTION("""COMPUTED_VALUE"""),"ADELAIDA MERCEDES ANGELINA ")</f>
        <v>ADELAIDA MERCEDES ANGELINA </v>
      </c>
      <c r="G301" s="1" t="str">
        <f>IFERROR(__xludf.DUMMYFUNCTION("""COMPUTED_VALUE"""),"ZEVALLOS PEREZ")</f>
        <v>ZEVALLOS PEREZ</v>
      </c>
      <c r="H301" s="1" t="str">
        <f>IFERROR(__xludf.DUMMYFUNCTION("""COMPUTED_VALUE"""),"Diseño Gráfico Publicitario")</f>
        <v>Diseño Gráfico Publicitario</v>
      </c>
      <c r="I301" s="1" t="str">
        <f>IFERROR(__xludf.DUMMYFUNCTION("""COMPUTED_VALUE"""),"CARGO")</f>
        <v>CARGO</v>
      </c>
      <c r="J301" s="1" t="str">
        <f>IFERROR(__xludf.DUMMYFUNCTION("""COMPUTED_VALUE"""),"Diurno")</f>
        <v>Diurno</v>
      </c>
      <c r="K301" s="1" t="str">
        <f>IFERROR(__xludf.DUMMYFUNCTION("""COMPUTED_VALUE"""),"NUEVO")</f>
        <v>NUEVO</v>
      </c>
      <c r="L301" s="1">
        <f>IFERROR(__xludf.DUMMYFUNCTION("""COMPUTED_VALUE"""),0.0)</f>
        <v>0</v>
      </c>
      <c r="M301" s="1">
        <f>IFERROR(__xludf.DUMMYFUNCTION("""COMPUTED_VALUE"""),0.0)</f>
        <v>0</v>
      </c>
      <c r="N301" s="1" t="str">
        <f>IFERROR(__xludf.DUMMYFUNCTION("""COMPUTED_VALUE"""),"BECA")</f>
        <v>BECA</v>
      </c>
      <c r="O301" s="1" t="str">
        <f>IFERROR(__xludf.DUMMYFUNCTION("""COMPUTED_VALUE"""),"BECA CARRERAS CORE")</f>
        <v>BECA CARRERAS CORE</v>
      </c>
      <c r="P301" s="4">
        <f>IFERROR(__xludf.DUMMYFUNCTION("""COMPUTED_VALUE"""),0.0)</f>
        <v>0</v>
      </c>
      <c r="Q301" s="4">
        <f>IFERROR(__xludf.DUMMYFUNCTION("""COMPUTED_VALUE"""),0.0)</f>
        <v>0</v>
      </c>
      <c r="R301" s="4">
        <f>IFERROR(__xludf.DUMMYFUNCTION("""COMPUTED_VALUE"""),1600.0)</f>
        <v>1600</v>
      </c>
      <c r="S301" s="4">
        <f>IFERROR(__xludf.DUMMYFUNCTION("""COMPUTED_VALUE"""),1280.0)</f>
        <v>1280</v>
      </c>
      <c r="T301" s="1" t="str">
        <f>IFERROR(__xludf.DUMMYFUNCTION("""COMPUTED_VALUE"""),"NINGUNO")</f>
        <v>NINGUNO</v>
      </c>
      <c r="U301" s="1" t="str">
        <f>IFERROR(__xludf.DUMMYFUNCTION("""COMPUTED_VALUE"""),"RODRIGO")</f>
        <v>RODRIGO</v>
      </c>
      <c r="V301" s="1" t="str">
        <f>IFERROR(__xludf.DUMMYFUNCTION("""COMPUTED_VALUE"""),"Ninguno")</f>
        <v>Ninguno</v>
      </c>
      <c r="W301" s="1" t="str">
        <f>IFERROR(__xludf.DUMMYFUNCTION("""COMPUTED_VALUE"""),"Metodología de enseñanza")</f>
        <v>Metodología de enseñanza</v>
      </c>
      <c r="X301" s="1" t="str">
        <f>IFERROR(__xludf.DUMMYFUNCTION("""COMPUTED_VALUE"""),"-")</f>
        <v>-</v>
      </c>
      <c r="Y301" s="1" t="str">
        <f>IFERROR(__xludf.DUMMYFUNCTION("""COMPUTED_VALUE"""),"PAGO COMPLETO")</f>
        <v>PAGO COMPLETO</v>
      </c>
      <c r="Z301" s="1">
        <f>IFERROR(__xludf.DUMMYFUNCTION("""COMPUTED_VALUE"""),0.0)</f>
        <v>0</v>
      </c>
      <c r="AA301" s="1" t="str">
        <f>IFERROR(__xludf.DUMMYFUNCTION("""COMPUTED_VALUE"""),"-")</f>
        <v>-</v>
      </c>
      <c r="AB301" s="1">
        <f>IFERROR(__xludf.DUMMYFUNCTION("""COMPUTED_VALUE"""),0.0)</f>
        <v>0</v>
      </c>
      <c r="AC301" s="1">
        <f>IFERROR(__xludf.DUMMYFUNCTION("""COMPUTED_VALUE"""),0.0)</f>
        <v>0</v>
      </c>
      <c r="AD301" s="1" t="str">
        <f>IFERROR(__xludf.DUMMYFUNCTION("""COMPUTED_VALUE"""),"Ingrid Guillermo Rivera")</f>
        <v>Ingrid Guillermo Rivera</v>
      </c>
      <c r="AE301" s="1" t="str">
        <f>IFERROR(__xludf.DUMMYFUNCTION("""COMPUTED_VALUE"""),"0")</f>
        <v>0</v>
      </c>
      <c r="AF301" s="1">
        <f>IFERROR(__xludf.DUMMYFUNCTION("""COMPUTED_VALUE"""),2024.0)</f>
        <v>2024</v>
      </c>
      <c r="AG301" s="1">
        <f>IFERROR(__xludf.DUMMYFUNCTION("""COMPUTED_VALUE"""),1253657.0)</f>
        <v>1253657</v>
      </c>
      <c r="AH301" s="1">
        <f>IFERROR(__xludf.DUMMYFUNCTION("""COMPUTED_VALUE"""),19.0)</f>
        <v>19</v>
      </c>
      <c r="AI301" s="1" t="str">
        <f>IFERROR(__xludf.DUMMYFUNCTION("""COMPUTED_VALUE"""),"0000407547")</f>
        <v>0000407547</v>
      </c>
      <c r="AJ301" s="1">
        <f>IFERROR(__xludf.DUMMYFUNCTION("""COMPUTED_VALUE"""),6.0438353E7)</f>
        <v>60438353</v>
      </c>
      <c r="AK301" s="1">
        <f>IFERROR(__xludf.DUMMYFUNCTION("""COMPUTED_VALUE"""),9.38129901E8)</f>
        <v>938129901</v>
      </c>
      <c r="AL301" s="1" t="str">
        <f>IFERROR(__xludf.DUMMYFUNCTION("""COMPUTED_VALUE"""),"plily3933@gmail.com")</f>
        <v>plily3933@gmail.com</v>
      </c>
      <c r="AM301" s="1" t="str">
        <f>IFERROR(__xludf.DUMMYFUNCTION("""COMPUTED_VALUE"""),"FEMENINO")</f>
        <v>FEMENINO</v>
      </c>
      <c r="AN301" s="1">
        <f>IFERROR(__xludf.DUMMYFUNCTION("""COMPUTED_VALUE"""),1850.0)</f>
        <v>1850</v>
      </c>
      <c r="AO301" s="1">
        <f>IFERROR(__xludf.DUMMYFUNCTION("""COMPUTED_VALUE"""),720.0)</f>
        <v>720</v>
      </c>
      <c r="AP301" s="1" t="str">
        <f>IFERROR(__xludf.DUMMYFUNCTION("""COMPUTED_VALUE"""),"OUTBOUND")</f>
        <v>OUTBOUND</v>
      </c>
      <c r="AQ301" s="1" t="str">
        <f>IFERROR(__xludf.DUMMYFUNCTION("""COMPUTED_VALUE"""),"OUTBOUND")</f>
        <v>OUTBOUND</v>
      </c>
      <c r="AR301" s="1" t="str">
        <f>IFERROR(__xludf.DUMMYFUNCTION("""COMPUTED_VALUE"""),"NUEVO")</f>
        <v>NUEVO</v>
      </c>
      <c r="AS301" s="1"/>
      <c r="AT301" s="2">
        <f>IFERROR(__xludf.DUMMYFUNCTION("""COMPUTED_VALUE"""),45663.0)</f>
        <v>45663</v>
      </c>
      <c r="AU301" s="1">
        <f>IFERROR(__xludf.DUMMYFUNCTION("""COMPUTED_VALUE"""),1.0)</f>
        <v>1</v>
      </c>
      <c r="AV301" s="1" t="str">
        <f>IFERROR(__xludf.DUMMYFUNCTION("""COMPUTED_VALUE"""),"NUEVO")</f>
        <v>NUEVO</v>
      </c>
      <c r="AW301" s="1" t="str">
        <f>IFERROR(__xludf.DUMMYFUNCTION("""COMPUTED_VALUE"""),"SI")</f>
        <v>SI</v>
      </c>
      <c r="AX301" s="1"/>
      <c r="AY301" s="1" t="str">
        <f>IFERROR(__xludf.DUMMYFUNCTION("""COMPUTED_VALUE"""),"PAGO COMPLETO")</f>
        <v>PAGO COMPLETO</v>
      </c>
      <c r="AZ301" s="5">
        <f>IFERROR(__xludf.DUMMYFUNCTION("""COMPUTED_VALUE"""),45664.0)</f>
        <v>45664</v>
      </c>
      <c r="BA301" s="1">
        <f>IFERROR(__xludf.DUMMYFUNCTION("""COMPUTED_VALUE"""),0.0)</f>
        <v>0</v>
      </c>
      <c r="BB301" s="1">
        <f>IFERROR(__xludf.DUMMYFUNCTION("""COMPUTED_VALUE"""),0.0)</f>
        <v>0</v>
      </c>
      <c r="BC301" s="4">
        <f>IFERROR(__xludf.DUMMYFUNCTION("""COMPUTED_VALUE"""),0.0)</f>
        <v>0</v>
      </c>
      <c r="BD301" s="4">
        <f>IFERROR(__xludf.DUMMYFUNCTION("""COMPUTED_VALUE"""),0.0)</f>
        <v>0</v>
      </c>
      <c r="BE301" s="1">
        <f>IFERROR(__xludf.DUMMYFUNCTION("""COMPUTED_VALUE"""),1.0)</f>
        <v>1</v>
      </c>
      <c r="BF301" s="6">
        <f>IFERROR(__xludf.DUMMYFUNCTION("""COMPUTED_VALUE"""),1.0)</f>
        <v>1</v>
      </c>
      <c r="BG301" s="1">
        <f>IFERROR(__xludf.DUMMYFUNCTION("""COMPUTED_VALUE"""),1.0)</f>
        <v>1</v>
      </c>
      <c r="BH301" s="1" t="str">
        <f>IFERROR(__xludf.DUMMYFUNCTION("""COMPUTED_VALUE"""),"0")</f>
        <v>0</v>
      </c>
      <c r="BI301" s="4">
        <f>IFERROR(__xludf.DUMMYFUNCTION("""COMPUTED_VALUE"""),0.0)</f>
        <v>0</v>
      </c>
      <c r="BJ301" s="1">
        <f>IFERROR(__xludf.DUMMYFUNCTION("""COMPUTED_VALUE"""),0.0)</f>
        <v>0</v>
      </c>
      <c r="BK301" s="4">
        <f>IFERROR(__xludf.DUMMYFUNCTION("""COMPUTED_VALUE"""),0.0)</f>
        <v>0</v>
      </c>
      <c r="BL301" s="1">
        <f>IFERROR(__xludf.DUMMYFUNCTION("""COMPUTED_VALUE"""),1280.0)</f>
        <v>1280</v>
      </c>
      <c r="BM301" s="1">
        <f>IFERROR(__xludf.DUMMYFUNCTION("""COMPUTED_VALUE"""),2.0)</f>
        <v>2</v>
      </c>
      <c r="BN301" s="2">
        <f>IFERROR(__xludf.DUMMYFUNCTION("""COMPUTED_VALUE"""),45663.0)</f>
        <v>45663</v>
      </c>
      <c r="BO301" s="1">
        <f>IFERROR(__xludf.DUMMYFUNCTION("""COMPUTED_VALUE"""),1.0)</f>
        <v>1</v>
      </c>
      <c r="BP301" s="1">
        <f>IFERROR(__xludf.DUMMYFUNCTION("""COMPUTED_VALUE"""),2025.0)</f>
        <v>2025</v>
      </c>
    </row>
    <row r="302">
      <c r="A302" s="1">
        <f>IFERROR(__xludf.DUMMYFUNCTION("""COMPUTED_VALUE"""),301.0)</f>
        <v>301</v>
      </c>
      <c r="B302" s="1">
        <f>IFERROR(__xludf.DUMMYFUNCTION("""COMPUTED_VALUE"""),4621167.0)</f>
        <v>4621167</v>
      </c>
      <c r="C302" s="1" t="str">
        <f>IFERROR(__xludf.DUMMYFUNCTION("""COMPUTED_VALUE"""),"2025-1")</f>
        <v>2025-1</v>
      </c>
      <c r="D302" s="1" t="str">
        <f>IFERROR(__xludf.DUMMYFUNCTION("""COMPUTED_VALUE"""),"Admisión de Alto Rendimiento")</f>
        <v>Admisión de Alto Rendimiento</v>
      </c>
      <c r="E302" s="2">
        <f>IFERROR(__xludf.DUMMYFUNCTION("""COMPUTED_VALUE"""),45664.0)</f>
        <v>45664</v>
      </c>
      <c r="F302" s="1" t="str">
        <f>IFERROR(__xludf.DUMMYFUNCTION("""COMPUTED_VALUE"""),"MOISÉS LUIS ")</f>
        <v>MOISÉS LUIS </v>
      </c>
      <c r="G302" s="1" t="str">
        <f>IFERROR(__xludf.DUMMYFUNCTION("""COMPUTED_VALUE"""),"LUJAN JORGE")</f>
        <v>LUJAN JORGE</v>
      </c>
      <c r="H302" s="1" t="str">
        <f>IFERROR(__xludf.DUMMYFUNCTION("""COMPUTED_VALUE"""),"Administración")</f>
        <v>Administración</v>
      </c>
      <c r="I302" s="1" t="str">
        <f>IFERROR(__xludf.DUMMYFUNCTION("""COMPUTED_VALUE"""),"POS")</f>
        <v>POS</v>
      </c>
      <c r="J302" s="1" t="str">
        <f>IFERROR(__xludf.DUMMYFUNCTION("""COMPUTED_VALUE"""),"Diurno")</f>
        <v>Diurno</v>
      </c>
      <c r="K302" s="1" t="str">
        <f>IFERROR(__xludf.DUMMYFUNCTION("""COMPUTED_VALUE"""),"NUEVO")</f>
        <v>NUEVO</v>
      </c>
      <c r="L302" s="1">
        <f>IFERROR(__xludf.DUMMYFUNCTION("""COMPUTED_VALUE"""),0.0)</f>
        <v>0</v>
      </c>
      <c r="M302" s="1">
        <f>IFERROR(__xludf.DUMMYFUNCTION("""COMPUTED_VALUE"""),0.0)</f>
        <v>0</v>
      </c>
      <c r="N302" s="1" t="str">
        <f>IFERROR(__xludf.DUMMYFUNCTION("""COMPUTED_VALUE"""),"BECA")</f>
        <v>BECA</v>
      </c>
      <c r="O302" s="1" t="str">
        <f>IFERROR(__xludf.DUMMYFUNCTION("""COMPUTED_VALUE"""),"BECA RECUPERO")</f>
        <v>BECA RECUPERO</v>
      </c>
      <c r="P302" s="4">
        <f>IFERROR(__xludf.DUMMYFUNCTION("""COMPUTED_VALUE"""),0.0)</f>
        <v>0</v>
      </c>
      <c r="Q302" s="4">
        <f>IFERROR(__xludf.DUMMYFUNCTION("""COMPUTED_VALUE"""),0.0)</f>
        <v>0</v>
      </c>
      <c r="R302" s="4">
        <f>IFERROR(__xludf.DUMMYFUNCTION("""COMPUTED_VALUE"""),1075.0)</f>
        <v>1075</v>
      </c>
      <c r="S302" s="4">
        <f>IFERROR(__xludf.DUMMYFUNCTION("""COMPUTED_VALUE"""),900.0)</f>
        <v>900</v>
      </c>
      <c r="T302" s="1" t="str">
        <f>IFERROR(__xludf.DUMMYFUNCTION("""COMPUTED_VALUE"""),"PALANCA 500")</f>
        <v>PALANCA 500</v>
      </c>
      <c r="U302" s="1" t="str">
        <f>IFERROR(__xludf.DUMMYFUNCTION("""COMPUTED_VALUE"""),"-")</f>
        <v>-</v>
      </c>
      <c r="V302" s="1" t="str">
        <f>IFERROR(__xludf.DUMMYFUNCTION("""COMPUTED_VALUE"""),"Ninguno")</f>
        <v>Ninguno</v>
      </c>
      <c r="W302" s="1" t="str">
        <f>IFERROR(__xludf.DUMMYFUNCTION("""COMPUTED_VALUE"""),"Descuentos en boletas de pago")</f>
        <v>Descuentos en boletas de pago</v>
      </c>
      <c r="X302" s="1" t="str">
        <f>IFERROR(__xludf.DUMMYFUNCTION("""COMPUTED_VALUE"""),"PRIMERA BOLETA 500")</f>
        <v>PRIMERA BOLETA 500</v>
      </c>
      <c r="Y302" s="1" t="str">
        <f>IFERROR(__xludf.DUMMYFUNCTION("""COMPUTED_VALUE"""),"PAGO FRACCIONADO")</f>
        <v>PAGO FRACCIONADO</v>
      </c>
      <c r="Z302" s="1">
        <f>IFERROR(__xludf.DUMMYFUNCTION("""COMPUTED_VALUE"""),250.0)</f>
        <v>250</v>
      </c>
      <c r="AA302" s="1" t="str">
        <f>IFERROR(__xludf.DUMMYFUNCTION("""COMPUTED_VALUE"""),"08/01/2025")</f>
        <v>08/01/2025</v>
      </c>
      <c r="AB302" s="1">
        <f>IFERROR(__xludf.DUMMYFUNCTION("""COMPUTED_VALUE"""),0.0)</f>
        <v>0</v>
      </c>
      <c r="AC302" s="1">
        <f>IFERROR(__xludf.DUMMYFUNCTION("""COMPUTED_VALUE"""),0.0)</f>
        <v>0</v>
      </c>
      <c r="AD302" s="1" t="str">
        <f>IFERROR(__xludf.DUMMYFUNCTION("""COMPUTED_VALUE"""),"Ingrid Guillermo Rivera")</f>
        <v>Ingrid Guillermo Rivera</v>
      </c>
      <c r="AE302" s="1" t="str">
        <f>IFERROR(__xludf.DUMMYFUNCTION("""COMPUTED_VALUE"""),"0")</f>
        <v>0</v>
      </c>
      <c r="AF302" s="1">
        <f>IFERROR(__xludf.DUMMYFUNCTION("""COMPUTED_VALUE"""),2024.0)</f>
        <v>2024</v>
      </c>
      <c r="AG302" s="1">
        <f>IFERROR(__xludf.DUMMYFUNCTION("""COMPUTED_VALUE"""),692434.0)</f>
        <v>692434</v>
      </c>
      <c r="AH302" s="1">
        <f>IFERROR(__xludf.DUMMYFUNCTION("""COMPUTED_VALUE"""),18.0)</f>
        <v>18</v>
      </c>
      <c r="AI302" s="1" t="str">
        <f>IFERROR(__xludf.DUMMYFUNCTION("""COMPUTED_VALUE"""),"0000407721")</f>
        <v>0000407721</v>
      </c>
      <c r="AJ302" s="1">
        <f>IFERROR(__xludf.DUMMYFUNCTION("""COMPUTED_VALUE"""),7.0728599E7)</f>
        <v>70728599</v>
      </c>
      <c r="AK302" s="1">
        <f>IFERROR(__xludf.DUMMYFUNCTION("""COMPUTED_VALUE"""),9.27723368E8)</f>
        <v>927723368</v>
      </c>
      <c r="AL302" s="1" t="str">
        <f>IFERROR(__xludf.DUMMYFUNCTION("""COMPUTED_VALUE"""),"moisesdariuslujanjorge@gmail.com")</f>
        <v>moisesdariuslujanjorge@gmail.com</v>
      </c>
      <c r="AM302" s="1" t="str">
        <f>IFERROR(__xludf.DUMMYFUNCTION("""COMPUTED_VALUE"""),"MASCULINO")</f>
        <v>MASCULINO</v>
      </c>
      <c r="AN302" s="1">
        <f>IFERROR(__xludf.DUMMYFUNCTION("""COMPUTED_VALUE"""),1350.0)</f>
        <v>1350</v>
      </c>
      <c r="AO302" s="1">
        <f>IFERROR(__xludf.DUMMYFUNCTION("""COMPUTED_VALUE"""),0.0)</f>
        <v>0</v>
      </c>
      <c r="AP302" s="1" t="str">
        <f>IFERROR(__xludf.DUMMYFUNCTION("""COMPUTED_VALUE"""),"COLEGIOS")</f>
        <v>COLEGIOS</v>
      </c>
      <c r="AQ302" s="1" t="str">
        <f>IFERROR(__xludf.DUMMYFUNCTION("""COMPUTED_VALUE"""),"COLEGIOS")</f>
        <v>COLEGIOS</v>
      </c>
      <c r="AR302" s="1" t="str">
        <f>IFERROR(__xludf.DUMMYFUNCTION("""COMPUTED_VALUE"""),"NUEVO")</f>
        <v>NUEVO</v>
      </c>
      <c r="AS302" s="1"/>
      <c r="AT302" s="2">
        <f>IFERROR(__xludf.DUMMYFUNCTION("""COMPUTED_VALUE"""),45434.0)</f>
        <v>45434</v>
      </c>
      <c r="AU302" s="1">
        <f>IFERROR(__xludf.DUMMYFUNCTION("""COMPUTED_VALUE"""),1.0)</f>
        <v>1</v>
      </c>
      <c r="AV302" s="1" t="str">
        <f>IFERROR(__xludf.DUMMYFUNCTION("""COMPUTED_VALUE"""),"NUEVO")</f>
        <v>NUEVO</v>
      </c>
      <c r="AW302" s="1" t="str">
        <f>IFERROR(__xludf.DUMMYFUNCTION("""COMPUTED_VALUE"""),"SI")</f>
        <v>SI</v>
      </c>
      <c r="AX302" s="1"/>
      <c r="AY302" s="1" t="str">
        <f>IFERROR(__xludf.DUMMYFUNCTION("""COMPUTED_VALUE"""),"PAGO COMPLETO")</f>
        <v>PAGO COMPLETO</v>
      </c>
      <c r="AZ302" s="5">
        <f>IFERROR(__xludf.DUMMYFUNCTION("""COMPUTED_VALUE"""),45665.0)</f>
        <v>45665</v>
      </c>
      <c r="BA302" s="1">
        <f>IFERROR(__xludf.DUMMYFUNCTION("""COMPUTED_VALUE"""),250.0)</f>
        <v>250</v>
      </c>
      <c r="BB302" s="1">
        <f>IFERROR(__xludf.DUMMYFUNCTION("""COMPUTED_VALUE"""),0.0)</f>
        <v>0</v>
      </c>
      <c r="BC302" s="4">
        <f>IFERROR(__xludf.DUMMYFUNCTION("""COMPUTED_VALUE"""),0.0)</f>
        <v>0</v>
      </c>
      <c r="BD302" s="4">
        <f>IFERROR(__xludf.DUMMYFUNCTION("""COMPUTED_VALUE"""),400.0)</f>
        <v>400</v>
      </c>
      <c r="BE302" s="1">
        <f>IFERROR(__xludf.DUMMYFUNCTION("""COMPUTED_VALUE"""),1.0)</f>
        <v>1</v>
      </c>
      <c r="BF302" s="6">
        <f>IFERROR(__xludf.DUMMYFUNCTION("""COMPUTED_VALUE"""),1.0)</f>
        <v>1</v>
      </c>
      <c r="BG302" s="1">
        <f>IFERROR(__xludf.DUMMYFUNCTION("""COMPUTED_VALUE"""),1.0)</f>
        <v>1</v>
      </c>
      <c r="BH302" s="1" t="str">
        <f>IFERROR(__xludf.DUMMYFUNCTION("""COMPUTED_VALUE"""),"0")</f>
        <v>0</v>
      </c>
      <c r="BI302" s="4">
        <f>IFERROR(__xludf.DUMMYFUNCTION("""COMPUTED_VALUE"""),900.0)</f>
        <v>900</v>
      </c>
      <c r="BJ302" s="1">
        <f>IFERROR(__xludf.DUMMYFUNCTION("""COMPUTED_VALUE"""),0.0)</f>
        <v>0</v>
      </c>
      <c r="BK302" s="4">
        <f>IFERROR(__xludf.DUMMYFUNCTION("""COMPUTED_VALUE"""),400.0)</f>
        <v>400</v>
      </c>
      <c r="BL302" s="1">
        <f>IFERROR(__xludf.DUMMYFUNCTION("""COMPUTED_VALUE"""),820.0)</f>
        <v>820</v>
      </c>
      <c r="BM302" s="1">
        <f>IFERROR(__xludf.DUMMYFUNCTION("""COMPUTED_VALUE"""),2.0)</f>
        <v>2</v>
      </c>
      <c r="BN302" s="2">
        <f>IFERROR(__xludf.DUMMYFUNCTION("""COMPUTED_VALUE"""),45663.0)</f>
        <v>45663</v>
      </c>
      <c r="BO302" s="1">
        <f>IFERROR(__xludf.DUMMYFUNCTION("""COMPUTED_VALUE"""),1.0)</f>
        <v>1</v>
      </c>
      <c r="BP302" s="1">
        <f>IFERROR(__xludf.DUMMYFUNCTION("""COMPUTED_VALUE"""),2025.0)</f>
        <v>2025</v>
      </c>
    </row>
    <row r="303">
      <c r="A303" s="1">
        <f>IFERROR(__xludf.DUMMYFUNCTION("""COMPUTED_VALUE"""),302.0)</f>
        <v>302</v>
      </c>
      <c r="B303" s="1">
        <f>IFERROR(__xludf.DUMMYFUNCTION("""COMPUTED_VALUE"""),2056668.0)</f>
        <v>2056668</v>
      </c>
      <c r="C303" s="1" t="str">
        <f>IFERROR(__xludf.DUMMYFUNCTION("""COMPUTED_VALUE"""),"2025-1")</f>
        <v>2025-1</v>
      </c>
      <c r="D303" s="1" t="str">
        <f>IFERROR(__xludf.DUMMYFUNCTION("""COMPUTED_VALUE"""),"Admisión de Alto Rendimiento")</f>
        <v>Admisión de Alto Rendimiento</v>
      </c>
      <c r="E303" s="2">
        <f>IFERROR(__xludf.DUMMYFUNCTION("""COMPUTED_VALUE"""),45664.0)</f>
        <v>45664</v>
      </c>
      <c r="F303" s="1" t="str">
        <f>IFERROR(__xludf.DUMMYFUNCTION("""COMPUTED_VALUE"""),"ASTRID PATRICIA MILAGROS")</f>
        <v>ASTRID PATRICIA MILAGROS</v>
      </c>
      <c r="G303" s="1" t="str">
        <f>IFERROR(__xludf.DUMMYFUNCTION("""COMPUTED_VALUE"""),"RIOS PONCE")</f>
        <v>RIOS PONCE</v>
      </c>
      <c r="H303" s="1" t="str">
        <f>IFERROR(__xludf.DUMMYFUNCTION("""COMPUTED_VALUE"""),"Comunicación Audiovisual y Cine")</f>
        <v>Comunicación Audiovisual y Cine</v>
      </c>
      <c r="I303" s="1" t="str">
        <f>IFERROR(__xludf.DUMMYFUNCTION("""COMPUTED_VALUE"""),"CARGO")</f>
        <v>CARGO</v>
      </c>
      <c r="J303" s="1" t="str">
        <f>IFERROR(__xludf.DUMMYFUNCTION("""COMPUTED_VALUE"""),"Diurno")</f>
        <v>Diurno</v>
      </c>
      <c r="K303" s="1" t="str">
        <f>IFERROR(__xludf.DUMMYFUNCTION("""COMPUTED_VALUE"""),"NUEVO")</f>
        <v>NUEVO</v>
      </c>
      <c r="L303" s="1">
        <f>IFERROR(__xludf.DUMMYFUNCTION("""COMPUTED_VALUE"""),0.0)</f>
        <v>0</v>
      </c>
      <c r="M303" s="1">
        <f>IFERROR(__xludf.DUMMYFUNCTION("""COMPUTED_VALUE"""),0.0)</f>
        <v>0</v>
      </c>
      <c r="N303" s="1" t="str">
        <f>IFERROR(__xludf.DUMMYFUNCTION("""COMPUTED_VALUE"""),"BECA")</f>
        <v>BECA</v>
      </c>
      <c r="O303" s="1" t="str">
        <f>IFERROR(__xludf.DUMMYFUNCTION("""COMPUTED_VALUE"""),"BECA CARRERAS CORE")</f>
        <v>BECA CARRERAS CORE</v>
      </c>
      <c r="P303" s="4">
        <f>IFERROR(__xludf.DUMMYFUNCTION("""COMPUTED_VALUE"""),100.0)</f>
        <v>100</v>
      </c>
      <c r="Q303" s="4">
        <f>IFERROR(__xludf.DUMMYFUNCTION("""COMPUTED_VALUE"""),237.5)</f>
        <v>237.5</v>
      </c>
      <c r="R303" s="4">
        <f>IFERROR(__xludf.DUMMYFUNCTION("""COMPUTED_VALUE"""),1600.0)</f>
        <v>1600</v>
      </c>
      <c r="S303" s="4">
        <f>IFERROR(__xludf.DUMMYFUNCTION("""COMPUTED_VALUE"""),1280.0)</f>
        <v>1280</v>
      </c>
      <c r="T303" s="1" t="str">
        <f>IFERROR(__xludf.DUMMYFUNCTION("""COMPUTED_VALUE"""),"Visita guiada - refirio")</f>
        <v>Visita guiada - refirio</v>
      </c>
      <c r="U303" s="1" t="str">
        <f>IFERROR(__xludf.DUMMYFUNCTION("""COMPUTED_VALUE"""),"FABIOLA")</f>
        <v>FABIOLA</v>
      </c>
      <c r="V303" s="1" t="str">
        <f>IFERROR(__xludf.DUMMYFUNCTION("""COMPUTED_VALUE"""),"Leandro Urbina")</f>
        <v>Leandro Urbina</v>
      </c>
      <c r="W303" s="1" t="str">
        <f>IFERROR(__xludf.DUMMYFUNCTION("""COMPUTED_VALUE"""),"Metodología de enseñanza")</f>
        <v>Metodología de enseñanza</v>
      </c>
      <c r="X303" s="1" t="str">
        <f>IFERROR(__xludf.DUMMYFUNCTION("""COMPUTED_VALUE"""),"Le encanta la Universidad ")</f>
        <v>Le encanta la Universidad </v>
      </c>
      <c r="Y303" s="1" t="str">
        <f>IFERROR(__xludf.DUMMYFUNCTION("""COMPUTED_VALUE"""),"PAGO COMPLETO")</f>
        <v>PAGO COMPLETO</v>
      </c>
      <c r="Z303" s="1">
        <f>IFERROR(__xludf.DUMMYFUNCTION("""COMPUTED_VALUE"""),0.0)</f>
        <v>0</v>
      </c>
      <c r="AA303" s="1" t="str">
        <f>IFERROR(__xludf.DUMMYFUNCTION("""COMPUTED_VALUE"""),"-")</f>
        <v>-</v>
      </c>
      <c r="AB303" s="1">
        <f>IFERROR(__xludf.DUMMYFUNCTION("""COMPUTED_VALUE"""),0.0)</f>
        <v>0</v>
      </c>
      <c r="AC303" s="1">
        <f>IFERROR(__xludf.DUMMYFUNCTION("""COMPUTED_VALUE"""),0.0)</f>
        <v>0</v>
      </c>
      <c r="AD303" s="1" t="str">
        <f>IFERROR(__xludf.DUMMYFUNCTION("""COMPUTED_VALUE"""),"Daniel Zapata")</f>
        <v>Daniel Zapata</v>
      </c>
      <c r="AE303" s="1" t="str">
        <f>IFERROR(__xludf.DUMMYFUNCTION("""COMPUTED_VALUE"""),"0")</f>
        <v>0</v>
      </c>
      <c r="AF303" s="1">
        <f>IFERROR(__xludf.DUMMYFUNCTION("""COMPUTED_VALUE"""),2023.0)</f>
        <v>2023</v>
      </c>
      <c r="AG303" s="1">
        <f>IFERROR(__xludf.DUMMYFUNCTION("""COMPUTED_VALUE"""),582031.0)</f>
        <v>582031</v>
      </c>
      <c r="AH303" s="1">
        <f>IFERROR(__xludf.DUMMYFUNCTION("""COMPUTED_VALUE"""),18.0)</f>
        <v>18</v>
      </c>
      <c r="AI303" s="1" t="str">
        <f>IFERROR(__xludf.DUMMYFUNCTION("""COMPUTED_VALUE"""),"0000407745")</f>
        <v>0000407745</v>
      </c>
      <c r="AJ303" s="1">
        <f>IFERROR(__xludf.DUMMYFUNCTION("""COMPUTED_VALUE"""),6.105861E7)</f>
        <v>61058610</v>
      </c>
      <c r="AK303" s="1">
        <f>IFERROR(__xludf.DUMMYFUNCTION("""COMPUTED_VALUE"""),9.53069233E8)</f>
        <v>953069233</v>
      </c>
      <c r="AL303" s="1" t="str">
        <f>IFERROR(__xludf.DUMMYFUNCTION("""COMPUTED_VALUE"""),"jmthg1312@gmail.com")</f>
        <v>jmthg1312@gmail.com</v>
      </c>
      <c r="AM303" s="1" t="str">
        <f>IFERROR(__xludf.DUMMYFUNCTION("""COMPUTED_VALUE"""),"FEMENINO")</f>
        <v>FEMENINO</v>
      </c>
      <c r="AN303" s="1">
        <f>IFERROR(__xludf.DUMMYFUNCTION("""COMPUTED_VALUE"""),1775.0)</f>
        <v>1775</v>
      </c>
      <c r="AO303" s="1">
        <f>IFERROR(__xludf.DUMMYFUNCTION("""COMPUTED_VALUE"""),420.0)</f>
        <v>420</v>
      </c>
      <c r="AP303" s="1" t="str">
        <f>IFERROR(__xludf.DUMMYFUNCTION("""COMPUTED_VALUE"""),"FORMULARIO")</f>
        <v>FORMULARIO</v>
      </c>
      <c r="AQ303" s="1" t="str">
        <f>IFERROR(__xludf.DUMMYFUNCTION("""COMPUTED_VALUE"""),"SEARCH CARRERA")</f>
        <v>SEARCH CARRERA</v>
      </c>
      <c r="AR303" s="1" t="str">
        <f>IFERROR(__xludf.DUMMYFUNCTION("""COMPUTED_VALUE"""),"NUEVO")</f>
        <v>NUEVO</v>
      </c>
      <c r="AS303" s="1" t="str">
        <f>IFERROR(__xludf.DUMMYFUNCTION("""COMPUTED_VALUE"""),"ucal-pg-performance-sedes-abierta-cpl-search_conversion_mundo_comunicaciones_reactivacion-20241105")</f>
        <v>ucal-pg-performance-sedes-abierta-cpl-search_conversion_mundo_comunicaciones_reactivacion-20241105</v>
      </c>
      <c r="AT303" s="2">
        <f>IFERROR(__xludf.DUMMYFUNCTION("""COMPUTED_VALUE"""),45609.0)</f>
        <v>45609</v>
      </c>
      <c r="AU303" s="1">
        <f>IFERROR(__xludf.DUMMYFUNCTION("""COMPUTED_VALUE"""),1.0)</f>
        <v>1</v>
      </c>
      <c r="AV303" s="1" t="str">
        <f>IFERROR(__xludf.DUMMYFUNCTION("""COMPUTED_VALUE"""),"NUEVO")</f>
        <v>NUEVO</v>
      </c>
      <c r="AW303" s="1" t="str">
        <f>IFERROR(__xludf.DUMMYFUNCTION("""COMPUTED_VALUE"""),"SI")</f>
        <v>SI</v>
      </c>
      <c r="AX303" s="1"/>
      <c r="AY303" s="1" t="str">
        <f>IFERROR(__xludf.DUMMYFUNCTION("""COMPUTED_VALUE"""),"PAGO COMPLETO")</f>
        <v>PAGO COMPLETO</v>
      </c>
      <c r="AZ303" s="5">
        <f>IFERROR(__xludf.DUMMYFUNCTION("""COMPUTED_VALUE"""),45664.0)</f>
        <v>45664</v>
      </c>
      <c r="BA303" s="1">
        <f>IFERROR(__xludf.DUMMYFUNCTION("""COMPUTED_VALUE"""),0.0)</f>
        <v>0</v>
      </c>
      <c r="BB303" s="1">
        <f>IFERROR(__xludf.DUMMYFUNCTION("""COMPUTED_VALUE"""),0.0)</f>
        <v>0</v>
      </c>
      <c r="BC303" s="4">
        <f>IFERROR(__xludf.DUMMYFUNCTION("""COMPUTED_VALUE"""),0.0)</f>
        <v>0</v>
      </c>
      <c r="BD303" s="4">
        <f>IFERROR(__xludf.DUMMYFUNCTION("""COMPUTED_VALUE"""),100.0)</f>
        <v>100</v>
      </c>
      <c r="BE303" s="1">
        <f>IFERROR(__xludf.DUMMYFUNCTION("""COMPUTED_VALUE"""),1.0)</f>
        <v>1</v>
      </c>
      <c r="BF303" s="6">
        <f>IFERROR(__xludf.DUMMYFUNCTION("""COMPUTED_VALUE"""),1.0)</f>
        <v>1</v>
      </c>
      <c r="BG303" s="1">
        <f>IFERROR(__xludf.DUMMYFUNCTION("""COMPUTED_VALUE"""),1.0)</f>
        <v>1</v>
      </c>
      <c r="BH303" s="1" t="str">
        <f>IFERROR(__xludf.DUMMYFUNCTION("""COMPUTED_VALUE"""),"0")</f>
        <v>0</v>
      </c>
      <c r="BI303" s="4">
        <f>IFERROR(__xludf.DUMMYFUNCTION("""COMPUTED_VALUE"""),100.0)</f>
        <v>100</v>
      </c>
      <c r="BJ303" s="1">
        <f>IFERROR(__xludf.DUMMYFUNCTION("""COMPUTED_VALUE"""),0.0)</f>
        <v>0</v>
      </c>
      <c r="BK303" s="4">
        <f>IFERROR(__xludf.DUMMYFUNCTION("""COMPUTED_VALUE"""),1380.0)</f>
        <v>1380</v>
      </c>
      <c r="BL303" s="1">
        <f>IFERROR(__xludf.DUMMYFUNCTION("""COMPUTED_VALUE"""),1004.0)</f>
        <v>1004</v>
      </c>
      <c r="BM303" s="1">
        <f>IFERROR(__xludf.DUMMYFUNCTION("""COMPUTED_VALUE"""),2.0)</f>
        <v>2</v>
      </c>
      <c r="BN303" s="2">
        <f>IFERROR(__xludf.DUMMYFUNCTION("""COMPUTED_VALUE"""),45663.0)</f>
        <v>45663</v>
      </c>
      <c r="BO303" s="1">
        <f>IFERROR(__xludf.DUMMYFUNCTION("""COMPUTED_VALUE"""),1.0)</f>
        <v>1</v>
      </c>
      <c r="BP303" s="1">
        <f>IFERROR(__xludf.DUMMYFUNCTION("""COMPUTED_VALUE"""),2025.0)</f>
        <v>2025</v>
      </c>
    </row>
    <row r="304">
      <c r="A304" s="1">
        <f>IFERROR(__xludf.DUMMYFUNCTION("""COMPUTED_VALUE"""),303.0)</f>
        <v>303</v>
      </c>
      <c r="B304" s="1">
        <f>IFERROR(__xludf.DUMMYFUNCTION("""COMPUTED_VALUE"""),4924065.0)</f>
        <v>4924065</v>
      </c>
      <c r="C304" s="1" t="str">
        <f>IFERROR(__xludf.DUMMYFUNCTION("""COMPUTED_VALUE"""),"2025-1")</f>
        <v>2025-1</v>
      </c>
      <c r="D304" s="1" t="str">
        <f>IFERROR(__xludf.DUMMYFUNCTION("""COMPUTED_VALUE"""),"Admisión Extraordinaria (Traslados)")</f>
        <v>Admisión Extraordinaria (Traslados)</v>
      </c>
      <c r="E304" s="2">
        <f>IFERROR(__xludf.DUMMYFUNCTION("""COMPUTED_VALUE"""),45664.0)</f>
        <v>45664</v>
      </c>
      <c r="F304" s="1" t="str">
        <f>IFERROR(__xludf.DUMMYFUNCTION("""COMPUTED_VALUE"""),"SHAIEL PRISCILA ")</f>
        <v>SHAIEL PRISCILA </v>
      </c>
      <c r="G304" s="1" t="str">
        <f>IFERROR(__xludf.DUMMYFUNCTION("""COMPUTED_VALUE"""),"ASCUE SACCACO")</f>
        <v>ASCUE SACCACO</v>
      </c>
      <c r="H304" s="1" t="str">
        <f>IFERROR(__xludf.DUMMYFUNCTION("""COMPUTED_VALUE"""),"Diseño Gráfico Publicitario")</f>
        <v>Diseño Gráfico Publicitario</v>
      </c>
      <c r="I304" s="1" t="str">
        <f>IFERROR(__xludf.DUMMYFUNCTION("""COMPUTED_VALUE"""),"Pago Link")</f>
        <v>Pago Link</v>
      </c>
      <c r="J304" s="1" t="str">
        <f>IFERROR(__xludf.DUMMYFUNCTION("""COMPUTED_VALUE"""),"Diurno")</f>
        <v>Diurno</v>
      </c>
      <c r="K304" s="1" t="str">
        <f>IFERROR(__xludf.DUMMYFUNCTION("""COMPUTED_VALUE"""),"TRASLADO")</f>
        <v>TRASLADO</v>
      </c>
      <c r="L304" s="1">
        <f>IFERROR(__xludf.DUMMYFUNCTION("""COMPUTED_VALUE"""),1.0)</f>
        <v>1</v>
      </c>
      <c r="M304" s="1">
        <f>IFERROR(__xludf.DUMMYFUNCTION("""COMPUTED_VALUE"""),0.0)</f>
        <v>0</v>
      </c>
      <c r="N304" s="1" t="str">
        <f>IFERROR(__xludf.DUMMYFUNCTION("""COMPUTED_VALUE"""),"RECA")</f>
        <v>RECA</v>
      </c>
      <c r="O304" s="1" t="str">
        <f>IFERROR(__xludf.DUMMYFUNCTION("""COMPUTED_VALUE"""),"RECA TRASLADO CON CONVA")</f>
        <v>RECA TRASLADO CON CONVA</v>
      </c>
      <c r="P304" s="4">
        <f>IFERROR(__xludf.DUMMYFUNCTION("""COMPUTED_VALUE"""),0.0)</f>
        <v>0</v>
      </c>
      <c r="Q304" s="4">
        <f>IFERROR(__xludf.DUMMYFUNCTION("""COMPUTED_VALUE"""),0.0)</f>
        <v>0</v>
      </c>
      <c r="R304" s="4">
        <f>IFERROR(__xludf.DUMMYFUNCTION("""COMPUTED_VALUE"""),850.0)</f>
        <v>850</v>
      </c>
      <c r="S304" s="4">
        <f>IFERROR(__xludf.DUMMYFUNCTION("""COMPUTED_VALUE"""),700.0)</f>
        <v>700</v>
      </c>
      <c r="T304" s="1" t="str">
        <f>IFERROR(__xludf.DUMMYFUNCTION("""COMPUTED_VALUE"""),"PALANCA 700")</f>
        <v>PALANCA 700</v>
      </c>
      <c r="U304" s="1" t="str">
        <f>IFERROR(__xludf.DUMMYFUNCTION("""COMPUTED_VALUE"""),"-")</f>
        <v>-</v>
      </c>
      <c r="V304" s="1" t="str">
        <f>IFERROR(__xludf.DUMMYFUNCTION("""COMPUTED_VALUE"""),"Ninguno")</f>
        <v>Ninguno</v>
      </c>
      <c r="W304" s="1" t="str">
        <f>IFERROR(__xludf.DUMMYFUNCTION("""COMPUTED_VALUE"""),"Metodología de enseñanza")</f>
        <v>Metodología de enseñanza</v>
      </c>
      <c r="X304" s="1" t="str">
        <f>IFERROR(__xludf.DUMMYFUNCTION("""COMPUTED_VALUE"""),"es reca 700 por convas , boleta menor a 899 es de isil")</f>
        <v>es reca 700 por convas , boleta menor a 899 es de isil</v>
      </c>
      <c r="Y304" s="1" t="str">
        <f>IFERROR(__xludf.DUMMYFUNCTION("""COMPUTED_VALUE"""),"PAGO COMPLETO")</f>
        <v>PAGO COMPLETO</v>
      </c>
      <c r="Z304" s="1">
        <f>IFERROR(__xludf.DUMMYFUNCTION("""COMPUTED_VALUE"""),0.0)</f>
        <v>0</v>
      </c>
      <c r="AA304" s="1" t="str">
        <f>IFERROR(__xludf.DUMMYFUNCTION("""COMPUTED_VALUE"""),"-")</f>
        <v>-</v>
      </c>
      <c r="AB304" s="1">
        <f>IFERROR(__xludf.DUMMYFUNCTION("""COMPUTED_VALUE"""),0.0)</f>
        <v>0</v>
      </c>
      <c r="AC304" s="1">
        <f>IFERROR(__xludf.DUMMYFUNCTION("""COMPUTED_VALUE"""),0.0)</f>
        <v>0</v>
      </c>
      <c r="AD304" s="1" t="str">
        <f>IFERROR(__xludf.DUMMYFUNCTION("""COMPUTED_VALUE"""),"Ingrid Guillermo Rivera")</f>
        <v>Ingrid Guillermo Rivera</v>
      </c>
      <c r="AE304" s="1" t="str">
        <f>IFERROR(__xludf.DUMMYFUNCTION("""COMPUTED_VALUE"""),"ISIL")</f>
        <v>ISIL</v>
      </c>
      <c r="AF304" s="1">
        <f>IFERROR(__xludf.DUMMYFUNCTION("""COMPUTED_VALUE"""),2020.0)</f>
        <v>2020</v>
      </c>
      <c r="AG304" s="1">
        <f>IFERROR(__xludf.DUMMYFUNCTION("""COMPUTED_VALUE"""),1728757.0)</f>
        <v>1728757</v>
      </c>
      <c r="AH304" s="1">
        <f>IFERROR(__xludf.DUMMYFUNCTION("""COMPUTED_VALUE"""),21.0)</f>
        <v>21</v>
      </c>
      <c r="AI304" s="1" t="str">
        <f>IFERROR(__xludf.DUMMYFUNCTION("""COMPUTED_VALUE"""),"0000407778")</f>
        <v>0000407778</v>
      </c>
      <c r="AJ304" s="1">
        <f>IFERROR(__xludf.DUMMYFUNCTION("""COMPUTED_VALUE"""),7.142858E7)</f>
        <v>71428580</v>
      </c>
      <c r="AK304" s="1">
        <f>IFERROR(__xludf.DUMMYFUNCTION("""COMPUTED_VALUE"""),9.5875669E8)</f>
        <v>958756690</v>
      </c>
      <c r="AL304" s="1" t="str">
        <f>IFERROR(__xludf.DUMMYFUNCTION("""COMPUTED_VALUE"""),"sascue7@gmail.com")</f>
        <v>sascue7@gmail.com</v>
      </c>
      <c r="AM304" s="1" t="str">
        <f>IFERROR(__xludf.DUMMYFUNCTION("""COMPUTED_VALUE"""),"FEMENINO")</f>
        <v>FEMENINO</v>
      </c>
      <c r="AN304" s="1">
        <f>IFERROR(__xludf.DUMMYFUNCTION("""COMPUTED_VALUE"""),1775.0)</f>
        <v>1775</v>
      </c>
      <c r="AO304" s="1">
        <f>IFERROR(__xludf.DUMMYFUNCTION("""COMPUTED_VALUE"""),400.0)</f>
        <v>400</v>
      </c>
      <c r="AP304" s="1" t="str">
        <f>IFERROR(__xludf.DUMMYFUNCTION("""COMPUTED_VALUE"""),"FORMULARIO")</f>
        <v>FORMULARIO</v>
      </c>
      <c r="AQ304" s="1" t="str">
        <f>IFERROR(__xludf.DUMMYFUNCTION("""COMPUTED_VALUE"""),"ORGANICO")</f>
        <v>ORGANICO</v>
      </c>
      <c r="AR304" s="1" t="str">
        <f>IFERROR(__xludf.DUMMYFUNCTION("""COMPUTED_VALUE"""),"NUEVO")</f>
        <v>NUEVO</v>
      </c>
      <c r="AS304" s="1"/>
      <c r="AT304" s="2">
        <f>IFERROR(__xludf.DUMMYFUNCTION("""COMPUTED_VALUE"""),45662.0)</f>
        <v>45662</v>
      </c>
      <c r="AU304" s="1">
        <f>IFERROR(__xludf.DUMMYFUNCTION("""COMPUTED_VALUE"""),1.0)</f>
        <v>1</v>
      </c>
      <c r="AV304" s="1" t="str">
        <f>IFERROR(__xludf.DUMMYFUNCTION("""COMPUTED_VALUE"""),"TRASLADO")</f>
        <v>TRASLADO</v>
      </c>
      <c r="AW304" s="1" t="str">
        <f>IFERROR(__xludf.DUMMYFUNCTION("""COMPUTED_VALUE"""),"SI")</f>
        <v>SI</v>
      </c>
      <c r="AX304" s="1"/>
      <c r="AY304" s="1" t="str">
        <f>IFERROR(__xludf.DUMMYFUNCTION("""COMPUTED_VALUE"""),"PAGO COMPLETO")</f>
        <v>PAGO COMPLETO</v>
      </c>
      <c r="AZ304" s="5">
        <f>IFERROR(__xludf.DUMMYFUNCTION("""COMPUTED_VALUE"""),45664.0)</f>
        <v>45664</v>
      </c>
      <c r="BA304" s="1">
        <f>IFERROR(__xludf.DUMMYFUNCTION("""COMPUTED_VALUE"""),0.0)</f>
        <v>0</v>
      </c>
      <c r="BB304" s="1">
        <f>IFERROR(__xludf.DUMMYFUNCTION("""COMPUTED_VALUE"""),0.0)</f>
        <v>0</v>
      </c>
      <c r="BC304" s="4">
        <f>IFERROR(__xludf.DUMMYFUNCTION("""COMPUTED_VALUE"""),0.0)</f>
        <v>0</v>
      </c>
      <c r="BD304" s="4">
        <f>IFERROR(__xludf.DUMMYFUNCTION("""COMPUTED_VALUE"""),0.0)</f>
        <v>0</v>
      </c>
      <c r="BE304" s="1">
        <f>IFERROR(__xludf.DUMMYFUNCTION("""COMPUTED_VALUE"""),1.0)</f>
        <v>1</v>
      </c>
      <c r="BF304" s="6">
        <f>IFERROR(__xludf.DUMMYFUNCTION("""COMPUTED_VALUE"""),1.0)</f>
        <v>1</v>
      </c>
      <c r="BG304" s="1">
        <f>IFERROR(__xludf.DUMMYFUNCTION("""COMPUTED_VALUE"""),1.0)</f>
        <v>1</v>
      </c>
      <c r="BH304" s="1" t="str">
        <f>IFERROR(__xludf.DUMMYFUNCTION("""COMPUTED_VALUE"""),"1")</f>
        <v>1</v>
      </c>
      <c r="BI304" s="4">
        <f>IFERROR(__xludf.DUMMYFUNCTION("""COMPUTED_VALUE"""),0.0)</f>
        <v>0</v>
      </c>
      <c r="BJ304" s="1">
        <f>IFERROR(__xludf.DUMMYFUNCTION("""COMPUTED_VALUE"""),0.0)</f>
        <v>0</v>
      </c>
      <c r="BK304" s="4">
        <f>IFERROR(__xludf.DUMMYFUNCTION("""COMPUTED_VALUE"""),0.0)</f>
        <v>0</v>
      </c>
      <c r="BL304" s="1">
        <f>IFERROR(__xludf.DUMMYFUNCTION("""COMPUTED_VALUE"""),700.0)</f>
        <v>700</v>
      </c>
      <c r="BM304" s="1">
        <f>IFERROR(__xludf.DUMMYFUNCTION("""COMPUTED_VALUE"""),2.0)</f>
        <v>2</v>
      </c>
      <c r="BN304" s="2">
        <f>IFERROR(__xludf.DUMMYFUNCTION("""COMPUTED_VALUE"""),45663.0)</f>
        <v>45663</v>
      </c>
      <c r="BO304" s="1">
        <f>IFERROR(__xludf.DUMMYFUNCTION("""COMPUTED_VALUE"""),1.0)</f>
        <v>1</v>
      </c>
      <c r="BP304" s="1">
        <f>IFERROR(__xludf.DUMMYFUNCTION("""COMPUTED_VALUE"""),2025.0)</f>
        <v>2025</v>
      </c>
    </row>
    <row r="305">
      <c r="A305" s="1">
        <f>IFERROR(__xludf.DUMMYFUNCTION("""COMPUTED_VALUE"""),304.0)</f>
        <v>304</v>
      </c>
      <c r="B305" s="1">
        <f>IFERROR(__xludf.DUMMYFUNCTION("""COMPUTED_VALUE"""),1635215.0)</f>
        <v>1635215</v>
      </c>
      <c r="C305" s="1" t="str">
        <f>IFERROR(__xludf.DUMMYFUNCTION("""COMPUTED_VALUE"""),"2025-1")</f>
        <v>2025-1</v>
      </c>
      <c r="D305" s="1" t="str">
        <f>IFERROR(__xludf.DUMMYFUNCTION("""COMPUTED_VALUE"""),"Admisión Ordinaria")</f>
        <v>Admisión Ordinaria</v>
      </c>
      <c r="E305" s="2">
        <f>IFERROR(__xludf.DUMMYFUNCTION("""COMPUTED_VALUE"""),45664.0)</f>
        <v>45664</v>
      </c>
      <c r="F305" s="1" t="str">
        <f>IFERROR(__xludf.DUMMYFUNCTION("""COMPUTED_VALUE"""),"MARIA PAULA ")</f>
        <v>MARIA PAULA </v>
      </c>
      <c r="G305" s="1" t="str">
        <f>IFERROR(__xludf.DUMMYFUNCTION("""COMPUTED_VALUE"""),"ALVARADO PERALTA")</f>
        <v>ALVARADO PERALTA</v>
      </c>
      <c r="H305" s="1" t="str">
        <f>IFERROR(__xludf.DUMMYFUNCTION("""COMPUTED_VALUE"""),"Marketing e Innovación")</f>
        <v>Marketing e Innovación</v>
      </c>
      <c r="I305" s="1" t="str">
        <f>IFERROR(__xludf.DUMMYFUNCTION("""COMPUTED_VALUE"""),"POS")</f>
        <v>POS</v>
      </c>
      <c r="J305" s="1" t="str">
        <f>IFERROR(__xludf.DUMMYFUNCTION("""COMPUTED_VALUE"""),"Diurno")</f>
        <v>Diurno</v>
      </c>
      <c r="K305" s="1" t="str">
        <f>IFERROR(__xludf.DUMMYFUNCTION("""COMPUTED_VALUE"""),"NUEVO")</f>
        <v>NUEVO</v>
      </c>
      <c r="L305" s="1">
        <f>IFERROR(__xludf.DUMMYFUNCTION("""COMPUTED_VALUE"""),0.0)</f>
        <v>0</v>
      </c>
      <c r="M305" s="1">
        <f>IFERROR(__xludf.DUMMYFUNCTION("""COMPUTED_VALUE"""),0.0)</f>
        <v>0</v>
      </c>
      <c r="N305" s="1" t="str">
        <f>IFERROR(__xludf.DUMMYFUNCTION("""COMPUTED_VALUE"""),"BECA")</f>
        <v>BECA</v>
      </c>
      <c r="O305" s="1" t="str">
        <f>IFERROR(__xludf.DUMMYFUNCTION("""COMPUTED_VALUE"""),"BECA RECUPERO")</f>
        <v>BECA RECUPERO</v>
      </c>
      <c r="P305" s="4">
        <f>IFERROR(__xludf.DUMMYFUNCTION("""COMPUTED_VALUE"""),0.0)</f>
        <v>0</v>
      </c>
      <c r="Q305" s="4">
        <f>IFERROR(__xludf.DUMMYFUNCTION("""COMPUTED_VALUE"""),0.0)</f>
        <v>0</v>
      </c>
      <c r="R305" s="4">
        <f>IFERROR(__xludf.DUMMYFUNCTION("""COMPUTED_VALUE"""),1075.0)</f>
        <v>1075</v>
      </c>
      <c r="S305" s="4">
        <f>IFERROR(__xludf.DUMMYFUNCTION("""COMPUTED_VALUE"""),900.0)</f>
        <v>900</v>
      </c>
      <c r="T305" s="1" t="str">
        <f>IFERROR(__xludf.DUMMYFUNCTION("""COMPUTED_VALUE"""),"PALANCA 500")</f>
        <v>PALANCA 500</v>
      </c>
      <c r="U305" s="1" t="str">
        <f>IFERROR(__xludf.DUMMYFUNCTION("""COMPUTED_VALUE"""),"RODRIGO")</f>
        <v>RODRIGO</v>
      </c>
      <c r="V305" s="1" t="str">
        <f>IFERROR(__xludf.DUMMYFUNCTION("""COMPUTED_VALUE"""),"Ninguno")</f>
        <v>Ninguno</v>
      </c>
      <c r="W305" s="1" t="str">
        <f>IFERROR(__xludf.DUMMYFUNCTION("""COMPUTED_VALUE"""),"Descuentos en boletas de pago")</f>
        <v>Descuentos en boletas de pago</v>
      </c>
      <c r="X305" s="1" t="str">
        <f>IFERROR(__xludf.DUMMYFUNCTION("""COMPUTED_VALUE"""),"-")</f>
        <v>-</v>
      </c>
      <c r="Y305" s="1" t="str">
        <f>IFERROR(__xludf.DUMMYFUNCTION("""COMPUTED_VALUE"""),"PAGO COMPLETO")</f>
        <v>PAGO COMPLETO</v>
      </c>
      <c r="Z305" s="1">
        <f>IFERROR(__xludf.DUMMYFUNCTION("""COMPUTED_VALUE"""),0.0)</f>
        <v>0</v>
      </c>
      <c r="AA305" s="1" t="str">
        <f>IFERROR(__xludf.DUMMYFUNCTION("""COMPUTED_VALUE"""),"-")</f>
        <v>-</v>
      </c>
      <c r="AB305" s="1">
        <f>IFERROR(__xludf.DUMMYFUNCTION("""COMPUTED_VALUE"""),0.0)</f>
        <v>0</v>
      </c>
      <c r="AC305" s="1">
        <f>IFERROR(__xludf.DUMMYFUNCTION("""COMPUTED_VALUE"""),0.0)</f>
        <v>0</v>
      </c>
      <c r="AD305" s="1" t="str">
        <f>IFERROR(__xludf.DUMMYFUNCTION("""COMPUTED_VALUE"""),"Ingrid Guillermo Rivera")</f>
        <v>Ingrid Guillermo Rivera</v>
      </c>
      <c r="AE305" s="1" t="str">
        <f>IFERROR(__xludf.DUMMYFUNCTION("""COMPUTED_VALUE"""),"0")</f>
        <v>0</v>
      </c>
      <c r="AF305" s="1">
        <f>IFERROR(__xludf.DUMMYFUNCTION("""COMPUTED_VALUE"""),2020.0)</f>
        <v>2020</v>
      </c>
      <c r="AG305" s="1">
        <f>IFERROR(__xludf.DUMMYFUNCTION("""COMPUTED_VALUE"""),1371970.0)</f>
        <v>1371970</v>
      </c>
      <c r="AH305" s="1">
        <f>IFERROR(__xludf.DUMMYFUNCTION("""COMPUTED_VALUE"""),21.0)</f>
        <v>21</v>
      </c>
      <c r="AI305" s="1" t="str">
        <f>IFERROR(__xludf.DUMMYFUNCTION("""COMPUTED_VALUE"""),"0000407794")</f>
        <v>0000407794</v>
      </c>
      <c r="AJ305" s="1">
        <f>IFERROR(__xludf.DUMMYFUNCTION("""COMPUTED_VALUE"""),7.0852002E7)</f>
        <v>70852002</v>
      </c>
      <c r="AK305" s="1">
        <f>IFERROR(__xludf.DUMMYFUNCTION("""COMPUTED_VALUE"""),9.33280483E8)</f>
        <v>933280483</v>
      </c>
      <c r="AL305" s="1" t="str">
        <f>IFERROR(__xludf.DUMMYFUNCTION("""COMPUTED_VALUE"""),"mariapaulaalvaradoperalta4@gmail.com")</f>
        <v>mariapaulaalvaradoperalta4@gmail.com</v>
      </c>
      <c r="AM305" s="1" t="str">
        <f>IFERROR(__xludf.DUMMYFUNCTION("""COMPUTED_VALUE"""),"FEMENINO")</f>
        <v>FEMENINO</v>
      </c>
      <c r="AN305" s="1">
        <f>IFERROR(__xludf.DUMMYFUNCTION("""COMPUTED_VALUE"""),1775.0)</f>
        <v>1775</v>
      </c>
      <c r="AO305" s="1">
        <f>IFERROR(__xludf.DUMMYFUNCTION("""COMPUTED_VALUE"""),400.0)</f>
        <v>400</v>
      </c>
      <c r="AP305" s="1" t="str">
        <f>IFERROR(__xludf.DUMMYFUNCTION("""COMPUTED_VALUE"""),"OUTBOUND")</f>
        <v>OUTBOUND</v>
      </c>
      <c r="AQ305" s="1" t="str">
        <f>IFERROR(__xludf.DUMMYFUNCTION("""COMPUTED_VALUE"""),"OUTBOUND")</f>
        <v>OUTBOUND</v>
      </c>
      <c r="AR305" s="1" t="str">
        <f>IFERROR(__xludf.DUMMYFUNCTION("""COMPUTED_VALUE"""),"HEREDADO")</f>
        <v>HEREDADO</v>
      </c>
      <c r="AS305" s="1"/>
      <c r="AT305" s="2">
        <f>IFERROR(__xludf.DUMMYFUNCTION("""COMPUTED_VALUE"""),45423.0)</f>
        <v>45423</v>
      </c>
      <c r="AU305" s="1">
        <f>IFERROR(__xludf.DUMMYFUNCTION("""COMPUTED_VALUE"""),1.0)</f>
        <v>1</v>
      </c>
      <c r="AV305" s="1" t="str">
        <f>IFERROR(__xludf.DUMMYFUNCTION("""COMPUTED_VALUE"""),"NUEVO")</f>
        <v>NUEVO</v>
      </c>
      <c r="AW305" s="1" t="str">
        <f>IFERROR(__xludf.DUMMYFUNCTION("""COMPUTED_VALUE"""),"SI")</f>
        <v>SI</v>
      </c>
      <c r="AX305" s="1"/>
      <c r="AY305" s="1" t="str">
        <f>IFERROR(__xludf.DUMMYFUNCTION("""COMPUTED_VALUE"""),"PAGO COMPLETO")</f>
        <v>PAGO COMPLETO</v>
      </c>
      <c r="AZ305" s="5">
        <f>IFERROR(__xludf.DUMMYFUNCTION("""COMPUTED_VALUE"""),45664.0)</f>
        <v>45664</v>
      </c>
      <c r="BA305" s="1">
        <f>IFERROR(__xludf.DUMMYFUNCTION("""COMPUTED_VALUE"""),0.0)</f>
        <v>0</v>
      </c>
      <c r="BB305" s="1">
        <f>IFERROR(__xludf.DUMMYFUNCTION("""COMPUTED_VALUE"""),0.0)</f>
        <v>0</v>
      </c>
      <c r="BC305" s="4">
        <f>IFERROR(__xludf.DUMMYFUNCTION("""COMPUTED_VALUE"""),0.0)</f>
        <v>0</v>
      </c>
      <c r="BD305" s="4">
        <f>IFERROR(__xludf.DUMMYFUNCTION("""COMPUTED_VALUE"""),400.0)</f>
        <v>400</v>
      </c>
      <c r="BE305" s="1">
        <f>IFERROR(__xludf.DUMMYFUNCTION("""COMPUTED_VALUE"""),1.0)</f>
        <v>1</v>
      </c>
      <c r="BF305" s="6">
        <f>IFERROR(__xludf.DUMMYFUNCTION("""COMPUTED_VALUE"""),1.0)</f>
        <v>1</v>
      </c>
      <c r="BG305" s="1">
        <f>IFERROR(__xludf.DUMMYFUNCTION("""COMPUTED_VALUE"""),1.0)</f>
        <v>1</v>
      </c>
      <c r="BH305" s="1" t="str">
        <f>IFERROR(__xludf.DUMMYFUNCTION("""COMPUTED_VALUE"""),"0")</f>
        <v>0</v>
      </c>
      <c r="BI305" s="4">
        <f>IFERROR(__xludf.DUMMYFUNCTION("""COMPUTED_VALUE"""),400.0)</f>
        <v>400</v>
      </c>
      <c r="BJ305" s="1">
        <f>IFERROR(__xludf.DUMMYFUNCTION("""COMPUTED_VALUE"""),0.0)</f>
        <v>0</v>
      </c>
      <c r="BK305" s="4">
        <f>IFERROR(__xludf.DUMMYFUNCTION("""COMPUTED_VALUE"""),400.0)</f>
        <v>400</v>
      </c>
      <c r="BL305" s="1">
        <f>IFERROR(__xludf.DUMMYFUNCTION("""COMPUTED_VALUE"""),820.0)</f>
        <v>820</v>
      </c>
      <c r="BM305" s="1">
        <f>IFERROR(__xludf.DUMMYFUNCTION("""COMPUTED_VALUE"""),2.0)</f>
        <v>2</v>
      </c>
      <c r="BN305" s="2">
        <f>IFERROR(__xludf.DUMMYFUNCTION("""COMPUTED_VALUE"""),45663.0)</f>
        <v>45663</v>
      </c>
      <c r="BO305" s="1">
        <f>IFERROR(__xludf.DUMMYFUNCTION("""COMPUTED_VALUE"""),1.0)</f>
        <v>1</v>
      </c>
      <c r="BP305" s="1">
        <f>IFERROR(__xludf.DUMMYFUNCTION("""COMPUTED_VALUE"""),2025.0)</f>
        <v>2025</v>
      </c>
    </row>
    <row r="306">
      <c r="A306" s="1">
        <f>IFERROR(__xludf.DUMMYFUNCTION("""COMPUTED_VALUE"""),305.0)</f>
        <v>305</v>
      </c>
      <c r="B306" s="1">
        <f>IFERROR(__xludf.DUMMYFUNCTION("""COMPUTED_VALUE"""),1764103.0)</f>
        <v>1764103</v>
      </c>
      <c r="C306" s="1" t="str">
        <f>IFERROR(__xludf.DUMMYFUNCTION("""COMPUTED_VALUE"""),"2025-1")</f>
        <v>2025-1</v>
      </c>
      <c r="D306" s="1" t="str">
        <f>IFERROR(__xludf.DUMMYFUNCTION("""COMPUTED_VALUE"""),"Admisión Extraordinaria (Traslados)")</f>
        <v>Admisión Extraordinaria (Traslados)</v>
      </c>
      <c r="E306" s="2">
        <f>IFERROR(__xludf.DUMMYFUNCTION("""COMPUTED_VALUE"""),45664.0)</f>
        <v>45664</v>
      </c>
      <c r="F306" s="1" t="str">
        <f>IFERROR(__xludf.DUMMYFUNCTION("""COMPUTED_VALUE"""),"XIOMARA ALEXANDRA ")</f>
        <v>XIOMARA ALEXANDRA </v>
      </c>
      <c r="G306" s="1" t="str">
        <f>IFERROR(__xludf.DUMMYFUNCTION("""COMPUTED_VALUE"""),"CORNEJO NARVASTA")</f>
        <v>CORNEJO NARVASTA</v>
      </c>
      <c r="H306" s="1" t="str">
        <f>IFERROR(__xludf.DUMMYFUNCTION("""COMPUTED_VALUE"""),"Comunicación y Publicidad Transmedia")</f>
        <v>Comunicación y Publicidad Transmedia</v>
      </c>
      <c r="I306" s="1" t="str">
        <f>IFERROR(__xludf.DUMMYFUNCTION("""COMPUTED_VALUE"""),"POS")</f>
        <v>POS</v>
      </c>
      <c r="J306" s="1" t="str">
        <f>IFERROR(__xludf.DUMMYFUNCTION("""COMPUTED_VALUE"""),"Diurno")</f>
        <v>Diurno</v>
      </c>
      <c r="K306" s="1" t="str">
        <f>IFERROR(__xludf.DUMMYFUNCTION("""COMPUTED_VALUE"""),"TRASLADO")</f>
        <v>TRASLADO</v>
      </c>
      <c r="L306" s="1">
        <f>IFERROR(__xludf.DUMMYFUNCTION("""COMPUTED_VALUE"""),1.0)</f>
        <v>1</v>
      </c>
      <c r="M306" s="1">
        <f>IFERROR(__xludf.DUMMYFUNCTION("""COMPUTED_VALUE"""),0.0)</f>
        <v>0</v>
      </c>
      <c r="N306" s="1" t="str">
        <f>IFERROR(__xludf.DUMMYFUNCTION("""COMPUTED_VALUE"""),"RECA")</f>
        <v>RECA</v>
      </c>
      <c r="O306" s="1" t="str">
        <f>IFERROR(__xludf.DUMMYFUNCTION("""COMPUTED_VALUE"""),"RECA TRASLADO CON CONVA")</f>
        <v>RECA TRASLADO CON CONVA</v>
      </c>
      <c r="P306" s="4">
        <f>IFERROR(__xludf.DUMMYFUNCTION("""COMPUTED_VALUE"""),0.0)</f>
        <v>0</v>
      </c>
      <c r="Q306" s="4">
        <f>IFERROR(__xludf.DUMMYFUNCTION("""COMPUTED_VALUE"""),0.0)</f>
        <v>0</v>
      </c>
      <c r="R306" s="4">
        <f>IFERROR(__xludf.DUMMYFUNCTION("""COMPUTED_VALUE"""),1150.0)</f>
        <v>1150</v>
      </c>
      <c r="S306" s="4">
        <f>IFERROR(__xludf.DUMMYFUNCTION("""COMPUTED_VALUE"""),700.0)</f>
        <v>700</v>
      </c>
      <c r="T306" s="1" t="str">
        <f>IFERROR(__xludf.DUMMYFUNCTION("""COMPUTED_VALUE"""),"NINGUNO")</f>
        <v>NINGUNO</v>
      </c>
      <c r="U306" s="1" t="str">
        <f>IFERROR(__xludf.DUMMYFUNCTION("""COMPUTED_VALUE"""),"RODRIGO")</f>
        <v>RODRIGO</v>
      </c>
      <c r="V306" s="1" t="str">
        <f>IFERROR(__xludf.DUMMYFUNCTION("""COMPUTED_VALUE"""),"Ninguno")</f>
        <v>Ninguno</v>
      </c>
      <c r="W306" s="1" t="str">
        <f>IFERROR(__xludf.DUMMYFUNCTION("""COMPUTED_VALUE"""),"Ubicación de sede")</f>
        <v>Ubicación de sede</v>
      </c>
      <c r="X306" s="1" t="str">
        <f>IFERROR(__xludf.DUMMYFUNCTION("""COMPUTED_VALUE"""),"recategorizaciòn a 700")</f>
        <v>recategorizaciòn a 700</v>
      </c>
      <c r="Y306" s="1" t="str">
        <f>IFERROR(__xludf.DUMMYFUNCTION("""COMPUTED_VALUE"""),"PAGO COMPLETO")</f>
        <v>PAGO COMPLETO</v>
      </c>
      <c r="Z306" s="1">
        <f>IFERROR(__xludf.DUMMYFUNCTION("""COMPUTED_VALUE"""),0.0)</f>
        <v>0</v>
      </c>
      <c r="AA306" s="1" t="str">
        <f>IFERROR(__xludf.DUMMYFUNCTION("""COMPUTED_VALUE"""),"-")</f>
        <v>-</v>
      </c>
      <c r="AB306" s="1">
        <f>IFERROR(__xludf.DUMMYFUNCTION("""COMPUTED_VALUE"""),0.0)</f>
        <v>0</v>
      </c>
      <c r="AC306" s="1">
        <f>IFERROR(__xludf.DUMMYFUNCTION("""COMPUTED_VALUE"""),0.0)</f>
        <v>0</v>
      </c>
      <c r="AD306" s="1" t="str">
        <f>IFERROR(__xludf.DUMMYFUNCTION("""COMPUTED_VALUE"""),"Angelica Iparraguirre")</f>
        <v>Angelica Iparraguirre</v>
      </c>
      <c r="AE306" s="1" t="str">
        <f>IFERROR(__xludf.DUMMYFUNCTION("""COMPUTED_VALUE"""),"Certus")</f>
        <v>Certus</v>
      </c>
      <c r="AF306" s="1">
        <f>IFERROR(__xludf.DUMMYFUNCTION("""COMPUTED_VALUE"""),2020.0)</f>
        <v>2020</v>
      </c>
      <c r="AG306" s="1">
        <f>IFERROR(__xludf.DUMMYFUNCTION("""COMPUTED_VALUE"""),336586.0)</f>
        <v>336586</v>
      </c>
      <c r="AH306" s="1">
        <f>IFERROR(__xludf.DUMMYFUNCTION("""COMPUTED_VALUE"""),21.0)</f>
        <v>21</v>
      </c>
      <c r="AI306" s="1" t="str">
        <f>IFERROR(__xludf.DUMMYFUNCTION("""COMPUTED_VALUE"""),"0000129059")</f>
        <v>0000129059</v>
      </c>
      <c r="AJ306" s="1">
        <f>IFERROR(__xludf.DUMMYFUNCTION("""COMPUTED_VALUE"""),7.1710549E7)</f>
        <v>71710549</v>
      </c>
      <c r="AK306" s="1">
        <f>IFERROR(__xludf.DUMMYFUNCTION("""COMPUTED_VALUE"""),9.44047474E8)</f>
        <v>944047474</v>
      </c>
      <c r="AL306" s="1" t="str">
        <f>IFERROR(__xludf.DUMMYFUNCTION("""COMPUTED_VALUE"""),"xiomaracornejonarvasta420@gmail.com")</f>
        <v>xiomaracornejonarvasta420@gmail.com</v>
      </c>
      <c r="AM306" s="1" t="str">
        <f>IFERROR(__xludf.DUMMYFUNCTION("""COMPUTED_VALUE"""),"FEMENINO")</f>
        <v>FEMENINO</v>
      </c>
      <c r="AN306" s="1">
        <f>IFERROR(__xludf.DUMMYFUNCTION("""COMPUTED_VALUE"""),0.0)</f>
        <v>0</v>
      </c>
      <c r="AO306" s="1">
        <f>IFERROR(__xludf.DUMMYFUNCTION("""COMPUTED_VALUE"""),0.0)</f>
        <v>0</v>
      </c>
      <c r="AP306" s="1" t="str">
        <f>IFERROR(__xludf.DUMMYFUNCTION("""COMPUTED_VALUE"""),"EVENTOS")</f>
        <v>EVENTOS</v>
      </c>
      <c r="AQ306" s="1" t="str">
        <f>IFERROR(__xludf.DUMMYFUNCTION("""COMPUTED_VALUE"""),"EVENTOS")</f>
        <v>EVENTOS</v>
      </c>
      <c r="AR306" s="1" t="str">
        <f>IFERROR(__xludf.DUMMYFUNCTION("""COMPUTED_VALUE"""),"HEREDADO")</f>
        <v>HEREDADO</v>
      </c>
      <c r="AS306" s="1" t="str">
        <f>IFERROR(__xludf.DUMMYFUNCTION("""COMPUTED_VALUE"""),"ucal-pg-branding-sedes-abierta-lead_ads-lead_ads_branding_talleres_vivenciales-20250106")</f>
        <v>ucal-pg-branding-sedes-abierta-lead_ads-lead_ads_branding_talleres_vivenciales-20250106</v>
      </c>
      <c r="AT306" s="2">
        <f>IFERROR(__xludf.DUMMYFUNCTION("""COMPUTED_VALUE"""),45663.0)</f>
        <v>45663</v>
      </c>
      <c r="AU306" s="1">
        <f>IFERROR(__xludf.DUMMYFUNCTION("""COMPUTED_VALUE"""),1.0)</f>
        <v>1</v>
      </c>
      <c r="AV306" s="1" t="str">
        <f>IFERROR(__xludf.DUMMYFUNCTION("""COMPUTED_VALUE"""),"TRASLADO")</f>
        <v>TRASLADO</v>
      </c>
      <c r="AW306" s="1" t="str">
        <f>IFERROR(__xludf.DUMMYFUNCTION("""COMPUTED_VALUE"""),"SI")</f>
        <v>SI</v>
      </c>
      <c r="AX306" s="1"/>
      <c r="AY306" s="1" t="str">
        <f>IFERROR(__xludf.DUMMYFUNCTION("""COMPUTED_VALUE"""),"PAGO COMPLETO")</f>
        <v>PAGO COMPLETO</v>
      </c>
      <c r="AZ306" s="5">
        <f>IFERROR(__xludf.DUMMYFUNCTION("""COMPUTED_VALUE"""),45664.0)</f>
        <v>45664</v>
      </c>
      <c r="BA306" s="1">
        <f>IFERROR(__xludf.DUMMYFUNCTION("""COMPUTED_VALUE"""),0.0)</f>
        <v>0</v>
      </c>
      <c r="BB306" s="1">
        <f>IFERROR(__xludf.DUMMYFUNCTION("""COMPUTED_VALUE"""),0.0)</f>
        <v>0</v>
      </c>
      <c r="BC306" s="4">
        <f>IFERROR(__xludf.DUMMYFUNCTION("""COMPUTED_VALUE"""),0.0)</f>
        <v>0</v>
      </c>
      <c r="BD306" s="4">
        <f>IFERROR(__xludf.DUMMYFUNCTION("""COMPUTED_VALUE"""),0.0)</f>
        <v>0</v>
      </c>
      <c r="BE306" s="1">
        <f>IFERROR(__xludf.DUMMYFUNCTION("""COMPUTED_VALUE"""),1.0)</f>
        <v>1</v>
      </c>
      <c r="BF306" s="6">
        <f>IFERROR(__xludf.DUMMYFUNCTION("""COMPUTED_VALUE"""),1.0)</f>
        <v>1</v>
      </c>
      <c r="BG306" s="1">
        <f>IFERROR(__xludf.DUMMYFUNCTION("""COMPUTED_VALUE"""),1.0)</f>
        <v>1</v>
      </c>
      <c r="BH306" s="1" t="str">
        <f>IFERROR(__xludf.DUMMYFUNCTION("""COMPUTED_VALUE"""),"1")</f>
        <v>1</v>
      </c>
      <c r="BI306" s="4">
        <f>IFERROR(__xludf.DUMMYFUNCTION("""COMPUTED_VALUE"""),0.0)</f>
        <v>0</v>
      </c>
      <c r="BJ306" s="1">
        <f>IFERROR(__xludf.DUMMYFUNCTION("""COMPUTED_VALUE"""),0.0)</f>
        <v>0</v>
      </c>
      <c r="BK306" s="4">
        <f>IFERROR(__xludf.DUMMYFUNCTION("""COMPUTED_VALUE"""),0.0)</f>
        <v>0</v>
      </c>
      <c r="BL306" s="1">
        <f>IFERROR(__xludf.DUMMYFUNCTION("""COMPUTED_VALUE"""),700.0)</f>
        <v>700</v>
      </c>
      <c r="BM306" s="1" t="str">
        <f>IFERROR(__xludf.DUMMYFUNCTION("""COMPUTED_VALUE"""),"#REF!")</f>
        <v>#REF!</v>
      </c>
      <c r="BN306" s="1" t="str">
        <f>IFERROR(__xludf.DUMMYFUNCTION("""COMPUTED_VALUE"""),"#REF!")</f>
        <v>#REF!</v>
      </c>
      <c r="BO306" s="1" t="str">
        <f>IFERROR(__xludf.DUMMYFUNCTION("""COMPUTED_VALUE"""),"#REF!")</f>
        <v>#REF!</v>
      </c>
      <c r="BP306" s="1" t="str">
        <f>IFERROR(__xludf.DUMMYFUNCTION("""COMPUTED_VALUE"""),"#REF!")</f>
        <v>#REF!</v>
      </c>
    </row>
    <row r="307">
      <c r="A307" s="1">
        <f>IFERROR(__xludf.DUMMYFUNCTION("""COMPUTED_VALUE"""),306.0)</f>
        <v>306</v>
      </c>
      <c r="B307" s="1">
        <f>IFERROR(__xludf.DUMMYFUNCTION("""COMPUTED_VALUE"""),526696.0)</f>
        <v>526696</v>
      </c>
      <c r="C307" s="1" t="str">
        <f>IFERROR(__xludf.DUMMYFUNCTION("""COMPUTED_VALUE"""),"2025-1")</f>
        <v>2025-1</v>
      </c>
      <c r="D307" s="1" t="str">
        <f>IFERROR(__xludf.DUMMYFUNCTION("""COMPUTED_VALUE"""),"Admisión Ordinaria")</f>
        <v>Admisión Ordinaria</v>
      </c>
      <c r="E307" s="2">
        <f>IFERROR(__xludf.DUMMYFUNCTION("""COMPUTED_VALUE"""),45664.0)</f>
        <v>45664</v>
      </c>
      <c r="F307" s="1" t="str">
        <f>IFERROR(__xludf.DUMMYFUNCTION("""COMPUTED_VALUE"""),"MERYANN ")</f>
        <v>MERYANN </v>
      </c>
      <c r="G307" s="1" t="str">
        <f>IFERROR(__xludf.DUMMYFUNCTION("""COMPUTED_VALUE"""),"SABRERA NAPA")</f>
        <v>SABRERA NAPA</v>
      </c>
      <c r="H307" s="1" t="str">
        <f>IFERROR(__xludf.DUMMYFUNCTION("""COMPUTED_VALUE"""),"Arquitectura")</f>
        <v>Arquitectura</v>
      </c>
      <c r="I307" s="1" t="str">
        <f>IFERROR(__xludf.DUMMYFUNCTION("""COMPUTED_VALUE"""),"CARGO")</f>
        <v>CARGO</v>
      </c>
      <c r="J307" s="1" t="str">
        <f>IFERROR(__xludf.DUMMYFUNCTION("""COMPUTED_VALUE"""),"Diurno")</f>
        <v>Diurno</v>
      </c>
      <c r="K307" s="1" t="str">
        <f>IFERROR(__xludf.DUMMYFUNCTION("""COMPUTED_VALUE"""),"TRASLADO")</f>
        <v>TRASLADO</v>
      </c>
      <c r="L307" s="1">
        <f>IFERROR(__xludf.DUMMYFUNCTION("""COMPUTED_VALUE"""),1.0)</f>
        <v>1</v>
      </c>
      <c r="M307" s="1">
        <f>IFERROR(__xludf.DUMMYFUNCTION("""COMPUTED_VALUE"""),0.0)</f>
        <v>0</v>
      </c>
      <c r="N307" s="1" t="str">
        <f>IFERROR(__xludf.DUMMYFUNCTION("""COMPUTED_VALUE"""),"RECA")</f>
        <v>RECA</v>
      </c>
      <c r="O307" s="1" t="str">
        <f>IFERROR(__xludf.DUMMYFUNCTION("""COMPUTED_VALUE"""),"RECA TRASLADO CON CONVA")</f>
        <v>RECA TRASLADO CON CONVA</v>
      </c>
      <c r="P307" s="4">
        <f>IFERROR(__xludf.DUMMYFUNCTION("""COMPUTED_VALUE"""),0.0)</f>
        <v>0</v>
      </c>
      <c r="Q307" s="4">
        <f>IFERROR(__xludf.DUMMYFUNCTION("""COMPUTED_VALUE"""),0.0)</f>
        <v>0</v>
      </c>
      <c r="R307" s="4">
        <f>IFERROR(__xludf.DUMMYFUNCTION("""COMPUTED_VALUE"""),1150.0)</f>
        <v>1150</v>
      </c>
      <c r="S307" s="4">
        <f>IFERROR(__xludf.DUMMYFUNCTION("""COMPUTED_VALUE"""),1150.0)</f>
        <v>1150</v>
      </c>
      <c r="T307" s="1" t="str">
        <f>IFERROR(__xludf.DUMMYFUNCTION("""COMPUTED_VALUE"""),"NINGUNO")</f>
        <v>NINGUNO</v>
      </c>
      <c r="U307" s="1" t="str">
        <f>IFERROR(__xludf.DUMMYFUNCTION("""COMPUTED_VALUE"""),"FABIOLA")</f>
        <v>FABIOLA</v>
      </c>
      <c r="V307" s="1" t="str">
        <f>IFERROR(__xludf.DUMMYFUNCTION("""COMPUTED_VALUE"""),"Ninguno")</f>
        <v>Ninguno</v>
      </c>
      <c r="W307" s="1" t="str">
        <f>IFERROR(__xludf.DUMMYFUNCTION("""COMPUTED_VALUE"""),"Prestigio de la institución")</f>
        <v>Prestigio de la institución</v>
      </c>
      <c r="X307" s="1" t="str">
        <f>IFERROR(__xludf.DUMMYFUNCTION("""COMPUTED_VALUE"""),"-")</f>
        <v>-</v>
      </c>
      <c r="Y307" s="1" t="str">
        <f>IFERROR(__xludf.DUMMYFUNCTION("""COMPUTED_VALUE"""),"PAGO COMPLETO")</f>
        <v>PAGO COMPLETO</v>
      </c>
      <c r="Z307" s="1">
        <f>IFERROR(__xludf.DUMMYFUNCTION("""COMPUTED_VALUE"""),0.0)</f>
        <v>0</v>
      </c>
      <c r="AA307" s="1" t="str">
        <f>IFERROR(__xludf.DUMMYFUNCTION("""COMPUTED_VALUE"""),"-")</f>
        <v>-</v>
      </c>
      <c r="AB307" s="1">
        <f>IFERROR(__xludf.DUMMYFUNCTION("""COMPUTED_VALUE"""),0.0)</f>
        <v>0</v>
      </c>
      <c r="AC307" s="1">
        <f>IFERROR(__xludf.DUMMYFUNCTION("""COMPUTED_VALUE"""),0.0)</f>
        <v>0</v>
      </c>
      <c r="AD307" s="1" t="str">
        <f>IFERROR(__xludf.DUMMYFUNCTION("""COMPUTED_VALUE"""),"Andrea Araujo Antara")</f>
        <v>Andrea Araujo Antara</v>
      </c>
      <c r="AE307" s="1" t="str">
        <f>IFERROR(__xludf.DUMMYFUNCTION("""COMPUTED_VALUE"""),"Instituto de Educación Superior Tecnológico Privado Toulouse Lautrec")</f>
        <v>Instituto de Educación Superior Tecnológico Privado Toulouse Lautrec</v>
      </c>
      <c r="AF307" s="1">
        <f>IFERROR(__xludf.DUMMYFUNCTION("""COMPUTED_VALUE"""),2020.0)</f>
        <v>2020</v>
      </c>
      <c r="AG307" s="1">
        <f>IFERROR(__xludf.DUMMYFUNCTION("""COMPUTED_VALUE"""),0.0)</f>
        <v>0</v>
      </c>
      <c r="AH307" s="1">
        <f>IFERROR(__xludf.DUMMYFUNCTION("""COMPUTED_VALUE"""),28.0)</f>
        <v>28</v>
      </c>
      <c r="AI307" s="1" t="str">
        <f>IFERROR(__xludf.DUMMYFUNCTION("""COMPUTED_VALUE"""),"2015002200")</f>
        <v>2015002200</v>
      </c>
      <c r="AJ307" s="1">
        <f>IFERROR(__xludf.DUMMYFUNCTION("""COMPUTED_VALUE"""),7.5546078E7)</f>
        <v>75546078</v>
      </c>
      <c r="AK307" s="1">
        <f>IFERROR(__xludf.DUMMYFUNCTION("""COMPUTED_VALUE"""),9.643854E8)</f>
        <v>964385400</v>
      </c>
      <c r="AL307" s="1" t="str">
        <f>IFERROR(__xludf.DUMMYFUNCTION("""COMPUTED_VALUE"""),"meryannsabrera22@hotmail.com")</f>
        <v>meryannsabrera22@hotmail.com</v>
      </c>
      <c r="AM307" s="1" t="str">
        <f>IFERROR(__xludf.DUMMYFUNCTION("""COMPUTED_VALUE"""),"FEMENINO")</f>
        <v>FEMENINO</v>
      </c>
      <c r="AN307" s="1">
        <f>IFERROR(__xludf.DUMMYFUNCTION("""COMPUTED_VALUE"""),1350.0)</f>
        <v>1350</v>
      </c>
      <c r="AO307" s="1">
        <f>IFERROR(__xludf.DUMMYFUNCTION("""COMPUTED_VALUE"""),0.0)</f>
        <v>0</v>
      </c>
      <c r="AP307" s="1" t="str">
        <f>IFERROR(__xludf.DUMMYFUNCTION("""COMPUTED_VALUE"""),"BIDIRECCIONAL")</f>
        <v>BIDIRECCIONAL</v>
      </c>
      <c r="AQ307" s="1" t="str">
        <f>IFERROR(__xludf.DUMMYFUNCTION("""COMPUTED_VALUE"""),"ORGANICO")</f>
        <v>ORGANICO</v>
      </c>
      <c r="AR307" s="1" t="str">
        <f>IFERROR(__xludf.DUMMYFUNCTION("""COMPUTED_VALUE"""),"NUEVO")</f>
        <v>NUEVO</v>
      </c>
      <c r="AS307" s="1"/>
      <c r="AT307" s="2">
        <f>IFERROR(__xludf.DUMMYFUNCTION("""COMPUTED_VALUE"""),45661.0)</f>
        <v>45661</v>
      </c>
      <c r="AU307" s="1">
        <f>IFERROR(__xludf.DUMMYFUNCTION("""COMPUTED_VALUE"""),1.0)</f>
        <v>1</v>
      </c>
      <c r="AV307" s="1" t="str">
        <f>IFERROR(__xludf.DUMMYFUNCTION("""COMPUTED_VALUE"""),"TRASLADO")</f>
        <v>TRASLADO</v>
      </c>
      <c r="AW307" s="1" t="str">
        <f>IFERROR(__xludf.DUMMYFUNCTION("""COMPUTED_VALUE"""),"SI")</f>
        <v>SI</v>
      </c>
      <c r="AX307" s="1"/>
      <c r="AY307" s="1" t="str">
        <f>IFERROR(__xludf.DUMMYFUNCTION("""COMPUTED_VALUE"""),"PAGO COMPLETO")</f>
        <v>PAGO COMPLETO</v>
      </c>
      <c r="AZ307" s="5">
        <f>IFERROR(__xludf.DUMMYFUNCTION("""COMPUTED_VALUE"""),45664.0)</f>
        <v>45664</v>
      </c>
      <c r="BA307" s="1">
        <f>IFERROR(__xludf.DUMMYFUNCTION("""COMPUTED_VALUE"""),0.0)</f>
        <v>0</v>
      </c>
      <c r="BB307" s="1">
        <f>IFERROR(__xludf.DUMMYFUNCTION("""COMPUTED_VALUE"""),0.0)</f>
        <v>0</v>
      </c>
      <c r="BC307" s="4">
        <f>IFERROR(__xludf.DUMMYFUNCTION("""COMPUTED_VALUE"""),0.0)</f>
        <v>0</v>
      </c>
      <c r="BD307" s="4">
        <f>IFERROR(__xludf.DUMMYFUNCTION("""COMPUTED_VALUE"""),0.0)</f>
        <v>0</v>
      </c>
      <c r="BE307" s="1">
        <f>IFERROR(__xludf.DUMMYFUNCTION("""COMPUTED_VALUE"""),1.0)</f>
        <v>1</v>
      </c>
      <c r="BF307" s="6">
        <f>IFERROR(__xludf.DUMMYFUNCTION("""COMPUTED_VALUE"""),1.0)</f>
        <v>1</v>
      </c>
      <c r="BG307" s="1">
        <f>IFERROR(__xludf.DUMMYFUNCTION("""COMPUTED_VALUE"""),1.0)</f>
        <v>1</v>
      </c>
      <c r="BH307" s="1" t="str">
        <f>IFERROR(__xludf.DUMMYFUNCTION("""COMPUTED_VALUE"""),"1")</f>
        <v>1</v>
      </c>
      <c r="BI307" s="4">
        <f>IFERROR(__xludf.DUMMYFUNCTION("""COMPUTED_VALUE"""),0.0)</f>
        <v>0</v>
      </c>
      <c r="BJ307" s="1">
        <f>IFERROR(__xludf.DUMMYFUNCTION("""COMPUTED_VALUE"""),0.0)</f>
        <v>0</v>
      </c>
      <c r="BK307" s="4">
        <f>IFERROR(__xludf.DUMMYFUNCTION("""COMPUTED_VALUE"""),0.0)</f>
        <v>0</v>
      </c>
      <c r="BL307" s="1">
        <f>IFERROR(__xludf.DUMMYFUNCTION("""COMPUTED_VALUE"""),1150.0)</f>
        <v>1150</v>
      </c>
      <c r="BM307" s="1" t="str">
        <f>IFERROR(__xludf.DUMMYFUNCTION("""COMPUTED_VALUE"""),"#REF!")</f>
        <v>#REF!</v>
      </c>
      <c r="BN307" s="1" t="str">
        <f>IFERROR(__xludf.DUMMYFUNCTION("""COMPUTED_VALUE"""),"#REF!")</f>
        <v>#REF!</v>
      </c>
      <c r="BO307" s="1" t="str">
        <f>IFERROR(__xludf.DUMMYFUNCTION("""COMPUTED_VALUE"""),"#REF!")</f>
        <v>#REF!</v>
      </c>
      <c r="BP307" s="1" t="str">
        <f>IFERROR(__xludf.DUMMYFUNCTION("""COMPUTED_VALUE"""),"#REF!")</f>
        <v>#REF!</v>
      </c>
    </row>
    <row r="308">
      <c r="A308" s="1">
        <f>IFERROR(__xludf.DUMMYFUNCTION("""COMPUTED_VALUE"""),307.0)</f>
        <v>307</v>
      </c>
      <c r="B308" s="1">
        <f>IFERROR(__xludf.DUMMYFUNCTION("""COMPUTED_VALUE"""),1195492.0)</f>
        <v>1195492</v>
      </c>
      <c r="C308" s="1" t="str">
        <f>IFERROR(__xludf.DUMMYFUNCTION("""COMPUTED_VALUE"""),"2025-1")</f>
        <v>2025-1</v>
      </c>
      <c r="D308" s="1" t="str">
        <f>IFERROR(__xludf.DUMMYFUNCTION("""COMPUTED_VALUE"""),"Admisión Ordinaria")</f>
        <v>Admisión Ordinaria</v>
      </c>
      <c r="E308" s="2">
        <f>IFERROR(__xludf.DUMMYFUNCTION("""COMPUTED_VALUE"""),45664.0)</f>
        <v>45664</v>
      </c>
      <c r="F308" s="1" t="str">
        <f>IFERROR(__xludf.DUMMYFUNCTION("""COMPUTED_VALUE"""),"WALTER JESÚS")</f>
        <v>WALTER JESÚS</v>
      </c>
      <c r="G308" s="1" t="str">
        <f>IFERROR(__xludf.DUMMYFUNCTION("""COMPUTED_VALUE"""),"ALDAY MAGUIÑA")</f>
        <v>ALDAY MAGUIÑA</v>
      </c>
      <c r="H308" s="1" t="str">
        <f>IFERROR(__xludf.DUMMYFUNCTION("""COMPUTED_VALUE"""),"Psicología")</f>
        <v>Psicología</v>
      </c>
      <c r="I308" s="1" t="str">
        <f>IFERROR(__xludf.DUMMYFUNCTION("""COMPUTED_VALUE"""),"Pago Link")</f>
        <v>Pago Link</v>
      </c>
      <c r="J308" s="1" t="str">
        <f>IFERROR(__xludf.DUMMYFUNCTION("""COMPUTED_VALUE"""),"Nocturno - A distancia")</f>
        <v>Nocturno - A distancia</v>
      </c>
      <c r="K308" s="1" t="str">
        <f>IFERROR(__xludf.DUMMYFUNCTION("""COMPUTED_VALUE"""),"NUEVO")</f>
        <v>NUEVO</v>
      </c>
      <c r="L308" s="1">
        <f>IFERROR(__xludf.DUMMYFUNCTION("""COMPUTED_VALUE"""),0.0)</f>
        <v>0</v>
      </c>
      <c r="M308" s="1">
        <f>IFERROR(__xludf.DUMMYFUNCTION("""COMPUTED_VALUE"""),0.0)</f>
        <v>0</v>
      </c>
      <c r="N308" s="1" t="str">
        <f>IFERROR(__xludf.DUMMYFUNCTION("""COMPUTED_VALUE"""),"ESCALA DISTANCIA")</f>
        <v>ESCALA DISTANCIA</v>
      </c>
      <c r="O308" s="1" t="str">
        <f>IFERROR(__xludf.DUMMYFUNCTION("""COMPUTED_VALUE"""),"ESCALA DISTANCIA REGULAR")</f>
        <v>ESCALA DISTANCIA REGULAR</v>
      </c>
      <c r="P308" s="4">
        <f>IFERROR(__xludf.DUMMYFUNCTION("""COMPUTED_VALUE"""),0.0)</f>
        <v>0</v>
      </c>
      <c r="Q308" s="4">
        <f>IFERROR(__xludf.DUMMYFUNCTION("""COMPUTED_VALUE"""),0.0)</f>
        <v>0</v>
      </c>
      <c r="R308" s="4">
        <f>IFERROR(__xludf.DUMMYFUNCTION("""COMPUTED_VALUE"""),1415.0)</f>
        <v>1415</v>
      </c>
      <c r="S308" s="4">
        <f>IFERROR(__xludf.DUMMYFUNCTION("""COMPUTED_VALUE"""),700.0)</f>
        <v>700</v>
      </c>
      <c r="T308" s="1" t="str">
        <f>IFERROR(__xludf.DUMMYFUNCTION("""COMPUTED_VALUE"""),"NINGUNO")</f>
        <v>NINGUNO</v>
      </c>
      <c r="U308" s="1" t="str">
        <f>IFERROR(__xludf.DUMMYFUNCTION("""COMPUTED_VALUE"""),"RODRIGO")</f>
        <v>RODRIGO</v>
      </c>
      <c r="V308" s="1" t="str">
        <f>IFERROR(__xludf.DUMMYFUNCTION("""COMPUTED_VALUE"""),"Ninguno")</f>
        <v>Ninguno</v>
      </c>
      <c r="W308" s="1" t="str">
        <f>IFERROR(__xludf.DUMMYFUNCTION("""COMPUTED_VALUE"""),"Precio accesible")</f>
        <v>Precio accesible</v>
      </c>
      <c r="X308" s="1" t="str">
        <f>IFERROR(__xludf.DUMMYFUNCTION("""COMPUTED_VALUE"""),"-")</f>
        <v>-</v>
      </c>
      <c r="Y308" s="1" t="str">
        <f>IFERROR(__xludf.DUMMYFUNCTION("""COMPUTED_VALUE"""),"PAGO COMPLETO")</f>
        <v>PAGO COMPLETO</v>
      </c>
      <c r="Z308" s="1">
        <f>IFERROR(__xludf.DUMMYFUNCTION("""COMPUTED_VALUE"""),0.0)</f>
        <v>0</v>
      </c>
      <c r="AA308" s="1" t="str">
        <f>IFERROR(__xludf.DUMMYFUNCTION("""COMPUTED_VALUE"""),"-")</f>
        <v>-</v>
      </c>
      <c r="AB308" s="1">
        <f>IFERROR(__xludf.DUMMYFUNCTION("""COMPUTED_VALUE"""),0.0)</f>
        <v>0</v>
      </c>
      <c r="AC308" s="1">
        <f>IFERROR(__xludf.DUMMYFUNCTION("""COMPUTED_VALUE"""),0.0)</f>
        <v>0</v>
      </c>
      <c r="AD308" s="1" t="str">
        <f>IFERROR(__xludf.DUMMYFUNCTION("""COMPUTED_VALUE"""),"César Alberto Loayza Gutiérrez")</f>
        <v>César Alberto Loayza Gutiérrez</v>
      </c>
      <c r="AE308" s="1" t="str">
        <f>IFERROR(__xludf.DUMMYFUNCTION("""COMPUTED_VALUE"""),"0")</f>
        <v>0</v>
      </c>
      <c r="AF308" s="1">
        <f>IFERROR(__xludf.DUMMYFUNCTION("""COMPUTED_VALUE"""),2020.0)</f>
        <v>2020</v>
      </c>
      <c r="AG308" s="1">
        <f>IFERROR(__xludf.DUMMYFUNCTION("""COMPUTED_VALUE"""),0.0)</f>
        <v>0</v>
      </c>
      <c r="AH308" s="1">
        <f>IFERROR(__xludf.DUMMYFUNCTION("""COMPUTED_VALUE"""),42.0)</f>
        <v>42</v>
      </c>
      <c r="AI308" s="1" t="str">
        <f>IFERROR(__xludf.DUMMYFUNCTION("""COMPUTED_VALUE"""),"0000407868")</f>
        <v>0000407868</v>
      </c>
      <c r="AJ308" s="1">
        <f>IFERROR(__xludf.DUMMYFUNCTION("""COMPUTED_VALUE"""),4.4114561E7)</f>
        <v>44114561</v>
      </c>
      <c r="AK308" s="1">
        <f>IFERROR(__xludf.DUMMYFUNCTION("""COMPUTED_VALUE"""),9.47384856E8)</f>
        <v>947384856</v>
      </c>
      <c r="AL308" s="1" t="str">
        <f>IFERROR(__xludf.DUMMYFUNCTION("""COMPUTED_VALUE"""),"waltermaguina83@gmail.com")</f>
        <v>waltermaguina83@gmail.com</v>
      </c>
      <c r="AM308" s="1" t="str">
        <f>IFERROR(__xludf.DUMMYFUNCTION("""COMPUTED_VALUE"""),"MASCULINO")</f>
        <v>MASCULINO</v>
      </c>
      <c r="AN308" s="1">
        <f>IFERROR(__xludf.DUMMYFUNCTION("""COMPUTED_VALUE"""),1350.0)</f>
        <v>1350</v>
      </c>
      <c r="AO308" s="1">
        <f>IFERROR(__xludf.DUMMYFUNCTION("""COMPUTED_VALUE"""),0.0)</f>
        <v>0</v>
      </c>
      <c r="AP308" s="1" t="str">
        <f>IFERROR(__xludf.DUMMYFUNCTION("""COMPUTED_VALUE"""),"FORMULARIO")</f>
        <v>FORMULARIO</v>
      </c>
      <c r="AQ308" s="1" t="str">
        <f>IFERROR(__xludf.DUMMYFUNCTION("""COMPUTED_VALUE"""),"SEARCH CARRERA")</f>
        <v>SEARCH CARRERA</v>
      </c>
      <c r="AR308" s="1" t="str">
        <f>IFERROR(__xludf.DUMMYFUNCTION("""COMPUTED_VALUE"""),"NUEVO")</f>
        <v>NUEVO</v>
      </c>
      <c r="AS308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308" s="2">
        <f>IFERROR(__xludf.DUMMYFUNCTION("""COMPUTED_VALUE"""),45640.0)</f>
        <v>45640</v>
      </c>
      <c r="AU308" s="1">
        <f>IFERROR(__xludf.DUMMYFUNCTION("""COMPUTED_VALUE"""),1.0)</f>
        <v>1</v>
      </c>
      <c r="AV308" s="1" t="str">
        <f>IFERROR(__xludf.DUMMYFUNCTION("""COMPUTED_VALUE"""),"NUEVO")</f>
        <v>NUEVO</v>
      </c>
      <c r="AW308" s="1" t="str">
        <f>IFERROR(__xludf.DUMMYFUNCTION("""COMPUTED_VALUE"""),"SI")</f>
        <v>SI</v>
      </c>
      <c r="AX308" s="1"/>
      <c r="AY308" s="1" t="str">
        <f>IFERROR(__xludf.DUMMYFUNCTION("""COMPUTED_VALUE"""),"PAGO COMPLETO")</f>
        <v>PAGO COMPLETO</v>
      </c>
      <c r="AZ308" s="5">
        <f>IFERROR(__xludf.DUMMYFUNCTION("""COMPUTED_VALUE"""),45664.0)</f>
        <v>45664</v>
      </c>
      <c r="BA308" s="1">
        <f>IFERROR(__xludf.DUMMYFUNCTION("""COMPUTED_VALUE"""),0.0)</f>
        <v>0</v>
      </c>
      <c r="BB308" s="1">
        <f>IFERROR(__xludf.DUMMYFUNCTION("""COMPUTED_VALUE"""),0.0)</f>
        <v>0</v>
      </c>
      <c r="BC308" s="4">
        <f>IFERROR(__xludf.DUMMYFUNCTION("""COMPUTED_VALUE"""),0.0)</f>
        <v>0</v>
      </c>
      <c r="BD308" s="4">
        <f>IFERROR(__xludf.DUMMYFUNCTION("""COMPUTED_VALUE"""),0.0)</f>
        <v>0</v>
      </c>
      <c r="BE308" s="1">
        <f>IFERROR(__xludf.DUMMYFUNCTION("""COMPUTED_VALUE"""),1.0)</f>
        <v>1</v>
      </c>
      <c r="BF308" s="6">
        <f>IFERROR(__xludf.DUMMYFUNCTION("""COMPUTED_VALUE"""),1.0)</f>
        <v>1</v>
      </c>
      <c r="BG308" s="1">
        <f>IFERROR(__xludf.DUMMYFUNCTION("""COMPUTED_VALUE"""),1.0)</f>
        <v>1</v>
      </c>
      <c r="BH308" s="1" t="str">
        <f>IFERROR(__xludf.DUMMYFUNCTION("""COMPUTED_VALUE"""),"0")</f>
        <v>0</v>
      </c>
      <c r="BI308" s="4">
        <f>IFERROR(__xludf.DUMMYFUNCTION("""COMPUTED_VALUE"""),0.0)</f>
        <v>0</v>
      </c>
      <c r="BJ308" s="1">
        <f>IFERROR(__xludf.DUMMYFUNCTION("""COMPUTED_VALUE"""),0.0)</f>
        <v>0</v>
      </c>
      <c r="BK308" s="4">
        <f>IFERROR(__xludf.DUMMYFUNCTION("""COMPUTED_VALUE"""),0.0)</f>
        <v>0</v>
      </c>
      <c r="BL308" s="1">
        <f>IFERROR(__xludf.DUMMYFUNCTION("""COMPUTED_VALUE"""),700.0)</f>
        <v>700</v>
      </c>
      <c r="BM308" s="1" t="str">
        <f>IFERROR(__xludf.DUMMYFUNCTION("""COMPUTED_VALUE"""),"#REF!")</f>
        <v>#REF!</v>
      </c>
      <c r="BN308" s="1" t="str">
        <f>IFERROR(__xludf.DUMMYFUNCTION("""COMPUTED_VALUE"""),"#REF!")</f>
        <v>#REF!</v>
      </c>
      <c r="BO308" s="1" t="str">
        <f>IFERROR(__xludf.DUMMYFUNCTION("""COMPUTED_VALUE"""),"#REF!")</f>
        <v>#REF!</v>
      </c>
      <c r="BP308" s="1" t="str">
        <f>IFERROR(__xludf.DUMMYFUNCTION("""COMPUTED_VALUE"""),"#REF!")</f>
        <v>#REF!</v>
      </c>
    </row>
    <row r="309">
      <c r="A309" s="1">
        <f>IFERROR(__xludf.DUMMYFUNCTION("""COMPUTED_VALUE"""),308.0)</f>
        <v>308</v>
      </c>
      <c r="B309" s="1">
        <f>IFERROR(__xludf.DUMMYFUNCTION("""COMPUTED_VALUE"""),2673627.0)</f>
        <v>2673627</v>
      </c>
      <c r="C309" s="1" t="str">
        <f>IFERROR(__xludf.DUMMYFUNCTION("""COMPUTED_VALUE"""),"2025-1")</f>
        <v>2025-1</v>
      </c>
      <c r="D309" s="1" t="str">
        <f>IFERROR(__xludf.DUMMYFUNCTION("""COMPUTED_VALUE"""),"Admisión Ordinaria")</f>
        <v>Admisión Ordinaria</v>
      </c>
      <c r="E309" s="2">
        <f>IFERROR(__xludf.DUMMYFUNCTION("""COMPUTED_VALUE"""),45665.0)</f>
        <v>45665</v>
      </c>
      <c r="F309" s="1" t="str">
        <f>IFERROR(__xludf.DUMMYFUNCTION("""COMPUTED_VALUE"""),"CRISTHIAN ALDO ")</f>
        <v>CRISTHIAN ALDO </v>
      </c>
      <c r="G309" s="1" t="str">
        <f>IFERROR(__xludf.DUMMYFUNCTION("""COMPUTED_VALUE"""),"RIOS PONCE")</f>
        <v>RIOS PONCE</v>
      </c>
      <c r="H309" s="1" t="str">
        <f>IFERROR(__xludf.DUMMYFUNCTION("""COMPUTED_VALUE"""),"Marketing e Innovación")</f>
        <v>Marketing e Innovación</v>
      </c>
      <c r="I309" s="1" t="str">
        <f>IFERROR(__xludf.DUMMYFUNCTION("""COMPUTED_VALUE"""),"Pago Link")</f>
        <v>Pago Link</v>
      </c>
      <c r="J309" s="1" t="str">
        <f>IFERROR(__xludf.DUMMYFUNCTION("""COMPUTED_VALUE"""),"Diurno")</f>
        <v>Diurno</v>
      </c>
      <c r="K309" s="1" t="str">
        <f>IFERROR(__xludf.DUMMYFUNCTION("""COMPUTED_VALUE"""),"NUEVO")</f>
        <v>NUEVO</v>
      </c>
      <c r="L309" s="1">
        <f>IFERROR(__xludf.DUMMYFUNCTION("""COMPUTED_VALUE"""),0.0)</f>
        <v>0</v>
      </c>
      <c r="M309" s="1">
        <f>IFERROR(__xludf.DUMMYFUNCTION("""COMPUTED_VALUE"""),0.0)</f>
        <v>0</v>
      </c>
      <c r="N309" s="1" t="str">
        <f>IFERROR(__xludf.DUMMYFUNCTION("""COMPUTED_VALUE"""),"ESCALA DISTANCIA")</f>
        <v>ESCALA DISTANCIA</v>
      </c>
      <c r="O309" s="1" t="str">
        <f>IFERROR(__xludf.DUMMYFUNCTION("""COMPUTED_VALUE"""),"ESCALA DISTANCIA REGULAR")</f>
        <v>ESCALA DISTANCIA REGULAR</v>
      </c>
      <c r="P309" s="4">
        <f>IFERROR(__xludf.DUMMYFUNCTION("""COMPUTED_VALUE"""),0.0)</f>
        <v>0</v>
      </c>
      <c r="Q309" s="4">
        <f>IFERROR(__xludf.DUMMYFUNCTION("""COMPUTED_VALUE"""),0.0)</f>
        <v>0</v>
      </c>
      <c r="R309" s="4">
        <f>IFERROR(__xludf.DUMMYFUNCTION("""COMPUTED_VALUE"""),1600.0)</f>
        <v>1600</v>
      </c>
      <c r="S309" s="4">
        <f>IFERROR(__xludf.DUMMYFUNCTION("""COMPUTED_VALUE"""),700.0)</f>
        <v>700</v>
      </c>
      <c r="T309" s="1" t="str">
        <f>IFERROR(__xludf.DUMMYFUNCTION("""COMPUTED_VALUE"""),"Referido")</f>
        <v>Referido</v>
      </c>
      <c r="U309" s="1" t="str">
        <f>IFERROR(__xludf.DUMMYFUNCTION("""COMPUTED_VALUE"""),"FABIOLA")</f>
        <v>FABIOLA</v>
      </c>
      <c r="V309" s="1" t="str">
        <f>IFERROR(__xludf.DUMMYFUNCTION("""COMPUTED_VALUE"""),"Ninguno")</f>
        <v>Ninguno</v>
      </c>
      <c r="W309" s="1" t="str">
        <f>IFERROR(__xludf.DUMMYFUNCTION("""COMPUTED_VALUE"""),"Flexibilidad de horarios")</f>
        <v>Flexibilidad de horarios</v>
      </c>
      <c r="X309" s="1" t="str">
        <f>IFERROR(__xludf.DUMMYFUNCTION("""COMPUTED_VALUE"""),"REFERIDO DE SU HERMANA ASTRID RIOS 61058610")</f>
        <v>REFERIDO DE SU HERMANA ASTRID RIOS 61058610</v>
      </c>
      <c r="Y309" s="1" t="str">
        <f>IFERROR(__xludf.DUMMYFUNCTION("""COMPUTED_VALUE"""),"PAGO FRACCIONADO")</f>
        <v>PAGO FRACCIONADO</v>
      </c>
      <c r="Z309" s="1">
        <f>IFERROR(__xludf.DUMMYFUNCTION("""COMPUTED_VALUE"""),350.0)</f>
        <v>350</v>
      </c>
      <c r="AA309" s="1" t="str">
        <f>IFERROR(__xludf.DUMMYFUNCTION("""COMPUTED_VALUE"""),"15/01/2025")</f>
        <v>15/01/2025</v>
      </c>
      <c r="AB309" s="1">
        <f>IFERROR(__xludf.DUMMYFUNCTION("""COMPUTED_VALUE"""),0.0)</f>
        <v>0</v>
      </c>
      <c r="AC309" s="1">
        <f>IFERROR(__xludf.DUMMYFUNCTION("""COMPUTED_VALUE"""),0.0)</f>
        <v>0</v>
      </c>
      <c r="AD309" s="1" t="str">
        <f>IFERROR(__xludf.DUMMYFUNCTION("""COMPUTED_VALUE"""),"Daniel Zapata")</f>
        <v>Daniel Zapata</v>
      </c>
      <c r="AE309" s="1" t="str">
        <f>IFERROR(__xludf.DUMMYFUNCTION("""COMPUTED_VALUE"""),"0")</f>
        <v>0</v>
      </c>
      <c r="AF309" s="1">
        <f>IFERROR(__xludf.DUMMYFUNCTION("""COMPUTED_VALUE"""),2017.0)</f>
        <v>2017</v>
      </c>
      <c r="AG309" s="1">
        <f>IFERROR(__xludf.DUMMYFUNCTION("""COMPUTED_VALUE"""),582031.0)</f>
        <v>582031</v>
      </c>
      <c r="AH309" s="1">
        <f>IFERROR(__xludf.DUMMYFUNCTION("""COMPUTED_VALUE"""),25.0)</f>
        <v>25</v>
      </c>
      <c r="AI309" s="1" t="str">
        <f>IFERROR(__xludf.DUMMYFUNCTION("""COMPUTED_VALUE"""),"0000072712")</f>
        <v>0000072712</v>
      </c>
      <c r="AJ309" s="1">
        <f>IFERROR(__xludf.DUMMYFUNCTION("""COMPUTED_VALUE"""),7.3172404E7)</f>
        <v>73172404</v>
      </c>
      <c r="AK309" s="1">
        <f>IFERROR(__xludf.DUMMYFUNCTION("""COMPUTED_VALUE"""),9.86618713E8)</f>
        <v>986618713</v>
      </c>
      <c r="AL309" s="1" t="str">
        <f>IFERROR(__xludf.DUMMYFUNCTION("""COMPUTED_VALUE"""),"riosponcecristhianaldo@gmail.com")</f>
        <v>riosponcecristhianaldo@gmail.com</v>
      </c>
      <c r="AM309" s="1" t="str">
        <f>IFERROR(__xludf.DUMMYFUNCTION("""COMPUTED_VALUE"""),"MASCULINO")</f>
        <v>MASCULINO</v>
      </c>
      <c r="AN309" s="1">
        <f>IFERROR(__xludf.DUMMYFUNCTION("""COMPUTED_VALUE"""),0.0)</f>
        <v>0</v>
      </c>
      <c r="AO309" s="1">
        <f>IFERROR(__xludf.DUMMYFUNCTION("""COMPUTED_VALUE"""),420.0)</f>
        <v>420</v>
      </c>
      <c r="AP309" s="1" t="str">
        <f>IFERROR(__xludf.DUMMYFUNCTION("""COMPUTED_VALUE"""),"INBOUND")</f>
        <v>INBOUND</v>
      </c>
      <c r="AQ309" s="1" t="str">
        <f>IFERROR(__xludf.DUMMYFUNCTION("""COMPUTED_VALUE"""),"INBOUND")</f>
        <v>INBOUND</v>
      </c>
      <c r="AR309" s="1" t="str">
        <f>IFERROR(__xludf.DUMMYFUNCTION("""COMPUTED_VALUE"""),"NUEVO")</f>
        <v>NUEVO</v>
      </c>
      <c r="AS309" s="1"/>
      <c r="AT309" s="2">
        <f>IFERROR(__xludf.DUMMYFUNCTION("""COMPUTED_VALUE"""),45664.0)</f>
        <v>45664</v>
      </c>
      <c r="AU309" s="1">
        <f>IFERROR(__xludf.DUMMYFUNCTION("""COMPUTED_VALUE"""),1.0)</f>
        <v>1</v>
      </c>
      <c r="AV309" s="1" t="str">
        <f>IFERROR(__xludf.DUMMYFUNCTION("""COMPUTED_VALUE"""),"NUEVO")</f>
        <v>NUEVO</v>
      </c>
      <c r="AW309" s="1" t="str">
        <f>IFERROR(__xludf.DUMMYFUNCTION("""COMPUTED_VALUE"""),"SI")</f>
        <v>SI</v>
      </c>
      <c r="AX309" s="1"/>
      <c r="AY309" s="1" t="str">
        <f>IFERROR(__xludf.DUMMYFUNCTION("""COMPUTED_VALUE"""),"PAGO COMPLETO")</f>
        <v>PAGO COMPLETO</v>
      </c>
      <c r="AZ309" s="5">
        <f>IFERROR(__xludf.DUMMYFUNCTION("""COMPUTED_VALUE"""),45672.0)</f>
        <v>45672</v>
      </c>
      <c r="BA309" s="1">
        <f>IFERROR(__xludf.DUMMYFUNCTION("""COMPUTED_VALUE"""),350.0)</f>
        <v>350</v>
      </c>
      <c r="BB309" s="1">
        <f>IFERROR(__xludf.DUMMYFUNCTION("""COMPUTED_VALUE"""),0.0)</f>
        <v>0</v>
      </c>
      <c r="BC309" s="4">
        <f>IFERROR(__xludf.DUMMYFUNCTION("""COMPUTED_VALUE"""),0.0)</f>
        <v>0</v>
      </c>
      <c r="BD309" s="4">
        <f>IFERROR(__xludf.DUMMYFUNCTION("""COMPUTED_VALUE"""),0.0)</f>
        <v>0</v>
      </c>
      <c r="BE309" s="1">
        <f>IFERROR(__xludf.DUMMYFUNCTION("""COMPUTED_VALUE"""),1.0)</f>
        <v>1</v>
      </c>
      <c r="BF309" s="6">
        <f>IFERROR(__xludf.DUMMYFUNCTION("""COMPUTED_VALUE"""),1.0)</f>
        <v>1</v>
      </c>
      <c r="BG309" s="1">
        <f>IFERROR(__xludf.DUMMYFUNCTION("""COMPUTED_VALUE"""),1.0)</f>
        <v>1</v>
      </c>
      <c r="BH309" s="1" t="str">
        <f>IFERROR(__xludf.DUMMYFUNCTION("""COMPUTED_VALUE"""),"0")</f>
        <v>0</v>
      </c>
      <c r="BI309" s="4">
        <f>IFERROR(__xludf.DUMMYFUNCTION("""COMPUTED_VALUE"""),700.0)</f>
        <v>700</v>
      </c>
      <c r="BJ309" s="1">
        <f>IFERROR(__xludf.DUMMYFUNCTION("""COMPUTED_VALUE"""),0.0)</f>
        <v>0</v>
      </c>
      <c r="BK309" s="4">
        <f>IFERROR(__xludf.DUMMYFUNCTION("""COMPUTED_VALUE"""),350.0)</f>
        <v>350</v>
      </c>
      <c r="BL309" s="1">
        <f>IFERROR(__xludf.DUMMYFUNCTION("""COMPUTED_VALUE"""),630.0)</f>
        <v>630</v>
      </c>
      <c r="BM309" s="1" t="str">
        <f>IFERROR(__xludf.DUMMYFUNCTION("""COMPUTED_VALUE"""),"#REF!")</f>
        <v>#REF!</v>
      </c>
      <c r="BN309" s="1" t="str">
        <f>IFERROR(__xludf.DUMMYFUNCTION("""COMPUTED_VALUE"""),"#REF!")</f>
        <v>#REF!</v>
      </c>
      <c r="BO309" s="1" t="str">
        <f>IFERROR(__xludf.DUMMYFUNCTION("""COMPUTED_VALUE"""),"#REF!")</f>
        <v>#REF!</v>
      </c>
      <c r="BP309" s="1" t="str">
        <f>IFERROR(__xludf.DUMMYFUNCTION("""COMPUTED_VALUE"""),"#REF!")</f>
        <v>#REF!</v>
      </c>
    </row>
    <row r="310">
      <c r="A310" s="1">
        <f>IFERROR(__xludf.DUMMYFUNCTION("""COMPUTED_VALUE"""),309.0)</f>
        <v>309</v>
      </c>
      <c r="B310" s="1">
        <f>IFERROR(__xludf.DUMMYFUNCTION("""COMPUTED_VALUE"""),4872992.0)</f>
        <v>4872992</v>
      </c>
      <c r="C310" s="1" t="str">
        <f>IFERROR(__xludf.DUMMYFUNCTION("""COMPUTED_VALUE"""),"2025-1")</f>
        <v>2025-1</v>
      </c>
      <c r="D310" s="1" t="str">
        <f>IFERROR(__xludf.DUMMYFUNCTION("""COMPUTED_VALUE"""),"Admisión Ordinaria")</f>
        <v>Admisión Ordinaria</v>
      </c>
      <c r="E310" s="2">
        <f>IFERROR(__xludf.DUMMYFUNCTION("""COMPUTED_VALUE"""),45665.0)</f>
        <v>45665</v>
      </c>
      <c r="F310" s="1" t="str">
        <f>IFERROR(__xludf.DUMMYFUNCTION("""COMPUTED_VALUE"""),"CAMILA XIOMARA")</f>
        <v>CAMILA XIOMARA</v>
      </c>
      <c r="G310" s="1" t="str">
        <f>IFERROR(__xludf.DUMMYFUNCTION("""COMPUTED_VALUE"""),"PARIONA CASTILLA")</f>
        <v>PARIONA CASTILLA</v>
      </c>
      <c r="H310" s="1" t="str">
        <f>IFERROR(__xludf.DUMMYFUNCTION("""COMPUTED_VALUE"""),"Comunicación Audiovisual y Cine")</f>
        <v>Comunicación Audiovisual y Cine</v>
      </c>
      <c r="I310" s="1" t="str">
        <f>IFERROR(__xludf.DUMMYFUNCTION("""COMPUTED_VALUE"""),"POS")</f>
        <v>POS</v>
      </c>
      <c r="J310" s="1" t="str">
        <f>IFERROR(__xludf.DUMMYFUNCTION("""COMPUTED_VALUE"""),"Diurno")</f>
        <v>Diurno</v>
      </c>
      <c r="K310" s="1" t="str">
        <f>IFERROR(__xludf.DUMMYFUNCTION("""COMPUTED_VALUE"""),"NUEVO")</f>
        <v>NUEVO</v>
      </c>
      <c r="L310" s="1">
        <f>IFERROR(__xludf.DUMMYFUNCTION("""COMPUTED_VALUE"""),0.0)</f>
        <v>0</v>
      </c>
      <c r="M310" s="1">
        <f>IFERROR(__xludf.DUMMYFUNCTION("""COMPUTED_VALUE"""),0.0)</f>
        <v>0</v>
      </c>
      <c r="N310" s="1" t="str">
        <f>IFERROR(__xludf.DUMMYFUNCTION("""COMPUTED_VALUE"""),"BECA")</f>
        <v>BECA</v>
      </c>
      <c r="O310" s="1" t="str">
        <f>IFERROR(__xludf.DUMMYFUNCTION("""COMPUTED_VALUE"""),"BECA CARRERAS CORE")</f>
        <v>BECA CARRERAS CORE</v>
      </c>
      <c r="P310" s="4">
        <f>IFERROR(__xludf.DUMMYFUNCTION("""COMPUTED_VALUE"""),0.0)</f>
        <v>0</v>
      </c>
      <c r="Q310" s="4">
        <f>IFERROR(__xludf.DUMMYFUNCTION("""COMPUTED_VALUE"""),0.0)</f>
        <v>0</v>
      </c>
      <c r="R310" s="4">
        <f>IFERROR(__xludf.DUMMYFUNCTION("""COMPUTED_VALUE"""),1600.0)</f>
        <v>1600</v>
      </c>
      <c r="S310" s="4">
        <f>IFERROR(__xludf.DUMMYFUNCTION("""COMPUTED_VALUE"""),1280.0)</f>
        <v>1280</v>
      </c>
      <c r="T310" s="1" t="str">
        <f>IFERROR(__xludf.DUMMYFUNCTION("""COMPUTED_VALUE"""),"NINGUNO")</f>
        <v>NINGUNO</v>
      </c>
      <c r="U310" s="1" t="str">
        <f>IFERROR(__xludf.DUMMYFUNCTION("""COMPUTED_VALUE"""),"SEBASTIAN")</f>
        <v>SEBASTIAN</v>
      </c>
      <c r="V310" s="1" t="str">
        <f>IFERROR(__xludf.DUMMYFUNCTION("""COMPUTED_VALUE"""),"Ninguno")</f>
        <v>Ninguno</v>
      </c>
      <c r="W310" s="1" t="str">
        <f>IFERROR(__xludf.DUMMYFUNCTION("""COMPUTED_VALUE"""),"Otros")</f>
        <v>Otros</v>
      </c>
      <c r="X310" s="1" t="str">
        <f>IFERROR(__xludf.DUMMYFUNCTION("""COMPUTED_VALUE"""),"Porque tenemos cine")</f>
        <v>Porque tenemos cine</v>
      </c>
      <c r="Y310" s="1" t="str">
        <f>IFERROR(__xludf.DUMMYFUNCTION("""COMPUTED_VALUE"""),"PAGO COMPLETO")</f>
        <v>PAGO COMPLETO</v>
      </c>
      <c r="Z310" s="1">
        <f>IFERROR(__xludf.DUMMYFUNCTION("""COMPUTED_VALUE"""),0.0)</f>
        <v>0</v>
      </c>
      <c r="AA310" s="1" t="str">
        <f>IFERROR(__xludf.DUMMYFUNCTION("""COMPUTED_VALUE"""),"-")</f>
        <v>-</v>
      </c>
      <c r="AB310" s="1">
        <f>IFERROR(__xludf.DUMMYFUNCTION("""COMPUTED_VALUE"""),1.0)</f>
        <v>1</v>
      </c>
      <c r="AC310" s="1">
        <f>IFERROR(__xludf.DUMMYFUNCTION("""COMPUTED_VALUE"""),0.0)</f>
        <v>0</v>
      </c>
      <c r="AD310" s="1" t="str">
        <f>IFERROR(__xludf.DUMMYFUNCTION("""COMPUTED_VALUE"""),"Stefano Napuri")</f>
        <v>Stefano Napuri</v>
      </c>
      <c r="AE310" s="1" t="str">
        <f>IFERROR(__xludf.DUMMYFUNCTION("""COMPUTED_VALUE"""),"Pontificia Universidad Católica Del Peru")</f>
        <v>Pontificia Universidad Católica Del Peru</v>
      </c>
      <c r="AF310" s="1">
        <f>IFERROR(__xludf.DUMMYFUNCTION("""COMPUTED_VALUE"""),2021.0)</f>
        <v>2021</v>
      </c>
      <c r="AG310" s="1">
        <f>IFERROR(__xludf.DUMMYFUNCTION("""COMPUTED_VALUE"""),1049576.0)</f>
        <v>1049576</v>
      </c>
      <c r="AH310" s="1">
        <f>IFERROR(__xludf.DUMMYFUNCTION("""COMPUTED_VALUE"""),21.0)</f>
        <v>21</v>
      </c>
      <c r="AI310" s="1" t="str">
        <f>IFERROR(__xludf.DUMMYFUNCTION("""COMPUTED_VALUE"""),"0000407958")</f>
        <v>0000407958</v>
      </c>
      <c r="AJ310" s="1">
        <f>IFERROR(__xludf.DUMMYFUNCTION("""COMPUTED_VALUE"""),7.6924408E7)</f>
        <v>76924408</v>
      </c>
      <c r="AK310" s="1">
        <f>IFERROR(__xludf.DUMMYFUNCTION("""COMPUTED_VALUE"""),9.24830832E8)</f>
        <v>924830832</v>
      </c>
      <c r="AL310" s="1" t="str">
        <f>IFERROR(__xludf.DUMMYFUNCTION("""COMPUTED_VALUE"""),"cxpariona@gmail.com")</f>
        <v>cxpariona@gmail.com</v>
      </c>
      <c r="AM310" s="1" t="str">
        <f>IFERROR(__xludf.DUMMYFUNCTION("""COMPUTED_VALUE"""),"FEMENINO")</f>
        <v>FEMENINO</v>
      </c>
      <c r="AN310" s="1">
        <f>IFERROR(__xludf.DUMMYFUNCTION("""COMPUTED_VALUE"""),1850.0)</f>
        <v>1850</v>
      </c>
      <c r="AO310" s="1">
        <f>IFERROR(__xludf.DUMMYFUNCTION("""COMPUTED_VALUE"""),585.0)</f>
        <v>585</v>
      </c>
      <c r="AP310" s="1" t="str">
        <f>IFERROR(__xludf.DUMMYFUNCTION("""COMPUTED_VALUE"""),"FORMULARIO")</f>
        <v>FORMULARIO</v>
      </c>
      <c r="AQ310" s="1" t="str">
        <f>IFERROR(__xludf.DUMMYFUNCTION("""COMPUTED_VALUE"""),"ORGANICO")</f>
        <v>ORGANICO</v>
      </c>
      <c r="AR310" s="1" t="str">
        <f>IFERROR(__xludf.DUMMYFUNCTION("""COMPUTED_VALUE"""),"HEREDADO")</f>
        <v>HEREDADO</v>
      </c>
      <c r="AS310" s="1"/>
      <c r="AT310" s="2">
        <f>IFERROR(__xludf.DUMMYFUNCTION("""COMPUTED_VALUE"""),45639.0)</f>
        <v>45639</v>
      </c>
      <c r="AU310" s="1">
        <f>IFERROR(__xludf.DUMMYFUNCTION("""COMPUTED_VALUE"""),1.0)</f>
        <v>1</v>
      </c>
      <c r="AV310" s="1" t="str">
        <f>IFERROR(__xludf.DUMMYFUNCTION("""COMPUTED_VALUE"""),"NUEVO")</f>
        <v>NUEVO</v>
      </c>
      <c r="AW310" s="1" t="str">
        <f>IFERROR(__xludf.DUMMYFUNCTION("""COMPUTED_VALUE"""),"SI")</f>
        <v>SI</v>
      </c>
      <c r="AX310" s="1"/>
      <c r="AY310" s="1" t="str">
        <f>IFERROR(__xludf.DUMMYFUNCTION("""COMPUTED_VALUE"""),"PAGO COMPLETO")</f>
        <v>PAGO COMPLETO</v>
      </c>
      <c r="AZ310" s="5">
        <f>IFERROR(__xludf.DUMMYFUNCTION("""COMPUTED_VALUE"""),45665.0)</f>
        <v>45665</v>
      </c>
      <c r="BA310" s="1">
        <f>IFERROR(__xludf.DUMMYFUNCTION("""COMPUTED_VALUE"""),0.0)</f>
        <v>0</v>
      </c>
      <c r="BB310" s="1">
        <f>IFERROR(__xludf.DUMMYFUNCTION("""COMPUTED_VALUE"""),0.0)</f>
        <v>0</v>
      </c>
      <c r="BC310" s="4">
        <f>IFERROR(__xludf.DUMMYFUNCTION("""COMPUTED_VALUE"""),0.0)</f>
        <v>0</v>
      </c>
      <c r="BD310" s="4">
        <f>IFERROR(__xludf.DUMMYFUNCTION("""COMPUTED_VALUE"""),0.0)</f>
        <v>0</v>
      </c>
      <c r="BE310" s="1">
        <f>IFERROR(__xludf.DUMMYFUNCTION("""COMPUTED_VALUE"""),1.0)</f>
        <v>1</v>
      </c>
      <c r="BF310" s="6">
        <f>IFERROR(__xludf.DUMMYFUNCTION("""COMPUTED_VALUE"""),1.0)</f>
        <v>1</v>
      </c>
      <c r="BG310" s="1">
        <f>IFERROR(__xludf.DUMMYFUNCTION("""COMPUTED_VALUE"""),1.0)</f>
        <v>1</v>
      </c>
      <c r="BH310" s="1" t="str">
        <f>IFERROR(__xludf.DUMMYFUNCTION("""COMPUTED_VALUE"""),"0")</f>
        <v>0</v>
      </c>
      <c r="BI310" s="4">
        <f>IFERROR(__xludf.DUMMYFUNCTION("""COMPUTED_VALUE"""),0.0)</f>
        <v>0</v>
      </c>
      <c r="BJ310" s="1">
        <f>IFERROR(__xludf.DUMMYFUNCTION("""COMPUTED_VALUE"""),0.0)</f>
        <v>0</v>
      </c>
      <c r="BK310" s="4">
        <f>IFERROR(__xludf.DUMMYFUNCTION("""COMPUTED_VALUE"""),0.0)</f>
        <v>0</v>
      </c>
      <c r="BL310" s="1">
        <f>IFERROR(__xludf.DUMMYFUNCTION("""COMPUTED_VALUE"""),1280.0)</f>
        <v>1280</v>
      </c>
      <c r="BM310" s="1">
        <f>IFERROR(__xludf.DUMMYFUNCTION("""COMPUTED_VALUE"""),2.0)</f>
        <v>2</v>
      </c>
      <c r="BN310" s="2">
        <f>IFERROR(__xludf.DUMMYFUNCTION("""COMPUTED_VALUE"""),45663.0)</f>
        <v>45663</v>
      </c>
      <c r="BO310" s="1">
        <f>IFERROR(__xludf.DUMMYFUNCTION("""COMPUTED_VALUE"""),1.0)</f>
        <v>1</v>
      </c>
      <c r="BP310" s="1">
        <f>IFERROR(__xludf.DUMMYFUNCTION("""COMPUTED_VALUE"""),2025.0)</f>
        <v>2025</v>
      </c>
    </row>
    <row r="311">
      <c r="A311" s="1">
        <f>IFERROR(__xludf.DUMMYFUNCTION("""COMPUTED_VALUE"""),310.0)</f>
        <v>310</v>
      </c>
      <c r="B311" s="1">
        <f>IFERROR(__xludf.DUMMYFUNCTION("""COMPUTED_VALUE"""),2606633.0)</f>
        <v>2606633</v>
      </c>
      <c r="C311" s="1" t="str">
        <f>IFERROR(__xludf.DUMMYFUNCTION("""COMPUTED_VALUE"""),"2025-1")</f>
        <v>2025-1</v>
      </c>
      <c r="D311" s="1" t="str">
        <f>IFERROR(__xludf.DUMMYFUNCTION("""COMPUTED_VALUE"""),"Admisión de Alto Rendimiento")</f>
        <v>Admisión de Alto Rendimiento</v>
      </c>
      <c r="E311" s="2">
        <f>IFERROR(__xludf.DUMMYFUNCTION("""COMPUTED_VALUE"""),45665.0)</f>
        <v>45665</v>
      </c>
      <c r="F311" s="1" t="str">
        <f>IFERROR(__xludf.DUMMYFUNCTION("""COMPUTED_VALUE"""),"ALISSON GABRIELA")</f>
        <v>ALISSON GABRIELA</v>
      </c>
      <c r="G311" s="1" t="str">
        <f>IFERROR(__xludf.DUMMYFUNCTION("""COMPUTED_VALUE"""),"NAVARRO NORIEGA")</f>
        <v>NAVARRO NORIEGA</v>
      </c>
      <c r="H311" s="1" t="str">
        <f>IFERROR(__xludf.DUMMYFUNCTION("""COMPUTED_VALUE"""),"Comunicación Audiovisual y Cine")</f>
        <v>Comunicación Audiovisual y Cine</v>
      </c>
      <c r="I311" s="1" t="str">
        <f>IFERROR(__xludf.DUMMYFUNCTION("""COMPUTED_VALUE"""),"POS")</f>
        <v>POS</v>
      </c>
      <c r="J311" s="1" t="str">
        <f>IFERROR(__xludf.DUMMYFUNCTION("""COMPUTED_VALUE"""),"Diurno")</f>
        <v>Diurno</v>
      </c>
      <c r="K311" s="1" t="str">
        <f>IFERROR(__xludf.DUMMYFUNCTION("""COMPUTED_VALUE"""),"NUEVO")</f>
        <v>NUEVO</v>
      </c>
      <c r="L311" s="1">
        <f>IFERROR(__xludf.DUMMYFUNCTION("""COMPUTED_VALUE"""),0.0)</f>
        <v>0</v>
      </c>
      <c r="M311" s="1">
        <f>IFERROR(__xludf.DUMMYFUNCTION("""COMPUTED_VALUE"""),0.0)</f>
        <v>0</v>
      </c>
      <c r="N311" s="1" t="str">
        <f>IFERROR(__xludf.DUMMYFUNCTION("""COMPUTED_VALUE"""),"RECA-BECA")</f>
        <v>RECA-BECA</v>
      </c>
      <c r="O311" s="1" t="str">
        <f>IFERROR(__xludf.DUMMYFUNCTION("""COMPUTED_VALUE"""),"BECA CONGELADA DE 2 AÑOS")</f>
        <v>BECA CONGELADA DE 2 AÑOS</v>
      </c>
      <c r="P311" s="4">
        <f>IFERROR(__xludf.DUMMYFUNCTION("""COMPUTED_VALUE"""),100.0)</f>
        <v>100</v>
      </c>
      <c r="Q311" s="4">
        <f>IFERROR(__xludf.DUMMYFUNCTION("""COMPUTED_VALUE"""),237.5)</f>
        <v>237.5</v>
      </c>
      <c r="R311" s="4">
        <f>IFERROR(__xludf.DUMMYFUNCTION("""COMPUTED_VALUE"""),1075.0)</f>
        <v>1075</v>
      </c>
      <c r="S311" s="4">
        <f>IFERROR(__xludf.DUMMYFUNCTION("""COMPUTED_VALUE"""),900.0)</f>
        <v>900</v>
      </c>
      <c r="T311" s="1" t="str">
        <f>IFERROR(__xludf.DUMMYFUNCTION("""COMPUTED_VALUE"""),"NINGUNO")</f>
        <v>NINGUNO</v>
      </c>
      <c r="U311" s="1" t="str">
        <f>IFERROR(__xludf.DUMMYFUNCTION("""COMPUTED_VALUE"""),"SEBASTIAN")</f>
        <v>SEBASTIAN</v>
      </c>
      <c r="V311" s="1" t="str">
        <f>IFERROR(__xludf.DUMMYFUNCTION("""COMPUTED_VALUE"""),"Ninguno")</f>
        <v>Ninguno</v>
      </c>
      <c r="W311" s="1" t="str">
        <f>IFERROR(__xludf.DUMMYFUNCTION("""COMPUTED_VALUE"""),"Prestigio de la institución")</f>
        <v>Prestigio de la institución</v>
      </c>
      <c r="X311" s="1" t="str">
        <f>IFERROR(__xludf.DUMMYFUNCTION("""COMPUTED_VALUE"""),"-")</f>
        <v>-</v>
      </c>
      <c r="Y311" s="1" t="str">
        <f>IFERROR(__xludf.DUMMYFUNCTION("""COMPUTED_VALUE"""),"PAGO COMPLETO")</f>
        <v>PAGO COMPLETO</v>
      </c>
      <c r="Z311" s="1">
        <f>IFERROR(__xludf.DUMMYFUNCTION("""COMPUTED_VALUE"""),0.0)</f>
        <v>0</v>
      </c>
      <c r="AA311" s="1" t="str">
        <f>IFERROR(__xludf.DUMMYFUNCTION("""COMPUTED_VALUE"""),"-")</f>
        <v>-</v>
      </c>
      <c r="AB311" s="1">
        <f>IFERROR(__xludf.DUMMYFUNCTION("""COMPUTED_VALUE"""),0.0)</f>
        <v>0</v>
      </c>
      <c r="AC311" s="1">
        <f>IFERROR(__xludf.DUMMYFUNCTION("""COMPUTED_VALUE"""),0.0)</f>
        <v>0</v>
      </c>
      <c r="AD311" s="1" t="str">
        <f>IFERROR(__xludf.DUMMYFUNCTION("""COMPUTED_VALUE"""),"Angelica Iparraguirre")</f>
        <v>Angelica Iparraguirre</v>
      </c>
      <c r="AE311" s="1" t="str">
        <f>IFERROR(__xludf.DUMMYFUNCTION("""COMPUTED_VALUE"""),"0")</f>
        <v>0</v>
      </c>
      <c r="AF311" s="1">
        <f>IFERROR(__xludf.DUMMYFUNCTION("""COMPUTED_VALUE"""),2024.0)</f>
        <v>2024</v>
      </c>
      <c r="AG311" s="1">
        <f>IFERROR(__xludf.DUMMYFUNCTION("""COMPUTED_VALUE"""),1576933.0)</f>
        <v>1576933</v>
      </c>
      <c r="AH311" s="1">
        <f>IFERROR(__xludf.DUMMYFUNCTION("""COMPUTED_VALUE"""),17.0)</f>
        <v>17</v>
      </c>
      <c r="AI311" s="1" t="str">
        <f>IFERROR(__xludf.DUMMYFUNCTION("""COMPUTED_VALUE"""),"0000407968")</f>
        <v>0000407968</v>
      </c>
      <c r="AJ311" s="1">
        <f>IFERROR(__xludf.DUMMYFUNCTION("""COMPUTED_VALUE"""),7.233108E7)</f>
        <v>72331080</v>
      </c>
      <c r="AK311" s="1">
        <f>IFERROR(__xludf.DUMMYFUNCTION("""COMPUTED_VALUE"""),9.44938461E8)</f>
        <v>944938461</v>
      </c>
      <c r="AL311" s="1" t="str">
        <f>IFERROR(__xludf.DUMMYFUNCTION("""COMPUTED_VALUE"""),"alissongabriela875@gmail.com")</f>
        <v>alissongabriela875@gmail.com</v>
      </c>
      <c r="AM311" s="1" t="str">
        <f>IFERROR(__xludf.DUMMYFUNCTION("""COMPUTED_VALUE"""),"FEMENINO")</f>
        <v>FEMENINO</v>
      </c>
      <c r="AN311" s="1">
        <f>IFERROR(__xludf.DUMMYFUNCTION("""COMPUTED_VALUE"""),1350.0)</f>
        <v>1350</v>
      </c>
      <c r="AO311" s="1">
        <f>IFERROR(__xludf.DUMMYFUNCTION("""COMPUTED_VALUE"""),0.0)</f>
        <v>0</v>
      </c>
      <c r="AP311" s="1" t="str">
        <f>IFERROR(__xludf.DUMMYFUNCTION("""COMPUTED_VALUE"""),"COLEGIOS")</f>
        <v>COLEGIOS</v>
      </c>
      <c r="AQ311" s="1" t="str">
        <f>IFERROR(__xludf.DUMMYFUNCTION("""COMPUTED_VALUE"""),"COLEGIOS")</f>
        <v>COLEGIOS</v>
      </c>
      <c r="AR311" s="1" t="str">
        <f>IFERROR(__xludf.DUMMYFUNCTION("""COMPUTED_VALUE"""),"NUEVO")</f>
        <v>NUEVO</v>
      </c>
      <c r="AS311" s="1"/>
      <c r="AT311" s="2">
        <f>IFERROR(__xludf.DUMMYFUNCTION("""COMPUTED_VALUE"""),45532.0)</f>
        <v>45532</v>
      </c>
      <c r="AU311" s="1">
        <f>IFERROR(__xludf.DUMMYFUNCTION("""COMPUTED_VALUE"""),1.0)</f>
        <v>1</v>
      </c>
      <c r="AV311" s="1" t="str">
        <f>IFERROR(__xludf.DUMMYFUNCTION("""COMPUTED_VALUE"""),"NUEVO")</f>
        <v>NUEVO</v>
      </c>
      <c r="AW311" s="1" t="str">
        <f>IFERROR(__xludf.DUMMYFUNCTION("""COMPUTED_VALUE"""),"SI")</f>
        <v>SI</v>
      </c>
      <c r="AX311" s="1"/>
      <c r="AY311" s="1" t="str">
        <f>IFERROR(__xludf.DUMMYFUNCTION("""COMPUTED_VALUE"""),"PAGO COMPLETO")</f>
        <v>PAGO COMPLETO</v>
      </c>
      <c r="AZ311" s="5">
        <f>IFERROR(__xludf.DUMMYFUNCTION("""COMPUTED_VALUE"""),45665.0)</f>
        <v>45665</v>
      </c>
      <c r="BA311" s="1">
        <f>IFERROR(__xludf.DUMMYFUNCTION("""COMPUTED_VALUE"""),0.0)</f>
        <v>0</v>
      </c>
      <c r="BB311" s="1">
        <f>IFERROR(__xludf.DUMMYFUNCTION("""COMPUTED_VALUE"""),0.0)</f>
        <v>0</v>
      </c>
      <c r="BC311" s="4">
        <f>IFERROR(__xludf.DUMMYFUNCTION("""COMPUTED_VALUE"""),0.0)</f>
        <v>0</v>
      </c>
      <c r="BD311" s="4">
        <f>IFERROR(__xludf.DUMMYFUNCTION("""COMPUTED_VALUE"""),0.0)</f>
        <v>0</v>
      </c>
      <c r="BE311" s="1">
        <f>IFERROR(__xludf.DUMMYFUNCTION("""COMPUTED_VALUE"""),1.0)</f>
        <v>1</v>
      </c>
      <c r="BF311" s="6">
        <f>IFERROR(__xludf.DUMMYFUNCTION("""COMPUTED_VALUE"""),1.0)</f>
        <v>1</v>
      </c>
      <c r="BG311" s="1">
        <f>IFERROR(__xludf.DUMMYFUNCTION("""COMPUTED_VALUE"""),1.0)</f>
        <v>1</v>
      </c>
      <c r="BH311" s="1" t="str">
        <f>IFERROR(__xludf.DUMMYFUNCTION("""COMPUTED_VALUE"""),"0")</f>
        <v>0</v>
      </c>
      <c r="BI311" s="4">
        <f>IFERROR(__xludf.DUMMYFUNCTION("""COMPUTED_VALUE"""),0.0)</f>
        <v>0</v>
      </c>
      <c r="BJ311" s="1">
        <f>IFERROR(__xludf.DUMMYFUNCTION("""COMPUTED_VALUE"""),0.0)</f>
        <v>0</v>
      </c>
      <c r="BK311" s="4">
        <f>IFERROR(__xludf.DUMMYFUNCTION("""COMPUTED_VALUE"""),0.0)</f>
        <v>0</v>
      </c>
      <c r="BL311" s="1">
        <f>IFERROR(__xludf.DUMMYFUNCTION("""COMPUTED_VALUE"""),900.0)</f>
        <v>900</v>
      </c>
      <c r="BM311" s="1">
        <f>IFERROR(__xludf.DUMMYFUNCTION("""COMPUTED_VALUE"""),2.0)</f>
        <v>2</v>
      </c>
      <c r="BN311" s="2">
        <f>IFERROR(__xludf.DUMMYFUNCTION("""COMPUTED_VALUE"""),45663.0)</f>
        <v>45663</v>
      </c>
      <c r="BO311" s="1">
        <f>IFERROR(__xludf.DUMMYFUNCTION("""COMPUTED_VALUE"""),1.0)</f>
        <v>1</v>
      </c>
      <c r="BP311" s="1">
        <f>IFERROR(__xludf.DUMMYFUNCTION("""COMPUTED_VALUE"""),2025.0)</f>
        <v>2025</v>
      </c>
    </row>
    <row r="312">
      <c r="A312" s="1">
        <f>IFERROR(__xludf.DUMMYFUNCTION("""COMPUTED_VALUE"""),311.0)</f>
        <v>311</v>
      </c>
      <c r="B312" s="1">
        <f>IFERROR(__xludf.DUMMYFUNCTION("""COMPUTED_VALUE"""),4931353.0)</f>
        <v>4931353</v>
      </c>
      <c r="C312" s="1" t="str">
        <f>IFERROR(__xludf.DUMMYFUNCTION("""COMPUTED_VALUE"""),"2025-1")</f>
        <v>2025-1</v>
      </c>
      <c r="D312" s="1" t="str">
        <f>IFERROR(__xludf.DUMMYFUNCTION("""COMPUTED_VALUE"""),"Admisión de Alto Rendimiento")</f>
        <v>Admisión de Alto Rendimiento</v>
      </c>
      <c r="E312" s="2">
        <f>IFERROR(__xludf.DUMMYFUNCTION("""COMPUTED_VALUE"""),45665.0)</f>
        <v>45665</v>
      </c>
      <c r="F312" s="1" t="str">
        <f>IFERROR(__xludf.DUMMYFUNCTION("""COMPUTED_VALUE"""),"HÉCTOR ALEJANDRO ")</f>
        <v>HÉCTOR ALEJANDRO </v>
      </c>
      <c r="G312" s="1" t="str">
        <f>IFERROR(__xludf.DUMMYFUNCTION("""COMPUTED_VALUE"""),"DÍAZ PEREZ")</f>
        <v>DÍAZ PEREZ</v>
      </c>
      <c r="H312" s="1" t="str">
        <f>IFERROR(__xludf.DUMMYFUNCTION("""COMPUTED_VALUE"""),"Administración y Negocios Internacionales")</f>
        <v>Administración y Negocios Internacionales</v>
      </c>
      <c r="I312" s="1" t="str">
        <f>IFERROR(__xludf.DUMMYFUNCTION("""COMPUTED_VALUE"""),"POS")</f>
        <v>POS</v>
      </c>
      <c r="J312" s="1" t="str">
        <f>IFERROR(__xludf.DUMMYFUNCTION("""COMPUTED_VALUE"""),"Nocturno - A distancia")</f>
        <v>Nocturno - A distancia</v>
      </c>
      <c r="K312" s="1" t="str">
        <f>IFERROR(__xludf.DUMMYFUNCTION("""COMPUTED_VALUE"""),"NUEVO")</f>
        <v>NUEVO</v>
      </c>
      <c r="L312" s="1">
        <f>IFERROR(__xludf.DUMMYFUNCTION("""COMPUTED_VALUE"""),0.0)</f>
        <v>0</v>
      </c>
      <c r="M312" s="1">
        <f>IFERROR(__xludf.DUMMYFUNCTION("""COMPUTED_VALUE"""),0.0)</f>
        <v>0</v>
      </c>
      <c r="N312" s="1" t="str">
        <f>IFERROR(__xludf.DUMMYFUNCTION("""COMPUTED_VALUE"""),"ESCALA DISTANCIA")</f>
        <v>ESCALA DISTANCIA</v>
      </c>
      <c r="O312" s="1" t="str">
        <f>IFERROR(__xludf.DUMMYFUNCTION("""COMPUTED_VALUE"""),"ESCALA DISTANCIA REGULAR")</f>
        <v>ESCALA DISTANCIA REGULAR</v>
      </c>
      <c r="P312" s="4">
        <f>IFERROR(__xludf.DUMMYFUNCTION("""COMPUTED_VALUE"""),0.0)</f>
        <v>0</v>
      </c>
      <c r="Q312" s="4">
        <f>IFERROR(__xludf.DUMMYFUNCTION("""COMPUTED_VALUE"""),0.0)</f>
        <v>0</v>
      </c>
      <c r="R312" s="4">
        <f>IFERROR(__xludf.DUMMYFUNCTION("""COMPUTED_VALUE"""),700.0)</f>
        <v>700</v>
      </c>
      <c r="S312" s="4">
        <f>IFERROR(__xludf.DUMMYFUNCTION("""COMPUTED_VALUE"""),700.0)</f>
        <v>700</v>
      </c>
      <c r="T312" s="1" t="str">
        <f>IFERROR(__xludf.DUMMYFUNCTION("""COMPUTED_VALUE"""),"PALANCA 700")</f>
        <v>PALANCA 700</v>
      </c>
      <c r="U312" s="1" t="str">
        <f>IFERROR(__xludf.DUMMYFUNCTION("""COMPUTED_VALUE"""),"RODRIGO")</f>
        <v>RODRIGO</v>
      </c>
      <c r="V312" s="1" t="str">
        <f>IFERROR(__xludf.DUMMYFUNCTION("""COMPUTED_VALUE"""),"Ninguno")</f>
        <v>Ninguno</v>
      </c>
      <c r="W312" s="1" t="str">
        <f>IFERROR(__xludf.DUMMYFUNCTION("""COMPUTED_VALUE"""),"Ubicación de sede")</f>
        <v>Ubicación de sede</v>
      </c>
      <c r="X312" s="1" t="str">
        <f>IFERROR(__xludf.DUMMYFUNCTION("""COMPUTED_VALUE"""),"posible cambio a presencial")</f>
        <v>posible cambio a presencial</v>
      </c>
      <c r="Y312" s="1" t="str">
        <f>IFERROR(__xludf.DUMMYFUNCTION("""COMPUTED_VALUE"""),"PAGO COMPLETO")</f>
        <v>PAGO COMPLETO</v>
      </c>
      <c r="Z312" s="1">
        <f>IFERROR(__xludf.DUMMYFUNCTION("""COMPUTED_VALUE"""),0.0)</f>
        <v>0</v>
      </c>
      <c r="AA312" s="1" t="str">
        <f>IFERROR(__xludf.DUMMYFUNCTION("""COMPUTED_VALUE"""),"-")</f>
        <v>-</v>
      </c>
      <c r="AB312" s="1">
        <f>IFERROR(__xludf.DUMMYFUNCTION("""COMPUTED_VALUE"""),0.0)</f>
        <v>0</v>
      </c>
      <c r="AC312" s="1">
        <f>IFERROR(__xludf.DUMMYFUNCTION("""COMPUTED_VALUE"""),0.0)</f>
        <v>0</v>
      </c>
      <c r="AD312" s="1" t="str">
        <f>IFERROR(__xludf.DUMMYFUNCTION("""COMPUTED_VALUE"""),"Rosa Ugarte")</f>
        <v>Rosa Ugarte</v>
      </c>
      <c r="AE312" s="1" t="str">
        <f>IFERROR(__xludf.DUMMYFUNCTION("""COMPUTED_VALUE"""),"0")</f>
        <v>0</v>
      </c>
      <c r="AF312" s="1">
        <f>IFERROR(__xludf.DUMMYFUNCTION("""COMPUTED_VALUE"""),2024.0)</f>
        <v>2024</v>
      </c>
      <c r="AG312" s="1">
        <f>IFERROR(__xludf.DUMMYFUNCTION("""COMPUTED_VALUE"""),1075902.0)</f>
        <v>1075902</v>
      </c>
      <c r="AH312" s="1">
        <f>IFERROR(__xludf.DUMMYFUNCTION("""COMPUTED_VALUE"""),18.0)</f>
        <v>18</v>
      </c>
      <c r="AI312" s="1" t="str">
        <f>IFERROR(__xludf.DUMMYFUNCTION("""COMPUTED_VALUE"""),"0000407854")</f>
        <v>0000407854</v>
      </c>
      <c r="AJ312" s="1">
        <f>IFERROR(__xludf.DUMMYFUNCTION("""COMPUTED_VALUE"""),7.0702523E7)</f>
        <v>70702523</v>
      </c>
      <c r="AK312" s="1">
        <f>IFERROR(__xludf.DUMMYFUNCTION("""COMPUTED_VALUE"""),9.2160134E8)</f>
        <v>921601340</v>
      </c>
      <c r="AL312" s="1" t="str">
        <f>IFERROR(__xludf.DUMMYFUNCTION("""COMPUTED_VALUE"""),"adr2016.work@gmail.com")</f>
        <v>adr2016.work@gmail.com</v>
      </c>
      <c r="AM312" s="1" t="str">
        <f>IFERROR(__xludf.DUMMYFUNCTION("""COMPUTED_VALUE"""),"MASCULINO")</f>
        <v>MASCULINO</v>
      </c>
      <c r="AN312" s="1">
        <f>IFERROR(__xludf.DUMMYFUNCTION("""COMPUTED_VALUE"""),2425.0)</f>
        <v>2425</v>
      </c>
      <c r="AO312" s="1">
        <f>IFERROR(__xludf.DUMMYFUNCTION("""COMPUTED_VALUE"""),975.0)</f>
        <v>975</v>
      </c>
      <c r="AP312" s="1" t="str">
        <f>IFERROR(__xludf.DUMMYFUNCTION("""COMPUTED_VALUE"""),"FORMULARIO")</f>
        <v>FORMULARIO</v>
      </c>
      <c r="AQ312" s="1" t="str">
        <f>IFERROR(__xludf.DUMMYFUNCTION("""COMPUTED_VALUE"""),"SEARCH MARCA")</f>
        <v>SEARCH MARCA</v>
      </c>
      <c r="AR312" s="1" t="str">
        <f>IFERROR(__xludf.DUMMYFUNCTION("""COMPUTED_VALUE"""),"NUEVO")</f>
        <v>NUEVO</v>
      </c>
      <c r="AS312" s="1" t="str">
        <f>IFERROR(__xludf.DUMMYFUNCTION("""COMPUTED_VALUE"""),"ucal-pg-performance-sedes-abierta-cpl-search_conversion_marca-20240401")</f>
        <v>ucal-pg-performance-sedes-abierta-cpl-search_conversion_marca-20240401</v>
      </c>
      <c r="AT312" s="2">
        <f>IFERROR(__xludf.DUMMYFUNCTION("""COMPUTED_VALUE"""),45664.0)</f>
        <v>45664</v>
      </c>
      <c r="AU312" s="1">
        <f>IFERROR(__xludf.DUMMYFUNCTION("""COMPUTED_VALUE"""),1.0)</f>
        <v>1</v>
      </c>
      <c r="AV312" s="1" t="str">
        <f>IFERROR(__xludf.DUMMYFUNCTION("""COMPUTED_VALUE"""),"NUEVO")</f>
        <v>NUEVO</v>
      </c>
      <c r="AW312" s="1" t="str">
        <f>IFERROR(__xludf.DUMMYFUNCTION("""COMPUTED_VALUE"""),"SI")</f>
        <v>SI</v>
      </c>
      <c r="AX312" s="1"/>
      <c r="AY312" s="1" t="str">
        <f>IFERROR(__xludf.DUMMYFUNCTION("""COMPUTED_VALUE"""),"PAGO COMPLETO")</f>
        <v>PAGO COMPLETO</v>
      </c>
      <c r="AZ312" s="5">
        <f>IFERROR(__xludf.DUMMYFUNCTION("""COMPUTED_VALUE"""),45665.0)</f>
        <v>45665</v>
      </c>
      <c r="BA312" s="1">
        <f>IFERROR(__xludf.DUMMYFUNCTION("""COMPUTED_VALUE"""),0.0)</f>
        <v>0</v>
      </c>
      <c r="BB312" s="1">
        <f>IFERROR(__xludf.DUMMYFUNCTION("""COMPUTED_VALUE"""),0.0)</f>
        <v>0</v>
      </c>
      <c r="BC312" s="4">
        <f>IFERROR(__xludf.DUMMYFUNCTION("""COMPUTED_VALUE"""),0.0)</f>
        <v>0</v>
      </c>
      <c r="BD312" s="4">
        <f>IFERROR(__xludf.DUMMYFUNCTION("""COMPUTED_VALUE"""),0.0)</f>
        <v>0</v>
      </c>
      <c r="BE312" s="1">
        <f>IFERROR(__xludf.DUMMYFUNCTION("""COMPUTED_VALUE"""),1.0)</f>
        <v>1</v>
      </c>
      <c r="BF312" s="6">
        <f>IFERROR(__xludf.DUMMYFUNCTION("""COMPUTED_VALUE"""),1.0)</f>
        <v>1</v>
      </c>
      <c r="BG312" s="1">
        <f>IFERROR(__xludf.DUMMYFUNCTION("""COMPUTED_VALUE"""),1.0)</f>
        <v>1</v>
      </c>
      <c r="BH312" s="1" t="str">
        <f>IFERROR(__xludf.DUMMYFUNCTION("""COMPUTED_VALUE"""),"0")</f>
        <v>0</v>
      </c>
      <c r="BI312" s="4">
        <f>IFERROR(__xludf.DUMMYFUNCTION("""COMPUTED_VALUE"""),0.0)</f>
        <v>0</v>
      </c>
      <c r="BJ312" s="1">
        <f>IFERROR(__xludf.DUMMYFUNCTION("""COMPUTED_VALUE"""),0.0)</f>
        <v>0</v>
      </c>
      <c r="BK312" s="4">
        <f>IFERROR(__xludf.DUMMYFUNCTION("""COMPUTED_VALUE"""),0.0)</f>
        <v>0</v>
      </c>
      <c r="BL312" s="1">
        <f>IFERROR(__xludf.DUMMYFUNCTION("""COMPUTED_VALUE"""),700.0)</f>
        <v>700</v>
      </c>
      <c r="BM312" s="1">
        <f>IFERROR(__xludf.DUMMYFUNCTION("""COMPUTED_VALUE"""),2.0)</f>
        <v>2</v>
      </c>
      <c r="BN312" s="2">
        <f>IFERROR(__xludf.DUMMYFUNCTION("""COMPUTED_VALUE"""),45663.0)</f>
        <v>45663</v>
      </c>
      <c r="BO312" s="1">
        <f>IFERROR(__xludf.DUMMYFUNCTION("""COMPUTED_VALUE"""),1.0)</f>
        <v>1</v>
      </c>
      <c r="BP312" s="1">
        <f>IFERROR(__xludf.DUMMYFUNCTION("""COMPUTED_VALUE"""),2025.0)</f>
        <v>2025</v>
      </c>
    </row>
    <row r="313">
      <c r="A313" s="1">
        <f>IFERROR(__xludf.DUMMYFUNCTION("""COMPUTED_VALUE"""),312.0)</f>
        <v>312</v>
      </c>
      <c r="B313" s="1">
        <f>IFERROR(__xludf.DUMMYFUNCTION("""COMPUTED_VALUE"""),4932475.0)</f>
        <v>4932475</v>
      </c>
      <c r="C313" s="1" t="str">
        <f>IFERROR(__xludf.DUMMYFUNCTION("""COMPUTED_VALUE"""),"2025-1")</f>
        <v>2025-1</v>
      </c>
      <c r="D313" s="1" t="str">
        <f>IFERROR(__xludf.DUMMYFUNCTION("""COMPUTED_VALUE"""),"Admisión Ordinaria")</f>
        <v>Admisión Ordinaria</v>
      </c>
      <c r="E313" s="2">
        <f>IFERROR(__xludf.DUMMYFUNCTION("""COMPUTED_VALUE"""),45665.0)</f>
        <v>45665</v>
      </c>
      <c r="F313" s="1" t="str">
        <f>IFERROR(__xludf.DUMMYFUNCTION("""COMPUTED_VALUE"""),"AALIYAH ")</f>
        <v>AALIYAH </v>
      </c>
      <c r="G313" s="1" t="str">
        <f>IFERROR(__xludf.DUMMYFUNCTION("""COMPUTED_VALUE"""),"ALVAREZ GALVEZ")</f>
        <v>ALVAREZ GALVEZ</v>
      </c>
      <c r="H313" s="1" t="str">
        <f>IFERROR(__xludf.DUMMYFUNCTION("""COMPUTED_VALUE"""),"Comunicación y Publicidad Transmedia")</f>
        <v>Comunicación y Publicidad Transmedia</v>
      </c>
      <c r="I313" s="1" t="str">
        <f>IFERROR(__xludf.DUMMYFUNCTION("""COMPUTED_VALUE"""),"CARGO")</f>
        <v>CARGO</v>
      </c>
      <c r="J313" s="1" t="str">
        <f>IFERROR(__xludf.DUMMYFUNCTION("""COMPUTED_VALUE"""),"Diurno")</f>
        <v>Diurno</v>
      </c>
      <c r="K313" s="1" t="str">
        <f>IFERROR(__xludf.DUMMYFUNCTION("""COMPUTED_VALUE"""),"NUEVO")</f>
        <v>NUEVO</v>
      </c>
      <c r="L313" s="1">
        <f>IFERROR(__xludf.DUMMYFUNCTION("""COMPUTED_VALUE"""),0.0)</f>
        <v>0</v>
      </c>
      <c r="M313" s="1">
        <f>IFERROR(__xludf.DUMMYFUNCTION("""COMPUTED_VALUE"""),0.0)</f>
        <v>0</v>
      </c>
      <c r="N313" s="1" t="str">
        <f>IFERROR(__xludf.DUMMYFUNCTION("""COMPUTED_VALUE"""),"BECA")</f>
        <v>BECA</v>
      </c>
      <c r="O313" s="1" t="str">
        <f>IFERROR(__xludf.DUMMYFUNCTION("""COMPUTED_VALUE"""),"BECA CARRERAS CORE")</f>
        <v>BECA CARRERAS CORE</v>
      </c>
      <c r="P313" s="4">
        <f>IFERROR(__xludf.DUMMYFUNCTION("""COMPUTED_VALUE"""),0.0)</f>
        <v>0</v>
      </c>
      <c r="Q313" s="4">
        <f>IFERROR(__xludf.DUMMYFUNCTION("""COMPUTED_VALUE"""),0.0)</f>
        <v>0</v>
      </c>
      <c r="R313" s="4">
        <f>IFERROR(__xludf.DUMMYFUNCTION("""COMPUTED_VALUE"""),1150.0)</f>
        <v>1150</v>
      </c>
      <c r="S313" s="4">
        <f>IFERROR(__xludf.DUMMYFUNCTION("""COMPUTED_VALUE"""),1000.0)</f>
        <v>1000</v>
      </c>
      <c r="T313" s="1" t="str">
        <f>IFERROR(__xludf.DUMMYFUNCTION("""COMPUTED_VALUE"""),"PALANCA 700")</f>
        <v>PALANCA 700</v>
      </c>
      <c r="U313" s="1" t="str">
        <f>IFERROR(__xludf.DUMMYFUNCTION("""COMPUTED_VALUE"""),"FABIOLA")</f>
        <v>FABIOLA</v>
      </c>
      <c r="V313" s="1" t="str">
        <f>IFERROR(__xludf.DUMMYFUNCTION("""COMPUTED_VALUE"""),"Ninguno")</f>
        <v>Ninguno</v>
      </c>
      <c r="W313" s="1" t="str">
        <f>IFERROR(__xludf.DUMMYFUNCTION("""COMPUTED_VALUE"""),"Metodología de enseñanza")</f>
        <v>Metodología de enseñanza</v>
      </c>
      <c r="X313" s="1" t="str">
        <f>IFERROR(__xludf.DUMMYFUNCTION("""COMPUTED_VALUE"""),"metodologia")</f>
        <v>metodologia</v>
      </c>
      <c r="Y313" s="1" t="str">
        <f>IFERROR(__xludf.DUMMYFUNCTION("""COMPUTED_VALUE"""),"PAGO COMPLETO")</f>
        <v>PAGO COMPLETO</v>
      </c>
      <c r="Z313" s="1">
        <f>IFERROR(__xludf.DUMMYFUNCTION("""COMPUTED_VALUE"""),0.0)</f>
        <v>0</v>
      </c>
      <c r="AA313" s="1" t="str">
        <f>IFERROR(__xludf.DUMMYFUNCTION("""COMPUTED_VALUE"""),"-")</f>
        <v>-</v>
      </c>
      <c r="AB313" s="1">
        <f>IFERROR(__xludf.DUMMYFUNCTION("""COMPUTED_VALUE"""),0.0)</f>
        <v>0</v>
      </c>
      <c r="AC313" s="1">
        <f>IFERROR(__xludf.DUMMYFUNCTION("""COMPUTED_VALUE"""),0.0)</f>
        <v>0</v>
      </c>
      <c r="AD313" s="1" t="str">
        <f>IFERROR(__xludf.DUMMYFUNCTION("""COMPUTED_VALUE"""),"Cinthia Mariella Orosco")</f>
        <v>Cinthia Mariella Orosco</v>
      </c>
      <c r="AE313" s="1" t="str">
        <f>IFERROR(__xludf.DUMMYFUNCTION("""COMPUTED_VALUE"""),"0")</f>
        <v>0</v>
      </c>
      <c r="AF313" s="1">
        <f>IFERROR(__xludf.DUMMYFUNCTION("""COMPUTED_VALUE"""),2020.0)</f>
        <v>2020</v>
      </c>
      <c r="AG313" s="1">
        <f>IFERROR(__xludf.DUMMYFUNCTION("""COMPUTED_VALUE"""),329805.0)</f>
        <v>329805</v>
      </c>
      <c r="AH313" s="1">
        <f>IFERROR(__xludf.DUMMYFUNCTION("""COMPUTED_VALUE"""),23.0)</f>
        <v>23</v>
      </c>
      <c r="AI313" s="1" t="str">
        <f>IFERROR(__xludf.DUMMYFUNCTION("""COMPUTED_VALUE"""),"0000407988")</f>
        <v>0000407988</v>
      </c>
      <c r="AJ313" s="1">
        <f>IFERROR(__xludf.DUMMYFUNCTION("""COMPUTED_VALUE"""),7.5952968E7)</f>
        <v>75952968</v>
      </c>
      <c r="AK313" s="1">
        <f>IFERROR(__xludf.DUMMYFUNCTION("""COMPUTED_VALUE"""),9.44421826E8)</f>
        <v>944421826</v>
      </c>
      <c r="AL313" s="1" t="str">
        <f>IFERROR(__xludf.DUMMYFUNCTION("""COMPUTED_VALUE"""),"aaliyahalvarez20@gmail.com")</f>
        <v>aaliyahalvarez20@gmail.com</v>
      </c>
      <c r="AM313" s="1" t="str">
        <f>IFERROR(__xludf.DUMMYFUNCTION("""COMPUTED_VALUE"""),"FEMENINO")</f>
        <v>FEMENINO</v>
      </c>
      <c r="AN313" s="1">
        <f>IFERROR(__xludf.DUMMYFUNCTION("""COMPUTED_VALUE"""),1350.0)</f>
        <v>1350</v>
      </c>
      <c r="AO313" s="1">
        <f>IFERROR(__xludf.DUMMYFUNCTION("""COMPUTED_VALUE"""),0.0)</f>
        <v>0</v>
      </c>
      <c r="AP313" s="1" t="str">
        <f>IFERROR(__xludf.DUMMYFUNCTION("""COMPUTED_VALUE"""),"BIDIRECCIONAL")</f>
        <v>BIDIRECCIONAL</v>
      </c>
      <c r="AQ313" s="1" t="str">
        <f>IFERROR(__xludf.DUMMYFUNCTION("""COMPUTED_VALUE"""),"SEARCH MARCA")</f>
        <v>SEARCH MARCA</v>
      </c>
      <c r="AR313" s="1" t="str">
        <f>IFERROR(__xludf.DUMMYFUNCTION("""COMPUTED_VALUE"""),"NUEVO")</f>
        <v>NUEVO</v>
      </c>
      <c r="AS313" s="1" t="str">
        <f>IFERROR(__xludf.DUMMYFUNCTION("""COMPUTED_VALUE"""),"ucal-pg-performance-sedes-abierta-cpl-search_conversion_marca-20240401")</f>
        <v>ucal-pg-performance-sedes-abierta-cpl-search_conversion_marca-20240401</v>
      </c>
      <c r="AT313" s="2">
        <f>IFERROR(__xludf.DUMMYFUNCTION("""COMPUTED_VALUE"""),45665.0)</f>
        <v>45665</v>
      </c>
      <c r="AU313" s="1">
        <f>IFERROR(__xludf.DUMMYFUNCTION("""COMPUTED_VALUE"""),1.0)</f>
        <v>1</v>
      </c>
      <c r="AV313" s="1" t="str">
        <f>IFERROR(__xludf.DUMMYFUNCTION("""COMPUTED_VALUE"""),"NUEVO")</f>
        <v>NUEVO</v>
      </c>
      <c r="AW313" s="1" t="str">
        <f>IFERROR(__xludf.DUMMYFUNCTION("""COMPUTED_VALUE"""),"SI")</f>
        <v>SI</v>
      </c>
      <c r="AX313" s="1"/>
      <c r="AY313" s="1" t="str">
        <f>IFERROR(__xludf.DUMMYFUNCTION("""COMPUTED_VALUE"""),"PAGO COMPLETO")</f>
        <v>PAGO COMPLETO</v>
      </c>
      <c r="AZ313" s="5">
        <f>IFERROR(__xludf.DUMMYFUNCTION("""COMPUTED_VALUE"""),45665.0)</f>
        <v>45665</v>
      </c>
      <c r="BA313" s="1">
        <f>IFERROR(__xludf.DUMMYFUNCTION("""COMPUTED_VALUE"""),0.0)</f>
        <v>0</v>
      </c>
      <c r="BB313" s="1">
        <f>IFERROR(__xludf.DUMMYFUNCTION("""COMPUTED_VALUE"""),0.0)</f>
        <v>0</v>
      </c>
      <c r="BC313" s="4">
        <f>IFERROR(__xludf.DUMMYFUNCTION("""COMPUTED_VALUE"""),0.0)</f>
        <v>0</v>
      </c>
      <c r="BD313" s="4">
        <f>IFERROR(__xludf.DUMMYFUNCTION("""COMPUTED_VALUE"""),300.0)</f>
        <v>300</v>
      </c>
      <c r="BE313" s="1">
        <f>IFERROR(__xludf.DUMMYFUNCTION("""COMPUTED_VALUE"""),1.0)</f>
        <v>1</v>
      </c>
      <c r="BF313" s="6">
        <f>IFERROR(__xludf.DUMMYFUNCTION("""COMPUTED_VALUE"""),1.0)</f>
        <v>1</v>
      </c>
      <c r="BG313" s="1">
        <f>IFERROR(__xludf.DUMMYFUNCTION("""COMPUTED_VALUE"""),1.0)</f>
        <v>1</v>
      </c>
      <c r="BH313" s="1" t="str">
        <f>IFERROR(__xludf.DUMMYFUNCTION("""COMPUTED_VALUE"""),"0")</f>
        <v>0</v>
      </c>
      <c r="BI313" s="4">
        <f>IFERROR(__xludf.DUMMYFUNCTION("""COMPUTED_VALUE"""),300.0)</f>
        <v>300</v>
      </c>
      <c r="BJ313" s="1">
        <f>IFERROR(__xludf.DUMMYFUNCTION("""COMPUTED_VALUE"""),0.0)</f>
        <v>0</v>
      </c>
      <c r="BK313" s="4">
        <f>IFERROR(__xludf.DUMMYFUNCTION("""COMPUTED_VALUE"""),300.0)</f>
        <v>300</v>
      </c>
      <c r="BL313" s="1">
        <f>IFERROR(__xludf.DUMMYFUNCTION("""COMPUTED_VALUE"""),940.0)</f>
        <v>940</v>
      </c>
      <c r="BM313" s="1">
        <f>IFERROR(__xludf.DUMMYFUNCTION("""COMPUTED_VALUE"""),2.0)</f>
        <v>2</v>
      </c>
      <c r="BN313" s="2">
        <f>IFERROR(__xludf.DUMMYFUNCTION("""COMPUTED_VALUE"""),45663.0)</f>
        <v>45663</v>
      </c>
      <c r="BO313" s="1">
        <f>IFERROR(__xludf.DUMMYFUNCTION("""COMPUTED_VALUE"""),1.0)</f>
        <v>1</v>
      </c>
      <c r="BP313" s="1">
        <f>IFERROR(__xludf.DUMMYFUNCTION("""COMPUTED_VALUE"""),2025.0)</f>
        <v>2025</v>
      </c>
    </row>
    <row r="314">
      <c r="A314" s="1">
        <f>IFERROR(__xludf.DUMMYFUNCTION("""COMPUTED_VALUE"""),313.0)</f>
        <v>313</v>
      </c>
      <c r="B314" s="1">
        <f>IFERROR(__xludf.DUMMYFUNCTION("""COMPUTED_VALUE"""),849129.0)</f>
        <v>849129</v>
      </c>
      <c r="C314" s="1" t="str">
        <f>IFERROR(__xludf.DUMMYFUNCTION("""COMPUTED_VALUE"""),"2025-1")</f>
        <v>2025-1</v>
      </c>
      <c r="D314" s="1" t="str">
        <f>IFERROR(__xludf.DUMMYFUNCTION("""COMPUTED_VALUE"""),"Admisión Ordinaria")</f>
        <v>Admisión Ordinaria</v>
      </c>
      <c r="E314" s="2">
        <f>IFERROR(__xludf.DUMMYFUNCTION("""COMPUTED_VALUE"""),45665.0)</f>
        <v>45665</v>
      </c>
      <c r="F314" s="1" t="str">
        <f>IFERROR(__xludf.DUMMYFUNCTION("""COMPUTED_VALUE"""),"RENATO JHOEL ")</f>
        <v>RENATO JHOEL </v>
      </c>
      <c r="G314" s="1" t="str">
        <f>IFERROR(__xludf.DUMMYFUNCTION("""COMPUTED_VALUE"""),"RENGIFO AMORETTI")</f>
        <v>RENGIFO AMORETTI</v>
      </c>
      <c r="H314" s="1" t="str">
        <f>IFERROR(__xludf.DUMMYFUNCTION("""COMPUTED_VALUE"""),"Diseño Gráfico Publicitario")</f>
        <v>Diseño Gráfico Publicitario</v>
      </c>
      <c r="I314" s="1" t="str">
        <f>IFERROR(__xludf.DUMMYFUNCTION("""COMPUTED_VALUE"""),"Pago Link")</f>
        <v>Pago Link</v>
      </c>
      <c r="J314" s="1" t="str">
        <f>IFERROR(__xludf.DUMMYFUNCTION("""COMPUTED_VALUE"""),"Diurno")</f>
        <v>Diurno</v>
      </c>
      <c r="K314" s="1" t="str">
        <f>IFERROR(__xludf.DUMMYFUNCTION("""COMPUTED_VALUE"""),"NUEVO")</f>
        <v>NUEVO</v>
      </c>
      <c r="L314" s="1">
        <f>IFERROR(__xludf.DUMMYFUNCTION("""COMPUTED_VALUE"""),0.0)</f>
        <v>0</v>
      </c>
      <c r="M314" s="1">
        <f>IFERROR(__xludf.DUMMYFUNCTION("""COMPUTED_VALUE"""),0.0)</f>
        <v>0</v>
      </c>
      <c r="N314" s="1" t="str">
        <f>IFERROR(__xludf.DUMMYFUNCTION("""COMPUTED_VALUE"""),"ESCALA DISTANCIA")</f>
        <v>ESCALA DISTANCIA</v>
      </c>
      <c r="O314" s="1" t="str">
        <f>IFERROR(__xludf.DUMMYFUNCTION("""COMPUTED_VALUE"""),"ESCALA DISTANCIA REGULAR")</f>
        <v>ESCALA DISTANCIA REGULAR</v>
      </c>
      <c r="P314" s="4">
        <f>IFERROR(__xludf.DUMMYFUNCTION("""COMPUTED_VALUE"""),0.0)</f>
        <v>0</v>
      </c>
      <c r="Q314" s="4">
        <f>IFERROR(__xludf.DUMMYFUNCTION("""COMPUTED_VALUE"""),0.0)</f>
        <v>0</v>
      </c>
      <c r="R314" s="4">
        <f>IFERROR(__xludf.DUMMYFUNCTION("""COMPUTED_VALUE"""),1150.0)</f>
        <v>1150</v>
      </c>
      <c r="S314" s="4">
        <f>IFERROR(__xludf.DUMMYFUNCTION("""COMPUTED_VALUE"""),700.0)</f>
        <v>700</v>
      </c>
      <c r="T314" s="1" t="str">
        <f>IFERROR(__xludf.DUMMYFUNCTION("""COMPUTED_VALUE"""),"NINGUNO")</f>
        <v>NINGUNO</v>
      </c>
      <c r="U314" s="1" t="str">
        <f>IFERROR(__xludf.DUMMYFUNCTION("""COMPUTED_VALUE"""),"FABIOLA")</f>
        <v>FABIOLA</v>
      </c>
      <c r="V314" s="1" t="str">
        <f>IFERROR(__xludf.DUMMYFUNCTION("""COMPUTED_VALUE"""),"Ninguno")</f>
        <v>Ninguno</v>
      </c>
      <c r="W314" s="1" t="str">
        <f>IFERROR(__xludf.DUMMYFUNCTION("""COMPUTED_VALUE"""),"Flexibilidad de horarios")</f>
        <v>Flexibilidad de horarios</v>
      </c>
      <c r="X314" s="1" t="str">
        <f>IFERROR(__xludf.DUMMYFUNCTION("""COMPUTED_VALUE"""),"LE GUSTA LA UNIVERSIDAD ")</f>
        <v>LE GUSTA LA UNIVERSIDAD </v>
      </c>
      <c r="Y314" s="1" t="str">
        <f>IFERROR(__xludf.DUMMYFUNCTION("""COMPUTED_VALUE"""),"PAGO FRACCIONADO")</f>
        <v>PAGO FRACCIONADO</v>
      </c>
      <c r="Z314" s="1">
        <f>IFERROR(__xludf.DUMMYFUNCTION("""COMPUTED_VALUE"""),350.0)</f>
        <v>350</v>
      </c>
      <c r="AA314" s="1" t="str">
        <f>IFERROR(__xludf.DUMMYFUNCTION("""COMPUTED_VALUE"""),"15/01/2025")</f>
        <v>15/01/2025</v>
      </c>
      <c r="AB314" s="1">
        <f>IFERROR(__xludf.DUMMYFUNCTION("""COMPUTED_VALUE"""),0.0)</f>
        <v>0</v>
      </c>
      <c r="AC314" s="1">
        <f>IFERROR(__xludf.DUMMYFUNCTION("""COMPUTED_VALUE"""),0.0)</f>
        <v>0</v>
      </c>
      <c r="AD314" s="1" t="str">
        <f>IFERROR(__xludf.DUMMYFUNCTION("""COMPUTED_VALUE"""),"Daniel Zapata")</f>
        <v>Daniel Zapata</v>
      </c>
      <c r="AE314" s="1" t="str">
        <f>IFERROR(__xludf.DUMMYFUNCTION("""COMPUTED_VALUE"""),"0")</f>
        <v>0</v>
      </c>
      <c r="AF314" s="1">
        <f>IFERROR(__xludf.DUMMYFUNCTION("""COMPUTED_VALUE"""),2017.0)</f>
        <v>2017</v>
      </c>
      <c r="AG314" s="1">
        <f>IFERROR(__xludf.DUMMYFUNCTION("""COMPUTED_VALUE"""),390740.0)</f>
        <v>390740</v>
      </c>
      <c r="AH314" s="1">
        <f>IFERROR(__xludf.DUMMYFUNCTION("""COMPUTED_VALUE"""),25.0)</f>
        <v>25</v>
      </c>
      <c r="AI314" s="1" t="str">
        <f>IFERROR(__xludf.DUMMYFUNCTION("""COMPUTED_VALUE"""),"0000408029")</f>
        <v>0000408029</v>
      </c>
      <c r="AJ314" s="1">
        <f>IFERROR(__xludf.DUMMYFUNCTION("""COMPUTED_VALUE"""),7.2564262E7)</f>
        <v>72564262</v>
      </c>
      <c r="AK314" s="1">
        <f>IFERROR(__xludf.DUMMYFUNCTION("""COMPUTED_VALUE"""),9.15025865E8)</f>
        <v>915025865</v>
      </c>
      <c r="AL314" s="1" t="str">
        <f>IFERROR(__xludf.DUMMYFUNCTION("""COMPUTED_VALUE"""),"renatorengifo.10@gmail.com")</f>
        <v>renatorengifo.10@gmail.com</v>
      </c>
      <c r="AM314" s="1" t="str">
        <f>IFERROR(__xludf.DUMMYFUNCTION("""COMPUTED_VALUE"""),"MASCULINO")</f>
        <v>MASCULINO</v>
      </c>
      <c r="AN314" s="1">
        <f>IFERROR(__xludf.DUMMYFUNCTION("""COMPUTED_VALUE"""),1350.0)</f>
        <v>1350</v>
      </c>
      <c r="AO314" s="1">
        <f>IFERROR(__xludf.DUMMYFUNCTION("""COMPUTED_VALUE"""),0.0)</f>
        <v>0</v>
      </c>
      <c r="AP314" s="1" t="str">
        <f>IFERROR(__xludf.DUMMYFUNCTION("""COMPUTED_VALUE"""),"OUTBOUND")</f>
        <v>OUTBOUND</v>
      </c>
      <c r="AQ314" s="1" t="str">
        <f>IFERROR(__xludf.DUMMYFUNCTION("""COMPUTED_VALUE"""),"OUTBOUND")</f>
        <v>OUTBOUND</v>
      </c>
      <c r="AR314" s="1" t="str">
        <f>IFERROR(__xludf.DUMMYFUNCTION("""COMPUTED_VALUE"""),"HEREDADO")</f>
        <v>HEREDADO</v>
      </c>
      <c r="AS314" s="1"/>
      <c r="AT314" s="2">
        <f>IFERROR(__xludf.DUMMYFUNCTION("""COMPUTED_VALUE"""),45665.0)</f>
        <v>45665</v>
      </c>
      <c r="AU314" s="1">
        <f>IFERROR(__xludf.DUMMYFUNCTION("""COMPUTED_VALUE"""),1.0)</f>
        <v>1</v>
      </c>
      <c r="AV314" s="1" t="str">
        <f>IFERROR(__xludf.DUMMYFUNCTION("""COMPUTED_VALUE"""),"NUEVO")</f>
        <v>NUEVO</v>
      </c>
      <c r="AW314" s="1" t="str">
        <f>IFERROR(__xludf.DUMMYFUNCTION("""COMPUTED_VALUE"""),"SI")</f>
        <v>SI</v>
      </c>
      <c r="AX314" s="1"/>
      <c r="AY314" s="1" t="str">
        <f>IFERROR(__xludf.DUMMYFUNCTION("""COMPUTED_VALUE"""),"PAGO COMPLETO")</f>
        <v>PAGO COMPLETO</v>
      </c>
      <c r="AZ314" s="5">
        <f>IFERROR(__xludf.DUMMYFUNCTION("""COMPUTED_VALUE"""),45672.0)</f>
        <v>45672</v>
      </c>
      <c r="BA314" s="1">
        <f>IFERROR(__xludf.DUMMYFUNCTION("""COMPUTED_VALUE"""),350.0)</f>
        <v>350</v>
      </c>
      <c r="BB314" s="1">
        <f>IFERROR(__xludf.DUMMYFUNCTION("""COMPUTED_VALUE"""),0.0)</f>
        <v>0</v>
      </c>
      <c r="BC314" s="4">
        <f>IFERROR(__xludf.DUMMYFUNCTION("""COMPUTED_VALUE"""),0.0)</f>
        <v>0</v>
      </c>
      <c r="BD314" s="4">
        <f>IFERROR(__xludf.DUMMYFUNCTION("""COMPUTED_VALUE"""),0.0)</f>
        <v>0</v>
      </c>
      <c r="BE314" s="1">
        <f>IFERROR(__xludf.DUMMYFUNCTION("""COMPUTED_VALUE"""),1.0)</f>
        <v>1</v>
      </c>
      <c r="BF314" s="6">
        <f>IFERROR(__xludf.DUMMYFUNCTION("""COMPUTED_VALUE"""),1.0)</f>
        <v>1</v>
      </c>
      <c r="BG314" s="1">
        <f>IFERROR(__xludf.DUMMYFUNCTION("""COMPUTED_VALUE"""),1.0)</f>
        <v>1</v>
      </c>
      <c r="BH314" s="1" t="str">
        <f>IFERROR(__xludf.DUMMYFUNCTION("""COMPUTED_VALUE"""),"0")</f>
        <v>0</v>
      </c>
      <c r="BI314" s="4">
        <f>IFERROR(__xludf.DUMMYFUNCTION("""COMPUTED_VALUE"""),700.0)</f>
        <v>700</v>
      </c>
      <c r="BJ314" s="1">
        <f>IFERROR(__xludf.DUMMYFUNCTION("""COMPUTED_VALUE"""),0.0)</f>
        <v>0</v>
      </c>
      <c r="BK314" s="4">
        <f>IFERROR(__xludf.DUMMYFUNCTION("""COMPUTED_VALUE"""),0.0)</f>
        <v>0</v>
      </c>
      <c r="BL314" s="1">
        <f>IFERROR(__xludf.DUMMYFUNCTION("""COMPUTED_VALUE"""),700.0)</f>
        <v>700</v>
      </c>
      <c r="BM314" s="1">
        <f>IFERROR(__xludf.DUMMYFUNCTION("""COMPUTED_VALUE"""),2.0)</f>
        <v>2</v>
      </c>
      <c r="BN314" s="2">
        <f>IFERROR(__xludf.DUMMYFUNCTION("""COMPUTED_VALUE"""),45663.0)</f>
        <v>45663</v>
      </c>
      <c r="BO314" s="1">
        <f>IFERROR(__xludf.DUMMYFUNCTION("""COMPUTED_VALUE"""),1.0)</f>
        <v>1</v>
      </c>
      <c r="BP314" s="1">
        <f>IFERROR(__xludf.DUMMYFUNCTION("""COMPUTED_VALUE"""),2025.0)</f>
        <v>2025</v>
      </c>
    </row>
    <row r="315">
      <c r="A315" s="1">
        <f>IFERROR(__xludf.DUMMYFUNCTION("""COMPUTED_VALUE"""),314.0)</f>
        <v>314</v>
      </c>
      <c r="B315" s="1">
        <f>IFERROR(__xludf.DUMMYFUNCTION("""COMPUTED_VALUE"""),2180446.0)</f>
        <v>2180446</v>
      </c>
      <c r="C315" s="1" t="str">
        <f>IFERROR(__xludf.DUMMYFUNCTION("""COMPUTED_VALUE"""),"2025-1")</f>
        <v>2025-1</v>
      </c>
      <c r="D315" s="1" t="str">
        <f>IFERROR(__xludf.DUMMYFUNCTION("""COMPUTED_VALUE"""),"Admisión de Alto Rendimiento")</f>
        <v>Admisión de Alto Rendimiento</v>
      </c>
      <c r="E315" s="2">
        <f>IFERROR(__xludf.DUMMYFUNCTION("""COMPUTED_VALUE"""),45665.0)</f>
        <v>45665</v>
      </c>
      <c r="F315" s="1" t="str">
        <f>IFERROR(__xludf.DUMMYFUNCTION("""COMPUTED_VALUE"""),"XIOMARA DAMARIS ")</f>
        <v>XIOMARA DAMARIS </v>
      </c>
      <c r="G315" s="1" t="str">
        <f>IFERROR(__xludf.DUMMYFUNCTION("""COMPUTED_VALUE"""),"GOMEZ CRISTOBAL")</f>
        <v>GOMEZ CRISTOBAL</v>
      </c>
      <c r="H315" s="1" t="str">
        <f>IFERROR(__xludf.DUMMYFUNCTION("""COMPUTED_VALUE"""),"Arquitectura")</f>
        <v>Arquitectura</v>
      </c>
      <c r="I315" s="1" t="str">
        <f>IFERROR(__xludf.DUMMYFUNCTION("""COMPUTED_VALUE"""),"Pago Link")</f>
        <v>Pago Link</v>
      </c>
      <c r="J315" s="1" t="str">
        <f>IFERROR(__xludf.DUMMYFUNCTION("""COMPUTED_VALUE"""),"Diurno")</f>
        <v>Diurno</v>
      </c>
      <c r="K315" s="1" t="str">
        <f>IFERROR(__xludf.DUMMYFUNCTION("""COMPUTED_VALUE"""),"NUEVO")</f>
        <v>NUEVO</v>
      </c>
      <c r="L315" s="1">
        <f>IFERROR(__xludf.DUMMYFUNCTION("""COMPUTED_VALUE"""),0.0)</f>
        <v>0</v>
      </c>
      <c r="M315" s="1">
        <f>IFERROR(__xludf.DUMMYFUNCTION("""COMPUTED_VALUE"""),0.0)</f>
        <v>0</v>
      </c>
      <c r="N315" s="1" t="str">
        <f>IFERROR(__xludf.DUMMYFUNCTION("""COMPUTED_VALUE"""),"BECA")</f>
        <v>BECA</v>
      </c>
      <c r="O315" s="1" t="str">
        <f>IFERROR(__xludf.DUMMYFUNCTION("""COMPUTED_VALUE"""),"BECA CONGELADA DE 2 AÑOS")</f>
        <v>BECA CONGELADA DE 2 AÑOS</v>
      </c>
      <c r="P315" s="4">
        <f>IFERROR(__xludf.DUMMYFUNCTION("""COMPUTED_VALUE"""),0.0)</f>
        <v>0</v>
      </c>
      <c r="Q315" s="4">
        <f>IFERROR(__xludf.DUMMYFUNCTION("""COMPUTED_VALUE"""),0.0)</f>
        <v>0</v>
      </c>
      <c r="R315" s="4">
        <f>IFERROR(__xludf.DUMMYFUNCTION("""COMPUTED_VALUE"""),1150.0)</f>
        <v>1150</v>
      </c>
      <c r="S315" s="4">
        <f>IFERROR(__xludf.DUMMYFUNCTION("""COMPUTED_VALUE"""),900.0)</f>
        <v>900</v>
      </c>
      <c r="T315" s="1" t="str">
        <f>IFERROR(__xludf.DUMMYFUNCTION("""COMPUTED_VALUE"""),"PALANCA 700")</f>
        <v>PALANCA 700</v>
      </c>
      <c r="U315" s="1" t="str">
        <f>IFERROR(__xludf.DUMMYFUNCTION("""COMPUTED_VALUE"""),"RODRIGO")</f>
        <v>RODRIGO</v>
      </c>
      <c r="V315" s="1" t="str">
        <f>IFERROR(__xludf.DUMMYFUNCTION("""COMPUTED_VALUE"""),"Ninguno")</f>
        <v>Ninguno</v>
      </c>
      <c r="W315" s="1" t="str">
        <f>IFERROR(__xludf.DUMMYFUNCTION("""COMPUTED_VALUE"""),"Metodología de enseñanza")</f>
        <v>Metodología de enseñanza</v>
      </c>
      <c r="X315" s="1" t="str">
        <f>IFERROR(__xludf.DUMMYFUNCTION("""COMPUTED_VALUE"""),"se le ofreció beca congelada por 2 años")</f>
        <v>se le ofreció beca congelada por 2 años</v>
      </c>
      <c r="Y315" s="1" t="str">
        <f>IFERROR(__xludf.DUMMYFUNCTION("""COMPUTED_VALUE"""),"PAGO FRACCIONADO")</f>
        <v>PAGO FRACCIONADO</v>
      </c>
      <c r="Z315" s="1">
        <f>IFERROR(__xludf.DUMMYFUNCTION("""COMPUTED_VALUE"""),350.0)</f>
        <v>350</v>
      </c>
      <c r="AA315" s="1" t="str">
        <f>IFERROR(__xludf.DUMMYFUNCTION("""COMPUTED_VALUE"""),"20/01/2025")</f>
        <v>20/01/2025</v>
      </c>
      <c r="AB315" s="1">
        <f>IFERROR(__xludf.DUMMYFUNCTION("""COMPUTED_VALUE"""),0.0)</f>
        <v>0</v>
      </c>
      <c r="AC315" s="1">
        <f>IFERROR(__xludf.DUMMYFUNCTION("""COMPUTED_VALUE"""),0.0)</f>
        <v>0</v>
      </c>
      <c r="AD315" s="1" t="str">
        <f>IFERROR(__xludf.DUMMYFUNCTION("""COMPUTED_VALUE"""),"Fiorella Lanegra")</f>
        <v>Fiorella Lanegra</v>
      </c>
      <c r="AE315" s="1" t="str">
        <f>IFERROR(__xludf.DUMMYFUNCTION("""COMPUTED_VALUE"""),"0")</f>
        <v>0</v>
      </c>
      <c r="AF315" s="1">
        <f>IFERROR(__xludf.DUMMYFUNCTION("""COMPUTED_VALUE"""),2023.0)</f>
        <v>2023</v>
      </c>
      <c r="AG315" s="1">
        <f>IFERROR(__xludf.DUMMYFUNCTION("""COMPUTED_VALUE"""),0.0)</f>
        <v>0</v>
      </c>
      <c r="AH315" s="1">
        <f>IFERROR(__xludf.DUMMYFUNCTION("""COMPUTED_VALUE"""),19.0)</f>
        <v>19</v>
      </c>
      <c r="AI315" s="1" t="str">
        <f>IFERROR(__xludf.DUMMYFUNCTION("""COMPUTED_VALUE"""),"0000407981")</f>
        <v>0000407981</v>
      </c>
      <c r="AJ315" s="1">
        <f>IFERROR(__xludf.DUMMYFUNCTION("""COMPUTED_VALUE"""),6.1013839E7)</f>
        <v>61013839</v>
      </c>
      <c r="AK315" s="1">
        <f>IFERROR(__xludf.DUMMYFUNCTION("""COMPUTED_VALUE"""),9.8179462E8)</f>
        <v>981794620</v>
      </c>
      <c r="AL315" s="1" t="str">
        <f>IFERROR(__xludf.DUMMYFUNCTION("""COMPUTED_VALUE"""),"damaristomyboby@gmail.com")</f>
        <v>damaristomyboby@gmail.com</v>
      </c>
      <c r="AM315" s="1" t="str">
        <f>IFERROR(__xludf.DUMMYFUNCTION("""COMPUTED_VALUE"""),"FEMENINO")</f>
        <v>FEMENINO</v>
      </c>
      <c r="AN315" s="1">
        <f>IFERROR(__xludf.DUMMYFUNCTION("""COMPUTED_VALUE"""),1350.0)</f>
        <v>1350</v>
      </c>
      <c r="AO315" s="1">
        <f>IFERROR(__xludf.DUMMYFUNCTION("""COMPUTED_VALUE"""),0.0)</f>
        <v>0</v>
      </c>
      <c r="AP315" s="1" t="str">
        <f>IFERROR(__xludf.DUMMYFUNCTION("""COMPUTED_VALUE"""),"FORMULARIO")</f>
        <v>FORMULARIO</v>
      </c>
      <c r="AQ315" s="1" t="str">
        <f>IFERROR(__xludf.DUMMYFUNCTION("""COMPUTED_VALUE"""),"SEARCH MARCA")</f>
        <v>SEARCH MARCA</v>
      </c>
      <c r="AR315" s="1" t="str">
        <f>IFERROR(__xludf.DUMMYFUNCTION("""COMPUTED_VALUE"""),"HEREDADO")</f>
        <v>HEREDADO</v>
      </c>
      <c r="AS315" s="1" t="str">
        <f>IFERROR(__xludf.DUMMYFUNCTION("""COMPUTED_VALUE"""),"ucal-pg-performance-sedes-abierta-cpl-search_conversion_marca-20240401")</f>
        <v>ucal-pg-performance-sedes-abierta-cpl-search_conversion_marca-20240401</v>
      </c>
      <c r="AT315" s="2">
        <f>IFERROR(__xludf.DUMMYFUNCTION("""COMPUTED_VALUE"""),45653.0)</f>
        <v>45653</v>
      </c>
      <c r="AU315" s="1">
        <f>IFERROR(__xludf.DUMMYFUNCTION("""COMPUTED_VALUE"""),1.0)</f>
        <v>1</v>
      </c>
      <c r="AV315" s="1" t="str">
        <f>IFERROR(__xludf.DUMMYFUNCTION("""COMPUTED_VALUE"""),"NUEVO")</f>
        <v>NUEVO</v>
      </c>
      <c r="AW315" s="1" t="str">
        <f>IFERROR(__xludf.DUMMYFUNCTION("""COMPUTED_VALUE"""),"SI")</f>
        <v>SI</v>
      </c>
      <c r="AX315" s="1"/>
      <c r="AY315" s="1" t="str">
        <f>IFERROR(__xludf.DUMMYFUNCTION("""COMPUTED_VALUE"""),"PAGO COMPLETO")</f>
        <v>PAGO COMPLETO</v>
      </c>
      <c r="AZ315" s="5">
        <f>IFERROR(__xludf.DUMMYFUNCTION("""COMPUTED_VALUE"""),45680.0)</f>
        <v>45680</v>
      </c>
      <c r="BA315" s="1">
        <f>IFERROR(__xludf.DUMMYFUNCTION("""COMPUTED_VALUE"""),350.0)</f>
        <v>350</v>
      </c>
      <c r="BB315" s="1">
        <f>IFERROR(__xludf.DUMMYFUNCTION("""COMPUTED_VALUE"""),0.0)</f>
        <v>0</v>
      </c>
      <c r="BC315" s="4">
        <f>IFERROR(__xludf.DUMMYFUNCTION("""COMPUTED_VALUE"""),0.0)</f>
        <v>0</v>
      </c>
      <c r="BD315" s="4">
        <f>IFERROR(__xludf.DUMMYFUNCTION("""COMPUTED_VALUE"""),200.0)</f>
        <v>200</v>
      </c>
      <c r="BE315" s="1">
        <f>IFERROR(__xludf.DUMMYFUNCTION("""COMPUTED_VALUE"""),1.0)</f>
        <v>1</v>
      </c>
      <c r="BF315" s="6">
        <f>IFERROR(__xludf.DUMMYFUNCTION("""COMPUTED_VALUE"""),1.0)</f>
        <v>1</v>
      </c>
      <c r="BG315" s="1">
        <f>IFERROR(__xludf.DUMMYFUNCTION("""COMPUTED_VALUE"""),1.0)</f>
        <v>1</v>
      </c>
      <c r="BH315" s="1" t="str">
        <f>IFERROR(__xludf.DUMMYFUNCTION("""COMPUTED_VALUE"""),"0")</f>
        <v>0</v>
      </c>
      <c r="BI315" s="4">
        <f>IFERROR(__xludf.DUMMYFUNCTION("""COMPUTED_VALUE"""),900.0)</f>
        <v>900</v>
      </c>
      <c r="BJ315" s="1">
        <f>IFERROR(__xludf.DUMMYFUNCTION("""COMPUTED_VALUE"""),0.0)</f>
        <v>0</v>
      </c>
      <c r="BK315" s="4">
        <f>IFERROR(__xludf.DUMMYFUNCTION("""COMPUTED_VALUE"""),200.0)</f>
        <v>200</v>
      </c>
      <c r="BL315" s="1">
        <f>IFERROR(__xludf.DUMMYFUNCTION("""COMPUTED_VALUE"""),860.0)</f>
        <v>860</v>
      </c>
      <c r="BM315" s="1">
        <f>IFERROR(__xludf.DUMMYFUNCTION("""COMPUTED_VALUE"""),2.0)</f>
        <v>2</v>
      </c>
      <c r="BN315" s="2">
        <f>IFERROR(__xludf.DUMMYFUNCTION("""COMPUTED_VALUE"""),45663.0)</f>
        <v>45663</v>
      </c>
      <c r="BO315" s="1">
        <f>IFERROR(__xludf.DUMMYFUNCTION("""COMPUTED_VALUE"""),1.0)</f>
        <v>1</v>
      </c>
      <c r="BP315" s="1">
        <f>IFERROR(__xludf.DUMMYFUNCTION("""COMPUTED_VALUE"""),2025.0)</f>
        <v>2025</v>
      </c>
    </row>
    <row r="316">
      <c r="A316" s="1">
        <f>IFERROR(__xludf.DUMMYFUNCTION("""COMPUTED_VALUE"""),315.0)</f>
        <v>315</v>
      </c>
      <c r="B316" s="1">
        <f>IFERROR(__xludf.DUMMYFUNCTION("""COMPUTED_VALUE"""),2156258.0)</f>
        <v>2156258</v>
      </c>
      <c r="C316" s="1" t="str">
        <f>IFERROR(__xludf.DUMMYFUNCTION("""COMPUTED_VALUE"""),"2025-1")</f>
        <v>2025-1</v>
      </c>
      <c r="D316" s="1" t="str">
        <f>IFERROR(__xludf.DUMMYFUNCTION("""COMPUTED_VALUE"""),"Admisión Ordinaria")</f>
        <v>Admisión Ordinaria</v>
      </c>
      <c r="E316" s="2">
        <f>IFERROR(__xludf.DUMMYFUNCTION("""COMPUTED_VALUE"""),45665.0)</f>
        <v>45665</v>
      </c>
      <c r="F316" s="1" t="str">
        <f>IFERROR(__xludf.DUMMYFUNCTION("""COMPUTED_VALUE"""),"KIARA ESTEYCI ")</f>
        <v>KIARA ESTEYCI </v>
      </c>
      <c r="G316" s="1" t="str">
        <f>IFERROR(__xludf.DUMMYFUNCTION("""COMPUTED_VALUE"""),"MAYLLE PONCE")</f>
        <v>MAYLLE PONCE</v>
      </c>
      <c r="H316" s="1" t="str">
        <f>IFERROR(__xludf.DUMMYFUNCTION("""COMPUTED_VALUE"""),"Comunicación y Publicidad Transmedia")</f>
        <v>Comunicación y Publicidad Transmedia</v>
      </c>
      <c r="I316" s="1" t="str">
        <f>IFERROR(__xludf.DUMMYFUNCTION("""COMPUTED_VALUE"""),"CARGO")</f>
        <v>CARGO</v>
      </c>
      <c r="J316" s="1" t="str">
        <f>IFERROR(__xludf.DUMMYFUNCTION("""COMPUTED_VALUE"""),"Diurno")</f>
        <v>Diurno</v>
      </c>
      <c r="K316" s="1" t="str">
        <f>IFERROR(__xludf.DUMMYFUNCTION("""COMPUTED_VALUE"""),"NUEVO")</f>
        <v>NUEVO</v>
      </c>
      <c r="L316" s="1">
        <f>IFERROR(__xludf.DUMMYFUNCTION("""COMPUTED_VALUE"""),0.0)</f>
        <v>0</v>
      </c>
      <c r="M316" s="1">
        <f>IFERROR(__xludf.DUMMYFUNCTION("""COMPUTED_VALUE"""),0.0)</f>
        <v>0</v>
      </c>
      <c r="N316" s="1" t="str">
        <f>IFERROR(__xludf.DUMMYFUNCTION("""COMPUTED_VALUE"""),"BECA")</f>
        <v>BECA</v>
      </c>
      <c r="O316" s="1" t="str">
        <f>IFERROR(__xludf.DUMMYFUNCTION("""COMPUTED_VALUE"""),"BECA CONGELADA DE 2 AÑOS")</f>
        <v>BECA CONGELADA DE 2 AÑOS</v>
      </c>
      <c r="P316" s="4">
        <f>IFERROR(__xludf.DUMMYFUNCTION("""COMPUTED_VALUE"""),0.0)</f>
        <v>0</v>
      </c>
      <c r="Q316" s="4">
        <f>IFERROR(__xludf.DUMMYFUNCTION("""COMPUTED_VALUE"""),0.0)</f>
        <v>0</v>
      </c>
      <c r="R316" s="4">
        <f>IFERROR(__xludf.DUMMYFUNCTION("""COMPUTED_VALUE"""),1150.0)</f>
        <v>1150</v>
      </c>
      <c r="S316" s="4">
        <f>IFERROR(__xludf.DUMMYFUNCTION("""COMPUTED_VALUE"""),1000.0)</f>
        <v>1000</v>
      </c>
      <c r="T316" s="1" t="str">
        <f>IFERROR(__xludf.DUMMYFUNCTION("""COMPUTED_VALUE"""),"PALANCA 700")</f>
        <v>PALANCA 700</v>
      </c>
      <c r="U316" s="1" t="str">
        <f>IFERROR(__xludf.DUMMYFUNCTION("""COMPUTED_VALUE"""),"FABIOLA")</f>
        <v>FABIOLA</v>
      </c>
      <c r="V316" s="1" t="str">
        <f>IFERROR(__xludf.DUMMYFUNCTION("""COMPUTED_VALUE"""),"Ninguno")</f>
        <v>Ninguno</v>
      </c>
      <c r="W316" s="1" t="str">
        <f>IFERROR(__xludf.DUMMYFUNCTION("""COMPUTED_VALUE"""),"Prestigio de la institución")</f>
        <v>Prestigio de la institución</v>
      </c>
      <c r="X316" s="1" t="str">
        <f>IFERROR(__xludf.DUMMYFUNCTION("""COMPUTED_VALUE"""),"-")</f>
        <v>-</v>
      </c>
      <c r="Y316" s="1" t="str">
        <f>IFERROR(__xludf.DUMMYFUNCTION("""COMPUTED_VALUE"""),"PAGO COMPLETO")</f>
        <v>PAGO COMPLETO</v>
      </c>
      <c r="Z316" s="1">
        <f>IFERROR(__xludf.DUMMYFUNCTION("""COMPUTED_VALUE"""),0.0)</f>
        <v>0</v>
      </c>
      <c r="AA316" s="1" t="str">
        <f>IFERROR(__xludf.DUMMYFUNCTION("""COMPUTED_VALUE"""),"-")</f>
        <v>-</v>
      </c>
      <c r="AB316" s="1">
        <f>IFERROR(__xludf.DUMMYFUNCTION("""COMPUTED_VALUE"""),0.0)</f>
        <v>0</v>
      </c>
      <c r="AC316" s="1">
        <f>IFERROR(__xludf.DUMMYFUNCTION("""COMPUTED_VALUE"""),0.0)</f>
        <v>0</v>
      </c>
      <c r="AD316" s="1" t="str">
        <f>IFERROR(__xludf.DUMMYFUNCTION("""COMPUTED_VALUE"""),"Andrea Araujo Antara")</f>
        <v>Andrea Araujo Antara</v>
      </c>
      <c r="AE316" s="1" t="str">
        <f>IFERROR(__xludf.DUMMYFUNCTION("""COMPUTED_VALUE"""),"0")</f>
        <v>0</v>
      </c>
      <c r="AF316" s="1">
        <f>IFERROR(__xludf.DUMMYFUNCTION("""COMPUTED_VALUE"""),2023.0)</f>
        <v>2023</v>
      </c>
      <c r="AG316" s="1">
        <f>IFERROR(__xludf.DUMMYFUNCTION("""COMPUTED_VALUE"""),692459.0)</f>
        <v>692459</v>
      </c>
      <c r="AH316" s="1">
        <f>IFERROR(__xludf.DUMMYFUNCTION("""COMPUTED_VALUE"""),19.0)</f>
        <v>19</v>
      </c>
      <c r="AI316" s="1" t="str">
        <f>IFERROR(__xludf.DUMMYFUNCTION("""COMPUTED_VALUE"""),"0000408097")</f>
        <v>0000408097</v>
      </c>
      <c r="AJ316" s="1">
        <f>IFERROR(__xludf.DUMMYFUNCTION("""COMPUTED_VALUE"""),6.0842419E7)</f>
        <v>60842419</v>
      </c>
      <c r="AK316" s="1">
        <f>IFERROR(__xludf.DUMMYFUNCTION("""COMPUTED_VALUE"""),9.15042159E8)</f>
        <v>915042159</v>
      </c>
      <c r="AL316" s="1" t="str">
        <f>IFERROR(__xludf.DUMMYFUNCTION("""COMPUTED_VALUE"""),"kmaylleponce@gmail.com")</f>
        <v>kmaylleponce@gmail.com</v>
      </c>
      <c r="AM316" s="1" t="str">
        <f>IFERROR(__xludf.DUMMYFUNCTION("""COMPUTED_VALUE"""),"FEMENINO")</f>
        <v>FEMENINO</v>
      </c>
      <c r="AN316" s="1">
        <f>IFERROR(__xludf.DUMMYFUNCTION("""COMPUTED_VALUE"""),1350.0)</f>
        <v>1350</v>
      </c>
      <c r="AO316" s="1">
        <f>IFERROR(__xludf.DUMMYFUNCTION("""COMPUTED_VALUE"""),0.0)</f>
        <v>0</v>
      </c>
      <c r="AP316" s="1" t="str">
        <f>IFERROR(__xludf.DUMMYFUNCTION("""COMPUTED_VALUE"""),"INBOUND")</f>
        <v>INBOUND</v>
      </c>
      <c r="AQ316" s="1" t="str">
        <f>IFERROR(__xludf.DUMMYFUNCTION("""COMPUTED_VALUE"""),"INBOUND")</f>
        <v>INBOUND</v>
      </c>
      <c r="AR316" s="1" t="str">
        <f>IFERROR(__xludf.DUMMYFUNCTION("""COMPUTED_VALUE"""),"HEREDADO")</f>
        <v>HEREDADO</v>
      </c>
      <c r="AS316" s="1"/>
      <c r="AT316" s="2">
        <f>IFERROR(__xludf.DUMMYFUNCTION("""COMPUTED_VALUE"""),45665.0)</f>
        <v>45665</v>
      </c>
      <c r="AU316" s="1">
        <f>IFERROR(__xludf.DUMMYFUNCTION("""COMPUTED_VALUE"""),1.0)</f>
        <v>1</v>
      </c>
      <c r="AV316" s="1" t="str">
        <f>IFERROR(__xludf.DUMMYFUNCTION("""COMPUTED_VALUE"""),"NUEVO")</f>
        <v>NUEVO</v>
      </c>
      <c r="AW316" s="1" t="str">
        <f>IFERROR(__xludf.DUMMYFUNCTION("""COMPUTED_VALUE"""),"SI")</f>
        <v>SI</v>
      </c>
      <c r="AX316" s="1"/>
      <c r="AY316" s="1" t="str">
        <f>IFERROR(__xludf.DUMMYFUNCTION("""COMPUTED_VALUE"""),"PAGO COMPLETO")</f>
        <v>PAGO COMPLETO</v>
      </c>
      <c r="AZ316" s="5">
        <f>IFERROR(__xludf.DUMMYFUNCTION("""COMPUTED_VALUE"""),45665.0)</f>
        <v>45665</v>
      </c>
      <c r="BA316" s="1">
        <f>IFERROR(__xludf.DUMMYFUNCTION("""COMPUTED_VALUE"""),0.0)</f>
        <v>0</v>
      </c>
      <c r="BB316" s="1">
        <f>IFERROR(__xludf.DUMMYFUNCTION("""COMPUTED_VALUE"""),0.0)</f>
        <v>0</v>
      </c>
      <c r="BC316" s="4">
        <f>IFERROR(__xludf.DUMMYFUNCTION("""COMPUTED_VALUE"""),0.0)</f>
        <v>0</v>
      </c>
      <c r="BD316" s="4">
        <f>IFERROR(__xludf.DUMMYFUNCTION("""COMPUTED_VALUE"""),300.0)</f>
        <v>300</v>
      </c>
      <c r="BE316" s="1">
        <f>IFERROR(__xludf.DUMMYFUNCTION("""COMPUTED_VALUE"""),1.0)</f>
        <v>1</v>
      </c>
      <c r="BF316" s="6">
        <f>IFERROR(__xludf.DUMMYFUNCTION("""COMPUTED_VALUE"""),1.0)</f>
        <v>1</v>
      </c>
      <c r="BG316" s="1">
        <f>IFERROR(__xludf.DUMMYFUNCTION("""COMPUTED_VALUE"""),1.0)</f>
        <v>1</v>
      </c>
      <c r="BH316" s="1" t="str">
        <f>IFERROR(__xludf.DUMMYFUNCTION("""COMPUTED_VALUE"""),"0")</f>
        <v>0</v>
      </c>
      <c r="BI316" s="4">
        <f>IFERROR(__xludf.DUMMYFUNCTION("""COMPUTED_VALUE"""),300.0)</f>
        <v>300</v>
      </c>
      <c r="BJ316" s="1">
        <f>IFERROR(__xludf.DUMMYFUNCTION("""COMPUTED_VALUE"""),0.0)</f>
        <v>0</v>
      </c>
      <c r="BK316" s="4">
        <f>IFERROR(__xludf.DUMMYFUNCTION("""COMPUTED_VALUE"""),300.0)</f>
        <v>300</v>
      </c>
      <c r="BL316" s="1">
        <f>IFERROR(__xludf.DUMMYFUNCTION("""COMPUTED_VALUE"""),940.0)</f>
        <v>940</v>
      </c>
      <c r="BM316" s="1">
        <f>IFERROR(__xludf.DUMMYFUNCTION("""COMPUTED_VALUE"""),2.0)</f>
        <v>2</v>
      </c>
      <c r="BN316" s="2">
        <f>IFERROR(__xludf.DUMMYFUNCTION("""COMPUTED_VALUE"""),45663.0)</f>
        <v>45663</v>
      </c>
      <c r="BO316" s="1">
        <f>IFERROR(__xludf.DUMMYFUNCTION("""COMPUTED_VALUE"""),1.0)</f>
        <v>1</v>
      </c>
      <c r="BP316" s="1">
        <f>IFERROR(__xludf.DUMMYFUNCTION("""COMPUTED_VALUE"""),2025.0)</f>
        <v>2025</v>
      </c>
    </row>
    <row r="317">
      <c r="A317" s="1">
        <f>IFERROR(__xludf.DUMMYFUNCTION("""COMPUTED_VALUE"""),316.0)</f>
        <v>316</v>
      </c>
      <c r="B317" s="1">
        <f>IFERROR(__xludf.DUMMYFUNCTION("""COMPUTED_VALUE"""),1423223.0)</f>
        <v>1423223</v>
      </c>
      <c r="C317" s="1" t="str">
        <f>IFERROR(__xludf.DUMMYFUNCTION("""COMPUTED_VALUE"""),"2025-1")</f>
        <v>2025-1</v>
      </c>
      <c r="D317" s="1" t="str">
        <f>IFERROR(__xludf.DUMMYFUNCTION("""COMPUTED_VALUE"""),"Admisión Extraordinaria (Traslados)")</f>
        <v>Admisión Extraordinaria (Traslados)</v>
      </c>
      <c r="E317" s="2">
        <f>IFERROR(__xludf.DUMMYFUNCTION("""COMPUTED_VALUE"""),45665.0)</f>
        <v>45665</v>
      </c>
      <c r="F317" s="1" t="str">
        <f>IFERROR(__xludf.DUMMYFUNCTION("""COMPUTED_VALUE"""),"KAREN VERUSTKHA ")</f>
        <v>KAREN VERUSTKHA </v>
      </c>
      <c r="G317" s="1" t="str">
        <f>IFERROR(__xludf.DUMMYFUNCTION("""COMPUTED_VALUE"""),"OCHOA SALAZAR")</f>
        <v>OCHOA SALAZAR</v>
      </c>
      <c r="H317" s="1" t="str">
        <f>IFERROR(__xludf.DUMMYFUNCTION("""COMPUTED_VALUE"""),"Diseño Gráfico Publicitario")</f>
        <v>Diseño Gráfico Publicitario</v>
      </c>
      <c r="I317" s="1" t="str">
        <f>IFERROR(__xludf.DUMMYFUNCTION("""COMPUTED_VALUE"""),"Pago Link")</f>
        <v>Pago Link</v>
      </c>
      <c r="J317" s="1" t="str">
        <f>IFERROR(__xludf.DUMMYFUNCTION("""COMPUTED_VALUE"""),"Diurno")</f>
        <v>Diurno</v>
      </c>
      <c r="K317" s="1" t="str">
        <f>IFERROR(__xludf.DUMMYFUNCTION("""COMPUTED_VALUE"""),"TRASLADO")</f>
        <v>TRASLADO</v>
      </c>
      <c r="L317" s="1">
        <f>IFERROR(__xludf.DUMMYFUNCTION("""COMPUTED_VALUE"""),1.0)</f>
        <v>1</v>
      </c>
      <c r="M317" s="1">
        <f>IFERROR(__xludf.DUMMYFUNCTION("""COMPUTED_VALUE"""),0.0)</f>
        <v>0</v>
      </c>
      <c r="N317" s="1" t="str">
        <f>IFERROR(__xludf.DUMMYFUNCTION("""COMPUTED_VALUE"""),"RECA")</f>
        <v>RECA</v>
      </c>
      <c r="O317" s="1" t="str">
        <f>IFERROR(__xludf.DUMMYFUNCTION("""COMPUTED_VALUE"""),"RECA TRASLADO CON CONVA")</f>
        <v>RECA TRASLADO CON CONVA</v>
      </c>
      <c r="P317" s="4">
        <f>IFERROR(__xludf.DUMMYFUNCTION("""COMPUTED_VALUE"""),0.0)</f>
        <v>0</v>
      </c>
      <c r="Q317" s="4">
        <f>IFERROR(__xludf.DUMMYFUNCTION("""COMPUTED_VALUE"""),0.0)</f>
        <v>0</v>
      </c>
      <c r="R317" s="4">
        <f>IFERROR(__xludf.DUMMYFUNCTION("""COMPUTED_VALUE"""),950.0)</f>
        <v>950</v>
      </c>
      <c r="S317" s="4">
        <f>IFERROR(__xludf.DUMMYFUNCTION("""COMPUTED_VALUE"""),700.0)</f>
        <v>700</v>
      </c>
      <c r="T317" s="1" t="str">
        <f>IFERROR(__xludf.DUMMYFUNCTION("""COMPUTED_VALUE"""),"NINGUNO")</f>
        <v>NINGUNO</v>
      </c>
      <c r="U317" s="1" t="str">
        <f>IFERROR(__xludf.DUMMYFUNCTION("""COMPUTED_VALUE"""),"FABIOLA")</f>
        <v>FABIOLA</v>
      </c>
      <c r="V317" s="1" t="str">
        <f>IFERROR(__xludf.DUMMYFUNCTION("""COMPUTED_VALUE"""),"Ninguno")</f>
        <v>Ninguno</v>
      </c>
      <c r="W317" s="1" t="str">
        <f>IFERROR(__xludf.DUMMYFUNCTION("""COMPUTED_VALUE"""),"Metodología de enseñanza")</f>
        <v>Metodología de enseñanza</v>
      </c>
      <c r="X317" s="1" t="str">
        <f>IFERROR(__xludf.DUMMYFUNCTION("""COMPUTED_VALUE"""),"metodologia")</f>
        <v>metodologia</v>
      </c>
      <c r="Y317" s="1" t="str">
        <f>IFERROR(__xludf.DUMMYFUNCTION("""COMPUTED_VALUE"""),"PAGO COMPLETO")</f>
        <v>PAGO COMPLETO</v>
      </c>
      <c r="Z317" s="1">
        <f>IFERROR(__xludf.DUMMYFUNCTION("""COMPUTED_VALUE"""),0.0)</f>
        <v>0</v>
      </c>
      <c r="AA317" s="1" t="str">
        <f>IFERROR(__xludf.DUMMYFUNCTION("""COMPUTED_VALUE"""),"-")</f>
        <v>-</v>
      </c>
      <c r="AB317" s="1">
        <f>IFERROR(__xludf.DUMMYFUNCTION("""COMPUTED_VALUE"""),1.0)</f>
        <v>1</v>
      </c>
      <c r="AC317" s="1">
        <f>IFERROR(__xludf.DUMMYFUNCTION("""COMPUTED_VALUE"""),1.0)</f>
        <v>1</v>
      </c>
      <c r="AD317" s="1" t="str">
        <f>IFERROR(__xludf.DUMMYFUNCTION("""COMPUTED_VALUE"""),"Cinthia Mariella Orosco")</f>
        <v>Cinthia Mariella Orosco</v>
      </c>
      <c r="AE317" s="1" t="str">
        <f>IFERROR(__xludf.DUMMYFUNCTION("""COMPUTED_VALUE"""),"ISIL")</f>
        <v>ISIL</v>
      </c>
      <c r="AF317" s="1">
        <f>IFERROR(__xludf.DUMMYFUNCTION("""COMPUTED_VALUE"""),2020.0)</f>
        <v>2020</v>
      </c>
      <c r="AG317" s="1">
        <f>IFERROR(__xludf.DUMMYFUNCTION("""COMPUTED_VALUE"""),581876.0)</f>
        <v>581876</v>
      </c>
      <c r="AH317" s="1">
        <f>IFERROR(__xludf.DUMMYFUNCTION("""COMPUTED_VALUE"""),28.0)</f>
        <v>28</v>
      </c>
      <c r="AI317" s="1" t="str">
        <f>IFERROR(__xludf.DUMMYFUNCTION("""COMPUTED_VALUE"""),"0000017308")</f>
        <v>0000017308</v>
      </c>
      <c r="AJ317" s="1">
        <f>IFERROR(__xludf.DUMMYFUNCTION("""COMPUTED_VALUE"""),7.8462273E7)</f>
        <v>78462273</v>
      </c>
      <c r="AK317" s="1">
        <f>IFERROR(__xludf.DUMMYFUNCTION("""COMPUTED_VALUE"""),9.5368067E8)</f>
        <v>953680670</v>
      </c>
      <c r="AL317" s="1" t="str">
        <f>IFERROR(__xludf.DUMMYFUNCTION("""COMPUTED_VALUE"""),"Verustkha.4@gmail.com")</f>
        <v>Verustkha.4@gmail.com</v>
      </c>
      <c r="AM317" s="1" t="str">
        <f>IFERROR(__xludf.DUMMYFUNCTION("""COMPUTED_VALUE"""),"FEMENINO")</f>
        <v>FEMENINO</v>
      </c>
      <c r="AN317" s="1">
        <f>IFERROR(__xludf.DUMMYFUNCTION("""COMPUTED_VALUE"""),1350.0)</f>
        <v>1350</v>
      </c>
      <c r="AO317" s="1">
        <f>IFERROR(__xludf.DUMMYFUNCTION("""COMPUTED_VALUE"""),0.0)</f>
        <v>0</v>
      </c>
      <c r="AP317" s="1" t="str">
        <f>IFERROR(__xludf.DUMMYFUNCTION("""COMPUTED_VALUE"""),"BIDIRECCIONAL")</f>
        <v>BIDIRECCIONAL</v>
      </c>
      <c r="AQ317" s="1" t="str">
        <f>IFERROR(__xludf.DUMMYFUNCTION("""COMPUTED_VALUE"""),"SEARCH CARRERA")</f>
        <v>SEARCH CARRERA</v>
      </c>
      <c r="AR317" s="1" t="str">
        <f>IFERROR(__xludf.DUMMYFUNCTION("""COMPUTED_VALUE"""),"NUEVO")</f>
        <v>NUEVO</v>
      </c>
      <c r="AS317" s="1" t="str">
        <f>IFERROR(__xludf.DUMMYFUNCTION("""COMPUTED_VALUE"""),"ucal-pg-performance-sedes-abierta-cpl-search_conversion_mundo_diseno_bidi_search_carreras-20240702")</f>
        <v>ucal-pg-performance-sedes-abierta-cpl-search_conversion_mundo_diseno_bidi_search_carreras-20240702</v>
      </c>
      <c r="AT317" s="2">
        <f>IFERROR(__xludf.DUMMYFUNCTION("""COMPUTED_VALUE"""),45582.0)</f>
        <v>45582</v>
      </c>
      <c r="AU317" s="1">
        <f>IFERROR(__xludf.DUMMYFUNCTION("""COMPUTED_VALUE"""),1.0)</f>
        <v>1</v>
      </c>
      <c r="AV317" s="1" t="str">
        <f>IFERROR(__xludf.DUMMYFUNCTION("""COMPUTED_VALUE"""),"TRASLADO")</f>
        <v>TRASLADO</v>
      </c>
      <c r="AW317" s="1" t="str">
        <f>IFERROR(__xludf.DUMMYFUNCTION("""COMPUTED_VALUE"""),"SI")</f>
        <v>SI</v>
      </c>
      <c r="AX317" s="1"/>
      <c r="AY317" s="1" t="str">
        <f>IFERROR(__xludf.DUMMYFUNCTION("""COMPUTED_VALUE"""),"PAGO COMPLETO")</f>
        <v>PAGO COMPLETO</v>
      </c>
      <c r="AZ317" s="5">
        <f>IFERROR(__xludf.DUMMYFUNCTION("""COMPUTED_VALUE"""),45665.0)</f>
        <v>45665</v>
      </c>
      <c r="BA317" s="1">
        <f>IFERROR(__xludf.DUMMYFUNCTION("""COMPUTED_VALUE"""),0.0)</f>
        <v>0</v>
      </c>
      <c r="BB317" s="1">
        <f>IFERROR(__xludf.DUMMYFUNCTION("""COMPUTED_VALUE"""),0.0)</f>
        <v>0</v>
      </c>
      <c r="BC317" s="4">
        <f>IFERROR(__xludf.DUMMYFUNCTION("""COMPUTED_VALUE"""),0.0)</f>
        <v>0</v>
      </c>
      <c r="BD317" s="4">
        <f>IFERROR(__xludf.DUMMYFUNCTION("""COMPUTED_VALUE"""),0.0)</f>
        <v>0</v>
      </c>
      <c r="BE317" s="1">
        <f>IFERROR(__xludf.DUMMYFUNCTION("""COMPUTED_VALUE"""),1.0)</f>
        <v>1</v>
      </c>
      <c r="BF317" s="6">
        <f>IFERROR(__xludf.DUMMYFUNCTION("""COMPUTED_VALUE"""),1.0)</f>
        <v>1</v>
      </c>
      <c r="BG317" s="1">
        <f>IFERROR(__xludf.DUMMYFUNCTION("""COMPUTED_VALUE"""),1.0)</f>
        <v>1</v>
      </c>
      <c r="BH317" s="1" t="str">
        <f>IFERROR(__xludf.DUMMYFUNCTION("""COMPUTED_VALUE"""),"0")</f>
        <v>0</v>
      </c>
      <c r="BI317" s="4">
        <f>IFERROR(__xludf.DUMMYFUNCTION("""COMPUTED_VALUE"""),0.0)</f>
        <v>0</v>
      </c>
      <c r="BJ317" s="1">
        <f>IFERROR(__xludf.DUMMYFUNCTION("""COMPUTED_VALUE"""),0.0)</f>
        <v>0</v>
      </c>
      <c r="BK317" s="4">
        <f>IFERROR(__xludf.DUMMYFUNCTION("""COMPUTED_VALUE"""),0.0)</f>
        <v>0</v>
      </c>
      <c r="BL317" s="1">
        <f>IFERROR(__xludf.DUMMYFUNCTION("""COMPUTED_VALUE"""),700.0)</f>
        <v>700</v>
      </c>
      <c r="BM317" s="1">
        <f>IFERROR(__xludf.DUMMYFUNCTION("""COMPUTED_VALUE"""),2.0)</f>
        <v>2</v>
      </c>
      <c r="BN317" s="2">
        <f>IFERROR(__xludf.DUMMYFUNCTION("""COMPUTED_VALUE"""),45663.0)</f>
        <v>45663</v>
      </c>
      <c r="BO317" s="1">
        <f>IFERROR(__xludf.DUMMYFUNCTION("""COMPUTED_VALUE"""),1.0)</f>
        <v>1</v>
      </c>
      <c r="BP317" s="1">
        <f>IFERROR(__xludf.DUMMYFUNCTION("""COMPUTED_VALUE"""),2025.0)</f>
        <v>2025</v>
      </c>
    </row>
    <row r="318">
      <c r="A318" s="1">
        <f>IFERROR(__xludf.DUMMYFUNCTION("""COMPUTED_VALUE"""),317.0)</f>
        <v>317</v>
      </c>
      <c r="B318" s="1">
        <f>IFERROR(__xludf.DUMMYFUNCTION("""COMPUTED_VALUE"""),4538850.0)</f>
        <v>4538850</v>
      </c>
      <c r="C318" s="1" t="str">
        <f>IFERROR(__xludf.DUMMYFUNCTION("""COMPUTED_VALUE"""),"2025-1")</f>
        <v>2025-1</v>
      </c>
      <c r="D318" s="1" t="str">
        <f>IFERROR(__xludf.DUMMYFUNCTION("""COMPUTED_VALUE"""),"Admisión de Alto Rendimiento")</f>
        <v>Admisión de Alto Rendimiento</v>
      </c>
      <c r="E318" s="2">
        <f>IFERROR(__xludf.DUMMYFUNCTION("""COMPUTED_VALUE"""),45665.0)</f>
        <v>45665</v>
      </c>
      <c r="F318" s="1" t="str">
        <f>IFERROR(__xludf.DUMMYFUNCTION("""COMPUTED_VALUE"""),"FERNANDA CRISTEL ")</f>
        <v>FERNANDA CRISTEL </v>
      </c>
      <c r="G318" s="1" t="str">
        <f>IFERROR(__xludf.DUMMYFUNCTION("""COMPUTED_VALUE"""),"MORALES FLORES")</f>
        <v>MORALES FLORES</v>
      </c>
      <c r="H318" s="1" t="str">
        <f>IFERROR(__xludf.DUMMYFUNCTION("""COMPUTED_VALUE"""),"Comunicación Audiovisual y Cine")</f>
        <v>Comunicación Audiovisual y Cine</v>
      </c>
      <c r="I318" s="1" t="str">
        <f>IFERROR(__xludf.DUMMYFUNCTION("""COMPUTED_VALUE"""),"CARGO")</f>
        <v>CARGO</v>
      </c>
      <c r="J318" s="1" t="str">
        <f>IFERROR(__xludf.DUMMYFUNCTION("""COMPUTED_VALUE"""),"Diurno")</f>
        <v>Diurno</v>
      </c>
      <c r="K318" s="1" t="str">
        <f>IFERROR(__xludf.DUMMYFUNCTION("""COMPUTED_VALUE"""),"NUEVO")</f>
        <v>NUEVO</v>
      </c>
      <c r="L318" s="1">
        <f>IFERROR(__xludf.DUMMYFUNCTION("""COMPUTED_VALUE"""),0.0)</f>
        <v>0</v>
      </c>
      <c r="M318" s="1">
        <f>IFERROR(__xludf.DUMMYFUNCTION("""COMPUTED_VALUE"""),0.0)</f>
        <v>0</v>
      </c>
      <c r="N318" s="1" t="str">
        <f>IFERROR(__xludf.DUMMYFUNCTION("""COMPUTED_VALUE"""),"BECA")</f>
        <v>BECA</v>
      </c>
      <c r="O318" s="1" t="str">
        <f>IFERROR(__xludf.DUMMYFUNCTION("""COMPUTED_VALUE"""),"BECA RECUPERO")</f>
        <v>BECA RECUPERO</v>
      </c>
      <c r="P318" s="4">
        <f>IFERROR(__xludf.DUMMYFUNCTION("""COMPUTED_VALUE"""),0.0)</f>
        <v>0</v>
      </c>
      <c r="Q318" s="4">
        <f>IFERROR(__xludf.DUMMYFUNCTION("""COMPUTED_VALUE"""),0.0)</f>
        <v>0</v>
      </c>
      <c r="R318" s="4">
        <f>IFERROR(__xludf.DUMMYFUNCTION("""COMPUTED_VALUE"""),1075.0)</f>
        <v>1075</v>
      </c>
      <c r="S318" s="4">
        <f>IFERROR(__xludf.DUMMYFUNCTION("""COMPUTED_VALUE"""),900.0)</f>
        <v>900</v>
      </c>
      <c r="T318" s="1" t="str">
        <f>IFERROR(__xludf.DUMMYFUNCTION("""COMPUTED_VALUE"""),"PALANCA 500")</f>
        <v>PALANCA 500</v>
      </c>
      <c r="U318" s="1" t="str">
        <f>IFERROR(__xludf.DUMMYFUNCTION("""COMPUTED_VALUE"""),"SEBASTIAN")</f>
        <v>SEBASTIAN</v>
      </c>
      <c r="V318" s="1" t="str">
        <f>IFERROR(__xludf.DUMMYFUNCTION("""COMPUTED_VALUE"""),"Ninguno")</f>
        <v>Ninguno</v>
      </c>
      <c r="W318" s="1" t="str">
        <f>IFERROR(__xludf.DUMMYFUNCTION("""COMPUTED_VALUE"""),"Metodología de enseñanza")</f>
        <v>Metodología de enseñanza</v>
      </c>
      <c r="X318" s="1" t="str">
        <f>IFERROR(__xludf.DUMMYFUNCTION("""COMPUTED_VALUE"""),"-")</f>
        <v>-</v>
      </c>
      <c r="Y318" s="1" t="str">
        <f>IFERROR(__xludf.DUMMYFUNCTION("""COMPUTED_VALUE"""),"PAGO COMPLETO")</f>
        <v>PAGO COMPLETO</v>
      </c>
      <c r="Z318" s="1">
        <f>IFERROR(__xludf.DUMMYFUNCTION("""COMPUTED_VALUE"""),0.0)</f>
        <v>0</v>
      </c>
      <c r="AA318" s="1" t="str">
        <f>IFERROR(__xludf.DUMMYFUNCTION("""COMPUTED_VALUE"""),"-")</f>
        <v>-</v>
      </c>
      <c r="AB318" s="1">
        <f>IFERROR(__xludf.DUMMYFUNCTION("""COMPUTED_VALUE"""),0.0)</f>
        <v>0</v>
      </c>
      <c r="AC318" s="1">
        <f>IFERROR(__xludf.DUMMYFUNCTION("""COMPUTED_VALUE"""),0.0)</f>
        <v>0</v>
      </c>
      <c r="AD318" s="1" t="str">
        <f>IFERROR(__xludf.DUMMYFUNCTION("""COMPUTED_VALUE"""),"Fiorella Lanegra")</f>
        <v>Fiorella Lanegra</v>
      </c>
      <c r="AE318" s="1" t="str">
        <f>IFERROR(__xludf.DUMMYFUNCTION("""COMPUTED_VALUE"""),"0")</f>
        <v>0</v>
      </c>
      <c r="AF318" s="1">
        <f>IFERROR(__xludf.DUMMYFUNCTION("""COMPUTED_VALUE"""),2024.0)</f>
        <v>2024</v>
      </c>
      <c r="AG318" s="1">
        <f>IFERROR(__xludf.DUMMYFUNCTION("""COMPUTED_VALUE"""),1319987.0)</f>
        <v>1319987</v>
      </c>
      <c r="AH318" s="1">
        <f>IFERROR(__xludf.DUMMYFUNCTION("""COMPUTED_VALUE"""),18.0)</f>
        <v>18</v>
      </c>
      <c r="AI318" s="1" t="str">
        <f>IFERROR(__xludf.DUMMYFUNCTION("""COMPUTED_VALUE"""),"0000408129")</f>
        <v>0000408129</v>
      </c>
      <c r="AJ318" s="1">
        <f>IFERROR(__xludf.DUMMYFUNCTION("""COMPUTED_VALUE"""),7.1144272E7)</f>
        <v>71144272</v>
      </c>
      <c r="AK318" s="1">
        <f>IFERROR(__xludf.DUMMYFUNCTION("""COMPUTED_VALUE"""),9.47177623E8)</f>
        <v>947177623</v>
      </c>
      <c r="AL318" s="1" t="str">
        <f>IFERROR(__xludf.DUMMYFUNCTION("""COMPUTED_VALUE"""),"jorgeivanovmm@gmail.com")</f>
        <v>jorgeivanovmm@gmail.com</v>
      </c>
      <c r="AM318" s="1" t="str">
        <f>IFERROR(__xludf.DUMMYFUNCTION("""COMPUTED_VALUE"""),"FEMENINO")</f>
        <v>FEMENINO</v>
      </c>
      <c r="AN318" s="1">
        <f>IFERROR(__xludf.DUMMYFUNCTION("""COMPUTED_VALUE"""),1775.0)</f>
        <v>1775</v>
      </c>
      <c r="AO318" s="1">
        <f>IFERROR(__xludf.DUMMYFUNCTION("""COMPUTED_VALUE"""),535.0)</f>
        <v>535</v>
      </c>
      <c r="AP318" s="1" t="str">
        <f>IFERROR(__xludf.DUMMYFUNCTION("""COMPUTED_VALUE"""),"COLEGIOS")</f>
        <v>COLEGIOS</v>
      </c>
      <c r="AQ318" s="1" t="str">
        <f>IFERROR(__xludf.DUMMYFUNCTION("""COMPUTED_VALUE"""),"COLEGIOS")</f>
        <v>COLEGIOS</v>
      </c>
      <c r="AR318" s="1" t="str">
        <f>IFERROR(__xludf.DUMMYFUNCTION("""COMPUTED_VALUE"""),"NUEVO")</f>
        <v>NUEVO</v>
      </c>
      <c r="AS318" s="1"/>
      <c r="AT318" s="2">
        <f>IFERROR(__xludf.DUMMYFUNCTION("""COMPUTED_VALUE"""),45531.0)</f>
        <v>45531</v>
      </c>
      <c r="AU318" s="1">
        <f>IFERROR(__xludf.DUMMYFUNCTION("""COMPUTED_VALUE"""),1.0)</f>
        <v>1</v>
      </c>
      <c r="AV318" s="1" t="str">
        <f>IFERROR(__xludf.DUMMYFUNCTION("""COMPUTED_VALUE"""),"NUEVO")</f>
        <v>NUEVO</v>
      </c>
      <c r="AW318" s="1" t="str">
        <f>IFERROR(__xludf.DUMMYFUNCTION("""COMPUTED_VALUE"""),"SI")</f>
        <v>SI</v>
      </c>
      <c r="AX318" s="1"/>
      <c r="AY318" s="1" t="str">
        <f>IFERROR(__xludf.DUMMYFUNCTION("""COMPUTED_VALUE"""),"PAGO COMPLETO")</f>
        <v>PAGO COMPLETO</v>
      </c>
      <c r="AZ318" s="5">
        <f>IFERROR(__xludf.DUMMYFUNCTION("""COMPUTED_VALUE"""),45665.0)</f>
        <v>45665</v>
      </c>
      <c r="BA318" s="1">
        <f>IFERROR(__xludf.DUMMYFUNCTION("""COMPUTED_VALUE"""),0.0)</f>
        <v>0</v>
      </c>
      <c r="BB318" s="1">
        <f>IFERROR(__xludf.DUMMYFUNCTION("""COMPUTED_VALUE"""),0.0)</f>
        <v>0</v>
      </c>
      <c r="BC318" s="4">
        <f>IFERROR(__xludf.DUMMYFUNCTION("""COMPUTED_VALUE"""),0.0)</f>
        <v>0</v>
      </c>
      <c r="BD318" s="4">
        <f>IFERROR(__xludf.DUMMYFUNCTION("""COMPUTED_VALUE"""),400.0)</f>
        <v>400</v>
      </c>
      <c r="BE318" s="1">
        <f>IFERROR(__xludf.DUMMYFUNCTION("""COMPUTED_VALUE"""),1.0)</f>
        <v>1</v>
      </c>
      <c r="BF318" s="6">
        <f>IFERROR(__xludf.DUMMYFUNCTION("""COMPUTED_VALUE"""),1.0)</f>
        <v>1</v>
      </c>
      <c r="BG318" s="1">
        <f>IFERROR(__xludf.DUMMYFUNCTION("""COMPUTED_VALUE"""),1.0)</f>
        <v>1</v>
      </c>
      <c r="BH318" s="1" t="str">
        <f>IFERROR(__xludf.DUMMYFUNCTION("""COMPUTED_VALUE"""),"0")</f>
        <v>0</v>
      </c>
      <c r="BI318" s="4">
        <f>IFERROR(__xludf.DUMMYFUNCTION("""COMPUTED_VALUE"""),400.0)</f>
        <v>400</v>
      </c>
      <c r="BJ318" s="1">
        <f>IFERROR(__xludf.DUMMYFUNCTION("""COMPUTED_VALUE"""),0.0)</f>
        <v>0</v>
      </c>
      <c r="BK318" s="4">
        <f>IFERROR(__xludf.DUMMYFUNCTION("""COMPUTED_VALUE"""),400.0)</f>
        <v>400</v>
      </c>
      <c r="BL318" s="1">
        <f>IFERROR(__xludf.DUMMYFUNCTION("""COMPUTED_VALUE"""),820.0)</f>
        <v>820</v>
      </c>
      <c r="BM318" s="1">
        <f>IFERROR(__xludf.DUMMYFUNCTION("""COMPUTED_VALUE"""),2.0)</f>
        <v>2</v>
      </c>
      <c r="BN318" s="2">
        <f>IFERROR(__xludf.DUMMYFUNCTION("""COMPUTED_VALUE"""),45663.0)</f>
        <v>45663</v>
      </c>
      <c r="BO318" s="1">
        <f>IFERROR(__xludf.DUMMYFUNCTION("""COMPUTED_VALUE"""),1.0)</f>
        <v>1</v>
      </c>
      <c r="BP318" s="1">
        <f>IFERROR(__xludf.DUMMYFUNCTION("""COMPUTED_VALUE"""),2025.0)</f>
        <v>2025</v>
      </c>
    </row>
    <row r="319">
      <c r="A319" s="1">
        <f>IFERROR(__xludf.DUMMYFUNCTION("""COMPUTED_VALUE"""),318.0)</f>
        <v>318</v>
      </c>
      <c r="B319" s="1">
        <f>IFERROR(__xludf.DUMMYFUNCTION("""COMPUTED_VALUE"""),3323810.0)</f>
        <v>3323810</v>
      </c>
      <c r="C319" s="1" t="str">
        <f>IFERROR(__xludf.DUMMYFUNCTION("""COMPUTED_VALUE"""),"2025-1")</f>
        <v>2025-1</v>
      </c>
      <c r="D319" s="1" t="str">
        <f>IFERROR(__xludf.DUMMYFUNCTION("""COMPUTED_VALUE"""),"Admisión Ordinaria")</f>
        <v>Admisión Ordinaria</v>
      </c>
      <c r="E319" s="2">
        <f>IFERROR(__xludf.DUMMYFUNCTION("""COMPUTED_VALUE"""),45666.0)</f>
        <v>45666</v>
      </c>
      <c r="F319" s="1" t="str">
        <f>IFERROR(__xludf.DUMMYFUNCTION("""COMPUTED_VALUE"""),"LUCIA MARGOT ")</f>
        <v>LUCIA MARGOT </v>
      </c>
      <c r="G319" s="1" t="str">
        <f>IFERROR(__xludf.DUMMYFUNCTION("""COMPUTED_VALUE"""),"CANALES HUACCACHI")</f>
        <v>CANALES HUACCACHI</v>
      </c>
      <c r="H319" s="1" t="str">
        <f>IFERROR(__xludf.DUMMYFUNCTION("""COMPUTED_VALUE"""),"Arquitectura de Interiores")</f>
        <v>Arquitectura de Interiores</v>
      </c>
      <c r="I319" s="1" t="str">
        <f>IFERROR(__xludf.DUMMYFUNCTION("""COMPUTED_VALUE"""),"POS")</f>
        <v>POS</v>
      </c>
      <c r="J319" s="1" t="str">
        <f>IFERROR(__xludf.DUMMYFUNCTION("""COMPUTED_VALUE"""),"Diurno")</f>
        <v>Diurno</v>
      </c>
      <c r="K319" s="1" t="str">
        <f>IFERROR(__xludf.DUMMYFUNCTION("""COMPUTED_VALUE"""),"NUEVO")</f>
        <v>NUEVO</v>
      </c>
      <c r="L319" s="1">
        <f>IFERROR(__xludf.DUMMYFUNCTION("""COMPUTED_VALUE"""),0.0)</f>
        <v>0</v>
      </c>
      <c r="M319" s="1">
        <f>IFERROR(__xludf.DUMMYFUNCTION("""COMPUTED_VALUE"""),0.0)</f>
        <v>0</v>
      </c>
      <c r="N319" s="1" t="str">
        <f>IFERROR(__xludf.DUMMYFUNCTION("""COMPUTED_VALUE"""),"BECA")</f>
        <v>BECA</v>
      </c>
      <c r="O319" s="1" t="str">
        <f>IFERROR(__xludf.DUMMYFUNCTION("""COMPUTED_VALUE"""),"BECA CONGELADA DE 2 AÑOS")</f>
        <v>BECA CONGELADA DE 2 AÑOS</v>
      </c>
      <c r="P319" s="4">
        <f>IFERROR(__xludf.DUMMYFUNCTION("""COMPUTED_VALUE"""),0.0)</f>
        <v>0</v>
      </c>
      <c r="Q319" s="4">
        <f>IFERROR(__xludf.DUMMYFUNCTION("""COMPUTED_VALUE"""),0.0)</f>
        <v>0</v>
      </c>
      <c r="R319" s="4">
        <f>IFERROR(__xludf.DUMMYFUNCTION("""COMPUTED_VALUE"""),1600.0)</f>
        <v>1600</v>
      </c>
      <c r="S319" s="4">
        <f>IFERROR(__xludf.DUMMYFUNCTION("""COMPUTED_VALUE"""),1280.0)</f>
        <v>1280</v>
      </c>
      <c r="T319" s="1" t="str">
        <f>IFERROR(__xludf.DUMMYFUNCTION("""COMPUTED_VALUE"""),"Referido")</f>
        <v>Referido</v>
      </c>
      <c r="U319" s="1" t="str">
        <f>IFERROR(__xludf.DUMMYFUNCTION("""COMPUTED_VALUE"""),"FABIOLA")</f>
        <v>FABIOLA</v>
      </c>
      <c r="V319" s="1" t="str">
        <f>IFERROR(__xludf.DUMMYFUNCTION("""COMPUTED_VALUE"""),"Ninguno")</f>
        <v>Ninguno</v>
      </c>
      <c r="W319" s="1" t="str">
        <f>IFERROR(__xludf.DUMMYFUNCTION("""COMPUTED_VALUE"""),"Equipos e instalaciones")</f>
        <v>Equipos e instalaciones</v>
      </c>
      <c r="X319" s="1" t="str">
        <f>IFERROR(__xludf.DUMMYFUNCTION("""COMPUTED_VALUE"""),"referida de 3323808 NATALIA CAROLINA CÁCERES CHINCHAY")</f>
        <v>referida de 3323808 NATALIA CAROLINA CÁCERES CHINCHAY</v>
      </c>
      <c r="Y319" s="1" t="str">
        <f>IFERROR(__xludf.DUMMYFUNCTION("""COMPUTED_VALUE"""),"PAGO COMPLETO")</f>
        <v>PAGO COMPLETO</v>
      </c>
      <c r="Z319" s="1">
        <f>IFERROR(__xludf.DUMMYFUNCTION("""COMPUTED_VALUE"""),0.0)</f>
        <v>0</v>
      </c>
      <c r="AA319" s="1" t="str">
        <f>IFERROR(__xludf.DUMMYFUNCTION("""COMPUTED_VALUE"""),"-")</f>
        <v>-</v>
      </c>
      <c r="AB319" s="1">
        <f>IFERROR(__xludf.DUMMYFUNCTION("""COMPUTED_VALUE"""),0.0)</f>
        <v>0</v>
      </c>
      <c r="AC319" s="1">
        <f>IFERROR(__xludf.DUMMYFUNCTION("""COMPUTED_VALUE"""),0.0)</f>
        <v>0</v>
      </c>
      <c r="AD319" s="1" t="str">
        <f>IFERROR(__xludf.DUMMYFUNCTION("""COMPUTED_VALUE"""),"Fiorella Lanegra")</f>
        <v>Fiorella Lanegra</v>
      </c>
      <c r="AE319" s="1" t="str">
        <f>IFERROR(__xludf.DUMMYFUNCTION("""COMPUTED_VALUE"""),"0")</f>
        <v>0</v>
      </c>
      <c r="AF319" s="1">
        <f>IFERROR(__xludf.DUMMYFUNCTION("""COMPUTED_VALUE"""),2024.0)</f>
        <v>2024</v>
      </c>
      <c r="AG319" s="1">
        <f>IFERROR(__xludf.DUMMYFUNCTION("""COMPUTED_VALUE"""),828491.0)</f>
        <v>828491</v>
      </c>
      <c r="AH319" s="1">
        <f>IFERROR(__xludf.DUMMYFUNCTION("""COMPUTED_VALUE"""),17.0)</f>
        <v>17</v>
      </c>
      <c r="AI319" s="1" t="str">
        <f>IFERROR(__xludf.DUMMYFUNCTION("""COMPUTED_VALUE"""),"0000408206")</f>
        <v>0000408206</v>
      </c>
      <c r="AJ319" s="1">
        <f>IFERROR(__xludf.DUMMYFUNCTION("""COMPUTED_VALUE"""),7.1677604E7)</f>
        <v>71677604</v>
      </c>
      <c r="AK319" s="1">
        <f>IFERROR(__xludf.DUMMYFUNCTION("""COMPUTED_VALUE"""),9.60903533E8)</f>
        <v>960903533</v>
      </c>
      <c r="AL319" s="1" t="str">
        <f>IFERROR(__xludf.DUMMYFUNCTION("""COMPUTED_VALUE"""),"LUISKEN2615@gmail.com")</f>
        <v>LUISKEN2615@gmail.com</v>
      </c>
      <c r="AM319" s="1" t="str">
        <f>IFERROR(__xludf.DUMMYFUNCTION("""COMPUTED_VALUE"""),"FEMENINO")</f>
        <v>FEMENINO</v>
      </c>
      <c r="AN319" s="1">
        <f>IFERROR(__xludf.DUMMYFUNCTION("""COMPUTED_VALUE"""),1775.0)</f>
        <v>1775</v>
      </c>
      <c r="AO319" s="1">
        <f>IFERROR(__xludf.DUMMYFUNCTION("""COMPUTED_VALUE"""),400.0)</f>
        <v>400</v>
      </c>
      <c r="AP319" s="1" t="str">
        <f>IFERROR(__xludf.DUMMYFUNCTION("""COMPUTED_VALUE"""),"COLEGIOS")</f>
        <v>COLEGIOS</v>
      </c>
      <c r="AQ319" s="1" t="str">
        <f>IFERROR(__xludf.DUMMYFUNCTION("""COMPUTED_VALUE"""),"COLEGIOS")</f>
        <v>COLEGIOS</v>
      </c>
      <c r="AR319" s="1" t="str">
        <f>IFERROR(__xludf.DUMMYFUNCTION("""COMPUTED_VALUE"""),"NUEVO")</f>
        <v>NUEVO</v>
      </c>
      <c r="AS319" s="1"/>
      <c r="AT319" s="2">
        <f>IFERROR(__xludf.DUMMYFUNCTION("""COMPUTED_VALUE"""),45455.0)</f>
        <v>45455</v>
      </c>
      <c r="AU319" s="1">
        <f>IFERROR(__xludf.DUMMYFUNCTION("""COMPUTED_VALUE"""),1.0)</f>
        <v>1</v>
      </c>
      <c r="AV319" s="1" t="str">
        <f>IFERROR(__xludf.DUMMYFUNCTION("""COMPUTED_VALUE"""),"NUEVO")</f>
        <v>NUEVO</v>
      </c>
      <c r="AW319" s="1" t="str">
        <f>IFERROR(__xludf.DUMMYFUNCTION("""COMPUTED_VALUE"""),"SI")</f>
        <v>SI</v>
      </c>
      <c r="AX319" s="1"/>
      <c r="AY319" s="1" t="str">
        <f>IFERROR(__xludf.DUMMYFUNCTION("""COMPUTED_VALUE"""),"PAGO COMPLETO")</f>
        <v>PAGO COMPLETO</v>
      </c>
      <c r="AZ319" s="5">
        <f>IFERROR(__xludf.DUMMYFUNCTION("""COMPUTED_VALUE"""),45666.0)</f>
        <v>45666</v>
      </c>
      <c r="BA319" s="1">
        <f>IFERROR(__xludf.DUMMYFUNCTION("""COMPUTED_VALUE"""),0.0)</f>
        <v>0</v>
      </c>
      <c r="BB319" s="1">
        <f>IFERROR(__xludf.DUMMYFUNCTION("""COMPUTED_VALUE"""),0.0)</f>
        <v>0</v>
      </c>
      <c r="BC319" s="4">
        <f>IFERROR(__xludf.DUMMYFUNCTION("""COMPUTED_VALUE"""),0.0)</f>
        <v>0</v>
      </c>
      <c r="BD319" s="4">
        <f>IFERROR(__xludf.DUMMYFUNCTION("""COMPUTED_VALUE"""),0.0)</f>
        <v>0</v>
      </c>
      <c r="BE319" s="1">
        <f>IFERROR(__xludf.DUMMYFUNCTION("""COMPUTED_VALUE"""),1.0)</f>
        <v>1</v>
      </c>
      <c r="BF319" s="6">
        <f>IFERROR(__xludf.DUMMYFUNCTION("""COMPUTED_VALUE"""),1.0)</f>
        <v>1</v>
      </c>
      <c r="BG319" s="1">
        <f>IFERROR(__xludf.DUMMYFUNCTION("""COMPUTED_VALUE"""),1.0)</f>
        <v>1</v>
      </c>
      <c r="BH319" s="1" t="str">
        <f>IFERROR(__xludf.DUMMYFUNCTION("""COMPUTED_VALUE"""),"0")</f>
        <v>0</v>
      </c>
      <c r="BI319" s="4">
        <f>IFERROR(__xludf.DUMMYFUNCTION("""COMPUTED_VALUE"""),0.0)</f>
        <v>0</v>
      </c>
      <c r="BJ319" s="1">
        <f>IFERROR(__xludf.DUMMYFUNCTION("""COMPUTED_VALUE"""),0.0)</f>
        <v>0</v>
      </c>
      <c r="BK319" s="4">
        <f>IFERROR(__xludf.DUMMYFUNCTION("""COMPUTED_VALUE"""),640.0)</f>
        <v>640</v>
      </c>
      <c r="BL319" s="1">
        <f>IFERROR(__xludf.DUMMYFUNCTION("""COMPUTED_VALUE"""),1152.0)</f>
        <v>1152</v>
      </c>
      <c r="BM319" s="1">
        <f>IFERROR(__xludf.DUMMYFUNCTION("""COMPUTED_VALUE"""),2.0)</f>
        <v>2</v>
      </c>
      <c r="BN319" s="2">
        <f>IFERROR(__xludf.DUMMYFUNCTION("""COMPUTED_VALUE"""),45663.0)</f>
        <v>45663</v>
      </c>
      <c r="BO319" s="1">
        <f>IFERROR(__xludf.DUMMYFUNCTION("""COMPUTED_VALUE"""),1.0)</f>
        <v>1</v>
      </c>
      <c r="BP319" s="1">
        <f>IFERROR(__xludf.DUMMYFUNCTION("""COMPUTED_VALUE"""),2025.0)</f>
        <v>2025</v>
      </c>
    </row>
    <row r="320">
      <c r="A320" s="1">
        <f>IFERROR(__xludf.DUMMYFUNCTION("""COMPUTED_VALUE"""),319.0)</f>
        <v>319</v>
      </c>
      <c r="B320" s="1">
        <f>IFERROR(__xludf.DUMMYFUNCTION("""COMPUTED_VALUE"""),4933925.0)</f>
        <v>4933925</v>
      </c>
      <c r="C320" s="1" t="str">
        <f>IFERROR(__xludf.DUMMYFUNCTION("""COMPUTED_VALUE"""),"2025-1")</f>
        <v>2025-1</v>
      </c>
      <c r="D320" s="1" t="str">
        <f>IFERROR(__xludf.DUMMYFUNCTION("""COMPUTED_VALUE"""),"Admisión de Alto Rendimiento")</f>
        <v>Admisión de Alto Rendimiento</v>
      </c>
      <c r="E320" s="2">
        <f>IFERROR(__xludf.DUMMYFUNCTION("""COMPUTED_VALUE"""),45666.0)</f>
        <v>45666</v>
      </c>
      <c r="F320" s="1" t="str">
        <f>IFERROR(__xludf.DUMMYFUNCTION("""COMPUTED_VALUE"""),"LUIS DANIEL ")</f>
        <v>LUIS DANIEL </v>
      </c>
      <c r="G320" s="1" t="str">
        <f>IFERROR(__xludf.DUMMYFUNCTION("""COMPUTED_VALUE"""),"BRINGAS RAMIREZ")</f>
        <v>BRINGAS RAMIREZ</v>
      </c>
      <c r="H320" s="1" t="str">
        <f>IFERROR(__xludf.DUMMYFUNCTION("""COMPUTED_VALUE"""),"Comunicación Audiovisual y Cine")</f>
        <v>Comunicación Audiovisual y Cine</v>
      </c>
      <c r="I320" s="1" t="str">
        <f>IFERROR(__xludf.DUMMYFUNCTION("""COMPUTED_VALUE"""),"Pago Link")</f>
        <v>Pago Link</v>
      </c>
      <c r="J320" s="1" t="str">
        <f>IFERROR(__xludf.DUMMYFUNCTION("""COMPUTED_VALUE"""),"Diurno")</f>
        <v>Diurno</v>
      </c>
      <c r="K320" s="1" t="str">
        <f>IFERROR(__xludf.DUMMYFUNCTION("""COMPUTED_VALUE"""),"NUEVO")</f>
        <v>NUEVO</v>
      </c>
      <c r="L320" s="1">
        <f>IFERROR(__xludf.DUMMYFUNCTION("""COMPUTED_VALUE"""),0.0)</f>
        <v>0</v>
      </c>
      <c r="M320" s="1">
        <f>IFERROR(__xludf.DUMMYFUNCTION("""COMPUTED_VALUE"""),0.0)</f>
        <v>0</v>
      </c>
      <c r="N320" s="1" t="str">
        <f>IFERROR(__xludf.DUMMYFUNCTION("""COMPUTED_VALUE"""),"BECA")</f>
        <v>BECA</v>
      </c>
      <c r="O320" s="1" t="str">
        <f>IFERROR(__xludf.DUMMYFUNCTION("""COMPUTED_VALUE"""),"BECA CONGELADA DE 2 AÑOS")</f>
        <v>BECA CONGELADA DE 2 AÑOS</v>
      </c>
      <c r="P320" s="4">
        <f>IFERROR(__xludf.DUMMYFUNCTION("""COMPUTED_VALUE"""),0.0)</f>
        <v>0</v>
      </c>
      <c r="Q320" s="4">
        <f>IFERROR(__xludf.DUMMYFUNCTION("""COMPUTED_VALUE"""),0.0)</f>
        <v>0</v>
      </c>
      <c r="R320" s="4">
        <f>IFERROR(__xludf.DUMMYFUNCTION("""COMPUTED_VALUE"""),1600.0)</f>
        <v>1600</v>
      </c>
      <c r="S320" s="4">
        <f>IFERROR(__xludf.DUMMYFUNCTION("""COMPUTED_VALUE"""),1200.0)</f>
        <v>1200</v>
      </c>
      <c r="T320" s="1" t="str">
        <f>IFERROR(__xludf.DUMMYFUNCTION("""COMPUTED_VALUE"""),"Referido")</f>
        <v>Referido</v>
      </c>
      <c r="U320" s="1" t="str">
        <f>IFERROR(__xludf.DUMMYFUNCTION("""COMPUTED_VALUE"""),"RODRIGO")</f>
        <v>RODRIGO</v>
      </c>
      <c r="V320" s="1" t="str">
        <f>IFERROR(__xludf.DUMMYFUNCTION("""COMPUTED_VALUE"""),"Ninguno")</f>
        <v>Ninguno</v>
      </c>
      <c r="W320" s="1" t="str">
        <f>IFERROR(__xludf.DUMMYFUNCTION("""COMPUTED_VALUE"""),"Prestigio de la institución")</f>
        <v>Prestigio de la institución</v>
      </c>
      <c r="X320" s="1" t="str">
        <f>IFERROR(__xludf.DUMMYFUNCTION("""COMPUTED_VALUE"""),"REFERIDO")</f>
        <v>REFERIDO</v>
      </c>
      <c r="Y320" s="1" t="str">
        <f>IFERROR(__xludf.DUMMYFUNCTION("""COMPUTED_VALUE"""),"PAGO FRACCIONADO")</f>
        <v>PAGO FRACCIONADO</v>
      </c>
      <c r="Z320" s="1">
        <f>IFERROR(__xludf.DUMMYFUNCTION("""COMPUTED_VALUE"""),600.0)</f>
        <v>600</v>
      </c>
      <c r="AA320" s="1" t="str">
        <f>IFERROR(__xludf.DUMMYFUNCTION("""COMPUTED_VALUE"""),"31/01/2025")</f>
        <v>31/01/2025</v>
      </c>
      <c r="AB320" s="1">
        <f>IFERROR(__xludf.DUMMYFUNCTION("""COMPUTED_VALUE"""),0.0)</f>
        <v>0</v>
      </c>
      <c r="AC320" s="1">
        <f>IFERROR(__xludf.DUMMYFUNCTION("""COMPUTED_VALUE"""),0.0)</f>
        <v>0</v>
      </c>
      <c r="AD320" s="1" t="str">
        <f>IFERROR(__xludf.DUMMYFUNCTION("""COMPUTED_VALUE"""),"Erwyn Terie Vital Avila")</f>
        <v>Erwyn Terie Vital Avila</v>
      </c>
      <c r="AE320" s="1" t="str">
        <f>IFERROR(__xludf.DUMMYFUNCTION("""COMPUTED_VALUE"""),"0")</f>
        <v>0</v>
      </c>
      <c r="AF320" s="1">
        <f>IFERROR(__xludf.DUMMYFUNCTION("""COMPUTED_VALUE"""),2024.0)</f>
        <v>2024</v>
      </c>
      <c r="AG320" s="1">
        <f>IFERROR(__xludf.DUMMYFUNCTION("""COMPUTED_VALUE"""),1508019.0)</f>
        <v>1508019</v>
      </c>
      <c r="AH320" s="1">
        <f>IFERROR(__xludf.DUMMYFUNCTION("""COMPUTED_VALUE"""),17.0)</f>
        <v>17</v>
      </c>
      <c r="AI320" s="1" t="str">
        <f>IFERROR(__xludf.DUMMYFUNCTION("""COMPUTED_VALUE"""),"0000408180")</f>
        <v>0000408180</v>
      </c>
      <c r="AJ320" s="1">
        <f>IFERROR(__xludf.DUMMYFUNCTION("""COMPUTED_VALUE"""),6.1374427E7)</f>
        <v>61374427</v>
      </c>
      <c r="AK320" s="1">
        <f>IFERROR(__xludf.DUMMYFUNCTION("""COMPUTED_VALUE"""),9.03107001E8)</f>
        <v>903107001</v>
      </c>
      <c r="AL320" s="1" t="str">
        <f>IFERROR(__xludf.DUMMYFUNCTION("""COMPUTED_VALUE"""),"danielbringasr@gmail.com")</f>
        <v>danielbringasr@gmail.com</v>
      </c>
      <c r="AM320" s="1" t="str">
        <f>IFERROR(__xludf.DUMMYFUNCTION("""COMPUTED_VALUE"""),"MASCULINO")</f>
        <v>MASCULINO</v>
      </c>
      <c r="AN320" s="1">
        <f>IFERROR(__xludf.DUMMYFUNCTION("""COMPUTED_VALUE"""),1850.0)</f>
        <v>1850</v>
      </c>
      <c r="AO320" s="1">
        <f>IFERROR(__xludf.DUMMYFUNCTION("""COMPUTED_VALUE"""),675.0)</f>
        <v>675</v>
      </c>
      <c r="AP320" s="1" t="str">
        <f>IFERROR(__xludf.DUMMYFUNCTION("""COMPUTED_VALUE"""),"BIDIRECCIONAL")</f>
        <v>BIDIRECCIONAL</v>
      </c>
      <c r="AQ320" s="1" t="str">
        <f>IFERROR(__xludf.DUMMYFUNCTION("""COMPUTED_VALUE"""),"ORGANICO")</f>
        <v>ORGANICO</v>
      </c>
      <c r="AR320" s="1" t="str">
        <f>IFERROR(__xludf.DUMMYFUNCTION("""COMPUTED_VALUE"""),"NUEVO")</f>
        <v>NUEVO</v>
      </c>
      <c r="AS320" s="1"/>
      <c r="AT320" s="2">
        <f>IFERROR(__xludf.DUMMYFUNCTION("""COMPUTED_VALUE"""),45665.0)</f>
        <v>45665</v>
      </c>
      <c r="AU320" s="1">
        <f>IFERROR(__xludf.DUMMYFUNCTION("""COMPUTED_VALUE"""),1.0)</f>
        <v>1</v>
      </c>
      <c r="AV320" s="1" t="str">
        <f>IFERROR(__xludf.DUMMYFUNCTION("""COMPUTED_VALUE"""),"NUEVO")</f>
        <v>NUEVO</v>
      </c>
      <c r="AW320" s="1" t="str">
        <f>IFERROR(__xludf.DUMMYFUNCTION("""COMPUTED_VALUE"""),"SI")</f>
        <v>SI</v>
      </c>
      <c r="AX320" s="1"/>
      <c r="AY320" s="1" t="str">
        <f>IFERROR(__xludf.DUMMYFUNCTION("""COMPUTED_VALUE"""),"PAGO COMPLETO")</f>
        <v>PAGO COMPLETO</v>
      </c>
      <c r="AZ320" s="5">
        <f>IFERROR(__xludf.DUMMYFUNCTION("""COMPUTED_VALUE"""),45687.0)</f>
        <v>45687</v>
      </c>
      <c r="BA320" s="1">
        <f>IFERROR(__xludf.DUMMYFUNCTION("""COMPUTED_VALUE"""),600.0)</f>
        <v>600</v>
      </c>
      <c r="BB320" s="1">
        <f>IFERROR(__xludf.DUMMYFUNCTION("""COMPUTED_VALUE"""),0.0)</f>
        <v>0</v>
      </c>
      <c r="BC320" s="4">
        <f>IFERROR(__xludf.DUMMYFUNCTION("""COMPUTED_VALUE"""),0.0)</f>
        <v>0</v>
      </c>
      <c r="BD320" s="4">
        <f>IFERROR(__xludf.DUMMYFUNCTION("""COMPUTED_VALUE"""),0.0)</f>
        <v>0</v>
      </c>
      <c r="BE320" s="1">
        <f>IFERROR(__xludf.DUMMYFUNCTION("""COMPUTED_VALUE"""),1.0)</f>
        <v>1</v>
      </c>
      <c r="BF320" s="6">
        <f>IFERROR(__xludf.DUMMYFUNCTION("""COMPUTED_VALUE"""),1.0)</f>
        <v>1</v>
      </c>
      <c r="BG320" s="1">
        <f>IFERROR(__xludf.DUMMYFUNCTION("""COMPUTED_VALUE"""),1.0)</f>
        <v>1</v>
      </c>
      <c r="BH320" s="1" t="str">
        <f>IFERROR(__xludf.DUMMYFUNCTION("""COMPUTED_VALUE"""),"0")</f>
        <v>0</v>
      </c>
      <c r="BI320" s="4">
        <f>IFERROR(__xludf.DUMMYFUNCTION("""COMPUTED_VALUE"""),1200.0)</f>
        <v>1200</v>
      </c>
      <c r="BJ320" s="1">
        <f>IFERROR(__xludf.DUMMYFUNCTION("""COMPUTED_VALUE"""),0.0)</f>
        <v>0</v>
      </c>
      <c r="BK320" s="4">
        <f>IFERROR(__xludf.DUMMYFUNCTION("""COMPUTED_VALUE"""),600.0)</f>
        <v>600</v>
      </c>
      <c r="BL320" s="1">
        <f>IFERROR(__xludf.DUMMYFUNCTION("""COMPUTED_VALUE"""),1080.0)</f>
        <v>1080</v>
      </c>
      <c r="BM320" s="1">
        <f>IFERROR(__xludf.DUMMYFUNCTION("""COMPUTED_VALUE"""),2.0)</f>
        <v>2</v>
      </c>
      <c r="BN320" s="2">
        <f>IFERROR(__xludf.DUMMYFUNCTION("""COMPUTED_VALUE"""),45663.0)</f>
        <v>45663</v>
      </c>
      <c r="BO320" s="1">
        <f>IFERROR(__xludf.DUMMYFUNCTION("""COMPUTED_VALUE"""),1.0)</f>
        <v>1</v>
      </c>
      <c r="BP320" s="1">
        <f>IFERROR(__xludf.DUMMYFUNCTION("""COMPUTED_VALUE"""),2025.0)</f>
        <v>2025</v>
      </c>
    </row>
    <row r="321">
      <c r="A321" s="1">
        <f>IFERROR(__xludf.DUMMYFUNCTION("""COMPUTED_VALUE"""),320.0)</f>
        <v>320</v>
      </c>
      <c r="B321" s="1">
        <f>IFERROR(__xludf.DUMMYFUNCTION("""COMPUTED_VALUE"""),4930723.0)</f>
        <v>4930723</v>
      </c>
      <c r="C321" s="1" t="str">
        <f>IFERROR(__xludf.DUMMYFUNCTION("""COMPUTED_VALUE"""),"2025-1")</f>
        <v>2025-1</v>
      </c>
      <c r="D321" s="1" t="str">
        <f>IFERROR(__xludf.DUMMYFUNCTION("""COMPUTED_VALUE"""),"Admisión de Alto Rendimiento")</f>
        <v>Admisión de Alto Rendimiento</v>
      </c>
      <c r="E321" s="2">
        <f>IFERROR(__xludf.DUMMYFUNCTION("""COMPUTED_VALUE"""),45666.0)</f>
        <v>45666</v>
      </c>
      <c r="F321" s="1" t="str">
        <f>IFERROR(__xludf.DUMMYFUNCTION("""COMPUTED_VALUE"""),"NICOLE ANDREA")</f>
        <v>NICOLE ANDREA</v>
      </c>
      <c r="G321" s="1" t="str">
        <f>IFERROR(__xludf.DUMMYFUNCTION("""COMPUTED_VALUE"""),"ALCARAZO ROSAS")</f>
        <v>ALCARAZO ROSAS</v>
      </c>
      <c r="H321" s="1" t="str">
        <f>IFERROR(__xludf.DUMMYFUNCTION("""COMPUTED_VALUE"""),"Diseño Gráfico Publicitario")</f>
        <v>Diseño Gráfico Publicitario</v>
      </c>
      <c r="I321" s="1" t="str">
        <f>IFERROR(__xludf.DUMMYFUNCTION("""COMPUTED_VALUE"""),"POS")</f>
        <v>POS</v>
      </c>
      <c r="J321" s="1" t="str">
        <f>IFERROR(__xludf.DUMMYFUNCTION("""COMPUTED_VALUE"""),"Diurno")</f>
        <v>Diurno</v>
      </c>
      <c r="K321" s="1" t="str">
        <f>IFERROR(__xludf.DUMMYFUNCTION("""COMPUTED_VALUE"""),"NUEVO")</f>
        <v>NUEVO</v>
      </c>
      <c r="L321" s="1">
        <f>IFERROR(__xludf.DUMMYFUNCTION("""COMPUTED_VALUE"""),0.0)</f>
        <v>0</v>
      </c>
      <c r="M321" s="1">
        <f>IFERROR(__xludf.DUMMYFUNCTION("""COMPUTED_VALUE"""),0.0)</f>
        <v>0</v>
      </c>
      <c r="N321" s="1" t="str">
        <f>IFERROR(__xludf.DUMMYFUNCTION("""COMPUTED_VALUE"""),"BECA")</f>
        <v>BECA</v>
      </c>
      <c r="O321" s="1" t="str">
        <f>IFERROR(__xludf.DUMMYFUNCTION("""COMPUTED_VALUE"""),"BECA CONGELADA DE 2 AÑOS")</f>
        <v>BECA CONGELADA DE 2 AÑOS</v>
      </c>
      <c r="P321" s="4">
        <f>IFERROR(__xludf.DUMMYFUNCTION("""COMPUTED_VALUE"""),0.0)</f>
        <v>0</v>
      </c>
      <c r="Q321" s="4">
        <f>IFERROR(__xludf.DUMMYFUNCTION("""COMPUTED_VALUE"""),0.0)</f>
        <v>0</v>
      </c>
      <c r="R321" s="4">
        <f>IFERROR(__xludf.DUMMYFUNCTION("""COMPUTED_VALUE"""),1150.0)</f>
        <v>1150</v>
      </c>
      <c r="S321" s="4">
        <f>IFERROR(__xludf.DUMMYFUNCTION("""COMPUTED_VALUE"""),1000.0)</f>
        <v>1000</v>
      </c>
      <c r="T321" s="1" t="str">
        <f>IFERROR(__xludf.DUMMYFUNCTION("""COMPUTED_VALUE"""),"PALANCA 700")</f>
        <v>PALANCA 700</v>
      </c>
      <c r="U321" s="1" t="str">
        <f>IFERROR(__xludf.DUMMYFUNCTION("""COMPUTED_VALUE"""),"-")</f>
        <v>-</v>
      </c>
      <c r="V321" s="1" t="str">
        <f>IFERROR(__xludf.DUMMYFUNCTION("""COMPUTED_VALUE"""),"Ninguno")</f>
        <v>Ninguno</v>
      </c>
      <c r="W321" s="1" t="str">
        <f>IFERROR(__xludf.DUMMYFUNCTION("""COMPUTED_VALUE"""),"Malla curricular")</f>
        <v>Malla curricular</v>
      </c>
      <c r="X321" s="1" t="str">
        <f>IFERROR(__xludf.DUMMYFUNCTION("""COMPUTED_VALUE"""),"-")</f>
        <v>-</v>
      </c>
      <c r="Y321" s="1" t="str">
        <f>IFERROR(__xludf.DUMMYFUNCTION("""COMPUTED_VALUE"""),"PAGO COMPLETO")</f>
        <v>PAGO COMPLETO</v>
      </c>
      <c r="Z321" s="1">
        <f>IFERROR(__xludf.DUMMYFUNCTION("""COMPUTED_VALUE"""),0.0)</f>
        <v>0</v>
      </c>
      <c r="AA321" s="1" t="str">
        <f>IFERROR(__xludf.DUMMYFUNCTION("""COMPUTED_VALUE"""),"-")</f>
        <v>-</v>
      </c>
      <c r="AB321" s="1">
        <f>IFERROR(__xludf.DUMMYFUNCTION("""COMPUTED_VALUE"""),0.0)</f>
        <v>0</v>
      </c>
      <c r="AC321" s="1">
        <f>IFERROR(__xludf.DUMMYFUNCTION("""COMPUTED_VALUE"""),0.0)</f>
        <v>0</v>
      </c>
      <c r="AD321" s="1" t="str">
        <f>IFERROR(__xludf.DUMMYFUNCTION("""COMPUTED_VALUE"""),"Stefano Napuri")</f>
        <v>Stefano Napuri</v>
      </c>
      <c r="AE321" s="1" t="str">
        <f>IFERROR(__xludf.DUMMYFUNCTION("""COMPUTED_VALUE"""),"0")</f>
        <v>0</v>
      </c>
      <c r="AF321" s="1">
        <f>IFERROR(__xludf.DUMMYFUNCTION("""COMPUTED_VALUE"""),2024.0)</f>
        <v>2024</v>
      </c>
      <c r="AG321" s="1">
        <f>IFERROR(__xludf.DUMMYFUNCTION("""COMPUTED_VALUE"""),743815.0)</f>
        <v>743815</v>
      </c>
      <c r="AH321" s="1">
        <f>IFERROR(__xludf.DUMMYFUNCTION("""COMPUTED_VALUE"""),17.0)</f>
        <v>17</v>
      </c>
      <c r="AI321" s="1" t="str">
        <f>IFERROR(__xludf.DUMMYFUNCTION("""COMPUTED_VALUE"""),"0000408302")</f>
        <v>0000408302</v>
      </c>
      <c r="AJ321" s="1">
        <f>IFERROR(__xludf.DUMMYFUNCTION("""COMPUTED_VALUE"""),7.1156712E7)</f>
        <v>71156712</v>
      </c>
      <c r="AK321" s="1">
        <f>IFERROR(__xludf.DUMMYFUNCTION("""COMPUTED_VALUE"""),9.82066531E8)</f>
        <v>982066531</v>
      </c>
      <c r="AL321" s="1" t="str">
        <f>IFERROR(__xludf.DUMMYFUNCTION("""COMPUTED_VALUE"""),"BONIKOO91@gmail.com")</f>
        <v>BONIKOO91@gmail.com</v>
      </c>
      <c r="AM321" s="1" t="str">
        <f>IFERROR(__xludf.DUMMYFUNCTION("""COMPUTED_VALUE"""),"FEMENINO")</f>
        <v>FEMENINO</v>
      </c>
      <c r="AN321" s="1">
        <f>IFERROR(__xludf.DUMMYFUNCTION("""COMPUTED_VALUE"""),1350.0)</f>
        <v>1350</v>
      </c>
      <c r="AO321" s="1">
        <f>IFERROR(__xludf.DUMMYFUNCTION("""COMPUTED_VALUE"""),0.0)</f>
        <v>0</v>
      </c>
      <c r="AP321" s="1" t="str">
        <f>IFERROR(__xludf.DUMMYFUNCTION("""COMPUTED_VALUE"""),"FORMULARIO")</f>
        <v>FORMULARIO</v>
      </c>
      <c r="AQ321" s="1" t="str">
        <f>IFERROR(__xludf.DUMMYFUNCTION("""COMPUTED_VALUE"""),"SEARCH MARCA")</f>
        <v>SEARCH MARCA</v>
      </c>
      <c r="AR321" s="1" t="str">
        <f>IFERROR(__xludf.DUMMYFUNCTION("""COMPUTED_VALUE"""),"NUEVO")</f>
        <v>NUEVO</v>
      </c>
      <c r="AS321" s="1" t="str">
        <f>IFERROR(__xludf.DUMMYFUNCTION("""COMPUTED_VALUE"""),"ucal-pg-performance-sedes-abierta-cpl-search_conversion_marca-20240401")</f>
        <v>ucal-pg-performance-sedes-abierta-cpl-search_conversion_marca-20240401</v>
      </c>
      <c r="AT321" s="2">
        <f>IFERROR(__xludf.DUMMYFUNCTION("""COMPUTED_VALUE"""),45664.0)</f>
        <v>45664</v>
      </c>
      <c r="AU321" s="1">
        <f>IFERROR(__xludf.DUMMYFUNCTION("""COMPUTED_VALUE"""),1.0)</f>
        <v>1</v>
      </c>
      <c r="AV321" s="1" t="str">
        <f>IFERROR(__xludf.DUMMYFUNCTION("""COMPUTED_VALUE"""),"NUEVO")</f>
        <v>NUEVO</v>
      </c>
      <c r="AW321" s="1" t="str">
        <f>IFERROR(__xludf.DUMMYFUNCTION("""COMPUTED_VALUE"""),"SI")</f>
        <v>SI</v>
      </c>
      <c r="AX321" s="1"/>
      <c r="AY321" s="1" t="str">
        <f>IFERROR(__xludf.DUMMYFUNCTION("""COMPUTED_VALUE"""),"PAGO COMPLETO")</f>
        <v>PAGO COMPLETO</v>
      </c>
      <c r="AZ321" s="5">
        <f>IFERROR(__xludf.DUMMYFUNCTION("""COMPUTED_VALUE"""),45666.0)</f>
        <v>45666</v>
      </c>
      <c r="BA321" s="1">
        <f>IFERROR(__xludf.DUMMYFUNCTION("""COMPUTED_VALUE"""),0.0)</f>
        <v>0</v>
      </c>
      <c r="BB321" s="1">
        <f>IFERROR(__xludf.DUMMYFUNCTION("""COMPUTED_VALUE"""),0.0)</f>
        <v>0</v>
      </c>
      <c r="BC321" s="4">
        <f>IFERROR(__xludf.DUMMYFUNCTION("""COMPUTED_VALUE"""),0.0)</f>
        <v>0</v>
      </c>
      <c r="BD321" s="4">
        <f>IFERROR(__xludf.DUMMYFUNCTION("""COMPUTED_VALUE"""),300.0)</f>
        <v>300</v>
      </c>
      <c r="BE321" s="1">
        <f>IFERROR(__xludf.DUMMYFUNCTION("""COMPUTED_VALUE"""),1.0)</f>
        <v>1</v>
      </c>
      <c r="BF321" s="6">
        <f>IFERROR(__xludf.DUMMYFUNCTION("""COMPUTED_VALUE"""),1.0)</f>
        <v>1</v>
      </c>
      <c r="BG321" s="1">
        <f>IFERROR(__xludf.DUMMYFUNCTION("""COMPUTED_VALUE"""),1.0)</f>
        <v>1</v>
      </c>
      <c r="BH321" s="1" t="str">
        <f>IFERROR(__xludf.DUMMYFUNCTION("""COMPUTED_VALUE"""),"0")</f>
        <v>0</v>
      </c>
      <c r="BI321" s="4">
        <f>IFERROR(__xludf.DUMMYFUNCTION("""COMPUTED_VALUE"""),300.0)</f>
        <v>300</v>
      </c>
      <c r="BJ321" s="1">
        <f>IFERROR(__xludf.DUMMYFUNCTION("""COMPUTED_VALUE"""),0.0)</f>
        <v>0</v>
      </c>
      <c r="BK321" s="4">
        <f>IFERROR(__xludf.DUMMYFUNCTION("""COMPUTED_VALUE"""),300.0)</f>
        <v>300</v>
      </c>
      <c r="BL321" s="1">
        <f>IFERROR(__xludf.DUMMYFUNCTION("""COMPUTED_VALUE"""),940.0)</f>
        <v>940</v>
      </c>
      <c r="BM321" s="1">
        <f>IFERROR(__xludf.DUMMYFUNCTION("""COMPUTED_VALUE"""),2.0)</f>
        <v>2</v>
      </c>
      <c r="BN321" s="2">
        <f>IFERROR(__xludf.DUMMYFUNCTION("""COMPUTED_VALUE"""),45663.0)</f>
        <v>45663</v>
      </c>
      <c r="BO321" s="1">
        <f>IFERROR(__xludf.DUMMYFUNCTION("""COMPUTED_VALUE"""),1.0)</f>
        <v>1</v>
      </c>
      <c r="BP321" s="1">
        <f>IFERROR(__xludf.DUMMYFUNCTION("""COMPUTED_VALUE"""),2025.0)</f>
        <v>2025</v>
      </c>
    </row>
    <row r="322">
      <c r="A322" s="1">
        <f>IFERROR(__xludf.DUMMYFUNCTION("""COMPUTED_VALUE"""),321.0)</f>
        <v>321</v>
      </c>
      <c r="B322" s="1">
        <f>IFERROR(__xludf.DUMMYFUNCTION("""COMPUTED_VALUE"""),4714298.0)</f>
        <v>4714298</v>
      </c>
      <c r="C322" s="1" t="str">
        <f>IFERROR(__xludf.DUMMYFUNCTION("""COMPUTED_VALUE"""),"2025-1")</f>
        <v>2025-1</v>
      </c>
      <c r="D322" s="1" t="str">
        <f>IFERROR(__xludf.DUMMYFUNCTION("""COMPUTED_VALUE"""),"Admisión Ordinaria")</f>
        <v>Admisión Ordinaria</v>
      </c>
      <c r="E322" s="2">
        <f>IFERROR(__xludf.DUMMYFUNCTION("""COMPUTED_VALUE"""),45666.0)</f>
        <v>45666</v>
      </c>
      <c r="F322" s="1" t="str">
        <f>IFERROR(__xludf.DUMMYFUNCTION("""COMPUTED_VALUE"""),"ARIANA ")</f>
        <v>ARIANA </v>
      </c>
      <c r="G322" s="1" t="str">
        <f>IFERROR(__xludf.DUMMYFUNCTION("""COMPUTED_VALUE"""),"ALEGRIA SALAZAR")</f>
        <v>ALEGRIA SALAZAR</v>
      </c>
      <c r="H322" s="1" t="str">
        <f>IFERROR(__xludf.DUMMYFUNCTION("""COMPUTED_VALUE"""),"Diseño Gráfico Publicitario")</f>
        <v>Diseño Gráfico Publicitario</v>
      </c>
      <c r="I322" s="1" t="str">
        <f>IFERROR(__xludf.DUMMYFUNCTION("""COMPUTED_VALUE"""),"CARGO")</f>
        <v>CARGO</v>
      </c>
      <c r="J322" s="1" t="str">
        <f>IFERROR(__xludf.DUMMYFUNCTION("""COMPUTED_VALUE"""),"Diurno")</f>
        <v>Diurno</v>
      </c>
      <c r="K322" s="1" t="str">
        <f>IFERROR(__xludf.DUMMYFUNCTION("""COMPUTED_VALUE"""),"NUEVO")</f>
        <v>NUEVO</v>
      </c>
      <c r="L322" s="1">
        <f>IFERROR(__xludf.DUMMYFUNCTION("""COMPUTED_VALUE"""),0.0)</f>
        <v>0</v>
      </c>
      <c r="M322" s="1">
        <f>IFERROR(__xludf.DUMMYFUNCTION("""COMPUTED_VALUE"""),0.0)</f>
        <v>0</v>
      </c>
      <c r="N322" s="1" t="str">
        <f>IFERROR(__xludf.DUMMYFUNCTION("""COMPUTED_VALUE"""),"BECA")</f>
        <v>BECA</v>
      </c>
      <c r="O322" s="1" t="str">
        <f>IFERROR(__xludf.DUMMYFUNCTION("""COMPUTED_VALUE"""),"BECA CONGELADA DE 2 AÑOS")</f>
        <v>BECA CONGELADA DE 2 AÑOS</v>
      </c>
      <c r="P322" s="4">
        <f>IFERROR(__xludf.DUMMYFUNCTION("""COMPUTED_VALUE"""),0.0)</f>
        <v>0</v>
      </c>
      <c r="Q322" s="4">
        <f>IFERROR(__xludf.DUMMYFUNCTION("""COMPUTED_VALUE"""),0.0)</f>
        <v>0</v>
      </c>
      <c r="R322" s="4">
        <f>IFERROR(__xludf.DUMMYFUNCTION("""COMPUTED_VALUE"""),1150.0)</f>
        <v>1150</v>
      </c>
      <c r="S322" s="4">
        <f>IFERROR(__xludf.DUMMYFUNCTION("""COMPUTED_VALUE"""),850.0)</f>
        <v>850</v>
      </c>
      <c r="T322" s="1" t="str">
        <f>IFERROR(__xludf.DUMMYFUNCTION("""COMPUTED_VALUE"""),"PALANCA 700")</f>
        <v>PALANCA 700</v>
      </c>
      <c r="U322" s="1" t="str">
        <f>IFERROR(__xludf.DUMMYFUNCTION("""COMPUTED_VALUE"""),"FABIOLA")</f>
        <v>FABIOLA</v>
      </c>
      <c r="V322" s="1" t="str">
        <f>IFERROR(__xludf.DUMMYFUNCTION("""COMPUTED_VALUE"""),"Ninguno")</f>
        <v>Ninguno</v>
      </c>
      <c r="W322" s="1" t="str">
        <f>IFERROR(__xludf.DUMMYFUNCTION("""COMPUTED_VALUE"""),"Metodología de enseñanza")</f>
        <v>Metodología de enseñanza</v>
      </c>
      <c r="X322" s="1" t="str">
        <f>IFERROR(__xludf.DUMMYFUNCTION("""COMPUTED_VALUE"""),"metodologia")</f>
        <v>metodologia</v>
      </c>
      <c r="Y322" s="1" t="str">
        <f>IFERROR(__xludf.DUMMYFUNCTION("""COMPUTED_VALUE"""),"PAGO COMPLETO")</f>
        <v>PAGO COMPLETO</v>
      </c>
      <c r="Z322" s="1">
        <f>IFERROR(__xludf.DUMMYFUNCTION("""COMPUTED_VALUE"""),0.0)</f>
        <v>0</v>
      </c>
      <c r="AA322" s="1" t="str">
        <f>IFERROR(__xludf.DUMMYFUNCTION("""COMPUTED_VALUE"""),"-")</f>
        <v>-</v>
      </c>
      <c r="AB322" s="1">
        <f>IFERROR(__xludf.DUMMYFUNCTION("""COMPUTED_VALUE"""),1.0)</f>
        <v>1</v>
      </c>
      <c r="AC322" s="1">
        <f>IFERROR(__xludf.DUMMYFUNCTION("""COMPUTED_VALUE"""),1.0)</f>
        <v>1</v>
      </c>
      <c r="AD322" s="1" t="str">
        <f>IFERROR(__xludf.DUMMYFUNCTION("""COMPUTED_VALUE"""),"Cinthia Mariella Orosco")</f>
        <v>Cinthia Mariella Orosco</v>
      </c>
      <c r="AE322" s="1" t="str">
        <f>IFERROR(__xludf.DUMMYFUNCTION("""COMPUTED_VALUE"""),"0")</f>
        <v>0</v>
      </c>
      <c r="AF322" s="1">
        <f>IFERROR(__xludf.DUMMYFUNCTION("""COMPUTED_VALUE"""),2021.0)</f>
        <v>2021</v>
      </c>
      <c r="AG322" s="1">
        <f>IFERROR(__xludf.DUMMYFUNCTION("""COMPUTED_VALUE"""),207449.0)</f>
        <v>207449</v>
      </c>
      <c r="AH322" s="1">
        <f>IFERROR(__xludf.DUMMYFUNCTION("""COMPUTED_VALUE"""),20.0)</f>
        <v>20</v>
      </c>
      <c r="AI322" s="1" t="str">
        <f>IFERROR(__xludf.DUMMYFUNCTION("""COMPUTED_VALUE"""),"0000408298")</f>
        <v>0000408298</v>
      </c>
      <c r="AJ322" s="1">
        <f>IFERROR(__xludf.DUMMYFUNCTION("""COMPUTED_VALUE"""),7.4891778E7)</f>
        <v>74891778</v>
      </c>
      <c r="AK322" s="1">
        <f>IFERROR(__xludf.DUMMYFUNCTION("""COMPUTED_VALUE"""),9.5393538E8)</f>
        <v>953935380</v>
      </c>
      <c r="AL322" s="1" t="str">
        <f>IFERROR(__xludf.DUMMYFUNCTION("""COMPUTED_VALUE"""),"alegriasalazarariana736@gmail.com")</f>
        <v>alegriasalazarariana736@gmail.com</v>
      </c>
      <c r="AM322" s="1" t="str">
        <f>IFERROR(__xludf.DUMMYFUNCTION("""COMPUTED_VALUE"""),"FEMENINO")</f>
        <v>FEMENINO</v>
      </c>
      <c r="AN322" s="1">
        <f>IFERROR(__xludf.DUMMYFUNCTION("""COMPUTED_VALUE"""),1350.0)</f>
        <v>1350</v>
      </c>
      <c r="AO322" s="1">
        <f>IFERROR(__xludf.DUMMYFUNCTION("""COMPUTED_VALUE"""),0.0)</f>
        <v>0</v>
      </c>
      <c r="AP322" s="1" t="str">
        <f>IFERROR(__xludf.DUMMYFUNCTION("""COMPUTED_VALUE"""),"FORMULARIO")</f>
        <v>FORMULARIO</v>
      </c>
      <c r="AQ322" s="1" t="str">
        <f>IFERROR(__xludf.DUMMYFUNCTION("""COMPUTED_VALUE"""),"ORGANICO")</f>
        <v>ORGANICO</v>
      </c>
      <c r="AR322" s="1" t="str">
        <f>IFERROR(__xludf.DUMMYFUNCTION("""COMPUTED_VALUE"""),"NUEVO")</f>
        <v>NUEVO</v>
      </c>
      <c r="AS322" s="1"/>
      <c r="AT322" s="2">
        <f>IFERROR(__xludf.DUMMYFUNCTION("""COMPUTED_VALUE"""),45664.0)</f>
        <v>45664</v>
      </c>
      <c r="AU322" s="1">
        <f>IFERROR(__xludf.DUMMYFUNCTION("""COMPUTED_VALUE"""),1.0)</f>
        <v>1</v>
      </c>
      <c r="AV322" s="1" t="str">
        <f>IFERROR(__xludf.DUMMYFUNCTION("""COMPUTED_VALUE"""),"NUEVO")</f>
        <v>NUEVO</v>
      </c>
      <c r="AW322" s="1" t="str">
        <f>IFERROR(__xludf.DUMMYFUNCTION("""COMPUTED_VALUE"""),"SI")</f>
        <v>SI</v>
      </c>
      <c r="AX322" s="1"/>
      <c r="AY322" s="1" t="str">
        <f>IFERROR(__xludf.DUMMYFUNCTION("""COMPUTED_VALUE"""),"PAGO COMPLETO")</f>
        <v>PAGO COMPLETO</v>
      </c>
      <c r="AZ322" s="5">
        <f>IFERROR(__xludf.DUMMYFUNCTION("""COMPUTED_VALUE"""),45666.0)</f>
        <v>45666</v>
      </c>
      <c r="BA322" s="1">
        <f>IFERROR(__xludf.DUMMYFUNCTION("""COMPUTED_VALUE"""),0.0)</f>
        <v>0</v>
      </c>
      <c r="BB322" s="1">
        <f>IFERROR(__xludf.DUMMYFUNCTION("""COMPUTED_VALUE"""),0.0)</f>
        <v>0</v>
      </c>
      <c r="BC322" s="4">
        <f>IFERROR(__xludf.DUMMYFUNCTION("""COMPUTED_VALUE"""),0.0)</f>
        <v>0</v>
      </c>
      <c r="BD322" s="4">
        <f>IFERROR(__xludf.DUMMYFUNCTION("""COMPUTED_VALUE"""),150.0)</f>
        <v>150</v>
      </c>
      <c r="BE322" s="1">
        <f>IFERROR(__xludf.DUMMYFUNCTION("""COMPUTED_VALUE"""),1.0)</f>
        <v>1</v>
      </c>
      <c r="BF322" s="6">
        <f>IFERROR(__xludf.DUMMYFUNCTION("""COMPUTED_VALUE"""),1.0)</f>
        <v>1</v>
      </c>
      <c r="BG322" s="1">
        <f>IFERROR(__xludf.DUMMYFUNCTION("""COMPUTED_VALUE"""),1.0)</f>
        <v>1</v>
      </c>
      <c r="BH322" s="1" t="str">
        <f>IFERROR(__xludf.DUMMYFUNCTION("""COMPUTED_VALUE"""),"0")</f>
        <v>0</v>
      </c>
      <c r="BI322" s="4">
        <f>IFERROR(__xludf.DUMMYFUNCTION("""COMPUTED_VALUE"""),150.0)</f>
        <v>150</v>
      </c>
      <c r="BJ322" s="1">
        <f>IFERROR(__xludf.DUMMYFUNCTION("""COMPUTED_VALUE"""),0.0)</f>
        <v>0</v>
      </c>
      <c r="BK322" s="4">
        <f>IFERROR(__xludf.DUMMYFUNCTION("""COMPUTED_VALUE"""),150.0)</f>
        <v>150</v>
      </c>
      <c r="BL322" s="1">
        <f>IFERROR(__xludf.DUMMYFUNCTION("""COMPUTED_VALUE"""),820.0)</f>
        <v>820</v>
      </c>
      <c r="BM322" s="1">
        <f>IFERROR(__xludf.DUMMYFUNCTION("""COMPUTED_VALUE"""),2.0)</f>
        <v>2</v>
      </c>
      <c r="BN322" s="2">
        <f>IFERROR(__xludf.DUMMYFUNCTION("""COMPUTED_VALUE"""),45663.0)</f>
        <v>45663</v>
      </c>
      <c r="BO322" s="1">
        <f>IFERROR(__xludf.DUMMYFUNCTION("""COMPUTED_VALUE"""),1.0)</f>
        <v>1</v>
      </c>
      <c r="BP322" s="1">
        <f>IFERROR(__xludf.DUMMYFUNCTION("""COMPUTED_VALUE"""),2025.0)</f>
        <v>2025</v>
      </c>
    </row>
    <row r="323">
      <c r="A323" s="1">
        <f>IFERROR(__xludf.DUMMYFUNCTION("""COMPUTED_VALUE"""),322.0)</f>
        <v>322</v>
      </c>
      <c r="B323" s="1">
        <f>IFERROR(__xludf.DUMMYFUNCTION("""COMPUTED_VALUE"""),4847579.0)</f>
        <v>4847579</v>
      </c>
      <c r="C323" s="1" t="str">
        <f>IFERROR(__xludf.DUMMYFUNCTION("""COMPUTED_VALUE"""),"2025-1")</f>
        <v>2025-1</v>
      </c>
      <c r="D323" s="1" t="str">
        <f>IFERROR(__xludf.DUMMYFUNCTION("""COMPUTED_VALUE"""),"Admisión de Alto Rendimiento")</f>
        <v>Admisión de Alto Rendimiento</v>
      </c>
      <c r="E323" s="2">
        <f>IFERROR(__xludf.DUMMYFUNCTION("""COMPUTED_VALUE"""),45666.0)</f>
        <v>45666</v>
      </c>
      <c r="F323" s="1" t="str">
        <f>IFERROR(__xludf.DUMMYFUNCTION("""COMPUTED_VALUE"""),"ANGEL ALDAIR AMADO ")</f>
        <v>ANGEL ALDAIR AMADO </v>
      </c>
      <c r="G323" s="1" t="str">
        <f>IFERROR(__xludf.DUMMYFUNCTION("""COMPUTED_VALUE"""),"OJEDA HUARINGA")</f>
        <v>OJEDA HUARINGA</v>
      </c>
      <c r="H323" s="1" t="str">
        <f>IFERROR(__xludf.DUMMYFUNCTION("""COMPUTED_VALUE"""),"Arquitectura")</f>
        <v>Arquitectura</v>
      </c>
      <c r="I323" s="1" t="str">
        <f>IFERROR(__xludf.DUMMYFUNCTION("""COMPUTED_VALUE"""),"POS")</f>
        <v>POS</v>
      </c>
      <c r="J323" s="1" t="str">
        <f>IFERROR(__xludf.DUMMYFUNCTION("""COMPUTED_VALUE"""),"Diurno")</f>
        <v>Diurno</v>
      </c>
      <c r="K323" s="1" t="str">
        <f>IFERROR(__xludf.DUMMYFUNCTION("""COMPUTED_VALUE"""),"NUEVO")</f>
        <v>NUEVO</v>
      </c>
      <c r="L323" s="1">
        <f>IFERROR(__xludf.DUMMYFUNCTION("""COMPUTED_VALUE"""),0.0)</f>
        <v>0</v>
      </c>
      <c r="M323" s="1">
        <f>IFERROR(__xludf.DUMMYFUNCTION("""COMPUTED_VALUE"""),0.0)</f>
        <v>0</v>
      </c>
      <c r="N323" s="1" t="str">
        <f>IFERROR(__xludf.DUMMYFUNCTION("""COMPUTED_VALUE"""),"BECA")</f>
        <v>BECA</v>
      </c>
      <c r="O323" s="1" t="str">
        <f>IFERROR(__xludf.DUMMYFUNCTION("""COMPUTED_VALUE"""),"BECA CARRERAS CORE")</f>
        <v>BECA CARRERAS CORE</v>
      </c>
      <c r="P323" s="4">
        <f>IFERROR(__xludf.DUMMYFUNCTION("""COMPUTED_VALUE"""),0.0)</f>
        <v>0</v>
      </c>
      <c r="Q323" s="4">
        <f>IFERROR(__xludf.DUMMYFUNCTION("""COMPUTED_VALUE"""),0.0)</f>
        <v>0</v>
      </c>
      <c r="R323" s="4">
        <f>IFERROR(__xludf.DUMMYFUNCTION("""COMPUTED_VALUE"""),1250.0)</f>
        <v>1250</v>
      </c>
      <c r="S323" s="4">
        <f>IFERROR(__xludf.DUMMYFUNCTION("""COMPUTED_VALUE"""),1050.0)</f>
        <v>1050</v>
      </c>
      <c r="T323" s="1" t="str">
        <f>IFERROR(__xludf.DUMMYFUNCTION("""COMPUTED_VALUE"""),"NINGUNO")</f>
        <v>NINGUNO</v>
      </c>
      <c r="U323" s="1" t="str">
        <f>IFERROR(__xludf.DUMMYFUNCTION("""COMPUTED_VALUE"""),"FABIOLA")</f>
        <v>FABIOLA</v>
      </c>
      <c r="V323" s="1" t="str">
        <f>IFERROR(__xludf.DUMMYFUNCTION("""COMPUTED_VALUE"""),"Leandro Urbina")</f>
        <v>Leandro Urbina</v>
      </c>
      <c r="W323" s="1" t="str">
        <f>IFERROR(__xludf.DUMMYFUNCTION("""COMPUTED_VALUE"""),"Metodología de enseñanza")</f>
        <v>Metodología de enseñanza</v>
      </c>
      <c r="X323" s="1" t="str">
        <f>IFERROR(__xludf.DUMMYFUNCTION("""COMPUTED_VALUE"""),"Le gusta la universidad ")</f>
        <v>Le gusta la universidad </v>
      </c>
      <c r="Y323" s="1" t="str">
        <f>IFERROR(__xludf.DUMMYFUNCTION("""COMPUTED_VALUE"""),"PAGO FRACCIONADO")</f>
        <v>PAGO FRACCIONADO</v>
      </c>
      <c r="Z323" s="1">
        <f>IFERROR(__xludf.DUMMYFUNCTION("""COMPUTED_VALUE"""),525.0)</f>
        <v>525</v>
      </c>
      <c r="AA323" s="1" t="str">
        <f>IFERROR(__xludf.DUMMYFUNCTION("""COMPUTED_VALUE"""),"09/01/2025")</f>
        <v>09/01/2025</v>
      </c>
      <c r="AB323" s="1">
        <f>IFERROR(__xludf.DUMMYFUNCTION("""COMPUTED_VALUE"""),0.0)</f>
        <v>0</v>
      </c>
      <c r="AC323" s="1">
        <f>IFERROR(__xludf.DUMMYFUNCTION("""COMPUTED_VALUE"""),0.0)</f>
        <v>0</v>
      </c>
      <c r="AD323" s="1" t="str">
        <f>IFERROR(__xludf.DUMMYFUNCTION("""COMPUTED_VALUE"""),"Daniel Zapata")</f>
        <v>Daniel Zapata</v>
      </c>
      <c r="AE323" s="1" t="str">
        <f>IFERROR(__xludf.DUMMYFUNCTION("""COMPUTED_VALUE"""),"0")</f>
        <v>0</v>
      </c>
      <c r="AF323" s="1">
        <f>IFERROR(__xludf.DUMMYFUNCTION("""COMPUTED_VALUE"""),2024.0)</f>
        <v>2024</v>
      </c>
      <c r="AG323" s="1">
        <f>IFERROR(__xludf.DUMMYFUNCTION("""COMPUTED_VALUE"""),1509181.0)</f>
        <v>1509181</v>
      </c>
      <c r="AH323" s="1">
        <f>IFERROR(__xludf.DUMMYFUNCTION("""COMPUTED_VALUE"""),18.0)</f>
        <v>18</v>
      </c>
      <c r="AI323" s="1" t="str">
        <f>IFERROR(__xludf.DUMMYFUNCTION("""COMPUTED_VALUE"""),"0000408356")</f>
        <v>0000408356</v>
      </c>
      <c r="AJ323" s="1">
        <f>IFERROR(__xludf.DUMMYFUNCTION("""COMPUTED_VALUE"""),6.1011637E7)</f>
        <v>61011637</v>
      </c>
      <c r="AK323" s="1">
        <f>IFERROR(__xludf.DUMMYFUNCTION("""COMPUTED_VALUE"""),9.35720669E8)</f>
        <v>935720669</v>
      </c>
      <c r="AL323" s="1" t="str">
        <f>IFERROR(__xludf.DUMMYFUNCTION("""COMPUTED_VALUE"""),"angelaldairamadoojedahuaringa@gmail.com")</f>
        <v>angelaldairamadoojedahuaringa@gmail.com</v>
      </c>
      <c r="AM323" s="1" t="str">
        <f>IFERROR(__xludf.DUMMYFUNCTION("""COMPUTED_VALUE"""),"MASCULINO")</f>
        <v>MASCULINO</v>
      </c>
      <c r="AN323" s="1">
        <f>IFERROR(__xludf.DUMMYFUNCTION("""COMPUTED_VALUE"""),1600.0)</f>
        <v>1600</v>
      </c>
      <c r="AO323" s="1">
        <f>IFERROR(__xludf.DUMMYFUNCTION("""COMPUTED_VALUE"""),290.0)</f>
        <v>290</v>
      </c>
      <c r="AP323" s="1" t="str">
        <f>IFERROR(__xludf.DUMMYFUNCTION("""COMPUTED_VALUE"""),"COLEGIOS")</f>
        <v>COLEGIOS</v>
      </c>
      <c r="AQ323" s="1" t="str">
        <f>IFERROR(__xludf.DUMMYFUNCTION("""COMPUTED_VALUE"""),"COLEGIOS")</f>
        <v>COLEGIOS</v>
      </c>
      <c r="AR323" s="1" t="str">
        <f>IFERROR(__xludf.DUMMYFUNCTION("""COMPUTED_VALUE"""),"NUEVO")</f>
        <v>NUEVO</v>
      </c>
      <c r="AS323" s="1"/>
      <c r="AT323" s="2">
        <f>IFERROR(__xludf.DUMMYFUNCTION("""COMPUTED_VALUE"""),45629.0)</f>
        <v>45629</v>
      </c>
      <c r="AU323" s="1">
        <f>IFERROR(__xludf.DUMMYFUNCTION("""COMPUTED_VALUE"""),1.0)</f>
        <v>1</v>
      </c>
      <c r="AV323" s="1" t="str">
        <f>IFERROR(__xludf.DUMMYFUNCTION("""COMPUTED_VALUE"""),"NUEVO")</f>
        <v>NUEVO</v>
      </c>
      <c r="AW323" s="1" t="str">
        <f>IFERROR(__xludf.DUMMYFUNCTION("""COMPUTED_VALUE"""),"SI")</f>
        <v>SI</v>
      </c>
      <c r="AX323" s="1"/>
      <c r="AY323" s="1" t="str">
        <f>IFERROR(__xludf.DUMMYFUNCTION("""COMPUTED_VALUE"""),"PAGO COMPLETO")</f>
        <v>PAGO COMPLETO</v>
      </c>
      <c r="AZ323" s="5">
        <f>IFERROR(__xludf.DUMMYFUNCTION("""COMPUTED_VALUE"""),45669.0)</f>
        <v>45669</v>
      </c>
      <c r="BA323" s="1">
        <f>IFERROR(__xludf.DUMMYFUNCTION("""COMPUTED_VALUE"""),525.0)</f>
        <v>525</v>
      </c>
      <c r="BB323" s="1">
        <f>IFERROR(__xludf.DUMMYFUNCTION("""COMPUTED_VALUE"""),0.0)</f>
        <v>0</v>
      </c>
      <c r="BC323" s="4">
        <f>IFERROR(__xludf.DUMMYFUNCTION("""COMPUTED_VALUE"""),0.0)</f>
        <v>0</v>
      </c>
      <c r="BD323" s="4">
        <f>IFERROR(__xludf.DUMMYFUNCTION("""COMPUTED_VALUE"""),0.0)</f>
        <v>0</v>
      </c>
      <c r="BE323" s="1">
        <f>IFERROR(__xludf.DUMMYFUNCTION("""COMPUTED_VALUE"""),1.0)</f>
        <v>1</v>
      </c>
      <c r="BF323" s="6">
        <f>IFERROR(__xludf.DUMMYFUNCTION("""COMPUTED_VALUE"""),1.0)</f>
        <v>1</v>
      </c>
      <c r="BG323" s="1">
        <f>IFERROR(__xludf.DUMMYFUNCTION("""COMPUTED_VALUE"""),1.0)</f>
        <v>1</v>
      </c>
      <c r="BH323" s="1" t="str">
        <f>IFERROR(__xludf.DUMMYFUNCTION("""COMPUTED_VALUE"""),"0")</f>
        <v>0</v>
      </c>
      <c r="BI323" s="4">
        <f>IFERROR(__xludf.DUMMYFUNCTION("""COMPUTED_VALUE"""),1050.0)</f>
        <v>1050</v>
      </c>
      <c r="BJ323" s="1">
        <f>IFERROR(__xludf.DUMMYFUNCTION("""COMPUTED_VALUE"""),0.0)</f>
        <v>0</v>
      </c>
      <c r="BK323" s="4">
        <f>IFERROR(__xludf.DUMMYFUNCTION("""COMPUTED_VALUE"""),0.0)</f>
        <v>0</v>
      </c>
      <c r="BL323" s="1">
        <f>IFERROR(__xludf.DUMMYFUNCTION("""COMPUTED_VALUE"""),1050.0)</f>
        <v>1050</v>
      </c>
      <c r="BM323" s="1">
        <f>IFERROR(__xludf.DUMMYFUNCTION("""COMPUTED_VALUE"""),2.0)</f>
        <v>2</v>
      </c>
      <c r="BN323" s="2">
        <f>IFERROR(__xludf.DUMMYFUNCTION("""COMPUTED_VALUE"""),45663.0)</f>
        <v>45663</v>
      </c>
      <c r="BO323" s="1">
        <f>IFERROR(__xludf.DUMMYFUNCTION("""COMPUTED_VALUE"""),1.0)</f>
        <v>1</v>
      </c>
      <c r="BP323" s="1">
        <f>IFERROR(__xludf.DUMMYFUNCTION("""COMPUTED_VALUE"""),2025.0)</f>
        <v>2025</v>
      </c>
    </row>
    <row r="324">
      <c r="A324" s="1">
        <f>IFERROR(__xludf.DUMMYFUNCTION("""COMPUTED_VALUE"""),323.0)</f>
        <v>323</v>
      </c>
      <c r="B324" s="1">
        <f>IFERROR(__xludf.DUMMYFUNCTION("""COMPUTED_VALUE"""),4935458.0)</f>
        <v>4935458</v>
      </c>
      <c r="C324" s="1" t="str">
        <f>IFERROR(__xludf.DUMMYFUNCTION("""COMPUTED_VALUE"""),"2025-1")</f>
        <v>2025-1</v>
      </c>
      <c r="D324" s="1" t="str">
        <f>IFERROR(__xludf.DUMMYFUNCTION("""COMPUTED_VALUE"""),"Admisión de Alto Rendimiento")</f>
        <v>Admisión de Alto Rendimiento</v>
      </c>
      <c r="E324" s="2">
        <f>IFERROR(__xludf.DUMMYFUNCTION("""COMPUTED_VALUE"""),45666.0)</f>
        <v>45666</v>
      </c>
      <c r="F324" s="1" t="str">
        <f>IFERROR(__xludf.DUMMYFUNCTION("""COMPUTED_VALUE"""),"MARIA FERNANDA ")</f>
        <v>MARIA FERNANDA </v>
      </c>
      <c r="G324" s="1" t="str">
        <f>IFERROR(__xludf.DUMMYFUNCTION("""COMPUTED_VALUE"""),"CAMPOS VARGAS")</f>
        <v>CAMPOS VARGAS</v>
      </c>
      <c r="H324" s="1" t="str">
        <f>IFERROR(__xludf.DUMMYFUNCTION("""COMPUTED_VALUE"""),"Psicología")</f>
        <v>Psicología</v>
      </c>
      <c r="I324" s="1" t="str">
        <f>IFERROR(__xludf.DUMMYFUNCTION("""COMPUTED_VALUE"""),"POS")</f>
        <v>POS</v>
      </c>
      <c r="J324" s="1" t="str">
        <f>IFERROR(__xludf.DUMMYFUNCTION("""COMPUTED_VALUE"""),"Diurno")</f>
        <v>Diurno</v>
      </c>
      <c r="K324" s="1" t="str">
        <f>IFERROR(__xludf.DUMMYFUNCTION("""COMPUTED_VALUE"""),"NUEVO")</f>
        <v>NUEVO</v>
      </c>
      <c r="L324" s="1">
        <f>IFERROR(__xludf.DUMMYFUNCTION("""COMPUTED_VALUE"""),0.0)</f>
        <v>0</v>
      </c>
      <c r="M324" s="1">
        <f>IFERROR(__xludf.DUMMYFUNCTION("""COMPUTED_VALUE"""),0.0)</f>
        <v>0</v>
      </c>
      <c r="N324" s="1" t="str">
        <f>IFERROR(__xludf.DUMMYFUNCTION("""COMPUTED_VALUE"""),"BECA")</f>
        <v>BECA</v>
      </c>
      <c r="O324" s="1" t="str">
        <f>IFERROR(__xludf.DUMMYFUNCTION("""COMPUTED_VALUE"""),"BECA CARRERAS NUEVAS")</f>
        <v>BECA CARRERAS NUEVAS</v>
      </c>
      <c r="P324" s="4">
        <f>IFERROR(__xludf.DUMMYFUNCTION("""COMPUTED_VALUE"""),0.0)</f>
        <v>0</v>
      </c>
      <c r="Q324" s="4">
        <f>IFERROR(__xludf.DUMMYFUNCTION("""COMPUTED_VALUE"""),0.0)</f>
        <v>0</v>
      </c>
      <c r="R324" s="4">
        <f>IFERROR(__xludf.DUMMYFUNCTION("""COMPUTED_VALUE"""),1050.0)</f>
        <v>1050</v>
      </c>
      <c r="S324" s="4">
        <f>IFERROR(__xludf.DUMMYFUNCTION("""COMPUTED_VALUE"""),850.0)</f>
        <v>850</v>
      </c>
      <c r="T324" s="1" t="str">
        <f>IFERROR(__xludf.DUMMYFUNCTION("""COMPUTED_VALUE"""),"PALANCA 700")</f>
        <v>PALANCA 700</v>
      </c>
      <c r="U324" s="1" t="str">
        <f>IFERROR(__xludf.DUMMYFUNCTION("""COMPUTED_VALUE"""),"RODRIGO")</f>
        <v>RODRIGO</v>
      </c>
      <c r="V324" s="1" t="str">
        <f>IFERROR(__xludf.DUMMYFUNCTION("""COMPUTED_VALUE"""),"Ninguno")</f>
        <v>Ninguno</v>
      </c>
      <c r="W324" s="1" t="str">
        <f>IFERROR(__xludf.DUMMYFUNCTION("""COMPUTED_VALUE"""),"Beca")</f>
        <v>Beca</v>
      </c>
      <c r="X324" s="1" t="str">
        <f>IFERROR(__xludf.DUMMYFUNCTION("""COMPUTED_VALUE"""),"MALLA")</f>
        <v>MALLA</v>
      </c>
      <c r="Y324" s="1" t="str">
        <f>IFERROR(__xludf.DUMMYFUNCTION("""COMPUTED_VALUE"""),"PAGO FRACCIONADO")</f>
        <v>PAGO FRACCIONADO</v>
      </c>
      <c r="Z324" s="1">
        <f>IFERROR(__xludf.DUMMYFUNCTION("""COMPUTED_VALUE"""),350.0)</f>
        <v>350</v>
      </c>
      <c r="AA324" s="1" t="str">
        <f>IFERROR(__xludf.DUMMYFUNCTION("""COMPUTED_VALUE"""),"13/01/2024")</f>
        <v>13/01/2024</v>
      </c>
      <c r="AB324" s="1">
        <f>IFERROR(__xludf.DUMMYFUNCTION("""COMPUTED_VALUE"""),0.0)</f>
        <v>0</v>
      </c>
      <c r="AC324" s="1">
        <f>IFERROR(__xludf.DUMMYFUNCTION("""COMPUTED_VALUE"""),0.0)</f>
        <v>0</v>
      </c>
      <c r="AD324" s="1" t="str">
        <f>IFERROR(__xludf.DUMMYFUNCTION("""COMPUTED_VALUE"""),"Rosa Ugarte")</f>
        <v>Rosa Ugarte</v>
      </c>
      <c r="AE324" s="1" t="str">
        <f>IFERROR(__xludf.DUMMYFUNCTION("""COMPUTED_VALUE"""),"0")</f>
        <v>0</v>
      </c>
      <c r="AF324" s="1">
        <f>IFERROR(__xludf.DUMMYFUNCTION("""COMPUTED_VALUE"""),0.0)</f>
        <v>0</v>
      </c>
      <c r="AG324" s="1">
        <f>IFERROR(__xludf.DUMMYFUNCTION("""COMPUTED_VALUE"""),692434.0)</f>
        <v>692434</v>
      </c>
      <c r="AH324" s="1">
        <f>IFERROR(__xludf.DUMMYFUNCTION("""COMPUTED_VALUE"""),18.0)</f>
        <v>18</v>
      </c>
      <c r="AI324" s="1" t="str">
        <f>IFERROR(__xludf.DUMMYFUNCTION("""COMPUTED_VALUE"""),"0000408407")</f>
        <v>0000408407</v>
      </c>
      <c r="AJ324" s="1">
        <f>IFERROR(__xludf.DUMMYFUNCTION("""COMPUTED_VALUE"""),6.0166948E7)</f>
        <v>60166948</v>
      </c>
      <c r="AK324" s="1">
        <f>IFERROR(__xludf.DUMMYFUNCTION("""COMPUTED_VALUE"""),9.91411315E8)</f>
        <v>991411315</v>
      </c>
      <c r="AL324" s="1" t="str">
        <f>IFERROR(__xludf.DUMMYFUNCTION("""COMPUTED_VALUE"""),"mafervgs1@gmail.com")</f>
        <v>mafervgs1@gmail.com</v>
      </c>
      <c r="AM324" s="1" t="str">
        <f>IFERROR(__xludf.DUMMYFUNCTION("""COMPUTED_VALUE"""),"FEMENINO")</f>
        <v>FEMENINO</v>
      </c>
      <c r="AN324" s="1">
        <f>IFERROR(__xludf.DUMMYFUNCTION("""COMPUTED_VALUE"""),1350.0)</f>
        <v>1350</v>
      </c>
      <c r="AO324" s="1">
        <f>IFERROR(__xludf.DUMMYFUNCTION("""COMPUTED_VALUE"""),0.0)</f>
        <v>0</v>
      </c>
      <c r="AP324" s="1" t="str">
        <f>IFERROR(__xludf.DUMMYFUNCTION("""COMPUTED_VALUE"""),"OUTBOUND")</f>
        <v>OUTBOUND</v>
      </c>
      <c r="AQ324" s="1" t="str">
        <f>IFERROR(__xludf.DUMMYFUNCTION("""COMPUTED_VALUE"""),"OUTBOUND")</f>
        <v>OUTBOUND</v>
      </c>
      <c r="AR324" s="1" t="str">
        <f>IFERROR(__xludf.DUMMYFUNCTION("""COMPUTED_VALUE"""),"NUEVO")</f>
        <v>NUEVO</v>
      </c>
      <c r="AS324" s="1"/>
      <c r="AT324" s="2">
        <f>IFERROR(__xludf.DUMMYFUNCTION("""COMPUTED_VALUE"""),45666.0)</f>
        <v>45666</v>
      </c>
      <c r="AU324" s="1">
        <f>IFERROR(__xludf.DUMMYFUNCTION("""COMPUTED_VALUE"""),1.0)</f>
        <v>1</v>
      </c>
      <c r="AV324" s="1" t="str">
        <f>IFERROR(__xludf.DUMMYFUNCTION("""COMPUTED_VALUE"""),"NUEVO")</f>
        <v>NUEVO</v>
      </c>
      <c r="AW324" s="1" t="str">
        <f>IFERROR(__xludf.DUMMYFUNCTION("""COMPUTED_VALUE"""),"SI")</f>
        <v>SI</v>
      </c>
      <c r="AX324" s="1"/>
      <c r="AY324" s="1" t="str">
        <f>IFERROR(__xludf.DUMMYFUNCTION("""COMPUTED_VALUE"""),"PAGO COMPLETO")</f>
        <v>PAGO COMPLETO</v>
      </c>
      <c r="AZ324" s="5">
        <f>IFERROR(__xludf.DUMMYFUNCTION("""COMPUTED_VALUE"""),45670.0)</f>
        <v>45670</v>
      </c>
      <c r="BA324" s="1">
        <f>IFERROR(__xludf.DUMMYFUNCTION("""COMPUTED_VALUE"""),350.0)</f>
        <v>350</v>
      </c>
      <c r="BB324" s="1">
        <f>IFERROR(__xludf.DUMMYFUNCTION("""COMPUTED_VALUE"""),0.0)</f>
        <v>0</v>
      </c>
      <c r="BC324" s="4">
        <f>IFERROR(__xludf.DUMMYFUNCTION("""COMPUTED_VALUE"""),0.0)</f>
        <v>0</v>
      </c>
      <c r="BD324" s="4">
        <f>IFERROR(__xludf.DUMMYFUNCTION("""COMPUTED_VALUE"""),150.0)</f>
        <v>150</v>
      </c>
      <c r="BE324" s="1">
        <f>IFERROR(__xludf.DUMMYFUNCTION("""COMPUTED_VALUE"""),1.0)</f>
        <v>1</v>
      </c>
      <c r="BF324" s="6">
        <f>IFERROR(__xludf.DUMMYFUNCTION("""COMPUTED_VALUE"""),1.0)</f>
        <v>1</v>
      </c>
      <c r="BG324" s="1">
        <f>IFERROR(__xludf.DUMMYFUNCTION("""COMPUTED_VALUE"""),1.0)</f>
        <v>1</v>
      </c>
      <c r="BH324" s="1" t="str">
        <f>IFERROR(__xludf.DUMMYFUNCTION("""COMPUTED_VALUE"""),"0")</f>
        <v>0</v>
      </c>
      <c r="BI324" s="4">
        <f>IFERROR(__xludf.DUMMYFUNCTION("""COMPUTED_VALUE"""),850.0)</f>
        <v>850</v>
      </c>
      <c r="BJ324" s="1">
        <f>IFERROR(__xludf.DUMMYFUNCTION("""COMPUTED_VALUE"""),0.0)</f>
        <v>0</v>
      </c>
      <c r="BK324" s="4">
        <f>IFERROR(__xludf.DUMMYFUNCTION("""COMPUTED_VALUE"""),150.0)</f>
        <v>150</v>
      </c>
      <c r="BL324" s="1">
        <f>IFERROR(__xludf.DUMMYFUNCTION("""COMPUTED_VALUE"""),820.0)</f>
        <v>820</v>
      </c>
      <c r="BM324" s="1">
        <f>IFERROR(__xludf.DUMMYFUNCTION("""COMPUTED_VALUE"""),2.0)</f>
        <v>2</v>
      </c>
      <c r="BN324" s="2">
        <f>IFERROR(__xludf.DUMMYFUNCTION("""COMPUTED_VALUE"""),45663.0)</f>
        <v>45663</v>
      </c>
      <c r="BO324" s="1">
        <f>IFERROR(__xludf.DUMMYFUNCTION("""COMPUTED_VALUE"""),1.0)</f>
        <v>1</v>
      </c>
      <c r="BP324" s="1">
        <f>IFERROR(__xludf.DUMMYFUNCTION("""COMPUTED_VALUE"""),2025.0)</f>
        <v>2025</v>
      </c>
    </row>
    <row r="325">
      <c r="A325" s="1">
        <f>IFERROR(__xludf.DUMMYFUNCTION("""COMPUTED_VALUE"""),324.0)</f>
        <v>324</v>
      </c>
      <c r="B325" s="1">
        <f>IFERROR(__xludf.DUMMYFUNCTION("""COMPUTED_VALUE"""),1999870.0)</f>
        <v>1999870</v>
      </c>
      <c r="C325" s="1" t="str">
        <f>IFERROR(__xludf.DUMMYFUNCTION("""COMPUTED_VALUE"""),"2025-1")</f>
        <v>2025-1</v>
      </c>
      <c r="D325" s="1" t="str">
        <f>IFERROR(__xludf.DUMMYFUNCTION("""COMPUTED_VALUE"""),"Admisión Ordinaria")</f>
        <v>Admisión Ordinaria</v>
      </c>
      <c r="E325" s="2">
        <f>IFERROR(__xludf.DUMMYFUNCTION("""COMPUTED_VALUE"""),45667.0)</f>
        <v>45667</v>
      </c>
      <c r="F325" s="1" t="str">
        <f>IFERROR(__xludf.DUMMYFUNCTION("""COMPUTED_VALUE"""),"MILENE ESPERANZA ")</f>
        <v>MILENE ESPERANZA </v>
      </c>
      <c r="G325" s="1" t="str">
        <f>IFERROR(__xludf.DUMMYFUNCTION("""COMPUTED_VALUE"""),"PIZARRO ROJAS")</f>
        <v>PIZARRO ROJAS</v>
      </c>
      <c r="H325" s="1" t="str">
        <f>IFERROR(__xludf.DUMMYFUNCTION("""COMPUTED_VALUE"""),"Arquitectura")</f>
        <v>Arquitectura</v>
      </c>
      <c r="I325" s="1" t="str">
        <f>IFERROR(__xludf.DUMMYFUNCTION("""COMPUTED_VALUE"""),"POS")</f>
        <v>POS</v>
      </c>
      <c r="J325" s="1" t="str">
        <f>IFERROR(__xludf.DUMMYFUNCTION("""COMPUTED_VALUE"""),"Diurno")</f>
        <v>Diurno</v>
      </c>
      <c r="K325" s="1" t="str">
        <f>IFERROR(__xludf.DUMMYFUNCTION("""COMPUTED_VALUE"""),"NUEVO")</f>
        <v>NUEVO</v>
      </c>
      <c r="L325" s="1">
        <f>IFERROR(__xludf.DUMMYFUNCTION("""COMPUTED_VALUE"""),0.0)</f>
        <v>0</v>
      </c>
      <c r="M325" s="1">
        <f>IFERROR(__xludf.DUMMYFUNCTION("""COMPUTED_VALUE"""),0.0)</f>
        <v>0</v>
      </c>
      <c r="N325" s="1" t="str">
        <f>IFERROR(__xludf.DUMMYFUNCTION("""COMPUTED_VALUE"""),"RECA-BECA")</f>
        <v>RECA-BECA</v>
      </c>
      <c r="O325" s="1" t="str">
        <f>IFERROR(__xludf.DUMMYFUNCTION("""COMPUTED_VALUE"""),"BECA CARRERAS CORE")</f>
        <v>BECA CARRERAS CORE</v>
      </c>
      <c r="P325" s="4">
        <f>IFERROR(__xludf.DUMMYFUNCTION("""COMPUTED_VALUE"""),0.0)</f>
        <v>0</v>
      </c>
      <c r="Q325" s="4">
        <f>IFERROR(__xludf.DUMMYFUNCTION("""COMPUTED_VALUE"""),0.0)</f>
        <v>0</v>
      </c>
      <c r="R325" s="4">
        <f>IFERROR(__xludf.DUMMYFUNCTION("""COMPUTED_VALUE"""),1150.0)</f>
        <v>1150</v>
      </c>
      <c r="S325" s="4">
        <f>IFERROR(__xludf.DUMMYFUNCTION("""COMPUTED_VALUE"""),950.0)</f>
        <v>950</v>
      </c>
      <c r="T325" s="1" t="str">
        <f>IFERROR(__xludf.DUMMYFUNCTION("""COMPUTED_VALUE"""),"Palanca 700 - Refirio")</f>
        <v>Palanca 700 - Refirio</v>
      </c>
      <c r="U325" s="1" t="str">
        <f>IFERROR(__xludf.DUMMYFUNCTION("""COMPUTED_VALUE"""),"RODRIGO")</f>
        <v>RODRIGO</v>
      </c>
      <c r="V325" s="1" t="str">
        <f>IFERROR(__xludf.DUMMYFUNCTION("""COMPUTED_VALUE"""),"Ninguno")</f>
        <v>Ninguno</v>
      </c>
      <c r="W325" s="1" t="str">
        <f>IFERROR(__xludf.DUMMYFUNCTION("""COMPUTED_VALUE"""),"Malla curricular")</f>
        <v>Malla curricular</v>
      </c>
      <c r="X325" s="1" t="str">
        <f>IFERROR(__xludf.DUMMYFUNCTION("""COMPUTED_VALUE"""),"desc 100% ultima boleta por referir a ANGELA NICOLLE DOLORIER VILLAFUERTE ")</f>
        <v>desc 100% ultima boleta por referir a ANGELA NICOLLE DOLORIER VILLAFUERTE </v>
      </c>
      <c r="Y325" s="1" t="str">
        <f>IFERROR(__xludf.DUMMYFUNCTION("""COMPUTED_VALUE"""),"PAGO COMPLETO")</f>
        <v>PAGO COMPLETO</v>
      </c>
      <c r="Z325" s="1"/>
      <c r="AA325" s="1"/>
      <c r="AB325" s="1">
        <f>IFERROR(__xludf.DUMMYFUNCTION("""COMPUTED_VALUE"""),0.0)</f>
        <v>0</v>
      </c>
      <c r="AC325" s="1">
        <f>IFERROR(__xludf.DUMMYFUNCTION("""COMPUTED_VALUE"""),0.0)</f>
        <v>0</v>
      </c>
      <c r="AD325" s="1" t="str">
        <f>IFERROR(__xludf.DUMMYFUNCTION("""COMPUTED_VALUE"""),"Fiorella Lanegra")</f>
        <v>Fiorella Lanegra</v>
      </c>
      <c r="AE325" s="1" t="str">
        <f>IFERROR(__xludf.DUMMYFUNCTION("""COMPUTED_VALUE"""),"0")</f>
        <v>0</v>
      </c>
      <c r="AF325" s="1">
        <f>IFERROR(__xludf.DUMMYFUNCTION("""COMPUTED_VALUE"""),2020.0)</f>
        <v>2020</v>
      </c>
      <c r="AG325" s="1">
        <f>IFERROR(__xludf.DUMMYFUNCTION("""COMPUTED_VALUE"""),901355.0)</f>
        <v>901355</v>
      </c>
      <c r="AH325" s="1">
        <f>IFERROR(__xludf.DUMMYFUNCTION("""COMPUTED_VALUE"""),21.0)</f>
        <v>21</v>
      </c>
      <c r="AI325" s="1" t="str">
        <f>IFERROR(__xludf.DUMMYFUNCTION("""COMPUTED_VALUE"""),"0000389372")</f>
        <v>0000389372</v>
      </c>
      <c r="AJ325" s="1">
        <f>IFERROR(__xludf.DUMMYFUNCTION("""COMPUTED_VALUE"""),7.0845808E7)</f>
        <v>70845808</v>
      </c>
      <c r="AK325" s="1">
        <f>IFERROR(__xludf.DUMMYFUNCTION("""COMPUTED_VALUE"""),9.13688577E8)</f>
        <v>913688577</v>
      </c>
      <c r="AL325" s="1" t="str">
        <f>IFERROR(__xludf.DUMMYFUNCTION("""COMPUTED_VALUE"""),"milenpizarro.04@gmail.com")</f>
        <v>milenpizarro.04@gmail.com</v>
      </c>
      <c r="AM325" s="1" t="str">
        <f>IFERROR(__xludf.DUMMYFUNCTION("""COMPUTED_VALUE"""),"FEMENINO")</f>
        <v>FEMENINO</v>
      </c>
      <c r="AN325" s="1">
        <f>IFERROR(__xludf.DUMMYFUNCTION("""COMPUTED_VALUE"""),1775.0)</f>
        <v>1775</v>
      </c>
      <c r="AO325" s="1">
        <f>IFERROR(__xludf.DUMMYFUNCTION("""COMPUTED_VALUE"""),450.0)</f>
        <v>450</v>
      </c>
      <c r="AP325" s="1" t="str">
        <f>IFERROR(__xludf.DUMMYFUNCTION("""COMPUTED_VALUE"""),"BIDIRECCIONAL")</f>
        <v>BIDIRECCIONAL</v>
      </c>
      <c r="AQ325" s="1" t="str">
        <f>IFERROR(__xludf.DUMMYFUNCTION("""COMPUTED_VALUE"""),"ORGANICO")</f>
        <v>ORGANICO</v>
      </c>
      <c r="AR325" s="1" t="str">
        <f>IFERROR(__xludf.DUMMYFUNCTION("""COMPUTED_VALUE"""),"HEREDADO")</f>
        <v>HEREDADO</v>
      </c>
      <c r="AS325" s="1"/>
      <c r="AT325" s="2">
        <f>IFERROR(__xludf.DUMMYFUNCTION("""COMPUTED_VALUE"""),45660.0)</f>
        <v>45660</v>
      </c>
      <c r="AU325" s="1">
        <f>IFERROR(__xludf.DUMMYFUNCTION("""COMPUTED_VALUE"""),1.0)</f>
        <v>1</v>
      </c>
      <c r="AV325" s="1" t="str">
        <f>IFERROR(__xludf.DUMMYFUNCTION("""COMPUTED_VALUE"""),"NUEVO")</f>
        <v>NUEVO</v>
      </c>
      <c r="AW325" s="1" t="str">
        <f>IFERROR(__xludf.DUMMYFUNCTION("""COMPUTED_VALUE"""),"SI")</f>
        <v>SI</v>
      </c>
      <c r="AX325" s="1"/>
      <c r="AY325" s="1" t="str">
        <f>IFERROR(__xludf.DUMMYFUNCTION("""COMPUTED_VALUE"""),"PAGO COMPLETO")</f>
        <v>PAGO COMPLETO</v>
      </c>
      <c r="AZ325" s="5">
        <f>IFERROR(__xludf.DUMMYFUNCTION("""COMPUTED_VALUE"""),45667.0)</f>
        <v>45667</v>
      </c>
      <c r="BA325" s="1">
        <f>IFERROR(__xludf.DUMMYFUNCTION("""COMPUTED_VALUE"""),0.0)</f>
        <v>0</v>
      </c>
      <c r="BB325" s="1">
        <f>IFERROR(__xludf.DUMMYFUNCTION("""COMPUTED_VALUE"""),0.0)</f>
        <v>0</v>
      </c>
      <c r="BC325" s="4">
        <f>IFERROR(__xludf.DUMMYFUNCTION("""COMPUTED_VALUE"""),0.0)</f>
        <v>0</v>
      </c>
      <c r="BD325" s="4">
        <f>IFERROR(__xludf.DUMMYFUNCTION("""COMPUTED_VALUE"""),250.0)</f>
        <v>250</v>
      </c>
      <c r="BE325" s="1">
        <f>IFERROR(__xludf.DUMMYFUNCTION("""COMPUTED_VALUE"""),1.0)</f>
        <v>1</v>
      </c>
      <c r="BF325" s="6">
        <f>IFERROR(__xludf.DUMMYFUNCTION("""COMPUTED_VALUE"""),1.0)</f>
        <v>1</v>
      </c>
      <c r="BG325" s="1">
        <f>IFERROR(__xludf.DUMMYFUNCTION("""COMPUTED_VALUE"""),1.0)</f>
        <v>1</v>
      </c>
      <c r="BH325" s="1" t="str">
        <f>IFERROR(__xludf.DUMMYFUNCTION("""COMPUTED_VALUE"""),"0")</f>
        <v>0</v>
      </c>
      <c r="BI325" s="4">
        <f>IFERROR(__xludf.DUMMYFUNCTION("""COMPUTED_VALUE"""),250.0)</f>
        <v>250</v>
      </c>
      <c r="BJ325" s="1">
        <f>IFERROR(__xludf.DUMMYFUNCTION("""COMPUTED_VALUE"""),0.0)</f>
        <v>0</v>
      </c>
      <c r="BK325" s="4">
        <f>IFERROR(__xludf.DUMMYFUNCTION("""COMPUTED_VALUE"""),1200.0)</f>
        <v>1200</v>
      </c>
      <c r="BL325" s="1">
        <f>IFERROR(__xludf.DUMMYFUNCTION("""COMPUTED_VALUE"""),710.0)</f>
        <v>710</v>
      </c>
      <c r="BM325" s="1">
        <f>IFERROR(__xludf.DUMMYFUNCTION("""COMPUTED_VALUE"""),2.0)</f>
        <v>2</v>
      </c>
      <c r="BN325" s="2">
        <f>IFERROR(__xludf.DUMMYFUNCTION("""COMPUTED_VALUE"""),45663.0)</f>
        <v>45663</v>
      </c>
      <c r="BO325" s="1">
        <f>IFERROR(__xludf.DUMMYFUNCTION("""COMPUTED_VALUE"""),1.0)</f>
        <v>1</v>
      </c>
      <c r="BP325" s="1">
        <f>IFERROR(__xludf.DUMMYFUNCTION("""COMPUTED_VALUE"""),2025.0)</f>
        <v>2025</v>
      </c>
    </row>
    <row r="326">
      <c r="A326" s="1">
        <f>IFERROR(__xludf.DUMMYFUNCTION("""COMPUTED_VALUE"""),325.0)</f>
        <v>325</v>
      </c>
      <c r="B326" s="1">
        <f>IFERROR(__xludf.DUMMYFUNCTION("""COMPUTED_VALUE"""),4621157.0)</f>
        <v>4621157</v>
      </c>
      <c r="C326" s="1" t="str">
        <f>IFERROR(__xludf.DUMMYFUNCTION("""COMPUTED_VALUE"""),"2025-1")</f>
        <v>2025-1</v>
      </c>
      <c r="D326" s="1" t="str">
        <f>IFERROR(__xludf.DUMMYFUNCTION("""COMPUTED_VALUE"""),"Admisión Ordinaria")</f>
        <v>Admisión Ordinaria</v>
      </c>
      <c r="E326" s="2">
        <f>IFERROR(__xludf.DUMMYFUNCTION("""COMPUTED_VALUE"""),45667.0)</f>
        <v>45667</v>
      </c>
      <c r="F326" s="1" t="str">
        <f>IFERROR(__xludf.DUMMYFUNCTION("""COMPUTED_VALUE"""),"IBRAHIM FERNANDO ")</f>
        <v>IBRAHIM FERNANDO </v>
      </c>
      <c r="G326" s="1" t="str">
        <f>IFERROR(__xludf.DUMMYFUNCTION("""COMPUTED_VALUE"""),"RODRÍGUEZ ZÁRATE")</f>
        <v>RODRÍGUEZ ZÁRATE</v>
      </c>
      <c r="H326" s="1" t="str">
        <f>IFERROR(__xludf.DUMMYFUNCTION("""COMPUTED_VALUE"""),"Comunicación Audiovisual y Cine")</f>
        <v>Comunicación Audiovisual y Cine</v>
      </c>
      <c r="I326" s="1" t="str">
        <f>IFERROR(__xludf.DUMMYFUNCTION("""COMPUTED_VALUE"""),"CARGO")</f>
        <v>CARGO</v>
      </c>
      <c r="J326" s="1" t="str">
        <f>IFERROR(__xludf.DUMMYFUNCTION("""COMPUTED_VALUE"""),"Diurno")</f>
        <v>Diurno</v>
      </c>
      <c r="K326" s="1" t="str">
        <f>IFERROR(__xludf.DUMMYFUNCTION("""COMPUTED_VALUE"""),"NUEVO")</f>
        <v>NUEVO</v>
      </c>
      <c r="L326" s="1">
        <f>IFERROR(__xludf.DUMMYFUNCTION("""COMPUTED_VALUE"""),0.0)</f>
        <v>0</v>
      </c>
      <c r="M326" s="1">
        <f>IFERROR(__xludf.DUMMYFUNCTION("""COMPUTED_VALUE"""),0.0)</f>
        <v>0</v>
      </c>
      <c r="N326" s="1" t="str">
        <f>IFERROR(__xludf.DUMMYFUNCTION("""COMPUTED_VALUE"""),"BECA")</f>
        <v>BECA</v>
      </c>
      <c r="O326" s="1" t="str">
        <f>IFERROR(__xludf.DUMMYFUNCTION("""COMPUTED_VALUE"""),"BECA CARRERAS CORE")</f>
        <v>BECA CARRERAS CORE</v>
      </c>
      <c r="P326" s="4">
        <f>IFERROR(__xludf.DUMMYFUNCTION("""COMPUTED_VALUE"""),0.0)</f>
        <v>0</v>
      </c>
      <c r="Q326" s="4">
        <f>IFERROR(__xludf.DUMMYFUNCTION("""COMPUTED_VALUE"""),0.0)</f>
        <v>0</v>
      </c>
      <c r="R326" s="4">
        <f>IFERROR(__xludf.DUMMYFUNCTION("""COMPUTED_VALUE"""),1250.0)</f>
        <v>1250</v>
      </c>
      <c r="S326" s="4">
        <f>IFERROR(__xludf.DUMMYFUNCTION("""COMPUTED_VALUE"""),1050.0)</f>
        <v>1050</v>
      </c>
      <c r="T326" s="1" t="str">
        <f>IFERROR(__xludf.DUMMYFUNCTION("""COMPUTED_VALUE"""),"NINGUNO")</f>
        <v>NINGUNO</v>
      </c>
      <c r="U326" s="1" t="str">
        <f>IFERROR(__xludf.DUMMYFUNCTION("""COMPUTED_VALUE"""),"FABIOLA")</f>
        <v>FABIOLA</v>
      </c>
      <c r="V326" s="1" t="str">
        <f>IFERROR(__xludf.DUMMYFUNCTION("""COMPUTED_VALUE"""),"Ninguno")</f>
        <v>Ninguno</v>
      </c>
      <c r="W326" s="1" t="str">
        <f>IFERROR(__xludf.DUMMYFUNCTION("""COMPUTED_VALUE"""),"Metodología de enseñanza")</f>
        <v>Metodología de enseñanza</v>
      </c>
      <c r="X326" s="1" t="str">
        <f>IFERROR(__xludf.DUMMYFUNCTION("""COMPUTED_VALUE"""),"metodologia")</f>
        <v>metodologia</v>
      </c>
      <c r="Y326" s="1" t="str">
        <f>IFERROR(__xludf.DUMMYFUNCTION("""COMPUTED_VALUE"""),"PAGO COMPLETO")</f>
        <v>PAGO COMPLETO</v>
      </c>
      <c r="Z326" s="1"/>
      <c r="AA326" s="1"/>
      <c r="AB326" s="1">
        <f>IFERROR(__xludf.DUMMYFUNCTION("""COMPUTED_VALUE"""),0.0)</f>
        <v>0</v>
      </c>
      <c r="AC326" s="1">
        <f>IFERROR(__xludf.DUMMYFUNCTION("""COMPUTED_VALUE"""),0.0)</f>
        <v>0</v>
      </c>
      <c r="AD326" s="1" t="str">
        <f>IFERROR(__xludf.DUMMYFUNCTION("""COMPUTED_VALUE"""),"Cinthia Mariella Orosco")</f>
        <v>Cinthia Mariella Orosco</v>
      </c>
      <c r="AE326" s="1" t="str">
        <f>IFERROR(__xludf.DUMMYFUNCTION("""COMPUTED_VALUE"""),"0")</f>
        <v>0</v>
      </c>
      <c r="AF326" s="1">
        <f>IFERROR(__xludf.DUMMYFUNCTION("""COMPUTED_VALUE"""),2022.0)</f>
        <v>2022</v>
      </c>
      <c r="AG326" s="1">
        <f>IFERROR(__xludf.DUMMYFUNCTION("""COMPUTED_VALUE"""),1521301.0)</f>
        <v>1521301</v>
      </c>
      <c r="AH326" s="1">
        <f>IFERROR(__xludf.DUMMYFUNCTION("""COMPUTED_VALUE"""),20.0)</f>
        <v>20</v>
      </c>
      <c r="AI326" s="1" t="str">
        <f>IFERROR(__xludf.DUMMYFUNCTION("""COMPUTED_VALUE"""),"0000408551")</f>
        <v>0000408551</v>
      </c>
      <c r="AJ326" s="1">
        <f>IFERROR(__xludf.DUMMYFUNCTION("""COMPUTED_VALUE"""),7.3222625E7)</f>
        <v>73222625</v>
      </c>
      <c r="AK326" s="1">
        <f>IFERROR(__xludf.DUMMYFUNCTION("""COMPUTED_VALUE"""),9.42973792E8)</f>
        <v>942973792</v>
      </c>
      <c r="AL326" s="1" t="str">
        <f>IFERROR(__xludf.DUMMYFUNCTION("""COMPUTED_VALUE"""),"ibraferrz@gmail.com")</f>
        <v>ibraferrz@gmail.com</v>
      </c>
      <c r="AM326" s="1" t="str">
        <f>IFERROR(__xludf.DUMMYFUNCTION("""COMPUTED_VALUE"""),"MASCULINO")</f>
        <v>MASCULINO</v>
      </c>
      <c r="AN326" s="1">
        <f>IFERROR(__xludf.DUMMYFUNCTION("""COMPUTED_VALUE"""),1775.0)</f>
        <v>1775</v>
      </c>
      <c r="AO326" s="1">
        <f>IFERROR(__xludf.DUMMYFUNCTION("""COMPUTED_VALUE"""),390.0)</f>
        <v>390</v>
      </c>
      <c r="AP326" s="1" t="str">
        <f>IFERROR(__xludf.DUMMYFUNCTION("""COMPUTED_VALUE"""),"FORMULARIO")</f>
        <v>FORMULARIO</v>
      </c>
      <c r="AQ326" s="1" t="str">
        <f>IFERROR(__xludf.DUMMYFUNCTION("""COMPUTED_VALUE"""),"SEARCH MARCA")</f>
        <v>SEARCH MARCA</v>
      </c>
      <c r="AR326" s="1" t="str">
        <f>IFERROR(__xludf.DUMMYFUNCTION("""COMPUTED_VALUE"""),"NUEVO")</f>
        <v>NUEVO</v>
      </c>
      <c r="AS326" s="1" t="str">
        <f>IFERROR(__xludf.DUMMYFUNCTION("""COMPUTED_VALUE"""),"ucal-pg-performance-sedes-abierta-cpl-search_conversion_marca-20240401")</f>
        <v>ucal-pg-performance-sedes-abierta-cpl-search_conversion_marca-20240401</v>
      </c>
      <c r="AT326" s="2">
        <f>IFERROR(__xludf.DUMMYFUNCTION("""COMPUTED_VALUE"""),45560.0)</f>
        <v>45560</v>
      </c>
      <c r="AU326" s="1">
        <f>IFERROR(__xludf.DUMMYFUNCTION("""COMPUTED_VALUE"""),1.0)</f>
        <v>1</v>
      </c>
      <c r="AV326" s="1" t="str">
        <f>IFERROR(__xludf.DUMMYFUNCTION("""COMPUTED_VALUE"""),"NUEVO")</f>
        <v>NUEVO</v>
      </c>
      <c r="AW326" s="1" t="str">
        <f>IFERROR(__xludf.DUMMYFUNCTION("""COMPUTED_VALUE"""),"SI")</f>
        <v>SI</v>
      </c>
      <c r="AX326" s="1"/>
      <c r="AY326" s="1" t="str">
        <f>IFERROR(__xludf.DUMMYFUNCTION("""COMPUTED_VALUE"""),"PAGO COMPLETO")</f>
        <v>PAGO COMPLETO</v>
      </c>
      <c r="AZ326" s="5">
        <f>IFERROR(__xludf.DUMMYFUNCTION("""COMPUTED_VALUE"""),45667.0)</f>
        <v>45667</v>
      </c>
      <c r="BA326" s="1">
        <f>IFERROR(__xludf.DUMMYFUNCTION("""COMPUTED_VALUE"""),0.0)</f>
        <v>0</v>
      </c>
      <c r="BB326" s="1">
        <f>IFERROR(__xludf.DUMMYFUNCTION("""COMPUTED_VALUE"""),0.0)</f>
        <v>0</v>
      </c>
      <c r="BC326" s="4">
        <f>IFERROR(__xludf.DUMMYFUNCTION("""COMPUTED_VALUE"""),0.0)</f>
        <v>0</v>
      </c>
      <c r="BD326" s="4">
        <f>IFERROR(__xludf.DUMMYFUNCTION("""COMPUTED_VALUE"""),0.0)</f>
        <v>0</v>
      </c>
      <c r="BE326" s="1">
        <f>IFERROR(__xludf.DUMMYFUNCTION("""COMPUTED_VALUE"""),1.0)</f>
        <v>1</v>
      </c>
      <c r="BF326" s="6">
        <f>IFERROR(__xludf.DUMMYFUNCTION("""COMPUTED_VALUE"""),1.0)</f>
        <v>1</v>
      </c>
      <c r="BG326" s="1">
        <f>IFERROR(__xludf.DUMMYFUNCTION("""COMPUTED_VALUE"""),1.0)</f>
        <v>1</v>
      </c>
      <c r="BH326" s="1" t="str">
        <f>IFERROR(__xludf.DUMMYFUNCTION("""COMPUTED_VALUE"""),"0")</f>
        <v>0</v>
      </c>
      <c r="BI326" s="4">
        <f>IFERROR(__xludf.DUMMYFUNCTION("""COMPUTED_VALUE"""),0.0)</f>
        <v>0</v>
      </c>
      <c r="BJ326" s="1">
        <f>IFERROR(__xludf.DUMMYFUNCTION("""COMPUTED_VALUE"""),0.0)</f>
        <v>0</v>
      </c>
      <c r="BK326" s="4">
        <f>IFERROR(__xludf.DUMMYFUNCTION("""COMPUTED_VALUE"""),0.0)</f>
        <v>0</v>
      </c>
      <c r="BL326" s="1">
        <f>IFERROR(__xludf.DUMMYFUNCTION("""COMPUTED_VALUE"""),1050.0)</f>
        <v>1050</v>
      </c>
      <c r="BM326" s="1">
        <f>IFERROR(__xludf.DUMMYFUNCTION("""COMPUTED_VALUE"""),2.0)</f>
        <v>2</v>
      </c>
      <c r="BN326" s="2">
        <f>IFERROR(__xludf.DUMMYFUNCTION("""COMPUTED_VALUE"""),45663.0)</f>
        <v>45663</v>
      </c>
      <c r="BO326" s="1">
        <f>IFERROR(__xludf.DUMMYFUNCTION("""COMPUTED_VALUE"""),1.0)</f>
        <v>1</v>
      </c>
      <c r="BP326" s="1">
        <f>IFERROR(__xludf.DUMMYFUNCTION("""COMPUTED_VALUE"""),2025.0)</f>
        <v>2025</v>
      </c>
    </row>
    <row r="327">
      <c r="A327" s="1">
        <f>IFERROR(__xludf.DUMMYFUNCTION("""COMPUTED_VALUE"""),326.0)</f>
        <v>326</v>
      </c>
      <c r="B327" s="1">
        <f>IFERROR(__xludf.DUMMYFUNCTION("""COMPUTED_VALUE"""),1774545.0)</f>
        <v>1774545</v>
      </c>
      <c r="C327" s="1" t="str">
        <f>IFERROR(__xludf.DUMMYFUNCTION("""COMPUTED_VALUE"""),"2025-1")</f>
        <v>2025-1</v>
      </c>
      <c r="D327" s="1" t="str">
        <f>IFERROR(__xludf.DUMMYFUNCTION("""COMPUTED_VALUE"""),"Admisión Ordinaria")</f>
        <v>Admisión Ordinaria</v>
      </c>
      <c r="E327" s="2">
        <f>IFERROR(__xludf.DUMMYFUNCTION("""COMPUTED_VALUE"""),45667.0)</f>
        <v>45667</v>
      </c>
      <c r="F327" s="1" t="str">
        <f>IFERROR(__xludf.DUMMYFUNCTION("""COMPUTED_VALUE"""),"ANGELA NICOLLE ")</f>
        <v>ANGELA NICOLLE </v>
      </c>
      <c r="G327" s="1" t="str">
        <f>IFERROR(__xludf.DUMMYFUNCTION("""COMPUTED_VALUE"""),"DOLORIER VILLAFUERTE")</f>
        <v>DOLORIER VILLAFUERTE</v>
      </c>
      <c r="H327" s="1" t="str">
        <f>IFERROR(__xludf.DUMMYFUNCTION("""COMPUTED_VALUE"""),"Arquitectura")</f>
        <v>Arquitectura</v>
      </c>
      <c r="I327" s="1" t="str">
        <f>IFERROR(__xludf.DUMMYFUNCTION("""COMPUTED_VALUE"""),"POS")</f>
        <v>POS</v>
      </c>
      <c r="J327" s="1" t="str">
        <f>IFERROR(__xludf.DUMMYFUNCTION("""COMPUTED_VALUE"""),"Diurno")</f>
        <v>Diurno</v>
      </c>
      <c r="K327" s="1" t="str">
        <f>IFERROR(__xludf.DUMMYFUNCTION("""COMPUTED_VALUE"""),"NUEVO")</f>
        <v>NUEVO</v>
      </c>
      <c r="L327" s="1">
        <f>IFERROR(__xludf.DUMMYFUNCTION("""COMPUTED_VALUE"""),0.0)</f>
        <v>0</v>
      </c>
      <c r="M327" s="1">
        <f>IFERROR(__xludf.DUMMYFUNCTION("""COMPUTED_VALUE"""),0.0)</f>
        <v>0</v>
      </c>
      <c r="N327" s="1" t="str">
        <f>IFERROR(__xludf.DUMMYFUNCTION("""COMPUTED_VALUE"""),"BECA")</f>
        <v>BECA</v>
      </c>
      <c r="O327" s="1" t="str">
        <f>IFERROR(__xludf.DUMMYFUNCTION("""COMPUTED_VALUE"""),"BECA CARRERAS CORE")</f>
        <v>BECA CARRERAS CORE</v>
      </c>
      <c r="P327" s="4">
        <f>IFERROR(__xludf.DUMMYFUNCTION("""COMPUTED_VALUE"""),0.0)</f>
        <v>0</v>
      </c>
      <c r="Q327" s="4">
        <f>IFERROR(__xludf.DUMMYFUNCTION("""COMPUTED_VALUE"""),0.0)</f>
        <v>0</v>
      </c>
      <c r="R327" s="4">
        <f>IFERROR(__xludf.DUMMYFUNCTION("""COMPUTED_VALUE"""),1150.0)</f>
        <v>1150</v>
      </c>
      <c r="S327" s="4">
        <f>IFERROR(__xludf.DUMMYFUNCTION("""COMPUTED_VALUE"""),950.0)</f>
        <v>950</v>
      </c>
      <c r="T327" s="1" t="str">
        <f>IFERROR(__xludf.DUMMYFUNCTION("""COMPUTED_VALUE"""),"Palanca 700 - Referido")</f>
        <v>Palanca 700 - Referido</v>
      </c>
      <c r="U327" s="1" t="str">
        <f>IFERROR(__xludf.DUMMYFUNCTION("""COMPUTED_VALUE"""),"FABIOLA")</f>
        <v>FABIOLA</v>
      </c>
      <c r="V327" s="1" t="str">
        <f>IFERROR(__xludf.DUMMYFUNCTION("""COMPUTED_VALUE"""),"Ninguno")</f>
        <v>Ninguno</v>
      </c>
      <c r="W327" s="1" t="str">
        <f>IFERROR(__xludf.DUMMYFUNCTION("""COMPUTED_VALUE"""),"Prestigio de la institución")</f>
        <v>Prestigio de la institución</v>
      </c>
      <c r="X327" s="1"/>
      <c r="Y327" s="1" t="str">
        <f>IFERROR(__xludf.DUMMYFUNCTION("""COMPUTED_VALUE"""),"PAGO FRACCIONADO")</f>
        <v>PAGO FRACCIONADO</v>
      </c>
      <c r="Z327" s="1">
        <f>IFERROR(__xludf.DUMMYFUNCTION("""COMPUTED_VALUE"""),350.0)</f>
        <v>350</v>
      </c>
      <c r="AA327" s="1" t="str">
        <f>IFERROR(__xludf.DUMMYFUNCTION("""COMPUTED_VALUE"""),"28/01/2025")</f>
        <v>28/01/2025</v>
      </c>
      <c r="AB327" s="1">
        <f>IFERROR(__xludf.DUMMYFUNCTION("""COMPUTED_VALUE"""),1.0)</f>
        <v>1</v>
      </c>
      <c r="AC327" s="1">
        <f>IFERROR(__xludf.DUMMYFUNCTION("""COMPUTED_VALUE"""),0.0)</f>
        <v>0</v>
      </c>
      <c r="AD327" s="1" t="str">
        <f>IFERROR(__xludf.DUMMYFUNCTION("""COMPUTED_VALUE"""),"Angelica Iparraguirre")</f>
        <v>Angelica Iparraguirre</v>
      </c>
      <c r="AE327" s="1" t="str">
        <f>IFERROR(__xludf.DUMMYFUNCTION("""COMPUTED_VALUE"""),"0")</f>
        <v>0</v>
      </c>
      <c r="AF327" s="1">
        <f>IFERROR(__xludf.DUMMYFUNCTION("""COMPUTED_VALUE"""),2022.0)</f>
        <v>2022</v>
      </c>
      <c r="AG327" s="1">
        <f>IFERROR(__xludf.DUMMYFUNCTION("""COMPUTED_VALUE"""),336610.0)</f>
        <v>336610</v>
      </c>
      <c r="AH327" s="1">
        <f>IFERROR(__xludf.DUMMYFUNCTION("""COMPUTED_VALUE"""),19.0)</f>
        <v>19</v>
      </c>
      <c r="AI327" s="1" t="str">
        <f>IFERROR(__xludf.DUMMYFUNCTION("""COMPUTED_VALUE"""),"0000408547")</f>
        <v>0000408547</v>
      </c>
      <c r="AJ327" s="1">
        <f>IFERROR(__xludf.DUMMYFUNCTION("""COMPUTED_VALUE"""),7.6606573E7)</f>
        <v>76606573</v>
      </c>
      <c r="AK327" s="1">
        <f>IFERROR(__xludf.DUMMYFUNCTION("""COMPUTED_VALUE"""),9.02772961E8)</f>
        <v>902772961</v>
      </c>
      <c r="AL327" s="1" t="str">
        <f>IFERROR(__xludf.DUMMYFUNCTION("""COMPUTED_VALUE"""),"doloriernicolle@gmail.com")</f>
        <v>doloriernicolle@gmail.com</v>
      </c>
      <c r="AM327" s="1" t="str">
        <f>IFERROR(__xludf.DUMMYFUNCTION("""COMPUTED_VALUE"""),"FEMENINO")</f>
        <v>FEMENINO</v>
      </c>
      <c r="AN327" s="1">
        <f>IFERROR(__xludf.DUMMYFUNCTION("""COMPUTED_VALUE"""),1350.0)</f>
        <v>1350</v>
      </c>
      <c r="AO327" s="1">
        <f>IFERROR(__xludf.DUMMYFUNCTION("""COMPUTED_VALUE"""),0.0)</f>
        <v>0</v>
      </c>
      <c r="AP327" s="1" t="str">
        <f>IFERROR(__xludf.DUMMYFUNCTION("""COMPUTED_VALUE"""),"FORMULARIO")</f>
        <v>FORMULARIO</v>
      </c>
      <c r="AQ327" s="1" t="str">
        <f>IFERROR(__xludf.DUMMYFUNCTION("""COMPUTED_VALUE"""),"SEARCH MARCA")</f>
        <v>SEARCH MARCA</v>
      </c>
      <c r="AR327" s="1" t="str">
        <f>IFERROR(__xludf.DUMMYFUNCTION("""COMPUTED_VALUE"""),"NUEVO")</f>
        <v>NUEVO</v>
      </c>
      <c r="AS327" s="1" t="str">
        <f>IFERROR(__xludf.DUMMYFUNCTION("""COMPUTED_VALUE"""),"ucal-pg-performance-sedes-abierta-cpl-search_conversion_marca-20240401")</f>
        <v>ucal-pg-performance-sedes-abierta-cpl-search_conversion_marca-20240401</v>
      </c>
      <c r="AT327" s="2">
        <f>IFERROR(__xludf.DUMMYFUNCTION("""COMPUTED_VALUE"""),45660.0)</f>
        <v>45660</v>
      </c>
      <c r="AU327" s="1">
        <f>IFERROR(__xludf.DUMMYFUNCTION("""COMPUTED_VALUE"""),1.0)</f>
        <v>1</v>
      </c>
      <c r="AV327" s="1" t="str">
        <f>IFERROR(__xludf.DUMMYFUNCTION("""COMPUTED_VALUE"""),"NUEVO")</f>
        <v>NUEVO</v>
      </c>
      <c r="AW327" s="1" t="str">
        <f>IFERROR(__xludf.DUMMYFUNCTION("""COMPUTED_VALUE"""),"SI")</f>
        <v>SI</v>
      </c>
      <c r="AX327" s="1"/>
      <c r="AY327" s="1" t="str">
        <f>IFERROR(__xludf.DUMMYFUNCTION("""COMPUTED_VALUE"""),"PAGO FRACCIONADO")</f>
        <v>PAGO FRACCIONADO</v>
      </c>
      <c r="AZ327" s="1"/>
      <c r="BA327" s="1">
        <f>IFERROR(__xludf.DUMMYFUNCTION("""COMPUTED_VALUE"""),0.0)</f>
        <v>0</v>
      </c>
      <c r="BB327" s="1">
        <f>IFERROR(__xludf.DUMMYFUNCTION("""COMPUTED_VALUE"""),0.0)</f>
        <v>0</v>
      </c>
      <c r="BC327" s="4">
        <f>IFERROR(__xludf.DUMMYFUNCTION("""COMPUTED_VALUE"""),350.0)</f>
        <v>350</v>
      </c>
      <c r="BD327" s="4">
        <f>IFERROR(__xludf.DUMMYFUNCTION("""COMPUTED_VALUE"""),250.0)</f>
        <v>250</v>
      </c>
      <c r="BE327" s="1">
        <f>IFERROR(__xludf.DUMMYFUNCTION("""COMPUTED_VALUE"""),1.0)</f>
        <v>1</v>
      </c>
      <c r="BF327" s="6">
        <f>IFERROR(__xludf.DUMMYFUNCTION("""COMPUTED_VALUE"""),0.5)</f>
        <v>0.5</v>
      </c>
      <c r="BG327" s="1">
        <f>IFERROR(__xludf.DUMMYFUNCTION("""COMPUTED_VALUE"""),1.0)</f>
        <v>1</v>
      </c>
      <c r="BH327" s="1" t="str">
        <f>IFERROR(__xludf.DUMMYFUNCTION("""COMPUTED_VALUE"""),"0")</f>
        <v>0</v>
      </c>
      <c r="BI327" s="4">
        <f>IFERROR(__xludf.DUMMYFUNCTION("""COMPUTED_VALUE"""),600.0)</f>
        <v>600</v>
      </c>
      <c r="BJ327" s="1">
        <f>IFERROR(__xludf.DUMMYFUNCTION("""COMPUTED_VALUE"""),0.0)</f>
        <v>0</v>
      </c>
      <c r="BK327" s="4">
        <f>IFERROR(__xludf.DUMMYFUNCTION("""COMPUTED_VALUE"""),725.0)</f>
        <v>725</v>
      </c>
      <c r="BL327" s="1">
        <f>IFERROR(__xludf.DUMMYFUNCTION("""COMPUTED_VALUE"""),805.0)</f>
        <v>805</v>
      </c>
      <c r="BM327" s="1">
        <f>IFERROR(__xludf.DUMMYFUNCTION("""COMPUTED_VALUE"""),2.0)</f>
        <v>2</v>
      </c>
      <c r="BN327" s="2">
        <f>IFERROR(__xludf.DUMMYFUNCTION("""COMPUTED_VALUE"""),45663.0)</f>
        <v>45663</v>
      </c>
      <c r="BO327" s="1">
        <f>IFERROR(__xludf.DUMMYFUNCTION("""COMPUTED_VALUE"""),1.0)</f>
        <v>1</v>
      </c>
      <c r="BP327" s="1">
        <f>IFERROR(__xludf.DUMMYFUNCTION("""COMPUTED_VALUE"""),2025.0)</f>
        <v>2025</v>
      </c>
    </row>
    <row r="328">
      <c r="A328" s="1">
        <f>IFERROR(__xludf.DUMMYFUNCTION("""COMPUTED_VALUE"""),327.0)</f>
        <v>327</v>
      </c>
      <c r="B328" s="1">
        <f>IFERROR(__xludf.DUMMYFUNCTION("""COMPUTED_VALUE"""),676077.0)</f>
        <v>676077</v>
      </c>
      <c r="C328" s="1" t="str">
        <f>IFERROR(__xludf.DUMMYFUNCTION("""COMPUTED_VALUE"""),"2025-1")</f>
        <v>2025-1</v>
      </c>
      <c r="D328" s="1" t="str">
        <f>IFERROR(__xludf.DUMMYFUNCTION("""COMPUTED_VALUE"""),"Admisión Extraordinaria (Traslados)")</f>
        <v>Admisión Extraordinaria (Traslados)</v>
      </c>
      <c r="E328" s="2">
        <f>IFERROR(__xludf.DUMMYFUNCTION("""COMPUTED_VALUE"""),45667.0)</f>
        <v>45667</v>
      </c>
      <c r="F328" s="1" t="str">
        <f>IFERROR(__xludf.DUMMYFUNCTION("""COMPUTED_VALUE"""),"JORGE ISAAC")</f>
        <v>JORGE ISAAC</v>
      </c>
      <c r="G328" s="1" t="str">
        <f>IFERROR(__xludf.DUMMYFUNCTION("""COMPUTED_VALUE"""),"ZUBIAUT CUYA")</f>
        <v>ZUBIAUT CUYA</v>
      </c>
      <c r="H328" s="1" t="str">
        <f>IFERROR(__xludf.DUMMYFUNCTION("""COMPUTED_VALUE"""),"Diseño Gráfico Publicitario")</f>
        <v>Diseño Gráfico Publicitario</v>
      </c>
      <c r="I328" s="1" t="str">
        <f>IFERROR(__xludf.DUMMYFUNCTION("""COMPUTED_VALUE"""),"POS")</f>
        <v>POS</v>
      </c>
      <c r="J328" s="1" t="str">
        <f>IFERROR(__xludf.DUMMYFUNCTION("""COMPUTED_VALUE"""),"Diurno")</f>
        <v>Diurno</v>
      </c>
      <c r="K328" s="1" t="str">
        <f>IFERROR(__xludf.DUMMYFUNCTION("""COMPUTED_VALUE"""),"TRASLADO")</f>
        <v>TRASLADO</v>
      </c>
      <c r="L328" s="1">
        <f>IFERROR(__xludf.DUMMYFUNCTION("""COMPUTED_VALUE"""),1.0)</f>
        <v>1</v>
      </c>
      <c r="M328" s="1">
        <f>IFERROR(__xludf.DUMMYFUNCTION("""COMPUTED_VALUE"""),0.0)</f>
        <v>0</v>
      </c>
      <c r="N328" s="1" t="str">
        <f>IFERROR(__xludf.DUMMYFUNCTION("""COMPUTED_VALUE"""),"RECA")</f>
        <v>RECA</v>
      </c>
      <c r="O328" s="1" t="str">
        <f>IFERROR(__xludf.DUMMYFUNCTION("""COMPUTED_VALUE"""),"RECA TRASLADO CON CONVA")</f>
        <v>RECA TRASLADO CON CONVA</v>
      </c>
      <c r="P328" s="4">
        <f>IFERROR(__xludf.DUMMYFUNCTION("""COMPUTED_VALUE"""),0.0)</f>
        <v>0</v>
      </c>
      <c r="Q328" s="4">
        <f>IFERROR(__xludf.DUMMYFUNCTION("""COMPUTED_VALUE"""),0.0)</f>
        <v>0</v>
      </c>
      <c r="R328" s="4">
        <f>IFERROR(__xludf.DUMMYFUNCTION("""COMPUTED_VALUE"""),1150.0)</f>
        <v>1150</v>
      </c>
      <c r="S328" s="4">
        <f>IFERROR(__xludf.DUMMYFUNCTION("""COMPUTED_VALUE"""),990.0)</f>
        <v>990</v>
      </c>
      <c r="T328" s="1" t="str">
        <f>IFERROR(__xludf.DUMMYFUNCTION("""COMPUTED_VALUE"""),"NINGUNO")</f>
        <v>NINGUNO</v>
      </c>
      <c r="U328" s="1" t="str">
        <f>IFERROR(__xludf.DUMMYFUNCTION("""COMPUTED_VALUE"""),"FABIOLA")</f>
        <v>FABIOLA</v>
      </c>
      <c r="V328" s="1" t="str">
        <f>IFERROR(__xludf.DUMMYFUNCTION("""COMPUTED_VALUE"""),"Ninguno")</f>
        <v>Ninguno</v>
      </c>
      <c r="W328" s="1" t="str">
        <f>IFERROR(__xludf.DUMMYFUNCTION("""COMPUTED_VALUE"""),"Egresados")</f>
        <v>Egresados</v>
      </c>
      <c r="X328" s="1"/>
      <c r="Y328" s="1" t="str">
        <f>IFERROR(__xludf.DUMMYFUNCTION("""COMPUTED_VALUE"""),"PAGO FRACCIONADO")</f>
        <v>PAGO FRACCIONADO</v>
      </c>
      <c r="Z328" s="1">
        <f>IFERROR(__xludf.DUMMYFUNCTION("""COMPUTED_VALUE"""),450.0)</f>
        <v>450</v>
      </c>
      <c r="AA328" s="1" t="str">
        <f>IFERROR(__xludf.DUMMYFUNCTION("""COMPUTED_VALUE"""),"25/01/2025")</f>
        <v>25/01/2025</v>
      </c>
      <c r="AB328" s="1">
        <f>IFERROR(__xludf.DUMMYFUNCTION("""COMPUTED_VALUE"""),0.0)</f>
        <v>0</v>
      </c>
      <c r="AC328" s="1">
        <f>IFERROR(__xludf.DUMMYFUNCTION("""COMPUTED_VALUE"""),0.0)</f>
        <v>0</v>
      </c>
      <c r="AD328" s="1" t="str">
        <f>IFERROR(__xludf.DUMMYFUNCTION("""COMPUTED_VALUE"""),"Angelica Iparraguirre")</f>
        <v>Angelica Iparraguirre</v>
      </c>
      <c r="AE328" s="1" t="str">
        <f>IFERROR(__xludf.DUMMYFUNCTION("""COMPUTED_VALUE"""),"Instituto de Educación Superior Tecnológico Privado Toulouse Lautrec")</f>
        <v>Instituto de Educación Superior Tecnológico Privado Toulouse Lautrec</v>
      </c>
      <c r="AF328" s="1">
        <f>IFERROR(__xludf.DUMMYFUNCTION("""COMPUTED_VALUE"""),2017.0)</f>
        <v>2017</v>
      </c>
      <c r="AG328" s="1">
        <f>IFERROR(__xludf.DUMMYFUNCTION("""COMPUTED_VALUE"""),1475300.0)</f>
        <v>1475300</v>
      </c>
      <c r="AH328" s="1">
        <f>IFERROR(__xludf.DUMMYFUNCTION("""COMPUTED_VALUE"""),25.0)</f>
        <v>25</v>
      </c>
      <c r="AI328" s="1" t="str">
        <f>IFERROR(__xludf.DUMMYFUNCTION("""COMPUTED_VALUE"""),"2018000403")</f>
        <v>2018000403</v>
      </c>
      <c r="AJ328" s="1">
        <f>IFERROR(__xludf.DUMMYFUNCTION("""COMPUTED_VALUE"""),7.2035511E7)</f>
        <v>72035511</v>
      </c>
      <c r="AK328" s="1">
        <f>IFERROR(__xludf.DUMMYFUNCTION("""COMPUTED_VALUE"""),9.81897478E8)</f>
        <v>981897478</v>
      </c>
      <c r="AL328" s="1" t="str">
        <f>IFERROR(__xludf.DUMMYFUNCTION("""COMPUTED_VALUE"""),"jzubiaut20@gmail.com")</f>
        <v>jzubiaut20@gmail.com</v>
      </c>
      <c r="AM328" s="1" t="str">
        <f>IFERROR(__xludf.DUMMYFUNCTION("""COMPUTED_VALUE"""),"MASCULINO")</f>
        <v>MASCULINO</v>
      </c>
      <c r="AN328" s="1">
        <f>IFERROR(__xludf.DUMMYFUNCTION("""COMPUTED_VALUE"""),1600.0)</f>
        <v>1600</v>
      </c>
      <c r="AO328" s="1">
        <f>IFERROR(__xludf.DUMMYFUNCTION("""COMPUTED_VALUE"""),205.0)</f>
        <v>205</v>
      </c>
      <c r="AP328" s="1" t="str">
        <f>IFERROR(__xludf.DUMMYFUNCTION("""COMPUTED_VALUE"""),"OUTBOUND")</f>
        <v>OUTBOUND</v>
      </c>
      <c r="AQ328" s="1" t="str">
        <f>IFERROR(__xludf.DUMMYFUNCTION("""COMPUTED_VALUE"""),"OUTBOUND")</f>
        <v>OUTBOUND</v>
      </c>
      <c r="AR328" s="1" t="str">
        <f>IFERROR(__xludf.DUMMYFUNCTION("""COMPUTED_VALUE"""),"HEREDADO")</f>
        <v>HEREDADO</v>
      </c>
      <c r="AS328" s="1"/>
      <c r="AT328" s="2">
        <f>IFERROR(__xludf.DUMMYFUNCTION("""COMPUTED_VALUE"""),45667.0)</f>
        <v>45667</v>
      </c>
      <c r="AU328" s="1">
        <f>IFERROR(__xludf.DUMMYFUNCTION("""COMPUTED_VALUE"""),1.0)</f>
        <v>1</v>
      </c>
      <c r="AV328" s="1" t="str">
        <f>IFERROR(__xludf.DUMMYFUNCTION("""COMPUTED_VALUE"""),"TRASLADO")</f>
        <v>TRASLADO</v>
      </c>
      <c r="AW328" s="1" t="str">
        <f>IFERROR(__xludf.DUMMYFUNCTION("""COMPUTED_VALUE"""),"SI")</f>
        <v>SI</v>
      </c>
      <c r="AX328" s="1"/>
      <c r="AY328" s="1" t="str">
        <f>IFERROR(__xludf.DUMMYFUNCTION("""COMPUTED_VALUE"""),"PAGO COMPLETO")</f>
        <v>PAGO COMPLETO</v>
      </c>
      <c r="AZ328" s="5">
        <f>IFERROR(__xludf.DUMMYFUNCTION("""COMPUTED_VALUE"""),45688.0)</f>
        <v>45688</v>
      </c>
      <c r="BA328" s="1">
        <f>IFERROR(__xludf.DUMMYFUNCTION("""COMPUTED_VALUE"""),540.0)</f>
        <v>540</v>
      </c>
      <c r="BB328" s="1">
        <f>IFERROR(__xludf.DUMMYFUNCTION("""COMPUTED_VALUE"""),0.0)</f>
        <v>0</v>
      </c>
      <c r="BC328" s="4">
        <f>IFERROR(__xludf.DUMMYFUNCTION("""COMPUTED_VALUE"""),0.0)</f>
        <v>0</v>
      </c>
      <c r="BD328" s="4">
        <f>IFERROR(__xludf.DUMMYFUNCTION("""COMPUTED_VALUE"""),0.0)</f>
        <v>0</v>
      </c>
      <c r="BE328" s="1">
        <f>IFERROR(__xludf.DUMMYFUNCTION("""COMPUTED_VALUE"""),1.0)</f>
        <v>1</v>
      </c>
      <c r="BF328" s="6">
        <f>IFERROR(__xludf.DUMMYFUNCTION("""COMPUTED_VALUE"""),1.0)</f>
        <v>1</v>
      </c>
      <c r="BG328" s="1">
        <f>IFERROR(__xludf.DUMMYFUNCTION("""COMPUTED_VALUE"""),0.0)</f>
        <v>0</v>
      </c>
      <c r="BH328" s="1" t="str">
        <f>IFERROR(__xludf.DUMMYFUNCTION("""COMPUTED_VALUE"""),"1")</f>
        <v>1</v>
      </c>
      <c r="BI328" s="4">
        <f>IFERROR(__xludf.DUMMYFUNCTION("""COMPUTED_VALUE"""),990.0)</f>
        <v>990</v>
      </c>
      <c r="BJ328" s="1">
        <f>IFERROR(__xludf.DUMMYFUNCTION("""COMPUTED_VALUE"""),0.0)</f>
        <v>0</v>
      </c>
      <c r="BK328" s="4">
        <f>IFERROR(__xludf.DUMMYFUNCTION("""COMPUTED_VALUE"""),0.0)</f>
        <v>0</v>
      </c>
      <c r="BL328" s="1">
        <f>IFERROR(__xludf.DUMMYFUNCTION("""COMPUTED_VALUE"""),990.0)</f>
        <v>990</v>
      </c>
      <c r="BM328" s="1">
        <f>IFERROR(__xludf.DUMMYFUNCTION("""COMPUTED_VALUE"""),2.0)</f>
        <v>2</v>
      </c>
      <c r="BN328" s="2">
        <f>IFERROR(__xludf.DUMMYFUNCTION("""COMPUTED_VALUE"""),45663.0)</f>
        <v>45663</v>
      </c>
      <c r="BO328" s="1">
        <f>IFERROR(__xludf.DUMMYFUNCTION("""COMPUTED_VALUE"""),1.0)</f>
        <v>1</v>
      </c>
      <c r="BP328" s="1">
        <f>IFERROR(__xludf.DUMMYFUNCTION("""COMPUTED_VALUE"""),2025.0)</f>
        <v>2025</v>
      </c>
    </row>
    <row r="329">
      <c r="A329" s="1">
        <f>IFERROR(__xludf.DUMMYFUNCTION("""COMPUTED_VALUE"""),328.0)</f>
        <v>328</v>
      </c>
      <c r="B329" s="1">
        <f>IFERROR(__xludf.DUMMYFUNCTION("""COMPUTED_VALUE"""),1996199.0)</f>
        <v>1996199</v>
      </c>
      <c r="C329" s="1" t="str">
        <f>IFERROR(__xludf.DUMMYFUNCTION("""COMPUTED_VALUE"""),"2025-1")</f>
        <v>2025-1</v>
      </c>
      <c r="D329" s="1" t="str">
        <f>IFERROR(__xludf.DUMMYFUNCTION("""COMPUTED_VALUE"""),"Admisión Ordinaria")</f>
        <v>Admisión Ordinaria</v>
      </c>
      <c r="E329" s="2">
        <f>IFERROR(__xludf.DUMMYFUNCTION("""COMPUTED_VALUE"""),45667.0)</f>
        <v>45667</v>
      </c>
      <c r="F329" s="1" t="str">
        <f>IFERROR(__xludf.DUMMYFUNCTION("""COMPUTED_VALUE"""),"GONZALO ALDAIR ")</f>
        <v>GONZALO ALDAIR </v>
      </c>
      <c r="G329" s="1" t="str">
        <f>IFERROR(__xludf.DUMMYFUNCTION("""COMPUTED_VALUE"""),"SARE FARFÁN")</f>
        <v>SARE FARFÁN</v>
      </c>
      <c r="H329" s="1" t="str">
        <f>IFERROR(__xludf.DUMMYFUNCTION("""COMPUTED_VALUE"""),"Comunicación Audiovisual y Cine")</f>
        <v>Comunicación Audiovisual y Cine</v>
      </c>
      <c r="I329" s="1" t="str">
        <f>IFERROR(__xludf.DUMMYFUNCTION("""COMPUTED_VALUE"""),"CARGO")</f>
        <v>CARGO</v>
      </c>
      <c r="J329" s="1" t="str">
        <f>IFERROR(__xludf.DUMMYFUNCTION("""COMPUTED_VALUE"""),"Diurno")</f>
        <v>Diurno</v>
      </c>
      <c r="K329" s="1" t="str">
        <f>IFERROR(__xludf.DUMMYFUNCTION("""COMPUTED_VALUE"""),"NUEVO")</f>
        <v>NUEVO</v>
      </c>
      <c r="L329" s="1">
        <f>IFERROR(__xludf.DUMMYFUNCTION("""COMPUTED_VALUE"""),0.0)</f>
        <v>0</v>
      </c>
      <c r="M329" s="1">
        <f>IFERROR(__xludf.DUMMYFUNCTION("""COMPUTED_VALUE"""),0.0)</f>
        <v>0</v>
      </c>
      <c r="N329" s="1" t="str">
        <f>IFERROR(__xludf.DUMMYFUNCTION("""COMPUTED_VALUE"""),"BECA")</f>
        <v>BECA</v>
      </c>
      <c r="O329" s="1" t="str">
        <f>IFERROR(__xludf.DUMMYFUNCTION("""COMPUTED_VALUE"""),"BECA CONGELADA DE 2 AÑOS")</f>
        <v>BECA CONGELADA DE 2 AÑOS</v>
      </c>
      <c r="P329" s="4">
        <f>IFERROR(__xludf.DUMMYFUNCTION("""COMPUTED_VALUE"""),0.0)</f>
        <v>0</v>
      </c>
      <c r="Q329" s="4">
        <f>IFERROR(__xludf.DUMMYFUNCTION("""COMPUTED_VALUE"""),0.0)</f>
        <v>0</v>
      </c>
      <c r="R329" s="4">
        <f>IFERROR(__xludf.DUMMYFUNCTION("""COMPUTED_VALUE"""),1050.0)</f>
        <v>1050</v>
      </c>
      <c r="S329" s="4">
        <f>IFERROR(__xludf.DUMMYFUNCTION("""COMPUTED_VALUE"""),950.0)</f>
        <v>950</v>
      </c>
      <c r="T329" s="1" t="str">
        <f>IFERROR(__xludf.DUMMYFUNCTION("""COMPUTED_VALUE"""),"NINGUNO")</f>
        <v>NINGUNO</v>
      </c>
      <c r="U329" s="1" t="str">
        <f>IFERROR(__xludf.DUMMYFUNCTION("""COMPUTED_VALUE"""),"RODRIGO")</f>
        <v>RODRIGO</v>
      </c>
      <c r="V329" s="1" t="str">
        <f>IFERROR(__xludf.DUMMYFUNCTION("""COMPUTED_VALUE"""),"Ninguno")</f>
        <v>Ninguno</v>
      </c>
      <c r="W329" s="1" t="str">
        <f>IFERROR(__xludf.DUMMYFUNCTION("""COMPUTED_VALUE"""),"Metodología de enseñanza")</f>
        <v>Metodología de enseñanza</v>
      </c>
      <c r="X329" s="1"/>
      <c r="Y329" s="1" t="str">
        <f>IFERROR(__xludf.DUMMYFUNCTION("""COMPUTED_VALUE"""),"PAGO COMPLETO")</f>
        <v>PAGO COMPLETO</v>
      </c>
      <c r="Z329" s="1"/>
      <c r="AA329" s="1"/>
      <c r="AB329" s="1">
        <f>IFERROR(__xludf.DUMMYFUNCTION("""COMPUTED_VALUE"""),0.0)</f>
        <v>0</v>
      </c>
      <c r="AC329" s="1">
        <f>IFERROR(__xludf.DUMMYFUNCTION("""COMPUTED_VALUE"""),0.0)</f>
        <v>0</v>
      </c>
      <c r="AD329" s="1" t="str">
        <f>IFERROR(__xludf.DUMMYFUNCTION("""COMPUTED_VALUE"""),"Ingrid Guillermo Rivera")</f>
        <v>Ingrid Guillermo Rivera</v>
      </c>
      <c r="AE329" s="1" t="str">
        <f>IFERROR(__xludf.DUMMYFUNCTION("""COMPUTED_VALUE"""),"0")</f>
        <v>0</v>
      </c>
      <c r="AF329" s="1">
        <f>IFERROR(__xludf.DUMMYFUNCTION("""COMPUTED_VALUE"""),2023.0)</f>
        <v>2023</v>
      </c>
      <c r="AG329" s="1">
        <f>IFERROR(__xludf.DUMMYFUNCTION("""COMPUTED_VALUE"""),874271.0)</f>
        <v>874271</v>
      </c>
      <c r="AH329" s="1">
        <f>IFERROR(__xludf.DUMMYFUNCTION("""COMPUTED_VALUE"""),18.0)</f>
        <v>18</v>
      </c>
      <c r="AI329" s="1" t="str">
        <f>IFERROR(__xludf.DUMMYFUNCTION("""COMPUTED_VALUE"""),"0000408507")</f>
        <v>0000408507</v>
      </c>
      <c r="AJ329" s="1">
        <f>IFERROR(__xludf.DUMMYFUNCTION("""COMPUTED_VALUE"""),6.0992818E7)</f>
        <v>60992818</v>
      </c>
      <c r="AK329" s="1">
        <f>IFERROR(__xludf.DUMMYFUNCTION("""COMPUTED_VALUE"""),9.15880335E8)</f>
        <v>915880335</v>
      </c>
      <c r="AL329" s="1" t="str">
        <f>IFERROR(__xludf.DUMMYFUNCTION("""COMPUTED_VALUE"""),"gozlofar@gmail.com")</f>
        <v>gozlofar@gmail.com</v>
      </c>
      <c r="AM329" s="1" t="str">
        <f>IFERROR(__xludf.DUMMYFUNCTION("""COMPUTED_VALUE"""),"MASCULINO")</f>
        <v>MASCULINO</v>
      </c>
      <c r="AN329" s="1">
        <f>IFERROR(__xludf.DUMMYFUNCTION("""COMPUTED_VALUE"""),1600.0)</f>
        <v>1600</v>
      </c>
      <c r="AO329" s="1">
        <f>IFERROR(__xludf.DUMMYFUNCTION("""COMPUTED_VALUE"""),280.0)</f>
        <v>280</v>
      </c>
      <c r="AP329" s="1" t="str">
        <f>IFERROR(__xludf.DUMMYFUNCTION("""COMPUTED_VALUE"""),"BIDIRECCIONAL")</f>
        <v>BIDIRECCIONAL</v>
      </c>
      <c r="AQ329" s="1" t="str">
        <f>IFERROR(__xludf.DUMMYFUNCTION("""COMPUTED_VALUE"""),"SEARCH MARCA")</f>
        <v>SEARCH MARCA</v>
      </c>
      <c r="AR329" s="1" t="str">
        <f>IFERROR(__xludf.DUMMYFUNCTION("""COMPUTED_VALUE"""),"NUEVO")</f>
        <v>NUEVO</v>
      </c>
      <c r="AS329" s="1" t="str">
        <f>IFERROR(__xludf.DUMMYFUNCTION("""COMPUTED_VALUE"""),"ucal-pg-performance-sedes-abierta-cpl-search_conversion_marca-20240401")</f>
        <v>ucal-pg-performance-sedes-abierta-cpl-search_conversion_marca-20240401</v>
      </c>
      <c r="AT329" s="2">
        <f>IFERROR(__xludf.DUMMYFUNCTION("""COMPUTED_VALUE"""),45666.0)</f>
        <v>45666</v>
      </c>
      <c r="AU329" s="1">
        <f>IFERROR(__xludf.DUMMYFUNCTION("""COMPUTED_VALUE"""),1.0)</f>
        <v>1</v>
      </c>
      <c r="AV329" s="1" t="str">
        <f>IFERROR(__xludf.DUMMYFUNCTION("""COMPUTED_VALUE"""),"NUEVO")</f>
        <v>NUEVO</v>
      </c>
      <c r="AW329" s="1" t="str">
        <f>IFERROR(__xludf.DUMMYFUNCTION("""COMPUTED_VALUE"""),"SI")</f>
        <v>SI</v>
      </c>
      <c r="AX329" s="1"/>
      <c r="AY329" s="1" t="str">
        <f>IFERROR(__xludf.DUMMYFUNCTION("""COMPUTED_VALUE"""),"PAGO COMPLETO")</f>
        <v>PAGO COMPLETO</v>
      </c>
      <c r="AZ329" s="5">
        <f>IFERROR(__xludf.DUMMYFUNCTION("""COMPUTED_VALUE"""),45667.0)</f>
        <v>45667</v>
      </c>
      <c r="BA329" s="1">
        <f>IFERROR(__xludf.DUMMYFUNCTION("""COMPUTED_VALUE"""),0.0)</f>
        <v>0</v>
      </c>
      <c r="BB329" s="1">
        <f>IFERROR(__xludf.DUMMYFUNCTION("""COMPUTED_VALUE"""),0.0)</f>
        <v>0</v>
      </c>
      <c r="BC329" s="4">
        <f>IFERROR(__xludf.DUMMYFUNCTION("""COMPUTED_VALUE"""),0.0)</f>
        <v>0</v>
      </c>
      <c r="BD329" s="4">
        <f>IFERROR(__xludf.DUMMYFUNCTION("""COMPUTED_VALUE"""),0.0)</f>
        <v>0</v>
      </c>
      <c r="BE329" s="1">
        <f>IFERROR(__xludf.DUMMYFUNCTION("""COMPUTED_VALUE"""),1.0)</f>
        <v>1</v>
      </c>
      <c r="BF329" s="6">
        <f>IFERROR(__xludf.DUMMYFUNCTION("""COMPUTED_VALUE"""),1.0)</f>
        <v>1</v>
      </c>
      <c r="BG329" s="1">
        <f>IFERROR(__xludf.DUMMYFUNCTION("""COMPUTED_VALUE"""),1.0)</f>
        <v>1</v>
      </c>
      <c r="BH329" s="1" t="str">
        <f>IFERROR(__xludf.DUMMYFUNCTION("""COMPUTED_VALUE"""),"0")</f>
        <v>0</v>
      </c>
      <c r="BI329" s="4">
        <f>IFERROR(__xludf.DUMMYFUNCTION("""COMPUTED_VALUE"""),0.0)</f>
        <v>0</v>
      </c>
      <c r="BJ329" s="1">
        <f>IFERROR(__xludf.DUMMYFUNCTION("""COMPUTED_VALUE"""),0.0)</f>
        <v>0</v>
      </c>
      <c r="BK329" s="4">
        <f>IFERROR(__xludf.DUMMYFUNCTION("""COMPUTED_VALUE"""),0.0)</f>
        <v>0</v>
      </c>
      <c r="BL329" s="1">
        <f>IFERROR(__xludf.DUMMYFUNCTION("""COMPUTED_VALUE"""),950.0)</f>
        <v>950</v>
      </c>
      <c r="BM329" s="1">
        <f>IFERROR(__xludf.DUMMYFUNCTION("""COMPUTED_VALUE"""),2.0)</f>
        <v>2</v>
      </c>
      <c r="BN329" s="2">
        <f>IFERROR(__xludf.DUMMYFUNCTION("""COMPUTED_VALUE"""),45663.0)</f>
        <v>45663</v>
      </c>
      <c r="BO329" s="1">
        <f>IFERROR(__xludf.DUMMYFUNCTION("""COMPUTED_VALUE"""),1.0)</f>
        <v>1</v>
      </c>
      <c r="BP329" s="1">
        <f>IFERROR(__xludf.DUMMYFUNCTION("""COMPUTED_VALUE"""),2025.0)</f>
        <v>2025</v>
      </c>
    </row>
    <row r="330">
      <c r="A330" s="1">
        <f>IFERROR(__xludf.DUMMYFUNCTION("""COMPUTED_VALUE"""),329.0)</f>
        <v>329</v>
      </c>
      <c r="B330" s="1">
        <f>IFERROR(__xludf.DUMMYFUNCTION("""COMPUTED_VALUE"""),4811291.0)</f>
        <v>4811291</v>
      </c>
      <c r="C330" s="1" t="str">
        <f>IFERROR(__xludf.DUMMYFUNCTION("""COMPUTED_VALUE"""),"2025-1")</f>
        <v>2025-1</v>
      </c>
      <c r="D330" s="1" t="str">
        <f>IFERROR(__xludf.DUMMYFUNCTION("""COMPUTED_VALUE"""),"Admisión de Alto Rendimiento")</f>
        <v>Admisión de Alto Rendimiento</v>
      </c>
      <c r="E330" s="2">
        <f>IFERROR(__xludf.DUMMYFUNCTION("""COMPUTED_VALUE"""),45667.0)</f>
        <v>45667</v>
      </c>
      <c r="F330" s="1" t="str">
        <f>IFERROR(__xludf.DUMMYFUNCTION("""COMPUTED_VALUE"""),"VALERIA FERNANDA ")</f>
        <v>VALERIA FERNANDA </v>
      </c>
      <c r="G330" s="1" t="str">
        <f>IFERROR(__xludf.DUMMYFUNCTION("""COMPUTED_VALUE"""),"ZEA ARANA")</f>
        <v>ZEA ARANA</v>
      </c>
      <c r="H330" s="1" t="str">
        <f>IFERROR(__xludf.DUMMYFUNCTION("""COMPUTED_VALUE"""),"Arquitectura")</f>
        <v>Arquitectura</v>
      </c>
      <c r="I330" s="1" t="str">
        <f>IFERROR(__xludf.DUMMYFUNCTION("""COMPUTED_VALUE"""),"CARGO")</f>
        <v>CARGO</v>
      </c>
      <c r="J330" s="1" t="str">
        <f>IFERROR(__xludf.DUMMYFUNCTION("""COMPUTED_VALUE"""),"Diurno")</f>
        <v>Diurno</v>
      </c>
      <c r="K330" s="1" t="str">
        <f>IFERROR(__xludf.DUMMYFUNCTION("""COMPUTED_VALUE"""),"NUEVO")</f>
        <v>NUEVO</v>
      </c>
      <c r="L330" s="1">
        <f>IFERROR(__xludf.DUMMYFUNCTION("""COMPUTED_VALUE"""),0.0)</f>
        <v>0</v>
      </c>
      <c r="M330" s="1">
        <f>IFERROR(__xludf.DUMMYFUNCTION("""COMPUTED_VALUE"""),0.0)</f>
        <v>0</v>
      </c>
      <c r="N330" s="1" t="str">
        <f>IFERROR(__xludf.DUMMYFUNCTION("""COMPUTED_VALUE"""),"RECA-BECA")</f>
        <v>RECA-BECA</v>
      </c>
      <c r="O330" s="1" t="str">
        <f>IFERROR(__xludf.DUMMYFUNCTION("""COMPUTED_VALUE"""),"BECA CONGELADA DE 2 AÑOS")</f>
        <v>BECA CONGELADA DE 2 AÑOS</v>
      </c>
      <c r="P330" s="4">
        <f>IFERROR(__xludf.DUMMYFUNCTION("""COMPUTED_VALUE"""),0.0)</f>
        <v>0</v>
      </c>
      <c r="Q330" s="4">
        <f>IFERROR(__xludf.DUMMYFUNCTION("""COMPUTED_VALUE"""),0.0)</f>
        <v>0</v>
      </c>
      <c r="R330" s="4">
        <f>IFERROR(__xludf.DUMMYFUNCTION("""COMPUTED_VALUE"""),1150.0)</f>
        <v>1150</v>
      </c>
      <c r="S330" s="4">
        <f>IFERROR(__xludf.DUMMYFUNCTION("""COMPUTED_VALUE"""),950.0)</f>
        <v>950</v>
      </c>
      <c r="T330" s="1" t="str">
        <f>IFERROR(__xludf.DUMMYFUNCTION("""COMPUTED_VALUE"""),"NINGUNO")</f>
        <v>NINGUNO</v>
      </c>
      <c r="U330" s="1" t="str">
        <f>IFERROR(__xludf.DUMMYFUNCTION("""COMPUTED_VALUE"""),"RODRIGO")</f>
        <v>RODRIGO</v>
      </c>
      <c r="V330" s="1" t="str">
        <f>IFERROR(__xludf.DUMMYFUNCTION("""COMPUTED_VALUE"""),"Ninguno")</f>
        <v>Ninguno</v>
      </c>
      <c r="W330" s="1" t="str">
        <f>IFERROR(__xludf.DUMMYFUNCTION("""COMPUTED_VALUE"""),"Malla curricular")</f>
        <v>Malla curricular</v>
      </c>
      <c r="X330" s="1"/>
      <c r="Y330" s="1" t="str">
        <f>IFERROR(__xludf.DUMMYFUNCTION("""COMPUTED_VALUE"""),"PAGO COMPLETO")</f>
        <v>PAGO COMPLETO</v>
      </c>
      <c r="Z330" s="1"/>
      <c r="AA330" s="1"/>
      <c r="AB330" s="1">
        <f>IFERROR(__xludf.DUMMYFUNCTION("""COMPUTED_VALUE"""),0.0)</f>
        <v>0</v>
      </c>
      <c r="AC330" s="1">
        <f>IFERROR(__xludf.DUMMYFUNCTION("""COMPUTED_VALUE"""),0.0)</f>
        <v>0</v>
      </c>
      <c r="AD330" s="1" t="str">
        <f>IFERROR(__xludf.DUMMYFUNCTION("""COMPUTED_VALUE"""),"Fiorella Lanegra")</f>
        <v>Fiorella Lanegra</v>
      </c>
      <c r="AE330" s="1" t="str">
        <f>IFERROR(__xludf.DUMMYFUNCTION("""COMPUTED_VALUE"""),"0")</f>
        <v>0</v>
      </c>
      <c r="AF330" s="1">
        <f>IFERROR(__xludf.DUMMYFUNCTION("""COMPUTED_VALUE"""),2023.0)</f>
        <v>2023</v>
      </c>
      <c r="AG330" s="1">
        <f>IFERROR(__xludf.DUMMYFUNCTION("""COMPUTED_VALUE"""),1138627.0)</f>
        <v>1138627</v>
      </c>
      <c r="AH330" s="1">
        <f>IFERROR(__xludf.DUMMYFUNCTION("""COMPUTED_VALUE"""),18.0)</f>
        <v>18</v>
      </c>
      <c r="AI330" s="1" t="str">
        <f>IFERROR(__xludf.DUMMYFUNCTION("""COMPUTED_VALUE"""),"0000408554")</f>
        <v>0000408554</v>
      </c>
      <c r="AJ330" s="1">
        <f>IFERROR(__xludf.DUMMYFUNCTION("""COMPUTED_VALUE"""),6.0862568E7)</f>
        <v>60862568</v>
      </c>
      <c r="AK330" s="1">
        <f>IFERROR(__xludf.DUMMYFUNCTION("""COMPUTED_VALUE"""),9.70214167E8)</f>
        <v>970214167</v>
      </c>
      <c r="AL330" s="1" t="str">
        <f>IFERROR(__xludf.DUMMYFUNCTION("""COMPUTED_VALUE"""),"valefezea@gmail.com")</f>
        <v>valefezea@gmail.com</v>
      </c>
      <c r="AM330" s="1" t="str">
        <f>IFERROR(__xludf.DUMMYFUNCTION("""COMPUTED_VALUE"""),"FEMENINO")</f>
        <v>FEMENINO</v>
      </c>
      <c r="AN330" s="1">
        <f>IFERROR(__xludf.DUMMYFUNCTION("""COMPUTED_VALUE"""),1775.0)</f>
        <v>1775</v>
      </c>
      <c r="AO330" s="1">
        <f>IFERROR(__xludf.DUMMYFUNCTION("""COMPUTED_VALUE"""),310.0)</f>
        <v>310</v>
      </c>
      <c r="AP330" s="1" t="str">
        <f>IFERROR(__xludf.DUMMYFUNCTION("""COMPUTED_VALUE"""),"BIDIRECCIONAL")</f>
        <v>BIDIRECCIONAL</v>
      </c>
      <c r="AQ330" s="1" t="str">
        <f>IFERROR(__xludf.DUMMYFUNCTION("""COMPUTED_VALUE"""),"ORGANICO")</f>
        <v>ORGANICO</v>
      </c>
      <c r="AR330" s="1" t="str">
        <f>IFERROR(__xludf.DUMMYFUNCTION("""COMPUTED_VALUE"""),"NUEVO")</f>
        <v>NUEVO</v>
      </c>
      <c r="AS330" s="1"/>
      <c r="AT330" s="2">
        <f>IFERROR(__xludf.DUMMYFUNCTION("""COMPUTED_VALUE"""),45667.0)</f>
        <v>45667</v>
      </c>
      <c r="AU330" s="1">
        <f>IFERROR(__xludf.DUMMYFUNCTION("""COMPUTED_VALUE"""),1.0)</f>
        <v>1</v>
      </c>
      <c r="AV330" s="1" t="str">
        <f>IFERROR(__xludf.DUMMYFUNCTION("""COMPUTED_VALUE"""),"NUEVO")</f>
        <v>NUEVO</v>
      </c>
      <c r="AW330" s="1" t="str">
        <f>IFERROR(__xludf.DUMMYFUNCTION("""COMPUTED_VALUE"""),"SI")</f>
        <v>SI</v>
      </c>
      <c r="AX330" s="1"/>
      <c r="AY330" s="1" t="str">
        <f>IFERROR(__xludf.DUMMYFUNCTION("""COMPUTED_VALUE"""),"PAGO COMPLETO")</f>
        <v>PAGO COMPLETO</v>
      </c>
      <c r="AZ330" s="5">
        <f>IFERROR(__xludf.DUMMYFUNCTION("""COMPUTED_VALUE"""),45667.0)</f>
        <v>45667</v>
      </c>
      <c r="BA330" s="1">
        <f>IFERROR(__xludf.DUMMYFUNCTION("""COMPUTED_VALUE"""),0.0)</f>
        <v>0</v>
      </c>
      <c r="BB330" s="1">
        <f>IFERROR(__xludf.DUMMYFUNCTION("""COMPUTED_VALUE"""),0.0)</f>
        <v>0</v>
      </c>
      <c r="BC330" s="4">
        <f>IFERROR(__xludf.DUMMYFUNCTION("""COMPUTED_VALUE"""),0.0)</f>
        <v>0</v>
      </c>
      <c r="BD330" s="4">
        <f>IFERROR(__xludf.DUMMYFUNCTION("""COMPUTED_VALUE"""),0.0)</f>
        <v>0</v>
      </c>
      <c r="BE330" s="1">
        <f>IFERROR(__xludf.DUMMYFUNCTION("""COMPUTED_VALUE"""),1.0)</f>
        <v>1</v>
      </c>
      <c r="BF330" s="6">
        <f>IFERROR(__xludf.DUMMYFUNCTION("""COMPUTED_VALUE"""),1.0)</f>
        <v>1</v>
      </c>
      <c r="BG330" s="1">
        <f>IFERROR(__xludf.DUMMYFUNCTION("""COMPUTED_VALUE"""),1.0)</f>
        <v>1</v>
      </c>
      <c r="BH330" s="1" t="str">
        <f>IFERROR(__xludf.DUMMYFUNCTION("""COMPUTED_VALUE"""),"0")</f>
        <v>0</v>
      </c>
      <c r="BI330" s="4">
        <f>IFERROR(__xludf.DUMMYFUNCTION("""COMPUTED_VALUE"""),0.0)</f>
        <v>0</v>
      </c>
      <c r="BJ330" s="1">
        <f>IFERROR(__xludf.DUMMYFUNCTION("""COMPUTED_VALUE"""),0.0)</f>
        <v>0</v>
      </c>
      <c r="BK330" s="4">
        <f>IFERROR(__xludf.DUMMYFUNCTION("""COMPUTED_VALUE"""),0.0)</f>
        <v>0</v>
      </c>
      <c r="BL330" s="1">
        <f>IFERROR(__xludf.DUMMYFUNCTION("""COMPUTED_VALUE"""),950.0)</f>
        <v>950</v>
      </c>
      <c r="BM330" s="1">
        <f>IFERROR(__xludf.DUMMYFUNCTION("""COMPUTED_VALUE"""),2.0)</f>
        <v>2</v>
      </c>
      <c r="BN330" s="2">
        <f>IFERROR(__xludf.DUMMYFUNCTION("""COMPUTED_VALUE"""),45663.0)</f>
        <v>45663</v>
      </c>
      <c r="BO330" s="1">
        <f>IFERROR(__xludf.DUMMYFUNCTION("""COMPUTED_VALUE"""),1.0)</f>
        <v>1</v>
      </c>
      <c r="BP330" s="1">
        <f>IFERROR(__xludf.DUMMYFUNCTION("""COMPUTED_VALUE"""),2025.0)</f>
        <v>2025</v>
      </c>
    </row>
    <row r="331">
      <c r="A331" s="1">
        <f>IFERROR(__xludf.DUMMYFUNCTION("""COMPUTED_VALUE"""),330.0)</f>
        <v>330</v>
      </c>
      <c r="B331" s="1">
        <f>IFERROR(__xludf.DUMMYFUNCTION("""COMPUTED_VALUE"""),1941187.0)</f>
        <v>1941187</v>
      </c>
      <c r="C331" s="1" t="str">
        <f>IFERROR(__xludf.DUMMYFUNCTION("""COMPUTED_VALUE"""),"2025-1")</f>
        <v>2025-1</v>
      </c>
      <c r="D331" s="1" t="str">
        <f>IFERROR(__xludf.DUMMYFUNCTION("""COMPUTED_VALUE"""),"Admisión de Alto Rendimiento")</f>
        <v>Admisión de Alto Rendimiento</v>
      </c>
      <c r="E331" s="2">
        <f>IFERROR(__xludf.DUMMYFUNCTION("""COMPUTED_VALUE"""),45667.0)</f>
        <v>45667</v>
      </c>
      <c r="F331" s="1" t="str">
        <f>IFERROR(__xludf.DUMMYFUNCTION("""COMPUTED_VALUE"""),"NATALY LIZBETH")</f>
        <v>NATALY LIZBETH</v>
      </c>
      <c r="G331" s="1" t="str">
        <f>IFERROR(__xludf.DUMMYFUNCTION("""COMPUTED_VALUE"""),"CABALLERO ARIMANA")</f>
        <v>CABALLERO ARIMANA</v>
      </c>
      <c r="H331" s="1" t="str">
        <f>IFERROR(__xludf.DUMMYFUNCTION("""COMPUTED_VALUE"""),"Comunicación Audiovisual y Cine")</f>
        <v>Comunicación Audiovisual y Cine</v>
      </c>
      <c r="I331" s="1" t="str">
        <f>IFERROR(__xludf.DUMMYFUNCTION("""COMPUTED_VALUE"""),"CARGO")</f>
        <v>CARGO</v>
      </c>
      <c r="J331" s="1" t="str">
        <f>IFERROR(__xludf.DUMMYFUNCTION("""COMPUTED_VALUE"""),"Diurno")</f>
        <v>Diurno</v>
      </c>
      <c r="K331" s="1" t="str">
        <f>IFERROR(__xludf.DUMMYFUNCTION("""COMPUTED_VALUE"""),"NUEVO")</f>
        <v>NUEVO</v>
      </c>
      <c r="L331" s="1">
        <f>IFERROR(__xludf.DUMMYFUNCTION("""COMPUTED_VALUE"""),0.0)</f>
        <v>0</v>
      </c>
      <c r="M331" s="1">
        <f>IFERROR(__xludf.DUMMYFUNCTION("""COMPUTED_VALUE"""),0.0)</f>
        <v>0</v>
      </c>
      <c r="N331" s="1" t="str">
        <f>IFERROR(__xludf.DUMMYFUNCTION("""COMPUTED_VALUE"""),"ESCALA REGULAR")</f>
        <v>ESCALA REGULAR</v>
      </c>
      <c r="O331" s="1" t="str">
        <f>IFERROR(__xludf.DUMMYFUNCTION("""COMPUTED_VALUE"""),"NINGUNO")</f>
        <v>NINGUNO</v>
      </c>
      <c r="P331" s="4">
        <f>IFERROR(__xludf.DUMMYFUNCTION("""COMPUTED_VALUE"""),0.0)</f>
        <v>0</v>
      </c>
      <c r="Q331" s="4">
        <f>IFERROR(__xludf.DUMMYFUNCTION("""COMPUTED_VALUE"""),0.0)</f>
        <v>0</v>
      </c>
      <c r="R331" s="4">
        <f>IFERROR(__xludf.DUMMYFUNCTION("""COMPUTED_VALUE"""),1250.0)</f>
        <v>1250</v>
      </c>
      <c r="S331" s="4">
        <f>IFERROR(__xludf.DUMMYFUNCTION("""COMPUTED_VALUE"""),1250.0)</f>
        <v>1250</v>
      </c>
      <c r="T331" s="1" t="str">
        <f>IFERROR(__xludf.DUMMYFUNCTION("""COMPUTED_VALUE"""),"NINGUNO")</f>
        <v>NINGUNO</v>
      </c>
      <c r="U331" s="1"/>
      <c r="V331" s="1"/>
      <c r="W331" s="1" t="str">
        <f>IFERROR(__xludf.DUMMYFUNCTION("""COMPUTED_VALUE"""),"Malla curricular")</f>
        <v>Malla curricular</v>
      </c>
      <c r="X331" s="1"/>
      <c r="Y331" s="1" t="str">
        <f>IFERROR(__xludf.DUMMYFUNCTION("""COMPUTED_VALUE"""),"PAGO COMPLETO")</f>
        <v>PAGO COMPLETO</v>
      </c>
      <c r="Z331" s="1"/>
      <c r="AA331" s="1"/>
      <c r="AB331" s="1">
        <f>IFERROR(__xludf.DUMMYFUNCTION("""COMPUTED_VALUE"""),0.0)</f>
        <v>0</v>
      </c>
      <c r="AC331" s="1">
        <f>IFERROR(__xludf.DUMMYFUNCTION("""COMPUTED_VALUE"""),0.0)</f>
        <v>0</v>
      </c>
      <c r="AD331" s="1" t="str">
        <f>IFERROR(__xludf.DUMMYFUNCTION("""COMPUTED_VALUE"""),"Stefano Napuri")</f>
        <v>Stefano Napuri</v>
      </c>
      <c r="AE331" s="1" t="str">
        <f>IFERROR(__xludf.DUMMYFUNCTION("""COMPUTED_VALUE"""),"0")</f>
        <v>0</v>
      </c>
      <c r="AF331" s="1">
        <f>IFERROR(__xludf.DUMMYFUNCTION("""COMPUTED_VALUE"""),2024.0)</f>
        <v>2024</v>
      </c>
      <c r="AG331" s="1">
        <f>IFERROR(__xludf.DUMMYFUNCTION("""COMPUTED_VALUE"""),1474832.0)</f>
        <v>1474832</v>
      </c>
      <c r="AH331" s="1">
        <f>IFERROR(__xludf.DUMMYFUNCTION("""COMPUTED_VALUE"""),18.0)</f>
        <v>18</v>
      </c>
      <c r="AI331" s="1" t="str">
        <f>IFERROR(__xludf.DUMMYFUNCTION("""COMPUTED_VALUE"""),"0000408543")</f>
        <v>0000408543</v>
      </c>
      <c r="AJ331" s="1">
        <f>IFERROR(__xludf.DUMMYFUNCTION("""COMPUTED_VALUE"""),6.121533E7)</f>
        <v>61215330</v>
      </c>
      <c r="AK331" s="1">
        <f>IFERROR(__xludf.DUMMYFUNCTION("""COMPUTED_VALUE"""),9.96323445E8)</f>
        <v>996323445</v>
      </c>
      <c r="AL331" s="1" t="str">
        <f>IFERROR(__xludf.DUMMYFUNCTION("""COMPUTED_VALUE"""),"natalycaballero1010@gmail.com")</f>
        <v>natalycaballero1010@gmail.com</v>
      </c>
      <c r="AM331" s="1" t="str">
        <f>IFERROR(__xludf.DUMMYFUNCTION("""COMPUTED_VALUE"""),"FEMENINO")</f>
        <v>FEMENINO</v>
      </c>
      <c r="AN331" s="1">
        <f>IFERROR(__xludf.DUMMYFUNCTION("""COMPUTED_VALUE"""),1775.0)</f>
        <v>1775</v>
      </c>
      <c r="AO331" s="1">
        <f>IFERROR(__xludf.DUMMYFUNCTION("""COMPUTED_VALUE"""),345.0)</f>
        <v>345</v>
      </c>
      <c r="AP331" s="1" t="str">
        <f>IFERROR(__xludf.DUMMYFUNCTION("""COMPUTED_VALUE"""),"BIDIRECCIONAL")</f>
        <v>BIDIRECCIONAL</v>
      </c>
      <c r="AQ331" s="1" t="str">
        <f>IFERROR(__xludf.DUMMYFUNCTION("""COMPUTED_VALUE"""),"SEARCH MARCA")</f>
        <v>SEARCH MARCA</v>
      </c>
      <c r="AR331" s="1" t="str">
        <f>IFERROR(__xludf.DUMMYFUNCTION("""COMPUTED_VALUE"""),"HEREDADO")</f>
        <v>HEREDADO</v>
      </c>
      <c r="AS331" s="1" t="str">
        <f>IFERROR(__xludf.DUMMYFUNCTION("""COMPUTED_VALUE"""),"ucal-pg-performance-sedes-abierta-cpl-search_conversion_marca-20240401")</f>
        <v>ucal-pg-performance-sedes-abierta-cpl-search_conversion_marca-20240401</v>
      </c>
      <c r="AT331" s="2">
        <f>IFERROR(__xludf.DUMMYFUNCTION("""COMPUTED_VALUE"""),45559.0)</f>
        <v>45559</v>
      </c>
      <c r="AU331" s="1">
        <f>IFERROR(__xludf.DUMMYFUNCTION("""COMPUTED_VALUE"""),1.0)</f>
        <v>1</v>
      </c>
      <c r="AV331" s="1" t="str">
        <f>IFERROR(__xludf.DUMMYFUNCTION("""COMPUTED_VALUE"""),"NUEVO")</f>
        <v>NUEVO</v>
      </c>
      <c r="AW331" s="1" t="str">
        <f>IFERROR(__xludf.DUMMYFUNCTION("""COMPUTED_VALUE"""),"SI")</f>
        <v>SI</v>
      </c>
      <c r="AX331" s="1"/>
      <c r="AY331" s="1" t="str">
        <f>IFERROR(__xludf.DUMMYFUNCTION("""COMPUTED_VALUE"""),"PAGO COMPLETO")</f>
        <v>PAGO COMPLETO</v>
      </c>
      <c r="AZ331" s="5">
        <f>IFERROR(__xludf.DUMMYFUNCTION("""COMPUTED_VALUE"""),45667.0)</f>
        <v>45667</v>
      </c>
      <c r="BA331" s="1">
        <f>IFERROR(__xludf.DUMMYFUNCTION("""COMPUTED_VALUE"""),0.0)</f>
        <v>0</v>
      </c>
      <c r="BB331" s="1">
        <f>IFERROR(__xludf.DUMMYFUNCTION("""COMPUTED_VALUE"""),0.0)</f>
        <v>0</v>
      </c>
      <c r="BC331" s="4">
        <f>IFERROR(__xludf.DUMMYFUNCTION("""COMPUTED_VALUE"""),0.0)</f>
        <v>0</v>
      </c>
      <c r="BD331" s="4">
        <f>IFERROR(__xludf.DUMMYFUNCTION("""COMPUTED_VALUE"""),0.0)</f>
        <v>0</v>
      </c>
      <c r="BE331" s="1">
        <f>IFERROR(__xludf.DUMMYFUNCTION("""COMPUTED_VALUE"""),1.0)</f>
        <v>1</v>
      </c>
      <c r="BF331" s="6">
        <f>IFERROR(__xludf.DUMMYFUNCTION("""COMPUTED_VALUE"""),1.0)</f>
        <v>1</v>
      </c>
      <c r="BG331" s="1">
        <f>IFERROR(__xludf.DUMMYFUNCTION("""COMPUTED_VALUE"""),1.0)</f>
        <v>1</v>
      </c>
      <c r="BH331" s="1" t="str">
        <f>IFERROR(__xludf.DUMMYFUNCTION("""COMPUTED_VALUE"""),"0")</f>
        <v>0</v>
      </c>
      <c r="BI331" s="4">
        <f>IFERROR(__xludf.DUMMYFUNCTION("""COMPUTED_VALUE"""),0.0)</f>
        <v>0</v>
      </c>
      <c r="BJ331" s="1">
        <f>IFERROR(__xludf.DUMMYFUNCTION("""COMPUTED_VALUE"""),0.0)</f>
        <v>0</v>
      </c>
      <c r="BK331" s="4">
        <f>IFERROR(__xludf.DUMMYFUNCTION("""COMPUTED_VALUE"""),0.0)</f>
        <v>0</v>
      </c>
      <c r="BL331" s="1">
        <f>IFERROR(__xludf.DUMMYFUNCTION("""COMPUTED_VALUE"""),1250.0)</f>
        <v>1250</v>
      </c>
      <c r="BM331" s="1">
        <f>IFERROR(__xludf.DUMMYFUNCTION("""COMPUTED_VALUE"""),2.0)</f>
        <v>2</v>
      </c>
      <c r="BN331" s="2">
        <f>IFERROR(__xludf.DUMMYFUNCTION("""COMPUTED_VALUE"""),45663.0)</f>
        <v>45663</v>
      </c>
      <c r="BO331" s="1">
        <f>IFERROR(__xludf.DUMMYFUNCTION("""COMPUTED_VALUE"""),1.0)</f>
        <v>1</v>
      </c>
      <c r="BP331" s="1">
        <f>IFERROR(__xludf.DUMMYFUNCTION("""COMPUTED_VALUE"""),2025.0)</f>
        <v>2025</v>
      </c>
    </row>
    <row r="332">
      <c r="A332" s="1">
        <f>IFERROR(__xludf.DUMMYFUNCTION("""COMPUTED_VALUE"""),331.0)</f>
        <v>331</v>
      </c>
      <c r="B332" s="1">
        <f>IFERROR(__xludf.DUMMYFUNCTION("""COMPUTED_VALUE"""),2504995.0)</f>
        <v>2504995</v>
      </c>
      <c r="C332" s="1" t="str">
        <f>IFERROR(__xludf.DUMMYFUNCTION("""COMPUTED_VALUE"""),"2025-1")</f>
        <v>2025-1</v>
      </c>
      <c r="D332" s="1" t="str">
        <f>IFERROR(__xludf.DUMMYFUNCTION("""COMPUTED_VALUE"""),"Admisión Ordinaria")</f>
        <v>Admisión Ordinaria</v>
      </c>
      <c r="E332" s="2">
        <f>IFERROR(__xludf.DUMMYFUNCTION("""COMPUTED_VALUE"""),45667.0)</f>
        <v>45667</v>
      </c>
      <c r="F332" s="1" t="str">
        <f>IFERROR(__xludf.DUMMYFUNCTION("""COMPUTED_VALUE"""),"MARIAFERNANDA ")</f>
        <v>MARIAFERNANDA </v>
      </c>
      <c r="G332" s="1" t="str">
        <f>IFERROR(__xludf.DUMMYFUNCTION("""COMPUTED_VALUE"""),"MEGO PEÑAFIEL")</f>
        <v>MEGO PEÑAFIEL</v>
      </c>
      <c r="H332" s="1" t="str">
        <f>IFERROR(__xludf.DUMMYFUNCTION("""COMPUTED_VALUE"""),"Arquitectura de Interiores")</f>
        <v>Arquitectura de Interiores</v>
      </c>
      <c r="I332" s="1" t="str">
        <f>IFERROR(__xludf.DUMMYFUNCTION("""COMPUTED_VALUE"""),"CARGO")</f>
        <v>CARGO</v>
      </c>
      <c r="J332" s="1" t="str">
        <f>IFERROR(__xludf.DUMMYFUNCTION("""COMPUTED_VALUE"""),"Diurno")</f>
        <v>Diurno</v>
      </c>
      <c r="K332" s="1" t="str">
        <f>IFERROR(__xludf.DUMMYFUNCTION("""COMPUTED_VALUE"""),"NUEVO")</f>
        <v>NUEVO</v>
      </c>
      <c r="L332" s="1">
        <f>IFERROR(__xludf.DUMMYFUNCTION("""COMPUTED_VALUE"""),0.0)</f>
        <v>0</v>
      </c>
      <c r="M332" s="1">
        <f>IFERROR(__xludf.DUMMYFUNCTION("""COMPUTED_VALUE"""),0.0)</f>
        <v>0</v>
      </c>
      <c r="N332" s="1" t="str">
        <f>IFERROR(__xludf.DUMMYFUNCTION("""COMPUTED_VALUE"""),"BECA")</f>
        <v>BECA</v>
      </c>
      <c r="O332" s="1" t="str">
        <f>IFERROR(__xludf.DUMMYFUNCTION("""COMPUTED_VALUE"""),"BECA CONGELADA DE 2 AÑOS")</f>
        <v>BECA CONGELADA DE 2 AÑOS</v>
      </c>
      <c r="P332" s="4">
        <f>IFERROR(__xludf.DUMMYFUNCTION("""COMPUTED_VALUE"""),0.0)</f>
        <v>0</v>
      </c>
      <c r="Q332" s="4">
        <f>IFERROR(__xludf.DUMMYFUNCTION("""COMPUTED_VALUE"""),0.0)</f>
        <v>0</v>
      </c>
      <c r="R332" s="4">
        <f>IFERROR(__xludf.DUMMYFUNCTION("""COMPUTED_VALUE"""),1075.0)</f>
        <v>1075</v>
      </c>
      <c r="S332" s="4">
        <f>IFERROR(__xludf.DUMMYFUNCTION("""COMPUTED_VALUE"""),500.0)</f>
        <v>500</v>
      </c>
      <c r="T332" s="1" t="str">
        <f>IFERROR(__xludf.DUMMYFUNCTION("""COMPUTED_VALUE"""),"NINGUNO")</f>
        <v>NINGUNO</v>
      </c>
      <c r="U332" s="1" t="str">
        <f>IFERROR(__xludf.DUMMYFUNCTION("""COMPUTED_VALUE"""),"FABIOLA")</f>
        <v>FABIOLA</v>
      </c>
      <c r="V332" s="1" t="str">
        <f>IFERROR(__xludf.DUMMYFUNCTION("""COMPUTED_VALUE"""),"Ninguno")</f>
        <v>Ninguno</v>
      </c>
      <c r="W332" s="1" t="str">
        <f>IFERROR(__xludf.DUMMYFUNCTION("""COMPUTED_VALUE"""),"Metodología de enseñanza")</f>
        <v>Metodología de enseñanza</v>
      </c>
      <c r="X332" s="1"/>
      <c r="Y332" s="1" t="str">
        <f>IFERROR(__xludf.DUMMYFUNCTION("""COMPUTED_VALUE"""),"PAGO COMPLETO")</f>
        <v>PAGO COMPLETO</v>
      </c>
      <c r="Z332" s="1"/>
      <c r="AA332" s="1"/>
      <c r="AB332" s="1">
        <f>IFERROR(__xludf.DUMMYFUNCTION("""COMPUTED_VALUE"""),0.0)</f>
        <v>0</v>
      </c>
      <c r="AC332" s="1">
        <f>IFERROR(__xludf.DUMMYFUNCTION("""COMPUTED_VALUE"""),0.0)</f>
        <v>0</v>
      </c>
      <c r="AD332" s="1" t="str">
        <f>IFERROR(__xludf.DUMMYFUNCTION("""COMPUTED_VALUE"""),"Angelica Iparraguirre")</f>
        <v>Angelica Iparraguirre</v>
      </c>
      <c r="AE332" s="1" t="str">
        <f>IFERROR(__xludf.DUMMYFUNCTION("""COMPUTED_VALUE"""),"0")</f>
        <v>0</v>
      </c>
      <c r="AF332" s="1">
        <f>IFERROR(__xludf.DUMMYFUNCTION("""COMPUTED_VALUE"""),2020.0)</f>
        <v>2020</v>
      </c>
      <c r="AG332" s="1">
        <f>IFERROR(__xludf.DUMMYFUNCTION("""COMPUTED_VALUE"""),343517.0)</f>
        <v>343517</v>
      </c>
      <c r="AH332" s="1">
        <f>IFERROR(__xludf.DUMMYFUNCTION("""COMPUTED_VALUE"""),21.0)</f>
        <v>21</v>
      </c>
      <c r="AI332" s="1" t="str">
        <f>IFERROR(__xludf.DUMMYFUNCTION("""COMPUTED_VALUE"""),"0000066325")</f>
        <v>0000066325</v>
      </c>
      <c r="AJ332" s="1">
        <f>IFERROR(__xludf.DUMMYFUNCTION("""COMPUTED_VALUE"""),7.628302E7)</f>
        <v>76283020</v>
      </c>
      <c r="AK332" s="1">
        <f>IFERROR(__xludf.DUMMYFUNCTION("""COMPUTED_VALUE"""),9.01761928E8)</f>
        <v>901761928</v>
      </c>
      <c r="AL332" s="1" t="str">
        <f>IFERROR(__xludf.DUMMYFUNCTION("""COMPUTED_VALUE"""),"megomafer@hotmail.com")</f>
        <v>megomafer@hotmail.com</v>
      </c>
      <c r="AM332" s="1" t="str">
        <f>IFERROR(__xludf.DUMMYFUNCTION("""COMPUTED_VALUE"""),"FEMENINO")</f>
        <v>FEMENINO</v>
      </c>
      <c r="AN332" s="1">
        <f>IFERROR(__xludf.DUMMYFUNCTION("""COMPUTED_VALUE"""),2425.0)</f>
        <v>2425</v>
      </c>
      <c r="AO332" s="1">
        <f>IFERROR(__xludf.DUMMYFUNCTION("""COMPUTED_VALUE"""),1100.0)</f>
        <v>1100</v>
      </c>
      <c r="AP332" s="1" t="str">
        <f>IFERROR(__xludf.DUMMYFUNCTION("""COMPUTED_VALUE"""),"BIDIRECCIONAL")</f>
        <v>BIDIRECCIONAL</v>
      </c>
      <c r="AQ332" s="1" t="str">
        <f>IFERROR(__xludf.DUMMYFUNCTION("""COMPUTED_VALUE"""),"SEARCH MARCA")</f>
        <v>SEARCH MARCA</v>
      </c>
      <c r="AR332" s="1" t="str">
        <f>IFERROR(__xludf.DUMMYFUNCTION("""COMPUTED_VALUE"""),"HEREDADO")</f>
        <v>HEREDADO</v>
      </c>
      <c r="AS332" s="1" t="str">
        <f>IFERROR(__xludf.DUMMYFUNCTION("""COMPUTED_VALUE"""),"ucal-pg-performance-sedes-abierta-cpl-search_conversion_marca-20240401")</f>
        <v>ucal-pg-performance-sedes-abierta-cpl-search_conversion_marca-20240401</v>
      </c>
      <c r="AT332" s="2">
        <f>IFERROR(__xludf.DUMMYFUNCTION("""COMPUTED_VALUE"""),45551.0)</f>
        <v>45551</v>
      </c>
      <c r="AU332" s="1">
        <f>IFERROR(__xludf.DUMMYFUNCTION("""COMPUTED_VALUE"""),1.0)</f>
        <v>1</v>
      </c>
      <c r="AV332" s="1" t="str">
        <f>IFERROR(__xludf.DUMMYFUNCTION("""COMPUTED_VALUE"""),"NUEVO")</f>
        <v>NUEVO</v>
      </c>
      <c r="AW332" s="1" t="str">
        <f>IFERROR(__xludf.DUMMYFUNCTION("""COMPUTED_VALUE"""),"SI")</f>
        <v>SI</v>
      </c>
      <c r="AX332" s="1"/>
      <c r="AY332" s="1" t="str">
        <f>IFERROR(__xludf.DUMMYFUNCTION("""COMPUTED_VALUE"""),"PAGO COMPLETO")</f>
        <v>PAGO COMPLETO</v>
      </c>
      <c r="AZ332" s="5">
        <f>IFERROR(__xludf.DUMMYFUNCTION("""COMPUTED_VALUE"""),45667.0)</f>
        <v>45667</v>
      </c>
      <c r="BA332" s="1">
        <f>IFERROR(__xludf.DUMMYFUNCTION("""COMPUTED_VALUE"""),0.0)</f>
        <v>0</v>
      </c>
      <c r="BB332" s="1">
        <f>IFERROR(__xludf.DUMMYFUNCTION("""COMPUTED_VALUE"""),0.0)</f>
        <v>0</v>
      </c>
      <c r="BC332" s="4">
        <f>IFERROR(__xludf.DUMMYFUNCTION("""COMPUTED_VALUE"""),0.0)</f>
        <v>0</v>
      </c>
      <c r="BD332" s="4">
        <f>IFERROR(__xludf.DUMMYFUNCTION("""COMPUTED_VALUE"""),0.0)</f>
        <v>0</v>
      </c>
      <c r="BE332" s="1">
        <f>IFERROR(__xludf.DUMMYFUNCTION("""COMPUTED_VALUE"""),1.0)</f>
        <v>1</v>
      </c>
      <c r="BF332" s="6">
        <f>IFERROR(__xludf.DUMMYFUNCTION("""COMPUTED_VALUE"""),1.0)</f>
        <v>1</v>
      </c>
      <c r="BG332" s="1">
        <f>IFERROR(__xludf.DUMMYFUNCTION("""COMPUTED_VALUE"""),1.0)</f>
        <v>1</v>
      </c>
      <c r="BH332" s="1" t="str">
        <f>IFERROR(__xludf.DUMMYFUNCTION("""COMPUTED_VALUE"""),"0")</f>
        <v>0</v>
      </c>
      <c r="BI332" s="4">
        <f>IFERROR(__xludf.DUMMYFUNCTION("""COMPUTED_VALUE"""),0.0)</f>
        <v>0</v>
      </c>
      <c r="BJ332" s="1">
        <f>IFERROR(__xludf.DUMMYFUNCTION("""COMPUTED_VALUE"""),0.0)</f>
        <v>0</v>
      </c>
      <c r="BK332" s="4">
        <f>IFERROR(__xludf.DUMMYFUNCTION("""COMPUTED_VALUE"""),0.0)</f>
        <v>0</v>
      </c>
      <c r="BL332" s="1">
        <f>IFERROR(__xludf.DUMMYFUNCTION("""COMPUTED_VALUE"""),500.0)</f>
        <v>500</v>
      </c>
      <c r="BM332" s="1">
        <f>IFERROR(__xludf.DUMMYFUNCTION("""COMPUTED_VALUE"""),2.0)</f>
        <v>2</v>
      </c>
      <c r="BN332" s="2">
        <f>IFERROR(__xludf.DUMMYFUNCTION("""COMPUTED_VALUE"""),45663.0)</f>
        <v>45663</v>
      </c>
      <c r="BO332" s="1">
        <f>IFERROR(__xludf.DUMMYFUNCTION("""COMPUTED_VALUE"""),1.0)</f>
        <v>1</v>
      </c>
      <c r="BP332" s="1">
        <f>IFERROR(__xludf.DUMMYFUNCTION("""COMPUTED_VALUE"""),2025.0)</f>
        <v>2025</v>
      </c>
    </row>
    <row r="333">
      <c r="A333" s="1">
        <f>IFERROR(__xludf.DUMMYFUNCTION("""COMPUTED_VALUE"""),332.0)</f>
        <v>332</v>
      </c>
      <c r="B333" s="1">
        <f>IFERROR(__xludf.DUMMYFUNCTION("""COMPUTED_VALUE"""),1213310.0)</f>
        <v>1213310</v>
      </c>
      <c r="C333" s="1" t="str">
        <f>IFERROR(__xludf.DUMMYFUNCTION("""COMPUTED_VALUE"""),"2025-1")</f>
        <v>2025-1</v>
      </c>
      <c r="D333" s="1" t="str">
        <f>IFERROR(__xludf.DUMMYFUNCTION("""COMPUTED_VALUE"""),"Admisión Extraordinaria (Traslados)")</f>
        <v>Admisión Extraordinaria (Traslados)</v>
      </c>
      <c r="E333" s="2">
        <f>IFERROR(__xludf.DUMMYFUNCTION("""COMPUTED_VALUE"""),45667.0)</f>
        <v>45667</v>
      </c>
      <c r="F333" s="1" t="str">
        <f>IFERROR(__xludf.DUMMYFUNCTION("""COMPUTED_VALUE"""),"ARIANA CAMILA ")</f>
        <v>ARIANA CAMILA </v>
      </c>
      <c r="G333" s="1" t="str">
        <f>IFERROR(__xludf.DUMMYFUNCTION("""COMPUTED_VALUE"""),"CORREA TORRES")</f>
        <v>CORREA TORRES</v>
      </c>
      <c r="H333" s="1" t="str">
        <f>IFERROR(__xludf.DUMMYFUNCTION("""COMPUTED_VALUE"""),"Arquitectura de Interiores")</f>
        <v>Arquitectura de Interiores</v>
      </c>
      <c r="I333" s="1" t="str">
        <f>IFERROR(__xludf.DUMMYFUNCTION("""COMPUTED_VALUE"""),"Pago Link")</f>
        <v>Pago Link</v>
      </c>
      <c r="J333" s="1" t="str">
        <f>IFERROR(__xludf.DUMMYFUNCTION("""COMPUTED_VALUE"""),"Diurno")</f>
        <v>Diurno</v>
      </c>
      <c r="K333" s="1" t="str">
        <f>IFERROR(__xludf.DUMMYFUNCTION("""COMPUTED_VALUE"""),"TRASLADO")</f>
        <v>TRASLADO</v>
      </c>
      <c r="L333" s="1">
        <f>IFERROR(__xludf.DUMMYFUNCTION("""COMPUTED_VALUE"""),1.0)</f>
        <v>1</v>
      </c>
      <c r="M333" s="1">
        <f>IFERROR(__xludf.DUMMYFUNCTION("""COMPUTED_VALUE"""),0.0)</f>
        <v>0</v>
      </c>
      <c r="N333" s="1" t="str">
        <f>IFERROR(__xludf.DUMMYFUNCTION("""COMPUTED_VALUE"""),"RECA")</f>
        <v>RECA</v>
      </c>
      <c r="O333" s="1" t="str">
        <f>IFERROR(__xludf.DUMMYFUNCTION("""COMPUTED_VALUE"""),"RECA TRASLADO CON CONVA")</f>
        <v>RECA TRASLADO CON CONVA</v>
      </c>
      <c r="P333" s="4">
        <f>IFERROR(__xludf.DUMMYFUNCTION("""COMPUTED_VALUE"""),0.0)</f>
        <v>0</v>
      </c>
      <c r="Q333" s="4">
        <f>IFERROR(__xludf.DUMMYFUNCTION("""COMPUTED_VALUE"""),0.0)</f>
        <v>0</v>
      </c>
      <c r="R333" s="4">
        <f>IFERROR(__xludf.DUMMYFUNCTION("""COMPUTED_VALUE"""),950.0)</f>
        <v>950</v>
      </c>
      <c r="S333" s="4">
        <f>IFERROR(__xludf.DUMMYFUNCTION("""COMPUTED_VALUE"""),760.0)</f>
        <v>760</v>
      </c>
      <c r="T333" s="1" t="str">
        <f>IFERROR(__xludf.DUMMYFUNCTION("""COMPUTED_VALUE"""),"NINGUNO")</f>
        <v>NINGUNO</v>
      </c>
      <c r="U333" s="1" t="str">
        <f>IFERROR(__xludf.DUMMYFUNCTION("""COMPUTED_VALUE"""),"FABIOLA")</f>
        <v>FABIOLA</v>
      </c>
      <c r="V333" s="1" t="str">
        <f>IFERROR(__xludf.DUMMYFUNCTION("""COMPUTED_VALUE"""),"Ninguno")</f>
        <v>Ninguno</v>
      </c>
      <c r="W333" s="1" t="str">
        <f>IFERROR(__xludf.DUMMYFUNCTION("""COMPUTED_VALUE"""),"Metodología de enseñanza")</f>
        <v>Metodología de enseñanza</v>
      </c>
      <c r="X333" s="1" t="str">
        <f>IFERROR(__xludf.DUMMYFUNCTION("""COMPUTED_VALUE"""),"metodologia")</f>
        <v>metodologia</v>
      </c>
      <c r="Y333" s="1" t="str">
        <f>IFERROR(__xludf.DUMMYFUNCTION("""COMPUTED_VALUE"""),"PAGO FRACCIONADO")</f>
        <v>PAGO FRACCIONADO</v>
      </c>
      <c r="Z333" s="1">
        <f>IFERROR(__xludf.DUMMYFUNCTION("""COMPUTED_VALUE"""),380.0)</f>
        <v>380</v>
      </c>
      <c r="AA333" s="1" t="str">
        <f>IFERROR(__xludf.DUMMYFUNCTION("""COMPUTED_VALUE"""),"29/01/2025")</f>
        <v>29/01/2025</v>
      </c>
      <c r="AB333" s="1">
        <f>IFERROR(__xludf.DUMMYFUNCTION("""COMPUTED_VALUE"""),0.0)</f>
        <v>0</v>
      </c>
      <c r="AC333" s="1">
        <f>IFERROR(__xludf.DUMMYFUNCTION("""COMPUTED_VALUE"""),0.0)</f>
        <v>0</v>
      </c>
      <c r="AD333" s="1" t="str">
        <f>IFERROR(__xludf.DUMMYFUNCTION("""COMPUTED_VALUE"""),"Cinthia Mariella Orosco")</f>
        <v>Cinthia Mariella Orosco</v>
      </c>
      <c r="AE333" s="1" t="str">
        <f>IFERROR(__xludf.DUMMYFUNCTION("""COMPUTED_VALUE"""),"Instituto de Educación Superior Tecnológico Privado Toulouse Lautrec")</f>
        <v>Instituto de Educación Superior Tecnológico Privado Toulouse Lautrec</v>
      </c>
      <c r="AF333" s="1">
        <f>IFERROR(__xludf.DUMMYFUNCTION("""COMPUTED_VALUE"""),2021.0)</f>
        <v>2021</v>
      </c>
      <c r="AG333" s="1">
        <f>IFERROR(__xludf.DUMMYFUNCTION("""COMPUTED_VALUE"""),540682.0)</f>
        <v>540682</v>
      </c>
      <c r="AH333" s="1">
        <f>IFERROR(__xludf.DUMMYFUNCTION("""COMPUTED_VALUE"""),21.0)</f>
        <v>21</v>
      </c>
      <c r="AI333" s="1" t="str">
        <f>IFERROR(__xludf.DUMMYFUNCTION("""COMPUTED_VALUE"""),"0000019048")</f>
        <v>0000019048</v>
      </c>
      <c r="AJ333" s="1">
        <f>IFERROR(__xludf.DUMMYFUNCTION("""COMPUTED_VALUE"""),7.1521243E7)</f>
        <v>71521243</v>
      </c>
      <c r="AK333" s="1">
        <f>IFERROR(__xludf.DUMMYFUNCTION("""COMPUTED_VALUE"""),9.36559562E8)</f>
        <v>936559562</v>
      </c>
      <c r="AL333" s="1" t="str">
        <f>IFERROR(__xludf.DUMMYFUNCTION("""COMPUTED_VALUE"""),"arianacorreatorres1934@gmail.com")</f>
        <v>arianacorreatorres1934@gmail.com</v>
      </c>
      <c r="AM333" s="1" t="str">
        <f>IFERROR(__xludf.DUMMYFUNCTION("""COMPUTED_VALUE"""),"FEMENINO")</f>
        <v>FEMENINO</v>
      </c>
      <c r="AN333" s="1">
        <f>IFERROR(__xludf.DUMMYFUNCTION("""COMPUTED_VALUE"""),1775.0)</f>
        <v>1775</v>
      </c>
      <c r="AO333" s="1">
        <f>IFERROR(__xludf.DUMMYFUNCTION("""COMPUTED_VALUE"""),380.0)</f>
        <v>380</v>
      </c>
      <c r="AP333" s="1" t="str">
        <f>IFERROR(__xludf.DUMMYFUNCTION("""COMPUTED_VALUE"""),"BIDIRECCIONAL")</f>
        <v>BIDIRECCIONAL</v>
      </c>
      <c r="AQ333" s="1" t="str">
        <f>IFERROR(__xludf.DUMMYFUNCTION("""COMPUTED_VALUE"""),"ORGANICO")</f>
        <v>ORGANICO</v>
      </c>
      <c r="AR333" s="1" t="str">
        <f>IFERROR(__xludf.DUMMYFUNCTION("""COMPUTED_VALUE"""),"HEREDADO")</f>
        <v>HEREDADO</v>
      </c>
      <c r="AS333" s="1"/>
      <c r="AT333" s="2">
        <f>IFERROR(__xludf.DUMMYFUNCTION("""COMPUTED_VALUE"""),45665.0)</f>
        <v>45665</v>
      </c>
      <c r="AU333" s="1">
        <f>IFERROR(__xludf.DUMMYFUNCTION("""COMPUTED_VALUE"""),1.0)</f>
        <v>1</v>
      </c>
      <c r="AV333" s="1" t="str">
        <f>IFERROR(__xludf.DUMMYFUNCTION("""COMPUTED_VALUE"""),"TRASLADO")</f>
        <v>TRASLADO</v>
      </c>
      <c r="AW333" s="1" t="str">
        <f>IFERROR(__xludf.DUMMYFUNCTION("""COMPUTED_VALUE"""),"SI")</f>
        <v>SI</v>
      </c>
      <c r="AX333" s="1"/>
      <c r="AY333" s="1" t="str">
        <f>IFERROR(__xludf.DUMMYFUNCTION("""COMPUTED_VALUE"""),"PAGO COMPLETO")</f>
        <v>PAGO COMPLETO</v>
      </c>
      <c r="AZ333" s="5">
        <f>IFERROR(__xludf.DUMMYFUNCTION("""COMPUTED_VALUE"""),45676.0)</f>
        <v>45676</v>
      </c>
      <c r="BA333" s="1">
        <f>IFERROR(__xludf.DUMMYFUNCTION("""COMPUTED_VALUE"""),380.0)</f>
        <v>380</v>
      </c>
      <c r="BB333" s="1">
        <f>IFERROR(__xludf.DUMMYFUNCTION("""COMPUTED_VALUE"""),0.0)</f>
        <v>0</v>
      </c>
      <c r="BC333" s="4">
        <f>IFERROR(__xludf.DUMMYFUNCTION("""COMPUTED_VALUE"""),0.0)</f>
        <v>0</v>
      </c>
      <c r="BD333" s="4">
        <f>IFERROR(__xludf.DUMMYFUNCTION("""COMPUTED_VALUE"""),0.0)</f>
        <v>0</v>
      </c>
      <c r="BE333" s="1">
        <f>IFERROR(__xludf.DUMMYFUNCTION("""COMPUTED_VALUE"""),1.0)</f>
        <v>1</v>
      </c>
      <c r="BF333" s="6">
        <f>IFERROR(__xludf.DUMMYFUNCTION("""COMPUTED_VALUE"""),1.0)</f>
        <v>1</v>
      </c>
      <c r="BG333" s="1">
        <f>IFERROR(__xludf.DUMMYFUNCTION("""COMPUTED_VALUE"""),1.0)</f>
        <v>1</v>
      </c>
      <c r="BH333" s="1" t="str">
        <f>IFERROR(__xludf.DUMMYFUNCTION("""COMPUTED_VALUE"""),"1")</f>
        <v>1</v>
      </c>
      <c r="BI333" s="4">
        <f>IFERROR(__xludf.DUMMYFUNCTION("""COMPUTED_VALUE"""),760.0)</f>
        <v>760</v>
      </c>
      <c r="BJ333" s="1">
        <f>IFERROR(__xludf.DUMMYFUNCTION("""COMPUTED_VALUE"""),0.0)</f>
        <v>0</v>
      </c>
      <c r="BK333" s="4">
        <f>IFERROR(__xludf.DUMMYFUNCTION("""COMPUTED_VALUE"""),0.0)</f>
        <v>0</v>
      </c>
      <c r="BL333" s="1">
        <f>IFERROR(__xludf.DUMMYFUNCTION("""COMPUTED_VALUE"""),760.0)</f>
        <v>760</v>
      </c>
      <c r="BM333" s="1">
        <f>IFERROR(__xludf.DUMMYFUNCTION("""COMPUTED_VALUE"""),2.0)</f>
        <v>2</v>
      </c>
      <c r="BN333" s="2">
        <f>IFERROR(__xludf.DUMMYFUNCTION("""COMPUTED_VALUE"""),45663.0)</f>
        <v>45663</v>
      </c>
      <c r="BO333" s="1">
        <f>IFERROR(__xludf.DUMMYFUNCTION("""COMPUTED_VALUE"""),1.0)</f>
        <v>1</v>
      </c>
      <c r="BP333" s="1">
        <f>IFERROR(__xludf.DUMMYFUNCTION("""COMPUTED_VALUE"""),2025.0)</f>
        <v>2025</v>
      </c>
    </row>
    <row r="334">
      <c r="A334" s="1">
        <f>IFERROR(__xludf.DUMMYFUNCTION("""COMPUTED_VALUE"""),333.0)</f>
        <v>333</v>
      </c>
      <c r="B334" s="1">
        <f>IFERROR(__xludf.DUMMYFUNCTION("""COMPUTED_VALUE"""),4933636.0)</f>
        <v>4933636</v>
      </c>
      <c r="C334" s="1" t="str">
        <f>IFERROR(__xludf.DUMMYFUNCTION("""COMPUTED_VALUE"""),"2025-1")</f>
        <v>2025-1</v>
      </c>
      <c r="D334" s="1" t="str">
        <f>IFERROR(__xludf.DUMMYFUNCTION("""COMPUTED_VALUE"""),"Admisión Ordinaria")</f>
        <v>Admisión Ordinaria</v>
      </c>
      <c r="E334" s="2">
        <f>IFERROR(__xludf.DUMMYFUNCTION("""COMPUTED_VALUE"""),45667.0)</f>
        <v>45667</v>
      </c>
      <c r="F334" s="1" t="str">
        <f>IFERROR(__xludf.DUMMYFUNCTION("""COMPUTED_VALUE"""),"JOSUE DANIEL ")</f>
        <v>JOSUE DANIEL </v>
      </c>
      <c r="G334" s="1" t="str">
        <f>IFERROR(__xludf.DUMMYFUNCTION("""COMPUTED_VALUE"""),"CRISANTO SILVA")</f>
        <v>CRISANTO SILVA</v>
      </c>
      <c r="H334" s="1" t="str">
        <f>IFERROR(__xludf.DUMMYFUNCTION("""COMPUTED_VALUE"""),"Arquitectura")</f>
        <v>Arquitectura</v>
      </c>
      <c r="I334" s="1" t="str">
        <f>IFERROR(__xludf.DUMMYFUNCTION("""COMPUTED_VALUE"""),"CARGO")</f>
        <v>CARGO</v>
      </c>
      <c r="J334" s="1" t="str">
        <f>IFERROR(__xludf.DUMMYFUNCTION("""COMPUTED_VALUE"""),"Diurno")</f>
        <v>Diurno</v>
      </c>
      <c r="K334" s="1" t="str">
        <f>IFERROR(__xludf.DUMMYFUNCTION("""COMPUTED_VALUE"""),"NUEVO")</f>
        <v>NUEVO</v>
      </c>
      <c r="L334" s="1">
        <f>IFERROR(__xludf.DUMMYFUNCTION("""COMPUTED_VALUE"""),0.0)</f>
        <v>0</v>
      </c>
      <c r="M334" s="1">
        <f>IFERROR(__xludf.DUMMYFUNCTION("""COMPUTED_VALUE"""),0.0)</f>
        <v>0</v>
      </c>
      <c r="N334" s="1" t="str">
        <f>IFERROR(__xludf.DUMMYFUNCTION("""COMPUTED_VALUE"""),"BECA")</f>
        <v>BECA</v>
      </c>
      <c r="O334" s="1" t="str">
        <f>IFERROR(__xludf.DUMMYFUNCTION("""COMPUTED_VALUE"""),"BECA CARRERAS CORE")</f>
        <v>BECA CARRERAS CORE</v>
      </c>
      <c r="P334" s="4">
        <f>IFERROR(__xludf.DUMMYFUNCTION("""COMPUTED_VALUE"""),0.0)</f>
        <v>0</v>
      </c>
      <c r="Q334" s="4">
        <f>IFERROR(__xludf.DUMMYFUNCTION("""COMPUTED_VALUE"""),0.0)</f>
        <v>0</v>
      </c>
      <c r="R334" s="4">
        <f>IFERROR(__xludf.DUMMYFUNCTION("""COMPUTED_VALUE"""),1150.0)</f>
        <v>1150</v>
      </c>
      <c r="S334" s="4">
        <f>IFERROR(__xludf.DUMMYFUNCTION("""COMPUTED_VALUE"""),950.0)</f>
        <v>950</v>
      </c>
      <c r="T334" s="1" t="str">
        <f>IFERROR(__xludf.DUMMYFUNCTION("""COMPUTED_VALUE"""),"Palanca 700 - Refirio")</f>
        <v>Palanca 700 - Refirio</v>
      </c>
      <c r="U334" s="1" t="str">
        <f>IFERROR(__xludf.DUMMYFUNCTION("""COMPUTED_VALUE"""),"FABIOLA")</f>
        <v>FABIOLA</v>
      </c>
      <c r="V334" s="1" t="str">
        <f>IFERROR(__xludf.DUMMYFUNCTION("""COMPUTED_VALUE"""),"Ninguno")</f>
        <v>Ninguno</v>
      </c>
      <c r="W334" s="1" t="str">
        <f>IFERROR(__xludf.DUMMYFUNCTION("""COMPUTED_VALUE"""),"Metodología de enseñanza")</f>
        <v>Metodología de enseñanza</v>
      </c>
      <c r="X334" s="1" t="str">
        <f>IFERROR(__xludf.DUMMYFUNCTION("""COMPUTED_VALUE"""),"metodologia")</f>
        <v>metodologia</v>
      </c>
      <c r="Y334" s="1" t="str">
        <f>IFERROR(__xludf.DUMMYFUNCTION("""COMPUTED_VALUE"""),"PAGO COMPLETO")</f>
        <v>PAGO COMPLETO</v>
      </c>
      <c r="Z334" s="1"/>
      <c r="AA334" s="1"/>
      <c r="AB334" s="1">
        <f>IFERROR(__xludf.DUMMYFUNCTION("""COMPUTED_VALUE"""),0.0)</f>
        <v>0</v>
      </c>
      <c r="AC334" s="1">
        <f>IFERROR(__xludf.DUMMYFUNCTION("""COMPUTED_VALUE"""),0.0)</f>
        <v>0</v>
      </c>
      <c r="AD334" s="1" t="str">
        <f>IFERROR(__xludf.DUMMYFUNCTION("""COMPUTED_VALUE"""),"Cinthia Mariella Orosco")</f>
        <v>Cinthia Mariella Orosco</v>
      </c>
      <c r="AE334" s="1" t="str">
        <f>IFERROR(__xludf.DUMMYFUNCTION("""COMPUTED_VALUE"""),"0")</f>
        <v>0</v>
      </c>
      <c r="AF334" s="1">
        <f>IFERROR(__xludf.DUMMYFUNCTION("""COMPUTED_VALUE"""),0.0)</f>
        <v>0</v>
      </c>
      <c r="AG334" s="1">
        <f>IFERROR(__xludf.DUMMYFUNCTION("""COMPUTED_VALUE"""),577866.0)</f>
        <v>577866</v>
      </c>
      <c r="AH334" s="1">
        <f>IFERROR(__xludf.DUMMYFUNCTION("""COMPUTED_VALUE"""),21.0)</f>
        <v>21</v>
      </c>
      <c r="AI334" s="1" t="str">
        <f>IFERROR(__xludf.DUMMYFUNCTION("""COMPUTED_VALUE"""),"0000408614")</f>
        <v>0000408614</v>
      </c>
      <c r="AJ334" s="1">
        <f>IFERROR(__xludf.DUMMYFUNCTION("""COMPUTED_VALUE"""),7.5021769E7)</f>
        <v>75021769</v>
      </c>
      <c r="AK334" s="1">
        <f>IFERROR(__xludf.DUMMYFUNCTION("""COMPUTED_VALUE"""),9.79470174E8)</f>
        <v>979470174</v>
      </c>
      <c r="AL334" s="1" t="str">
        <f>IFERROR(__xludf.DUMMYFUNCTION("""COMPUTED_VALUE"""),"josuedanielcrisantosilva10@gmail.com")</f>
        <v>josuedanielcrisantosilva10@gmail.com</v>
      </c>
      <c r="AM334" s="1" t="str">
        <f>IFERROR(__xludf.DUMMYFUNCTION("""COMPUTED_VALUE"""),"MASCULINO")</f>
        <v>MASCULINO</v>
      </c>
      <c r="AN334" s="1">
        <f>IFERROR(__xludf.DUMMYFUNCTION("""COMPUTED_VALUE"""),1350.0)</f>
        <v>1350</v>
      </c>
      <c r="AO334" s="1">
        <f>IFERROR(__xludf.DUMMYFUNCTION("""COMPUTED_VALUE"""),0.0)</f>
        <v>0</v>
      </c>
      <c r="AP334" s="1" t="str">
        <f>IFERROR(__xludf.DUMMYFUNCTION("""COMPUTED_VALUE"""),"OUTBOUND")</f>
        <v>OUTBOUND</v>
      </c>
      <c r="AQ334" s="1" t="str">
        <f>IFERROR(__xludf.DUMMYFUNCTION("""COMPUTED_VALUE"""),"OUTBOUND")</f>
        <v>OUTBOUND</v>
      </c>
      <c r="AR334" s="1" t="str">
        <f>IFERROR(__xludf.DUMMYFUNCTION("""COMPUTED_VALUE"""),"NUEVO")</f>
        <v>NUEVO</v>
      </c>
      <c r="AS334" s="1"/>
      <c r="AT334" s="2">
        <f>IFERROR(__xludf.DUMMYFUNCTION("""COMPUTED_VALUE"""),45666.0)</f>
        <v>45666</v>
      </c>
      <c r="AU334" s="1">
        <f>IFERROR(__xludf.DUMMYFUNCTION("""COMPUTED_VALUE"""),1.0)</f>
        <v>1</v>
      </c>
      <c r="AV334" s="1" t="str">
        <f>IFERROR(__xludf.DUMMYFUNCTION("""COMPUTED_VALUE"""),"NUEVO")</f>
        <v>NUEVO</v>
      </c>
      <c r="AW334" s="1" t="str">
        <f>IFERROR(__xludf.DUMMYFUNCTION("""COMPUTED_VALUE"""),"SI")</f>
        <v>SI</v>
      </c>
      <c r="AX334" s="1"/>
      <c r="AY334" s="1" t="str">
        <f>IFERROR(__xludf.DUMMYFUNCTION("""COMPUTED_VALUE"""),"PAGO COMPLETO")</f>
        <v>PAGO COMPLETO</v>
      </c>
      <c r="AZ334" s="5">
        <f>IFERROR(__xludf.DUMMYFUNCTION("""COMPUTED_VALUE"""),45667.0)</f>
        <v>45667</v>
      </c>
      <c r="BA334" s="1">
        <f>IFERROR(__xludf.DUMMYFUNCTION("""COMPUTED_VALUE"""),0.0)</f>
        <v>0</v>
      </c>
      <c r="BB334" s="1">
        <f>IFERROR(__xludf.DUMMYFUNCTION("""COMPUTED_VALUE"""),0.0)</f>
        <v>0</v>
      </c>
      <c r="BC334" s="4">
        <f>IFERROR(__xludf.DUMMYFUNCTION("""COMPUTED_VALUE"""),0.0)</f>
        <v>0</v>
      </c>
      <c r="BD334" s="4">
        <f>IFERROR(__xludf.DUMMYFUNCTION("""COMPUTED_VALUE"""),250.0)</f>
        <v>250</v>
      </c>
      <c r="BE334" s="1">
        <f>IFERROR(__xludf.DUMMYFUNCTION("""COMPUTED_VALUE"""),1.0)</f>
        <v>1</v>
      </c>
      <c r="BF334" s="6">
        <f>IFERROR(__xludf.DUMMYFUNCTION("""COMPUTED_VALUE"""),1.0)</f>
        <v>1</v>
      </c>
      <c r="BG334" s="1">
        <f>IFERROR(__xludf.DUMMYFUNCTION("""COMPUTED_VALUE"""),1.0)</f>
        <v>1</v>
      </c>
      <c r="BH334" s="1" t="str">
        <f>IFERROR(__xludf.DUMMYFUNCTION("""COMPUTED_VALUE"""),"0")</f>
        <v>0</v>
      </c>
      <c r="BI334" s="4">
        <f>IFERROR(__xludf.DUMMYFUNCTION("""COMPUTED_VALUE"""),250.0)</f>
        <v>250</v>
      </c>
      <c r="BJ334" s="1">
        <f>IFERROR(__xludf.DUMMYFUNCTION("""COMPUTED_VALUE"""),0.0)</f>
        <v>0</v>
      </c>
      <c r="BK334" s="4">
        <f>IFERROR(__xludf.DUMMYFUNCTION("""COMPUTED_VALUE"""),1200.0)</f>
        <v>1200</v>
      </c>
      <c r="BL334" s="1">
        <f>IFERROR(__xludf.DUMMYFUNCTION("""COMPUTED_VALUE"""),710.0)</f>
        <v>710</v>
      </c>
      <c r="BM334" s="1">
        <f>IFERROR(__xludf.DUMMYFUNCTION("""COMPUTED_VALUE"""),2.0)</f>
        <v>2</v>
      </c>
      <c r="BN334" s="2">
        <f>IFERROR(__xludf.DUMMYFUNCTION("""COMPUTED_VALUE"""),45663.0)</f>
        <v>45663</v>
      </c>
      <c r="BO334" s="1">
        <f>IFERROR(__xludf.DUMMYFUNCTION("""COMPUTED_VALUE"""),1.0)</f>
        <v>1</v>
      </c>
      <c r="BP334" s="1">
        <f>IFERROR(__xludf.DUMMYFUNCTION("""COMPUTED_VALUE"""),2025.0)</f>
        <v>2025</v>
      </c>
    </row>
    <row r="335">
      <c r="A335" s="1">
        <f>IFERROR(__xludf.DUMMYFUNCTION("""COMPUTED_VALUE"""),334.0)</f>
        <v>334</v>
      </c>
      <c r="B335" s="1">
        <f>IFERROR(__xludf.DUMMYFUNCTION("""COMPUTED_VALUE"""),2656946.0)</f>
        <v>2656946</v>
      </c>
      <c r="C335" s="1" t="str">
        <f>IFERROR(__xludf.DUMMYFUNCTION("""COMPUTED_VALUE"""),"2025-1")</f>
        <v>2025-1</v>
      </c>
      <c r="D335" s="1" t="str">
        <f>IFERROR(__xludf.DUMMYFUNCTION("""COMPUTED_VALUE"""),"Admisión de Alto Rendimiento")</f>
        <v>Admisión de Alto Rendimiento</v>
      </c>
      <c r="E335" s="2">
        <f>IFERROR(__xludf.DUMMYFUNCTION("""COMPUTED_VALUE"""),45668.0)</f>
        <v>45668</v>
      </c>
      <c r="F335" s="1" t="str">
        <f>IFERROR(__xludf.DUMMYFUNCTION("""COMPUTED_VALUE"""),"ALESHKA ALEXANDRA ")</f>
        <v>ALESHKA ALEXANDRA </v>
      </c>
      <c r="G335" s="1" t="str">
        <f>IFERROR(__xludf.DUMMYFUNCTION("""COMPUTED_VALUE"""),"SALAZAR CHAVEZ")</f>
        <v>SALAZAR CHAVEZ</v>
      </c>
      <c r="H335" s="1" t="str">
        <f>IFERROR(__xludf.DUMMYFUNCTION("""COMPUTED_VALUE"""),"Comunicación Audiovisual y Cine")</f>
        <v>Comunicación Audiovisual y Cine</v>
      </c>
      <c r="I335" s="1" t="str">
        <f>IFERROR(__xludf.DUMMYFUNCTION("""COMPUTED_VALUE"""),"POS")</f>
        <v>POS</v>
      </c>
      <c r="J335" s="1" t="str">
        <f>IFERROR(__xludf.DUMMYFUNCTION("""COMPUTED_VALUE"""),"Diurno")</f>
        <v>Diurno</v>
      </c>
      <c r="K335" s="1" t="str">
        <f>IFERROR(__xludf.DUMMYFUNCTION("""COMPUTED_VALUE"""),"NUEVO")</f>
        <v>NUEVO</v>
      </c>
      <c r="L335" s="1">
        <f>IFERROR(__xludf.DUMMYFUNCTION("""COMPUTED_VALUE"""),0.0)</f>
        <v>0</v>
      </c>
      <c r="M335" s="1">
        <f>IFERROR(__xludf.DUMMYFUNCTION("""COMPUTED_VALUE"""),0.0)</f>
        <v>0</v>
      </c>
      <c r="N335" s="1" t="str">
        <f>IFERROR(__xludf.DUMMYFUNCTION("""COMPUTED_VALUE"""),"BECA")</f>
        <v>BECA</v>
      </c>
      <c r="O335" s="1" t="str">
        <f>IFERROR(__xludf.DUMMYFUNCTION("""COMPUTED_VALUE"""),"BECA CONGELADA DE 2 AÑOS")</f>
        <v>BECA CONGELADA DE 2 AÑOS</v>
      </c>
      <c r="P335" s="4">
        <f>IFERROR(__xludf.DUMMYFUNCTION("""COMPUTED_VALUE"""),100.0)</f>
        <v>100</v>
      </c>
      <c r="Q335" s="4">
        <f>IFERROR(__xludf.DUMMYFUNCTION("""COMPUTED_VALUE"""),237.5)</f>
        <v>237.5</v>
      </c>
      <c r="R335" s="4">
        <f>IFERROR(__xludf.DUMMYFUNCTION("""COMPUTED_VALUE"""),1400.0)</f>
        <v>1400</v>
      </c>
      <c r="S335" s="4">
        <f>IFERROR(__xludf.DUMMYFUNCTION("""COMPUTED_VALUE"""),1150.0)</f>
        <v>1150</v>
      </c>
      <c r="T335" s="1" t="str">
        <f>IFERROR(__xludf.DUMMYFUNCTION("""COMPUTED_VALUE"""),"Visita Guiada")</f>
        <v>Visita Guiada</v>
      </c>
      <c r="U335" s="1" t="str">
        <f>IFERROR(__xludf.DUMMYFUNCTION("""COMPUTED_VALUE"""),"FABIOLA")</f>
        <v>FABIOLA</v>
      </c>
      <c r="V335" s="1" t="str">
        <f>IFERROR(__xludf.DUMMYFUNCTION("""COMPUTED_VALUE"""),"Ninguno")</f>
        <v>Ninguno</v>
      </c>
      <c r="W335" s="1" t="str">
        <f>IFERROR(__xludf.DUMMYFUNCTION("""COMPUTED_VALUE"""),"Equipos e instalaciones")</f>
        <v>Equipos e instalaciones</v>
      </c>
      <c r="X335" s="1"/>
      <c r="Y335" s="1" t="str">
        <f>IFERROR(__xludf.DUMMYFUNCTION("""COMPUTED_VALUE"""),"PAGO COMPLETO")</f>
        <v>PAGO COMPLETO</v>
      </c>
      <c r="Z335" s="1"/>
      <c r="AA335" s="1"/>
      <c r="AB335" s="1">
        <f>IFERROR(__xludf.DUMMYFUNCTION("""COMPUTED_VALUE"""),0.0)</f>
        <v>0</v>
      </c>
      <c r="AC335" s="1">
        <f>IFERROR(__xludf.DUMMYFUNCTION("""COMPUTED_VALUE"""),0.0)</f>
        <v>0</v>
      </c>
      <c r="AD335" s="1" t="str">
        <f>IFERROR(__xludf.DUMMYFUNCTION("""COMPUTED_VALUE"""),"Fiorella Lanegra")</f>
        <v>Fiorella Lanegra</v>
      </c>
      <c r="AE335" s="1" t="str">
        <f>IFERROR(__xludf.DUMMYFUNCTION("""COMPUTED_VALUE"""),"0")</f>
        <v>0</v>
      </c>
      <c r="AF335" s="1">
        <f>IFERROR(__xludf.DUMMYFUNCTION("""COMPUTED_VALUE"""),2024.0)</f>
        <v>2024</v>
      </c>
      <c r="AG335" s="1">
        <f>IFERROR(__xludf.DUMMYFUNCTION("""COMPUTED_VALUE"""),1087337.0)</f>
        <v>1087337</v>
      </c>
      <c r="AH335" s="1">
        <f>IFERROR(__xludf.DUMMYFUNCTION("""COMPUTED_VALUE"""),18.0)</f>
        <v>18</v>
      </c>
      <c r="AI335" s="1" t="str">
        <f>IFERROR(__xludf.DUMMYFUNCTION("""COMPUTED_VALUE"""),"0000408743")</f>
        <v>0000408743</v>
      </c>
      <c r="AJ335" s="1">
        <f>IFERROR(__xludf.DUMMYFUNCTION("""COMPUTED_VALUE"""),6.1137053E7)</f>
        <v>61137053</v>
      </c>
      <c r="AK335" s="1">
        <f>IFERROR(__xludf.DUMMYFUNCTION("""COMPUTED_VALUE"""),9.47179513E8)</f>
        <v>947179513</v>
      </c>
      <c r="AL335" s="1" t="str">
        <f>IFERROR(__xludf.DUMMYFUNCTION("""COMPUTED_VALUE"""),"aleshka_sc07@outlook.com")</f>
        <v>aleshka_sc07@outlook.com</v>
      </c>
      <c r="AM335" s="1" t="str">
        <f>IFERROR(__xludf.DUMMYFUNCTION("""COMPUTED_VALUE"""),"FEMENINO")</f>
        <v>FEMENINO</v>
      </c>
      <c r="AN335" s="1">
        <f>IFERROR(__xludf.DUMMYFUNCTION("""COMPUTED_VALUE"""),1775.0)</f>
        <v>1775</v>
      </c>
      <c r="AO335" s="1">
        <f>IFERROR(__xludf.DUMMYFUNCTION("""COMPUTED_VALUE"""),480.0)</f>
        <v>480</v>
      </c>
      <c r="AP335" s="1" t="str">
        <f>IFERROR(__xludf.DUMMYFUNCTION("""COMPUTED_VALUE"""),"COLEGIOS")</f>
        <v>COLEGIOS</v>
      </c>
      <c r="AQ335" s="1" t="str">
        <f>IFERROR(__xludf.DUMMYFUNCTION("""COMPUTED_VALUE"""),"COLEGIOS")</f>
        <v>COLEGIOS</v>
      </c>
      <c r="AR335" s="1" t="str">
        <f>IFERROR(__xludf.DUMMYFUNCTION("""COMPUTED_VALUE"""),"NUEVO")</f>
        <v>NUEVO</v>
      </c>
      <c r="AS335" s="1"/>
      <c r="AT335" s="2">
        <f>IFERROR(__xludf.DUMMYFUNCTION("""COMPUTED_VALUE"""),45385.0)</f>
        <v>45385</v>
      </c>
      <c r="AU335" s="1">
        <f>IFERROR(__xludf.DUMMYFUNCTION("""COMPUTED_VALUE"""),1.0)</f>
        <v>1</v>
      </c>
      <c r="AV335" s="1" t="str">
        <f>IFERROR(__xludf.DUMMYFUNCTION("""COMPUTED_VALUE"""),"NUEVO")</f>
        <v>NUEVO</v>
      </c>
      <c r="AW335" s="1" t="str">
        <f>IFERROR(__xludf.DUMMYFUNCTION("""COMPUTED_VALUE"""),"SI")</f>
        <v>SI</v>
      </c>
      <c r="AX335" s="1"/>
      <c r="AY335" s="1" t="str">
        <f>IFERROR(__xludf.DUMMYFUNCTION("""COMPUTED_VALUE"""),"PAGO COMPLETO")</f>
        <v>PAGO COMPLETO</v>
      </c>
      <c r="AZ335" s="5">
        <f>IFERROR(__xludf.DUMMYFUNCTION("""COMPUTED_VALUE"""),45668.0)</f>
        <v>45668</v>
      </c>
      <c r="BA335" s="1">
        <f>IFERROR(__xludf.DUMMYFUNCTION("""COMPUTED_VALUE"""),0.0)</f>
        <v>0</v>
      </c>
      <c r="BB335" s="1">
        <f>IFERROR(__xludf.DUMMYFUNCTION("""COMPUTED_VALUE"""),0.0)</f>
        <v>0</v>
      </c>
      <c r="BC335" s="4">
        <f>IFERROR(__xludf.DUMMYFUNCTION("""COMPUTED_VALUE"""),0.0)</f>
        <v>0</v>
      </c>
      <c r="BD335" s="4">
        <f>IFERROR(__xludf.DUMMYFUNCTION("""COMPUTED_VALUE"""),100.0)</f>
        <v>100</v>
      </c>
      <c r="BE335" s="1">
        <f>IFERROR(__xludf.DUMMYFUNCTION("""COMPUTED_VALUE"""),1.0)</f>
        <v>1</v>
      </c>
      <c r="BF335" s="6">
        <f>IFERROR(__xludf.DUMMYFUNCTION("""COMPUTED_VALUE"""),1.0)</f>
        <v>1</v>
      </c>
      <c r="BG335" s="1">
        <f>IFERROR(__xludf.DUMMYFUNCTION("""COMPUTED_VALUE"""),1.0)</f>
        <v>1</v>
      </c>
      <c r="BH335" s="1" t="str">
        <f>IFERROR(__xludf.DUMMYFUNCTION("""COMPUTED_VALUE"""),"0")</f>
        <v>0</v>
      </c>
      <c r="BI335" s="4">
        <f>IFERROR(__xludf.DUMMYFUNCTION("""COMPUTED_VALUE"""),100.0)</f>
        <v>100</v>
      </c>
      <c r="BJ335" s="1">
        <f>IFERROR(__xludf.DUMMYFUNCTION("""COMPUTED_VALUE"""),0.0)</f>
        <v>0</v>
      </c>
      <c r="BK335" s="4">
        <f>IFERROR(__xludf.DUMMYFUNCTION("""COMPUTED_VALUE"""),100.0)</f>
        <v>100</v>
      </c>
      <c r="BL335" s="1">
        <f>IFERROR(__xludf.DUMMYFUNCTION("""COMPUTED_VALUE"""),1130.0)</f>
        <v>1130</v>
      </c>
      <c r="BM335" s="1">
        <f>IFERROR(__xludf.DUMMYFUNCTION("""COMPUTED_VALUE"""),2.0)</f>
        <v>2</v>
      </c>
      <c r="BN335" s="2">
        <f>IFERROR(__xludf.DUMMYFUNCTION("""COMPUTED_VALUE"""),45663.0)</f>
        <v>45663</v>
      </c>
      <c r="BO335" s="1">
        <f>IFERROR(__xludf.DUMMYFUNCTION("""COMPUTED_VALUE"""),1.0)</f>
        <v>1</v>
      </c>
      <c r="BP335" s="1">
        <f>IFERROR(__xludf.DUMMYFUNCTION("""COMPUTED_VALUE"""),2025.0)</f>
        <v>2025</v>
      </c>
    </row>
    <row r="336">
      <c r="A336" s="1">
        <f>IFERROR(__xludf.DUMMYFUNCTION("""COMPUTED_VALUE"""),335.0)</f>
        <v>335</v>
      </c>
      <c r="B336" s="1">
        <f>IFERROR(__xludf.DUMMYFUNCTION("""COMPUTED_VALUE"""),4901077.0)</f>
        <v>4901077</v>
      </c>
      <c r="C336" s="1" t="str">
        <f>IFERROR(__xludf.DUMMYFUNCTION("""COMPUTED_VALUE"""),"2025-1")</f>
        <v>2025-1</v>
      </c>
      <c r="D336" s="1" t="str">
        <f>IFERROR(__xludf.DUMMYFUNCTION("""COMPUTED_VALUE"""),"Admisión Ordinaria")</f>
        <v>Admisión Ordinaria</v>
      </c>
      <c r="E336" s="2">
        <f>IFERROR(__xludf.DUMMYFUNCTION("""COMPUTED_VALUE"""),45668.0)</f>
        <v>45668</v>
      </c>
      <c r="F336" s="1" t="str">
        <f>IFERROR(__xludf.DUMMYFUNCTION("""COMPUTED_VALUE"""),"SEBASTIAN ALESSANDRO ")</f>
        <v>SEBASTIAN ALESSANDRO </v>
      </c>
      <c r="G336" s="1" t="str">
        <f>IFERROR(__xludf.DUMMYFUNCTION("""COMPUTED_VALUE"""),"SAEZ RENGIFO")</f>
        <v>SAEZ RENGIFO</v>
      </c>
      <c r="H336" s="1" t="str">
        <f>IFERROR(__xludf.DUMMYFUNCTION("""COMPUTED_VALUE"""),"Diseño Gráfico Publicitario")</f>
        <v>Diseño Gráfico Publicitario</v>
      </c>
      <c r="I336" s="1" t="str">
        <f>IFERROR(__xludf.DUMMYFUNCTION("""COMPUTED_VALUE"""),"CARGO")</f>
        <v>CARGO</v>
      </c>
      <c r="J336" s="1" t="str">
        <f>IFERROR(__xludf.DUMMYFUNCTION("""COMPUTED_VALUE"""),"Diurno")</f>
        <v>Diurno</v>
      </c>
      <c r="K336" s="1" t="str">
        <f>IFERROR(__xludf.DUMMYFUNCTION("""COMPUTED_VALUE"""),"NUEVO")</f>
        <v>NUEVO</v>
      </c>
      <c r="L336" s="1">
        <f>IFERROR(__xludf.DUMMYFUNCTION("""COMPUTED_VALUE"""),0.0)</f>
        <v>0</v>
      </c>
      <c r="M336" s="1">
        <f>IFERROR(__xludf.DUMMYFUNCTION("""COMPUTED_VALUE"""),0.0)</f>
        <v>0</v>
      </c>
      <c r="N336" s="1" t="str">
        <f>IFERROR(__xludf.DUMMYFUNCTION("""COMPUTED_VALUE"""),"BECA")</f>
        <v>BECA</v>
      </c>
      <c r="O336" s="1" t="str">
        <f>IFERROR(__xludf.DUMMYFUNCTION("""COMPUTED_VALUE"""),"BECA CONGELADA DE 2 AÑOS")</f>
        <v>BECA CONGELADA DE 2 AÑOS</v>
      </c>
      <c r="P336" s="4">
        <f>IFERROR(__xludf.DUMMYFUNCTION("""COMPUTED_VALUE"""),0.0)</f>
        <v>0</v>
      </c>
      <c r="Q336" s="4">
        <f>IFERROR(__xludf.DUMMYFUNCTION("""COMPUTED_VALUE"""),0.0)</f>
        <v>0</v>
      </c>
      <c r="R336" s="4">
        <f>IFERROR(__xludf.DUMMYFUNCTION("""COMPUTED_VALUE"""),1050.0)</f>
        <v>1050</v>
      </c>
      <c r="S336" s="4">
        <f>IFERROR(__xludf.DUMMYFUNCTION("""COMPUTED_VALUE"""),950.0)</f>
        <v>950</v>
      </c>
      <c r="T336" s="1" t="str">
        <f>IFERROR(__xludf.DUMMYFUNCTION("""COMPUTED_VALUE"""),"NINGUNO")</f>
        <v>NINGUNO</v>
      </c>
      <c r="U336" s="1"/>
      <c r="V336" s="1" t="str">
        <f>IFERROR(__xludf.DUMMYFUNCTION("""COMPUTED_VALUE"""),"Ninguno")</f>
        <v>Ninguno</v>
      </c>
      <c r="W336" s="1" t="str">
        <f>IFERROR(__xludf.DUMMYFUNCTION("""COMPUTED_VALUE"""),"Prestigio de la institución")</f>
        <v>Prestigio de la institución</v>
      </c>
      <c r="X336" s="1" t="str">
        <f>IFERROR(__xludf.DUMMYFUNCTION("""COMPUTED_VALUE"""),"BECA 2 AÑOS CONGELADO")</f>
        <v>BECA 2 AÑOS CONGELADO</v>
      </c>
      <c r="Y336" s="1" t="str">
        <f>IFERROR(__xludf.DUMMYFUNCTION("""COMPUTED_VALUE"""),"PAGO COMPLETO")</f>
        <v>PAGO COMPLETO</v>
      </c>
      <c r="Z336" s="1"/>
      <c r="AA336" s="1"/>
      <c r="AB336" s="1">
        <f>IFERROR(__xludf.DUMMYFUNCTION("""COMPUTED_VALUE"""),0.0)</f>
        <v>0</v>
      </c>
      <c r="AC336" s="1">
        <f>IFERROR(__xludf.DUMMYFUNCTION("""COMPUTED_VALUE"""),0.0)</f>
        <v>0</v>
      </c>
      <c r="AD336" s="1" t="str">
        <f>IFERROR(__xludf.DUMMYFUNCTION("""COMPUTED_VALUE"""),"Ingrid Guillermo Rivera")</f>
        <v>Ingrid Guillermo Rivera</v>
      </c>
      <c r="AE336" s="1" t="str">
        <f>IFERROR(__xludf.DUMMYFUNCTION("""COMPUTED_VALUE"""),"0")</f>
        <v>0</v>
      </c>
      <c r="AF336" s="1">
        <f>IFERROR(__xludf.DUMMYFUNCTION("""COMPUTED_VALUE"""),2023.0)</f>
        <v>2023</v>
      </c>
      <c r="AG336" s="1">
        <f>IFERROR(__xludf.DUMMYFUNCTION("""COMPUTED_VALUE"""),762104.0)</f>
        <v>762104</v>
      </c>
      <c r="AH336" s="1">
        <f>IFERROR(__xludf.DUMMYFUNCTION("""COMPUTED_VALUE"""),18.0)</f>
        <v>18</v>
      </c>
      <c r="AI336" s="1" t="str">
        <f>IFERROR(__xludf.DUMMYFUNCTION("""COMPUTED_VALUE"""),"0000408819")</f>
        <v>0000408819</v>
      </c>
      <c r="AJ336" s="1">
        <f>IFERROR(__xludf.DUMMYFUNCTION("""COMPUTED_VALUE"""),6.0946547E7)</f>
        <v>60946547</v>
      </c>
      <c r="AK336" s="1">
        <f>IFERROR(__xludf.DUMMYFUNCTION("""COMPUTED_VALUE"""),9.32452428E8)</f>
        <v>932452428</v>
      </c>
      <c r="AL336" s="1" t="str">
        <f>IFERROR(__xludf.DUMMYFUNCTION("""COMPUTED_VALUE"""),"SEBA.ALESS.SR@gmail.com")</f>
        <v>SEBA.ALESS.SR@gmail.com</v>
      </c>
      <c r="AM336" s="1" t="str">
        <f>IFERROR(__xludf.DUMMYFUNCTION("""COMPUTED_VALUE"""),"MASCULINO")</f>
        <v>MASCULINO</v>
      </c>
      <c r="AN336" s="1">
        <f>IFERROR(__xludf.DUMMYFUNCTION("""COMPUTED_VALUE"""),1525.0)</f>
        <v>1525</v>
      </c>
      <c r="AO336" s="1">
        <f>IFERROR(__xludf.DUMMYFUNCTION("""COMPUTED_VALUE"""),180.0)</f>
        <v>180</v>
      </c>
      <c r="AP336" s="1" t="str">
        <f>IFERROR(__xludf.DUMMYFUNCTION("""COMPUTED_VALUE"""),"FORMULARIO")</f>
        <v>FORMULARIO</v>
      </c>
      <c r="AQ336" s="1" t="str">
        <f>IFERROR(__xludf.DUMMYFUNCTION("""COMPUTED_VALUE"""),"SEARCH MARCA")</f>
        <v>SEARCH MARCA</v>
      </c>
      <c r="AR336" s="1" t="str">
        <f>IFERROR(__xludf.DUMMYFUNCTION("""COMPUTED_VALUE"""),"NUEVO")</f>
        <v>NUEVO</v>
      </c>
      <c r="AS336" s="1" t="str">
        <f>IFERROR(__xludf.DUMMYFUNCTION("""COMPUTED_VALUE"""),"ucal-pg-performance-sedes-abierta-cpl-search_conversion_marca-20240401")</f>
        <v>ucal-pg-performance-sedes-abierta-cpl-search_conversion_marca-20240401</v>
      </c>
      <c r="AT336" s="2">
        <f>IFERROR(__xludf.DUMMYFUNCTION("""COMPUTED_VALUE"""),45651.0)</f>
        <v>45651</v>
      </c>
      <c r="AU336" s="1">
        <f>IFERROR(__xludf.DUMMYFUNCTION("""COMPUTED_VALUE"""),1.0)</f>
        <v>1</v>
      </c>
      <c r="AV336" s="1" t="str">
        <f>IFERROR(__xludf.DUMMYFUNCTION("""COMPUTED_VALUE"""),"NUEVO")</f>
        <v>NUEVO</v>
      </c>
      <c r="AW336" s="1" t="str">
        <f>IFERROR(__xludf.DUMMYFUNCTION("""COMPUTED_VALUE"""),"SI")</f>
        <v>SI</v>
      </c>
      <c r="AX336" s="1"/>
      <c r="AY336" s="1" t="str">
        <f>IFERROR(__xludf.DUMMYFUNCTION("""COMPUTED_VALUE"""),"PAGO COMPLETO")</f>
        <v>PAGO COMPLETO</v>
      </c>
      <c r="AZ336" s="5">
        <f>IFERROR(__xludf.DUMMYFUNCTION("""COMPUTED_VALUE"""),45668.0)</f>
        <v>45668</v>
      </c>
      <c r="BA336" s="1">
        <f>IFERROR(__xludf.DUMMYFUNCTION("""COMPUTED_VALUE"""),0.0)</f>
        <v>0</v>
      </c>
      <c r="BB336" s="1">
        <f>IFERROR(__xludf.DUMMYFUNCTION("""COMPUTED_VALUE"""),0.0)</f>
        <v>0</v>
      </c>
      <c r="BC336" s="4">
        <f>IFERROR(__xludf.DUMMYFUNCTION("""COMPUTED_VALUE"""),0.0)</f>
        <v>0</v>
      </c>
      <c r="BD336" s="4">
        <f>IFERROR(__xludf.DUMMYFUNCTION("""COMPUTED_VALUE"""),0.0)</f>
        <v>0</v>
      </c>
      <c r="BE336" s="1">
        <f>IFERROR(__xludf.DUMMYFUNCTION("""COMPUTED_VALUE"""),1.0)</f>
        <v>1</v>
      </c>
      <c r="BF336" s="6">
        <f>IFERROR(__xludf.DUMMYFUNCTION("""COMPUTED_VALUE"""),1.0)</f>
        <v>1</v>
      </c>
      <c r="BG336" s="1">
        <f>IFERROR(__xludf.DUMMYFUNCTION("""COMPUTED_VALUE"""),1.0)</f>
        <v>1</v>
      </c>
      <c r="BH336" s="1" t="str">
        <f>IFERROR(__xludf.DUMMYFUNCTION("""COMPUTED_VALUE"""),"0")</f>
        <v>0</v>
      </c>
      <c r="BI336" s="4">
        <f>IFERROR(__xludf.DUMMYFUNCTION("""COMPUTED_VALUE"""),0.0)</f>
        <v>0</v>
      </c>
      <c r="BJ336" s="1">
        <f>IFERROR(__xludf.DUMMYFUNCTION("""COMPUTED_VALUE"""),0.0)</f>
        <v>0</v>
      </c>
      <c r="BK336" s="4">
        <f>IFERROR(__xludf.DUMMYFUNCTION("""COMPUTED_VALUE"""),0.0)</f>
        <v>0</v>
      </c>
      <c r="BL336" s="1">
        <f>IFERROR(__xludf.DUMMYFUNCTION("""COMPUTED_VALUE"""),950.0)</f>
        <v>950</v>
      </c>
      <c r="BM336" s="1">
        <f>IFERROR(__xludf.DUMMYFUNCTION("""COMPUTED_VALUE"""),2.0)</f>
        <v>2</v>
      </c>
      <c r="BN336" s="2">
        <f>IFERROR(__xludf.DUMMYFUNCTION("""COMPUTED_VALUE"""),45663.0)</f>
        <v>45663</v>
      </c>
      <c r="BO336" s="1">
        <f>IFERROR(__xludf.DUMMYFUNCTION("""COMPUTED_VALUE"""),1.0)</f>
        <v>1</v>
      </c>
      <c r="BP336" s="1">
        <f>IFERROR(__xludf.DUMMYFUNCTION("""COMPUTED_VALUE"""),2025.0)</f>
        <v>2025</v>
      </c>
    </row>
    <row r="337">
      <c r="A337" s="1">
        <f>IFERROR(__xludf.DUMMYFUNCTION("""COMPUTED_VALUE"""),336.0)</f>
        <v>336</v>
      </c>
      <c r="B337" s="1">
        <f>IFERROR(__xludf.DUMMYFUNCTION("""COMPUTED_VALUE"""),2508466.0)</f>
        <v>2508466</v>
      </c>
      <c r="C337" s="1" t="str">
        <f>IFERROR(__xludf.DUMMYFUNCTION("""COMPUTED_VALUE"""),"2025-1")</f>
        <v>2025-1</v>
      </c>
      <c r="D337" s="1" t="str">
        <f>IFERROR(__xludf.DUMMYFUNCTION("""COMPUTED_VALUE"""),"Admisión Ordinaria")</f>
        <v>Admisión Ordinaria</v>
      </c>
      <c r="E337" s="2">
        <f>IFERROR(__xludf.DUMMYFUNCTION("""COMPUTED_VALUE"""),45668.0)</f>
        <v>45668</v>
      </c>
      <c r="F337" s="1" t="str">
        <f>IFERROR(__xludf.DUMMYFUNCTION("""COMPUTED_VALUE"""),"ADONIS ")</f>
        <v>ADONIS </v>
      </c>
      <c r="G337" s="1" t="str">
        <f>IFERROR(__xludf.DUMMYFUNCTION("""COMPUTED_VALUE"""),"LLAJA SILVA ")</f>
        <v>LLAJA SILVA </v>
      </c>
      <c r="H337" s="1" t="str">
        <f>IFERROR(__xludf.DUMMYFUNCTION("""COMPUTED_VALUE"""),"Comunicación Audiovisual y Cine")</f>
        <v>Comunicación Audiovisual y Cine</v>
      </c>
      <c r="I337" s="1" t="str">
        <f>IFERROR(__xludf.DUMMYFUNCTION("""COMPUTED_VALUE"""),"Pago Link")</f>
        <v>Pago Link</v>
      </c>
      <c r="J337" s="1" t="str">
        <f>IFERROR(__xludf.DUMMYFUNCTION("""COMPUTED_VALUE"""),"Diurno")</f>
        <v>Diurno</v>
      </c>
      <c r="K337" s="1" t="str">
        <f>IFERROR(__xludf.DUMMYFUNCTION("""COMPUTED_VALUE"""),"NUEVO")</f>
        <v>NUEVO</v>
      </c>
      <c r="L337" s="1">
        <f>IFERROR(__xludf.DUMMYFUNCTION("""COMPUTED_VALUE"""),0.0)</f>
        <v>0</v>
      </c>
      <c r="M337" s="1">
        <f>IFERROR(__xludf.DUMMYFUNCTION("""COMPUTED_VALUE"""),0.0)</f>
        <v>0</v>
      </c>
      <c r="N337" s="1" t="str">
        <f>IFERROR(__xludf.DUMMYFUNCTION("""COMPUTED_VALUE"""),"BECA")</f>
        <v>BECA</v>
      </c>
      <c r="O337" s="1" t="str">
        <f>IFERROR(__xludf.DUMMYFUNCTION("""COMPUTED_VALUE"""),"BECA CARRERAS CORE")</f>
        <v>BECA CARRERAS CORE</v>
      </c>
      <c r="P337" s="4">
        <f>IFERROR(__xludf.DUMMYFUNCTION("""COMPUTED_VALUE"""),0.0)</f>
        <v>0</v>
      </c>
      <c r="Q337" s="4">
        <f>IFERROR(__xludf.DUMMYFUNCTION("""COMPUTED_VALUE"""),0.0)</f>
        <v>0</v>
      </c>
      <c r="R337" s="4">
        <f>IFERROR(__xludf.DUMMYFUNCTION("""COMPUTED_VALUE"""),1050.0)</f>
        <v>1050</v>
      </c>
      <c r="S337" s="4">
        <f>IFERROR(__xludf.DUMMYFUNCTION("""COMPUTED_VALUE"""),950.0)</f>
        <v>950</v>
      </c>
      <c r="T337" s="1" t="str">
        <f>IFERROR(__xludf.DUMMYFUNCTION("""COMPUTED_VALUE"""),"Visita guiada - refirio")</f>
        <v>Visita guiada - refirio</v>
      </c>
      <c r="U337" s="1" t="str">
        <f>IFERROR(__xludf.DUMMYFUNCTION("""COMPUTED_VALUE"""),"FABIOLA")</f>
        <v>FABIOLA</v>
      </c>
      <c r="V337" s="1" t="str">
        <f>IFERROR(__xludf.DUMMYFUNCTION("""COMPUTED_VALUE"""),"Ninguno")</f>
        <v>Ninguno</v>
      </c>
      <c r="W337" s="1" t="str">
        <f>IFERROR(__xludf.DUMMYFUNCTION("""COMPUTED_VALUE"""),"Ubicación de sede")</f>
        <v>Ubicación de sede</v>
      </c>
      <c r="X337" s="1" t="str">
        <f>IFERROR(__xludf.DUMMYFUNCTION("""COMPUTED_VALUE"""),"Le gusta cercania de la universidad ")</f>
        <v>Le gusta cercania de la universidad </v>
      </c>
      <c r="Y337" s="1" t="str">
        <f>IFERROR(__xludf.DUMMYFUNCTION("""COMPUTED_VALUE"""),"PAGO FRACCIONADO")</f>
        <v>PAGO FRACCIONADO</v>
      </c>
      <c r="Z337" s="1">
        <f>IFERROR(__xludf.DUMMYFUNCTION("""COMPUTED_VALUE"""),425.0)</f>
        <v>425</v>
      </c>
      <c r="AA337" s="1" t="str">
        <f>IFERROR(__xludf.DUMMYFUNCTION("""COMPUTED_VALUE"""),"17/01/2025")</f>
        <v>17/01/2025</v>
      </c>
      <c r="AB337" s="1">
        <f>IFERROR(__xludf.DUMMYFUNCTION("""COMPUTED_VALUE"""),0.0)</f>
        <v>0</v>
      </c>
      <c r="AC337" s="1">
        <f>IFERROR(__xludf.DUMMYFUNCTION("""COMPUTED_VALUE"""),0.0)</f>
        <v>0</v>
      </c>
      <c r="AD337" s="1" t="str">
        <f>IFERROR(__xludf.DUMMYFUNCTION("""COMPUTED_VALUE"""),"Daniel Zapata")</f>
        <v>Daniel Zapata</v>
      </c>
      <c r="AE337" s="1" t="str">
        <f>IFERROR(__xludf.DUMMYFUNCTION("""COMPUTED_VALUE"""),"0")</f>
        <v>0</v>
      </c>
      <c r="AF337" s="1">
        <f>IFERROR(__xludf.DUMMYFUNCTION("""COMPUTED_VALUE"""),2020.0)</f>
        <v>2020</v>
      </c>
      <c r="AG337" s="1">
        <f>IFERROR(__xludf.DUMMYFUNCTION("""COMPUTED_VALUE"""),642777.0)</f>
        <v>642777</v>
      </c>
      <c r="AH337" s="1">
        <f>IFERROR(__xludf.DUMMYFUNCTION("""COMPUTED_VALUE"""),30.0)</f>
        <v>30</v>
      </c>
      <c r="AI337" s="1" t="str">
        <f>IFERROR(__xludf.DUMMYFUNCTION("""COMPUTED_VALUE"""),"0000408718")</f>
        <v>0000408718</v>
      </c>
      <c r="AJ337" s="1">
        <f>IFERROR(__xludf.DUMMYFUNCTION("""COMPUTED_VALUE"""),7.4208039E7)</f>
        <v>74208039</v>
      </c>
      <c r="AK337" s="1">
        <f>IFERROR(__xludf.DUMMYFUNCTION("""COMPUTED_VALUE"""),9.23496634E8)</f>
        <v>923496634</v>
      </c>
      <c r="AL337" s="1" t="str">
        <f>IFERROR(__xludf.DUMMYFUNCTION("""COMPUTED_VALUE"""),"adonis.ll.s.als@gmail.com")</f>
        <v>adonis.ll.s.als@gmail.com</v>
      </c>
      <c r="AM337" s="1" t="str">
        <f>IFERROR(__xludf.DUMMYFUNCTION("""COMPUTED_VALUE"""),"MASCULINO")</f>
        <v>MASCULINO</v>
      </c>
      <c r="AN337" s="1">
        <f>IFERROR(__xludf.DUMMYFUNCTION("""COMPUTED_VALUE"""),1350.0)</f>
        <v>1350</v>
      </c>
      <c r="AO337" s="1">
        <f>IFERROR(__xludf.DUMMYFUNCTION("""COMPUTED_VALUE"""),0.0)</f>
        <v>0</v>
      </c>
      <c r="AP337" s="1" t="str">
        <f>IFERROR(__xludf.DUMMYFUNCTION("""COMPUTED_VALUE"""),"BIDIRECCIONAL")</f>
        <v>BIDIRECCIONAL</v>
      </c>
      <c r="AQ337" s="1" t="str">
        <f>IFERROR(__xludf.DUMMYFUNCTION("""COMPUTED_VALUE"""),"ORGANICO")</f>
        <v>ORGANICO</v>
      </c>
      <c r="AR337" s="1" t="str">
        <f>IFERROR(__xludf.DUMMYFUNCTION("""COMPUTED_VALUE"""),"NUEVO")</f>
        <v>NUEVO</v>
      </c>
      <c r="AS337" s="1"/>
      <c r="AT337" s="2">
        <f>IFERROR(__xludf.DUMMYFUNCTION("""COMPUTED_VALUE"""),45656.0)</f>
        <v>45656</v>
      </c>
      <c r="AU337" s="1">
        <f>IFERROR(__xludf.DUMMYFUNCTION("""COMPUTED_VALUE"""),1.0)</f>
        <v>1</v>
      </c>
      <c r="AV337" s="1" t="str">
        <f>IFERROR(__xludf.DUMMYFUNCTION("""COMPUTED_VALUE"""),"NUEVO")</f>
        <v>NUEVO</v>
      </c>
      <c r="AW337" s="1" t="str">
        <f>IFERROR(__xludf.DUMMYFUNCTION("""COMPUTED_VALUE"""),"SI")</f>
        <v>SI</v>
      </c>
      <c r="AX337" s="1"/>
      <c r="AY337" s="1" t="str">
        <f>IFERROR(__xludf.DUMMYFUNCTION("""COMPUTED_VALUE"""),"PAGO COMPLETO")</f>
        <v>PAGO COMPLETO</v>
      </c>
      <c r="AZ337" s="5">
        <f>IFERROR(__xludf.DUMMYFUNCTION("""COMPUTED_VALUE"""),45673.0)</f>
        <v>45673</v>
      </c>
      <c r="BA337" s="1">
        <f>IFERROR(__xludf.DUMMYFUNCTION("""COMPUTED_VALUE"""),425.0)</f>
        <v>425</v>
      </c>
      <c r="BB337" s="1">
        <f>IFERROR(__xludf.DUMMYFUNCTION("""COMPUTED_VALUE"""),0.0)</f>
        <v>0</v>
      </c>
      <c r="BC337" s="4">
        <f>IFERROR(__xludf.DUMMYFUNCTION("""COMPUTED_VALUE"""),0.0)</f>
        <v>0</v>
      </c>
      <c r="BD337" s="4">
        <f>IFERROR(__xludf.DUMMYFUNCTION("""COMPUTED_VALUE"""),100.0)</f>
        <v>100</v>
      </c>
      <c r="BE337" s="1">
        <f>IFERROR(__xludf.DUMMYFUNCTION("""COMPUTED_VALUE"""),1.0)</f>
        <v>1</v>
      </c>
      <c r="BF337" s="6">
        <f>IFERROR(__xludf.DUMMYFUNCTION("""COMPUTED_VALUE"""),1.0)</f>
        <v>1</v>
      </c>
      <c r="BG337" s="1">
        <f>IFERROR(__xludf.DUMMYFUNCTION("""COMPUTED_VALUE"""),1.0)</f>
        <v>1</v>
      </c>
      <c r="BH337" s="1" t="str">
        <f>IFERROR(__xludf.DUMMYFUNCTION("""COMPUTED_VALUE"""),"0")</f>
        <v>0</v>
      </c>
      <c r="BI337" s="4">
        <f>IFERROR(__xludf.DUMMYFUNCTION("""COMPUTED_VALUE"""),950.0)</f>
        <v>950</v>
      </c>
      <c r="BJ337" s="1">
        <f>IFERROR(__xludf.DUMMYFUNCTION("""COMPUTED_VALUE"""),0.0)</f>
        <v>0</v>
      </c>
      <c r="BK337" s="4">
        <f>IFERROR(__xludf.DUMMYFUNCTION("""COMPUTED_VALUE"""),1050.0)</f>
        <v>1050</v>
      </c>
      <c r="BL337" s="1">
        <f>IFERROR(__xludf.DUMMYFUNCTION("""COMPUTED_VALUE"""),740.0)</f>
        <v>740</v>
      </c>
      <c r="BM337" s="1">
        <f>IFERROR(__xludf.DUMMYFUNCTION("""COMPUTED_VALUE"""),2.0)</f>
        <v>2</v>
      </c>
      <c r="BN337" s="2">
        <f>IFERROR(__xludf.DUMMYFUNCTION("""COMPUTED_VALUE"""),45663.0)</f>
        <v>45663</v>
      </c>
      <c r="BO337" s="1">
        <f>IFERROR(__xludf.DUMMYFUNCTION("""COMPUTED_VALUE"""),1.0)</f>
        <v>1</v>
      </c>
      <c r="BP337" s="1">
        <f>IFERROR(__xludf.DUMMYFUNCTION("""COMPUTED_VALUE"""),2025.0)</f>
        <v>2025</v>
      </c>
    </row>
    <row r="338">
      <c r="A338" s="1">
        <f>IFERROR(__xludf.DUMMYFUNCTION("""COMPUTED_VALUE"""),337.0)</f>
        <v>337</v>
      </c>
      <c r="B338" s="1">
        <f>IFERROR(__xludf.DUMMYFUNCTION("""COMPUTED_VALUE"""),4528520.0)</f>
        <v>4528520</v>
      </c>
      <c r="C338" s="1" t="str">
        <f>IFERROR(__xludf.DUMMYFUNCTION("""COMPUTED_VALUE"""),"2025-1")</f>
        <v>2025-1</v>
      </c>
      <c r="D338" s="1" t="str">
        <f>IFERROR(__xludf.DUMMYFUNCTION("""COMPUTED_VALUE"""),"Admisión Ordinaria")</f>
        <v>Admisión Ordinaria</v>
      </c>
      <c r="E338" s="2">
        <f>IFERROR(__xludf.DUMMYFUNCTION("""COMPUTED_VALUE"""),45668.0)</f>
        <v>45668</v>
      </c>
      <c r="F338" s="1" t="str">
        <f>IFERROR(__xludf.DUMMYFUNCTION("""COMPUTED_VALUE"""),"BRAYAN BEDER")</f>
        <v>BRAYAN BEDER</v>
      </c>
      <c r="G338" s="1" t="str">
        <f>IFERROR(__xludf.DUMMYFUNCTION("""COMPUTED_VALUE"""),"PORTILLA LLIUYACC")</f>
        <v>PORTILLA LLIUYACC</v>
      </c>
      <c r="H338" s="1" t="str">
        <f>IFERROR(__xludf.DUMMYFUNCTION("""COMPUTED_VALUE"""),"Administración y Negocios Internacionales")</f>
        <v>Administración y Negocios Internacionales</v>
      </c>
      <c r="I338" s="1" t="str">
        <f>IFERROR(__xludf.DUMMYFUNCTION("""COMPUTED_VALUE"""),"Pago Link")</f>
        <v>Pago Link</v>
      </c>
      <c r="J338" s="1" t="str">
        <f>IFERROR(__xludf.DUMMYFUNCTION("""COMPUTED_VALUE"""),"Diurno")</f>
        <v>Diurno</v>
      </c>
      <c r="K338" s="1" t="str">
        <f>IFERROR(__xludf.DUMMYFUNCTION("""COMPUTED_VALUE"""),"TRASLADO")</f>
        <v>TRASLADO</v>
      </c>
      <c r="L338" s="1">
        <f>IFERROR(__xludf.DUMMYFUNCTION("""COMPUTED_VALUE"""),1.0)</f>
        <v>1</v>
      </c>
      <c r="M338" s="1">
        <f>IFERROR(__xludf.DUMMYFUNCTION("""COMPUTED_VALUE"""),0.0)</f>
        <v>0</v>
      </c>
      <c r="N338" s="1" t="str">
        <f>IFERROR(__xludf.DUMMYFUNCTION("""COMPUTED_VALUE"""),"ESCALA DISTANCIA")</f>
        <v>ESCALA DISTANCIA</v>
      </c>
      <c r="O338" s="1" t="str">
        <f>IFERROR(__xludf.DUMMYFUNCTION("""COMPUTED_VALUE"""),"ESCALA DISTANCIA TRASLADO")</f>
        <v>ESCALA DISTANCIA TRASLADO</v>
      </c>
      <c r="P338" s="4">
        <f>IFERROR(__xludf.DUMMYFUNCTION("""COMPUTED_VALUE"""),0.0)</f>
        <v>0</v>
      </c>
      <c r="Q338" s="4">
        <f>IFERROR(__xludf.DUMMYFUNCTION("""COMPUTED_VALUE"""),0.0)</f>
        <v>0</v>
      </c>
      <c r="R338" s="4">
        <f>IFERROR(__xludf.DUMMYFUNCTION("""COMPUTED_VALUE"""),700.0)</f>
        <v>700</v>
      </c>
      <c r="S338" s="4">
        <f>IFERROR(__xludf.DUMMYFUNCTION("""COMPUTED_VALUE"""),700.0)</f>
        <v>700</v>
      </c>
      <c r="T338" s="1" t="str">
        <f>IFERROR(__xludf.DUMMYFUNCTION("""COMPUTED_VALUE"""),"NINGUNO")</f>
        <v>NINGUNO</v>
      </c>
      <c r="U338" s="1" t="str">
        <f>IFERROR(__xludf.DUMMYFUNCTION("""COMPUTED_VALUE"""),"FABIOLA")</f>
        <v>FABIOLA</v>
      </c>
      <c r="V338" s="1" t="str">
        <f>IFERROR(__xludf.DUMMYFUNCTION("""COMPUTED_VALUE"""),"Ninguno")</f>
        <v>Ninguno</v>
      </c>
      <c r="W338" s="1" t="str">
        <f>IFERROR(__xludf.DUMMYFUNCTION("""COMPUTED_VALUE"""),"Metodología de enseñanza")</f>
        <v>Metodología de enseñanza</v>
      </c>
      <c r="X338" s="1" t="str">
        <f>IFERROR(__xludf.DUMMYFUNCTION("""COMPUTED_VALUE"""),"Convenio CERTUS")</f>
        <v>Convenio CERTUS</v>
      </c>
      <c r="Y338" s="1" t="str">
        <f>IFERROR(__xludf.DUMMYFUNCTION("""COMPUTED_VALUE"""),"PAGO COMPLETO")</f>
        <v>PAGO COMPLETO</v>
      </c>
      <c r="Z338" s="1"/>
      <c r="AA338" s="1"/>
      <c r="AB338" s="1">
        <f>IFERROR(__xludf.DUMMYFUNCTION("""COMPUTED_VALUE"""),1.0)</f>
        <v>1</v>
      </c>
      <c r="AC338" s="1">
        <f>IFERROR(__xludf.DUMMYFUNCTION("""COMPUTED_VALUE"""),1.0)</f>
        <v>1</v>
      </c>
      <c r="AD338" s="1" t="str">
        <f>IFERROR(__xludf.DUMMYFUNCTION("""COMPUTED_VALUE"""),"Daniel Zapata")</f>
        <v>Daniel Zapata</v>
      </c>
      <c r="AE338" s="1" t="str">
        <f>IFERROR(__xludf.DUMMYFUNCTION("""COMPUTED_VALUE"""),"0")</f>
        <v>0</v>
      </c>
      <c r="AF338" s="1">
        <f>IFERROR(__xludf.DUMMYFUNCTION("""COMPUTED_VALUE"""),2020.0)</f>
        <v>2020</v>
      </c>
      <c r="AG338" s="1">
        <f>IFERROR(__xludf.DUMMYFUNCTION("""COMPUTED_VALUE"""),555946.0)</f>
        <v>555946</v>
      </c>
      <c r="AH338" s="1">
        <f>IFERROR(__xludf.DUMMYFUNCTION("""COMPUTED_VALUE"""),29.0)</f>
        <v>29</v>
      </c>
      <c r="AI338" s="1" t="str">
        <f>IFERROR(__xludf.DUMMYFUNCTION("""COMPUTED_VALUE"""),"0000143152")</f>
        <v>0000143152</v>
      </c>
      <c r="AJ338" s="1">
        <f>IFERROR(__xludf.DUMMYFUNCTION("""COMPUTED_VALUE"""),7.3712827E7)</f>
        <v>73712827</v>
      </c>
      <c r="AK338" s="1">
        <f>IFERROR(__xludf.DUMMYFUNCTION("""COMPUTED_VALUE"""),9.33501433E8)</f>
        <v>933501433</v>
      </c>
      <c r="AL338" s="1" t="str">
        <f>IFERROR(__xludf.DUMMYFUNCTION("""COMPUTED_VALUE"""),"bederportilla@gmail.com")</f>
        <v>bederportilla@gmail.com</v>
      </c>
      <c r="AM338" s="1" t="str">
        <f>IFERROR(__xludf.DUMMYFUNCTION("""COMPUTED_VALUE"""),"MASCULINO")</f>
        <v>MASCULINO</v>
      </c>
      <c r="AN338" s="1">
        <f>IFERROR(__xludf.DUMMYFUNCTION("""COMPUTED_VALUE"""),0.0)</f>
        <v>0</v>
      </c>
      <c r="AO338" s="1">
        <f>IFERROR(__xludf.DUMMYFUNCTION("""COMPUTED_VALUE"""),0.0)</f>
        <v>0</v>
      </c>
      <c r="AP338" s="1" t="str">
        <f>IFERROR(__xludf.DUMMYFUNCTION("""COMPUTED_VALUE"""),"BIDIRECCIONAL")</f>
        <v>BIDIRECCIONAL</v>
      </c>
      <c r="AQ338" s="1" t="str">
        <f>IFERROR(__xludf.DUMMYFUNCTION("""COMPUTED_VALUE"""),"SEARCH MARCA")</f>
        <v>SEARCH MARCA</v>
      </c>
      <c r="AR338" s="1" t="str">
        <f>IFERROR(__xludf.DUMMYFUNCTION("""COMPUTED_VALUE"""),"NUEVO")</f>
        <v>NUEVO</v>
      </c>
      <c r="AS338" s="1" t="str">
        <f>IFERROR(__xludf.DUMMYFUNCTION("""COMPUTED_VALUE"""),"ucal-pg-performance-sedes-abierta-cpl-search_conversion_marca-20240401")</f>
        <v>ucal-pg-performance-sedes-abierta-cpl-search_conversion_marca-20240401</v>
      </c>
      <c r="AT338" s="2">
        <f>IFERROR(__xludf.DUMMYFUNCTION("""COMPUTED_VALUE"""),45667.0)</f>
        <v>45667</v>
      </c>
      <c r="AU338" s="1">
        <f>IFERROR(__xludf.DUMMYFUNCTION("""COMPUTED_VALUE"""),1.0)</f>
        <v>1</v>
      </c>
      <c r="AV338" s="1" t="str">
        <f>IFERROR(__xludf.DUMMYFUNCTION("""COMPUTED_VALUE"""),"TRASLADO")</f>
        <v>TRASLADO</v>
      </c>
      <c r="AW338" s="1" t="str">
        <f>IFERROR(__xludf.DUMMYFUNCTION("""COMPUTED_VALUE"""),"SI")</f>
        <v>SI</v>
      </c>
      <c r="AX338" s="1"/>
      <c r="AY338" s="1" t="str">
        <f>IFERROR(__xludf.DUMMYFUNCTION("""COMPUTED_VALUE"""),"PAGO COMPLETO")</f>
        <v>PAGO COMPLETO</v>
      </c>
      <c r="AZ338" s="5">
        <f>IFERROR(__xludf.DUMMYFUNCTION("""COMPUTED_VALUE"""),45668.0)</f>
        <v>45668</v>
      </c>
      <c r="BA338" s="1">
        <f>IFERROR(__xludf.DUMMYFUNCTION("""COMPUTED_VALUE"""),0.0)</f>
        <v>0</v>
      </c>
      <c r="BB338" s="1">
        <f>IFERROR(__xludf.DUMMYFUNCTION("""COMPUTED_VALUE"""),0.0)</f>
        <v>0</v>
      </c>
      <c r="BC338" s="4">
        <f>IFERROR(__xludf.DUMMYFUNCTION("""COMPUTED_VALUE"""),0.0)</f>
        <v>0</v>
      </c>
      <c r="BD338" s="4">
        <f>IFERROR(__xludf.DUMMYFUNCTION("""COMPUTED_VALUE"""),0.0)</f>
        <v>0</v>
      </c>
      <c r="BE338" s="1">
        <f>IFERROR(__xludf.DUMMYFUNCTION("""COMPUTED_VALUE"""),1.0)</f>
        <v>1</v>
      </c>
      <c r="BF338" s="6">
        <f>IFERROR(__xludf.DUMMYFUNCTION("""COMPUTED_VALUE"""),1.0)</f>
        <v>1</v>
      </c>
      <c r="BG338" s="1">
        <f>IFERROR(__xludf.DUMMYFUNCTION("""COMPUTED_VALUE"""),1.0)</f>
        <v>1</v>
      </c>
      <c r="BH338" s="1" t="str">
        <f>IFERROR(__xludf.DUMMYFUNCTION("""COMPUTED_VALUE"""),"1")</f>
        <v>1</v>
      </c>
      <c r="BI338" s="4">
        <f>IFERROR(__xludf.DUMMYFUNCTION("""COMPUTED_VALUE"""),0.0)</f>
        <v>0</v>
      </c>
      <c r="BJ338" s="1">
        <f>IFERROR(__xludf.DUMMYFUNCTION("""COMPUTED_VALUE"""),0.0)</f>
        <v>0</v>
      </c>
      <c r="BK338" s="4">
        <f>IFERROR(__xludf.DUMMYFUNCTION("""COMPUTED_VALUE"""),0.0)</f>
        <v>0</v>
      </c>
      <c r="BL338" s="1">
        <f>IFERROR(__xludf.DUMMYFUNCTION("""COMPUTED_VALUE"""),700.0)</f>
        <v>700</v>
      </c>
      <c r="BM338" s="1">
        <f>IFERROR(__xludf.DUMMYFUNCTION("""COMPUTED_VALUE"""),2.0)</f>
        <v>2</v>
      </c>
      <c r="BN338" s="2">
        <f>IFERROR(__xludf.DUMMYFUNCTION("""COMPUTED_VALUE"""),45663.0)</f>
        <v>45663</v>
      </c>
      <c r="BO338" s="1">
        <f>IFERROR(__xludf.DUMMYFUNCTION("""COMPUTED_VALUE"""),1.0)</f>
        <v>1</v>
      </c>
      <c r="BP338" s="1">
        <f>IFERROR(__xludf.DUMMYFUNCTION("""COMPUTED_VALUE"""),2025.0)</f>
        <v>2025</v>
      </c>
    </row>
    <row r="339">
      <c r="A339" s="1">
        <f>IFERROR(__xludf.DUMMYFUNCTION("""COMPUTED_VALUE"""),338.0)</f>
        <v>338</v>
      </c>
      <c r="B339" s="1">
        <f>IFERROR(__xludf.DUMMYFUNCTION("""COMPUTED_VALUE"""),4939040.0)</f>
        <v>4939040</v>
      </c>
      <c r="C339" s="1" t="str">
        <f>IFERROR(__xludf.DUMMYFUNCTION("""COMPUTED_VALUE"""),"2025-1")</f>
        <v>2025-1</v>
      </c>
      <c r="D339" s="1" t="str">
        <f>IFERROR(__xludf.DUMMYFUNCTION("""COMPUTED_VALUE"""),"Admisión de Alto Rendimiento")</f>
        <v>Admisión de Alto Rendimiento</v>
      </c>
      <c r="E339" s="2">
        <f>IFERROR(__xludf.DUMMYFUNCTION("""COMPUTED_VALUE"""),45668.0)</f>
        <v>45668</v>
      </c>
      <c r="F339" s="1" t="str">
        <f>IFERROR(__xludf.DUMMYFUNCTION("""COMPUTED_VALUE"""),"CLAUDIA MARIA REYNA ")</f>
        <v>CLAUDIA MARIA REYNA </v>
      </c>
      <c r="G339" s="1" t="str">
        <f>IFERROR(__xludf.DUMMYFUNCTION("""COMPUTED_VALUE"""),"SEGURA GUEVARA")</f>
        <v>SEGURA GUEVARA</v>
      </c>
      <c r="H339" s="1" t="str">
        <f>IFERROR(__xludf.DUMMYFUNCTION("""COMPUTED_VALUE"""),"Arquitectura")</f>
        <v>Arquitectura</v>
      </c>
      <c r="I339" s="1" t="str">
        <f>IFERROR(__xludf.DUMMYFUNCTION("""COMPUTED_VALUE"""),"POS")</f>
        <v>POS</v>
      </c>
      <c r="J339" s="1" t="str">
        <f>IFERROR(__xludf.DUMMYFUNCTION("""COMPUTED_VALUE"""),"Diurno")</f>
        <v>Diurno</v>
      </c>
      <c r="K339" s="1" t="str">
        <f>IFERROR(__xludf.DUMMYFUNCTION("""COMPUTED_VALUE"""),"NUEVO")</f>
        <v>NUEVO</v>
      </c>
      <c r="L339" s="1">
        <f>IFERROR(__xludf.DUMMYFUNCTION("""COMPUTED_VALUE"""),0.0)</f>
        <v>0</v>
      </c>
      <c r="M339" s="1">
        <f>IFERROR(__xludf.DUMMYFUNCTION("""COMPUTED_VALUE"""),0.0)</f>
        <v>0</v>
      </c>
      <c r="N339" s="1" t="str">
        <f>IFERROR(__xludf.DUMMYFUNCTION("""COMPUTED_VALUE"""),"BECA")</f>
        <v>BECA</v>
      </c>
      <c r="O339" s="1" t="str">
        <f>IFERROR(__xludf.DUMMYFUNCTION("""COMPUTED_VALUE"""),"BECA CONGELADA DE 2 AÑOS")</f>
        <v>BECA CONGELADA DE 2 AÑOS</v>
      </c>
      <c r="P339" s="4">
        <f>IFERROR(__xludf.DUMMYFUNCTION("""COMPUTED_VALUE"""),0.0)</f>
        <v>0</v>
      </c>
      <c r="Q339" s="4">
        <f>IFERROR(__xludf.DUMMYFUNCTION("""COMPUTED_VALUE"""),0.0)</f>
        <v>0</v>
      </c>
      <c r="R339" s="4">
        <f>IFERROR(__xludf.DUMMYFUNCTION("""COMPUTED_VALUE"""),1050.0)</f>
        <v>1050</v>
      </c>
      <c r="S339" s="4">
        <f>IFERROR(__xludf.DUMMYFUNCTION("""COMPUTED_VALUE"""),1050.0)</f>
        <v>1050</v>
      </c>
      <c r="T339" s="1" t="str">
        <f>IFERROR(__xludf.DUMMYFUNCTION("""COMPUTED_VALUE"""),"NINGUNO")</f>
        <v>NINGUNO</v>
      </c>
      <c r="U339" s="1" t="str">
        <f>IFERROR(__xludf.DUMMYFUNCTION("""COMPUTED_VALUE"""),"FABIOLA")</f>
        <v>FABIOLA</v>
      </c>
      <c r="V339" s="1" t="str">
        <f>IFERROR(__xludf.DUMMYFUNCTION("""COMPUTED_VALUE"""),"Ninguno")</f>
        <v>Ninguno</v>
      </c>
      <c r="W339" s="1" t="str">
        <f>IFERROR(__xludf.DUMMYFUNCTION("""COMPUTED_VALUE"""),"Precio accesible")</f>
        <v>Precio accesible</v>
      </c>
      <c r="X339" s="1"/>
      <c r="Y339" s="1" t="str">
        <f>IFERROR(__xludf.DUMMYFUNCTION("""COMPUTED_VALUE"""),"PAGO COMPLETO")</f>
        <v>PAGO COMPLETO</v>
      </c>
      <c r="Z339" s="1"/>
      <c r="AA339" s="1"/>
      <c r="AB339" s="1">
        <f>IFERROR(__xludf.DUMMYFUNCTION("""COMPUTED_VALUE"""),0.0)</f>
        <v>0</v>
      </c>
      <c r="AC339" s="1">
        <f>IFERROR(__xludf.DUMMYFUNCTION("""COMPUTED_VALUE"""),0.0)</f>
        <v>0</v>
      </c>
      <c r="AD339" s="1" t="str">
        <f>IFERROR(__xludf.DUMMYFUNCTION("""COMPUTED_VALUE"""),"Erwyn Terie Vital Avila")</f>
        <v>Erwyn Terie Vital Avila</v>
      </c>
      <c r="AE339" s="1" t="str">
        <f>IFERROR(__xludf.DUMMYFUNCTION("""COMPUTED_VALUE"""),"0")</f>
        <v>0</v>
      </c>
      <c r="AF339" s="1">
        <f>IFERROR(__xludf.DUMMYFUNCTION("""COMPUTED_VALUE"""),2024.0)</f>
        <v>2024</v>
      </c>
      <c r="AG339" s="1">
        <f>IFERROR(__xludf.DUMMYFUNCTION("""COMPUTED_VALUE"""),885483.0)</f>
        <v>885483</v>
      </c>
      <c r="AH339" s="1">
        <f>IFERROR(__xludf.DUMMYFUNCTION("""COMPUTED_VALUE"""),17.0)</f>
        <v>17</v>
      </c>
      <c r="AI339" s="1" t="str">
        <f>IFERROR(__xludf.DUMMYFUNCTION("""COMPUTED_VALUE"""),"0000408748")</f>
        <v>0000408748</v>
      </c>
      <c r="AJ339" s="1">
        <f>IFERROR(__xludf.DUMMYFUNCTION("""COMPUTED_VALUE"""),7.6499934E7)</f>
        <v>76499934</v>
      </c>
      <c r="AK339" s="1">
        <f>IFERROR(__xludf.DUMMYFUNCTION("""COMPUTED_VALUE"""),9.91531346E8)</f>
        <v>991531346</v>
      </c>
      <c r="AL339" s="1" t="str">
        <f>IFERROR(__xludf.DUMMYFUNCTION("""COMPUTED_VALUE"""),"mariaseguraguevara05@gmail.com")</f>
        <v>mariaseguraguevara05@gmail.com</v>
      </c>
      <c r="AM339" s="1" t="str">
        <f>IFERROR(__xludf.DUMMYFUNCTION("""COMPUTED_VALUE"""),"FEMENINO")</f>
        <v>FEMENINO</v>
      </c>
      <c r="AN339" s="1">
        <f>IFERROR(__xludf.DUMMYFUNCTION("""COMPUTED_VALUE"""),1775.0)</f>
        <v>1775</v>
      </c>
      <c r="AO339" s="1">
        <f>IFERROR(__xludf.DUMMYFUNCTION("""COMPUTED_VALUE"""),320.0)</f>
        <v>320</v>
      </c>
      <c r="AP339" s="1" t="str">
        <f>IFERROR(__xludf.DUMMYFUNCTION("""COMPUTED_VALUE"""),"BIDIRECCIONAL")</f>
        <v>BIDIRECCIONAL</v>
      </c>
      <c r="AQ339" s="1" t="str">
        <f>IFERROR(__xludf.DUMMYFUNCTION("""COMPUTED_VALUE"""),"SEARCH MARCA")</f>
        <v>SEARCH MARCA</v>
      </c>
      <c r="AR339" s="1" t="str">
        <f>IFERROR(__xludf.DUMMYFUNCTION("""COMPUTED_VALUE"""),"NUEVO")</f>
        <v>NUEVO</v>
      </c>
      <c r="AS339" s="1" t="str">
        <f>IFERROR(__xludf.DUMMYFUNCTION("""COMPUTED_VALUE"""),"ucal-pg-performance-sedes-abierta-cpl-search_conversion_marca-20240401")</f>
        <v>ucal-pg-performance-sedes-abierta-cpl-search_conversion_marca-20240401</v>
      </c>
      <c r="AT339" s="2">
        <f>IFERROR(__xludf.DUMMYFUNCTION("""COMPUTED_VALUE"""),45667.0)</f>
        <v>45667</v>
      </c>
      <c r="AU339" s="1">
        <f>IFERROR(__xludf.DUMMYFUNCTION("""COMPUTED_VALUE"""),1.0)</f>
        <v>1</v>
      </c>
      <c r="AV339" s="1" t="str">
        <f>IFERROR(__xludf.DUMMYFUNCTION("""COMPUTED_VALUE"""),"NUEVO")</f>
        <v>NUEVO</v>
      </c>
      <c r="AW339" s="1" t="str">
        <f>IFERROR(__xludf.DUMMYFUNCTION("""COMPUTED_VALUE"""),"SI")</f>
        <v>SI</v>
      </c>
      <c r="AX339" s="1"/>
      <c r="AY339" s="1" t="str">
        <f>IFERROR(__xludf.DUMMYFUNCTION("""COMPUTED_VALUE"""),"PAGO COMPLETO")</f>
        <v>PAGO COMPLETO</v>
      </c>
      <c r="AZ339" s="5">
        <f>IFERROR(__xludf.DUMMYFUNCTION("""COMPUTED_VALUE"""),45668.0)</f>
        <v>45668</v>
      </c>
      <c r="BA339" s="1">
        <f>IFERROR(__xludf.DUMMYFUNCTION("""COMPUTED_VALUE"""),0.0)</f>
        <v>0</v>
      </c>
      <c r="BB339" s="1">
        <f>IFERROR(__xludf.DUMMYFUNCTION("""COMPUTED_VALUE"""),0.0)</f>
        <v>0</v>
      </c>
      <c r="BC339" s="4">
        <f>IFERROR(__xludf.DUMMYFUNCTION("""COMPUTED_VALUE"""),0.0)</f>
        <v>0</v>
      </c>
      <c r="BD339" s="4">
        <f>IFERROR(__xludf.DUMMYFUNCTION("""COMPUTED_VALUE"""),0.0)</f>
        <v>0</v>
      </c>
      <c r="BE339" s="1">
        <f>IFERROR(__xludf.DUMMYFUNCTION("""COMPUTED_VALUE"""),1.0)</f>
        <v>1</v>
      </c>
      <c r="BF339" s="6">
        <f>IFERROR(__xludf.DUMMYFUNCTION("""COMPUTED_VALUE"""),1.0)</f>
        <v>1</v>
      </c>
      <c r="BG339" s="1">
        <f>IFERROR(__xludf.DUMMYFUNCTION("""COMPUTED_VALUE"""),1.0)</f>
        <v>1</v>
      </c>
      <c r="BH339" s="1" t="str">
        <f>IFERROR(__xludf.DUMMYFUNCTION("""COMPUTED_VALUE"""),"0")</f>
        <v>0</v>
      </c>
      <c r="BI339" s="4">
        <f>IFERROR(__xludf.DUMMYFUNCTION("""COMPUTED_VALUE"""),0.0)</f>
        <v>0</v>
      </c>
      <c r="BJ339" s="1">
        <f>IFERROR(__xludf.DUMMYFUNCTION("""COMPUTED_VALUE"""),0.0)</f>
        <v>0</v>
      </c>
      <c r="BK339" s="4">
        <f>IFERROR(__xludf.DUMMYFUNCTION("""COMPUTED_VALUE"""),0.0)</f>
        <v>0</v>
      </c>
      <c r="BL339" s="1">
        <f>IFERROR(__xludf.DUMMYFUNCTION("""COMPUTED_VALUE"""),1050.0)</f>
        <v>1050</v>
      </c>
      <c r="BM339" s="1">
        <f>IFERROR(__xludf.DUMMYFUNCTION("""COMPUTED_VALUE"""),2.0)</f>
        <v>2</v>
      </c>
      <c r="BN339" s="2">
        <f>IFERROR(__xludf.DUMMYFUNCTION("""COMPUTED_VALUE"""),45663.0)</f>
        <v>45663</v>
      </c>
      <c r="BO339" s="1">
        <f>IFERROR(__xludf.DUMMYFUNCTION("""COMPUTED_VALUE"""),1.0)</f>
        <v>1</v>
      </c>
      <c r="BP339" s="1">
        <f>IFERROR(__xludf.DUMMYFUNCTION("""COMPUTED_VALUE"""),2025.0)</f>
        <v>2025</v>
      </c>
    </row>
    <row r="340">
      <c r="A340" s="1">
        <f>IFERROR(__xludf.DUMMYFUNCTION("""COMPUTED_VALUE"""),339.0)</f>
        <v>339</v>
      </c>
      <c r="B340" s="1">
        <f>IFERROR(__xludf.DUMMYFUNCTION("""COMPUTED_VALUE"""),1370049.0)</f>
        <v>1370049</v>
      </c>
      <c r="C340" s="1" t="str">
        <f>IFERROR(__xludf.DUMMYFUNCTION("""COMPUTED_VALUE"""),"2025-1")</f>
        <v>2025-1</v>
      </c>
      <c r="D340" s="1" t="str">
        <f>IFERROR(__xludf.DUMMYFUNCTION("""COMPUTED_VALUE"""),"Admisión Ordinaria")</f>
        <v>Admisión Ordinaria</v>
      </c>
      <c r="E340" s="2">
        <f>IFERROR(__xludf.DUMMYFUNCTION("""COMPUTED_VALUE"""),45669.0)</f>
        <v>45669</v>
      </c>
      <c r="F340" s="1" t="str">
        <f>IFERROR(__xludf.DUMMYFUNCTION("""COMPUTED_VALUE"""),"NATALI JUDIT")</f>
        <v>NATALI JUDIT</v>
      </c>
      <c r="G340" s="1" t="str">
        <f>IFERROR(__xludf.DUMMYFUNCTION("""COMPUTED_VALUE"""),"BRIONES CARMONA")</f>
        <v>BRIONES CARMONA</v>
      </c>
      <c r="H340" s="1" t="str">
        <f>IFERROR(__xludf.DUMMYFUNCTION("""COMPUTED_VALUE"""),"Comunicación Audiovisual y Cine")</f>
        <v>Comunicación Audiovisual y Cine</v>
      </c>
      <c r="I340" s="1" t="str">
        <f>IFERROR(__xludf.DUMMYFUNCTION("""COMPUTED_VALUE"""),"Pago Link")</f>
        <v>Pago Link</v>
      </c>
      <c r="J340" s="1" t="str">
        <f>IFERROR(__xludf.DUMMYFUNCTION("""COMPUTED_VALUE"""),"Diurno")</f>
        <v>Diurno</v>
      </c>
      <c r="K340" s="1" t="str">
        <f>IFERROR(__xludf.DUMMYFUNCTION("""COMPUTED_VALUE"""),"NUEVO")</f>
        <v>NUEVO</v>
      </c>
      <c r="L340" s="1">
        <f>IFERROR(__xludf.DUMMYFUNCTION("""COMPUTED_VALUE"""),0.0)</f>
        <v>0</v>
      </c>
      <c r="M340" s="1">
        <f>IFERROR(__xludf.DUMMYFUNCTION("""COMPUTED_VALUE"""),0.0)</f>
        <v>0</v>
      </c>
      <c r="N340" s="1" t="str">
        <f>IFERROR(__xludf.DUMMYFUNCTION("""COMPUTED_VALUE"""),"BECA")</f>
        <v>BECA</v>
      </c>
      <c r="O340" s="1" t="str">
        <f>IFERROR(__xludf.DUMMYFUNCTION("""COMPUTED_VALUE"""),"BECA CONGELADA DE 2 AÑOS")</f>
        <v>BECA CONGELADA DE 2 AÑOS</v>
      </c>
      <c r="P340" s="4">
        <f>IFERROR(__xludf.DUMMYFUNCTION("""COMPUTED_VALUE"""),0.0)</f>
        <v>0</v>
      </c>
      <c r="Q340" s="4">
        <f>IFERROR(__xludf.DUMMYFUNCTION("""COMPUTED_VALUE"""),0.0)</f>
        <v>0</v>
      </c>
      <c r="R340" s="4">
        <f>IFERROR(__xludf.DUMMYFUNCTION("""COMPUTED_VALUE"""),950.0)</f>
        <v>950</v>
      </c>
      <c r="S340" s="4">
        <f>IFERROR(__xludf.DUMMYFUNCTION("""COMPUTED_VALUE"""),800.0)</f>
        <v>800</v>
      </c>
      <c r="T340" s="1" t="str">
        <f>IFERROR(__xludf.DUMMYFUNCTION("""COMPUTED_VALUE"""),"PALANCA 500")</f>
        <v>PALANCA 500</v>
      </c>
      <c r="U340" s="1" t="str">
        <f>IFERROR(__xludf.DUMMYFUNCTION("""COMPUTED_VALUE"""),"RODRIGO")</f>
        <v>RODRIGO</v>
      </c>
      <c r="V340" s="1" t="str">
        <f>IFERROR(__xludf.DUMMYFUNCTION("""COMPUTED_VALUE"""),"Ninguno")</f>
        <v>Ninguno</v>
      </c>
      <c r="W340" s="1" t="str">
        <f>IFERROR(__xludf.DUMMYFUNCTION("""COMPUTED_VALUE"""),"Metodología de enseñanza")</f>
        <v>Metodología de enseñanza</v>
      </c>
      <c r="X340" s="1" t="str">
        <f>IFERROR(__xludf.DUMMYFUNCTION("""COMPUTED_VALUE"""),"ES PRIMERA CUOTA 500 , ESCALA REGULAR 950 BECA 800 ")</f>
        <v>ES PRIMERA CUOTA 500 , ESCALA REGULAR 950 BECA 800 </v>
      </c>
      <c r="Y340" s="1" t="str">
        <f>IFERROR(__xludf.DUMMYFUNCTION("""COMPUTED_VALUE"""),"PAGO COMPLETO")</f>
        <v>PAGO COMPLETO</v>
      </c>
      <c r="Z340" s="1"/>
      <c r="AA340" s="1"/>
      <c r="AB340" s="1">
        <f>IFERROR(__xludf.DUMMYFUNCTION("""COMPUTED_VALUE"""),1.0)</f>
        <v>1</v>
      </c>
      <c r="AC340" s="1">
        <f>IFERROR(__xludf.DUMMYFUNCTION("""COMPUTED_VALUE"""),0.0)</f>
        <v>0</v>
      </c>
      <c r="AD340" s="1" t="str">
        <f>IFERROR(__xludf.DUMMYFUNCTION("""COMPUTED_VALUE"""),"Ingrid Guillermo Rivera")</f>
        <v>Ingrid Guillermo Rivera</v>
      </c>
      <c r="AE340" s="1" t="str">
        <f>IFERROR(__xludf.DUMMYFUNCTION("""COMPUTED_VALUE"""),"0")</f>
        <v>0</v>
      </c>
      <c r="AF340" s="1">
        <f>IFERROR(__xludf.DUMMYFUNCTION("""COMPUTED_VALUE"""),2023.0)</f>
        <v>2023</v>
      </c>
      <c r="AG340" s="1">
        <f>IFERROR(__xludf.DUMMYFUNCTION("""COMPUTED_VALUE"""),1700038.0)</f>
        <v>1700038</v>
      </c>
      <c r="AH340" s="1">
        <f>IFERROR(__xludf.DUMMYFUNCTION("""COMPUTED_VALUE"""),18.0)</f>
        <v>18</v>
      </c>
      <c r="AI340" s="1" t="str">
        <f>IFERROR(__xludf.DUMMYFUNCTION("""COMPUTED_VALUE"""),"0000408856")</f>
        <v>0000408856</v>
      </c>
      <c r="AJ340" s="1">
        <f>IFERROR(__xludf.DUMMYFUNCTION("""COMPUTED_VALUE"""),7.0700123E7)</f>
        <v>70700123</v>
      </c>
      <c r="AK340" s="1">
        <f>IFERROR(__xludf.DUMMYFUNCTION("""COMPUTED_VALUE"""),9.28295083E8)</f>
        <v>928295083</v>
      </c>
      <c r="AL340" s="1" t="str">
        <f>IFERROR(__xludf.DUMMYFUNCTION("""COMPUTED_VALUE"""),"Brionesnatali230@gmail.com")</f>
        <v>Brionesnatali230@gmail.com</v>
      </c>
      <c r="AM340" s="1" t="str">
        <f>IFERROR(__xludf.DUMMYFUNCTION("""COMPUTED_VALUE"""),"FEMENINO")</f>
        <v>FEMENINO</v>
      </c>
      <c r="AN340" s="1">
        <f>IFERROR(__xludf.DUMMYFUNCTION("""COMPUTED_VALUE"""),1775.0)</f>
        <v>1775</v>
      </c>
      <c r="AO340" s="1">
        <f>IFERROR(__xludf.DUMMYFUNCTION("""COMPUTED_VALUE"""),320.0)</f>
        <v>320</v>
      </c>
      <c r="AP340" s="1" t="str">
        <f>IFERROR(__xludf.DUMMYFUNCTION("""COMPUTED_VALUE"""),"FORMULARIO")</f>
        <v>FORMULARIO</v>
      </c>
      <c r="AQ340" s="1" t="str">
        <f>IFERROR(__xludf.DUMMYFUNCTION("""COMPUTED_VALUE"""),"SEARCH CARRERA")</f>
        <v>SEARCH CARRERA</v>
      </c>
      <c r="AR340" s="1" t="str">
        <f>IFERROR(__xludf.DUMMYFUNCTION("""COMPUTED_VALUE"""),"HEREDADO")</f>
        <v>HEREDADO</v>
      </c>
      <c r="AS340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340" s="2">
        <f>IFERROR(__xludf.DUMMYFUNCTION("""COMPUTED_VALUE"""),45666.0)</f>
        <v>45666</v>
      </c>
      <c r="AU340" s="1">
        <f>IFERROR(__xludf.DUMMYFUNCTION("""COMPUTED_VALUE"""),1.0)</f>
        <v>1</v>
      </c>
      <c r="AV340" s="1" t="str">
        <f>IFERROR(__xludf.DUMMYFUNCTION("""COMPUTED_VALUE"""),"NUEVO")</f>
        <v>NUEVO</v>
      </c>
      <c r="AW340" s="1" t="str">
        <f>IFERROR(__xludf.DUMMYFUNCTION("""COMPUTED_VALUE"""),"SI")</f>
        <v>SI</v>
      </c>
      <c r="AX340" s="1"/>
      <c r="AY340" s="1" t="str">
        <f>IFERROR(__xludf.DUMMYFUNCTION("""COMPUTED_VALUE"""),"PAGO COMPLETO")</f>
        <v>PAGO COMPLETO</v>
      </c>
      <c r="AZ340" s="5">
        <f>IFERROR(__xludf.DUMMYFUNCTION("""COMPUTED_VALUE"""),45669.0)</f>
        <v>45669</v>
      </c>
      <c r="BA340" s="1">
        <f>IFERROR(__xludf.DUMMYFUNCTION("""COMPUTED_VALUE"""),0.0)</f>
        <v>0</v>
      </c>
      <c r="BB340" s="1">
        <f>IFERROR(__xludf.DUMMYFUNCTION("""COMPUTED_VALUE"""),0.0)</f>
        <v>0</v>
      </c>
      <c r="BC340" s="4">
        <f>IFERROR(__xludf.DUMMYFUNCTION("""COMPUTED_VALUE"""),0.0)</f>
        <v>0</v>
      </c>
      <c r="BD340" s="4">
        <f>IFERROR(__xludf.DUMMYFUNCTION("""COMPUTED_VALUE"""),300.0)</f>
        <v>300</v>
      </c>
      <c r="BE340" s="1">
        <f>IFERROR(__xludf.DUMMYFUNCTION("""COMPUTED_VALUE"""),1.0)</f>
        <v>1</v>
      </c>
      <c r="BF340" s="6">
        <f>IFERROR(__xludf.DUMMYFUNCTION("""COMPUTED_VALUE"""),1.0)</f>
        <v>1</v>
      </c>
      <c r="BG340" s="1">
        <f>IFERROR(__xludf.DUMMYFUNCTION("""COMPUTED_VALUE"""),1.0)</f>
        <v>1</v>
      </c>
      <c r="BH340" s="1" t="str">
        <f>IFERROR(__xludf.DUMMYFUNCTION("""COMPUTED_VALUE"""),"0")</f>
        <v>0</v>
      </c>
      <c r="BI340" s="4">
        <f>IFERROR(__xludf.DUMMYFUNCTION("""COMPUTED_VALUE"""),300.0)</f>
        <v>300</v>
      </c>
      <c r="BJ340" s="1">
        <f>IFERROR(__xludf.DUMMYFUNCTION("""COMPUTED_VALUE"""),0.0)</f>
        <v>0</v>
      </c>
      <c r="BK340" s="4">
        <f>IFERROR(__xludf.DUMMYFUNCTION("""COMPUTED_VALUE"""),300.0)</f>
        <v>300</v>
      </c>
      <c r="BL340" s="1">
        <f>IFERROR(__xludf.DUMMYFUNCTION("""COMPUTED_VALUE"""),740.0)</f>
        <v>740</v>
      </c>
      <c r="BM340" s="1">
        <f>IFERROR(__xludf.DUMMYFUNCTION("""COMPUTED_VALUE"""),2.0)</f>
        <v>2</v>
      </c>
      <c r="BN340" s="2">
        <f>IFERROR(__xludf.DUMMYFUNCTION("""COMPUTED_VALUE"""),45663.0)</f>
        <v>45663</v>
      </c>
      <c r="BO340" s="1">
        <f>IFERROR(__xludf.DUMMYFUNCTION("""COMPUTED_VALUE"""),1.0)</f>
        <v>1</v>
      </c>
      <c r="BP340" s="1">
        <f>IFERROR(__xludf.DUMMYFUNCTION("""COMPUTED_VALUE"""),2025.0)</f>
        <v>2025</v>
      </c>
    </row>
    <row r="341">
      <c r="A341" s="1">
        <f>IFERROR(__xludf.DUMMYFUNCTION("""COMPUTED_VALUE"""),340.0)</f>
        <v>340</v>
      </c>
      <c r="B341" s="1">
        <f>IFERROR(__xludf.DUMMYFUNCTION("""COMPUTED_VALUE"""),4943206.0)</f>
        <v>4943206</v>
      </c>
      <c r="C341" s="1" t="str">
        <f>IFERROR(__xludf.DUMMYFUNCTION("""COMPUTED_VALUE"""),"2025-1")</f>
        <v>2025-1</v>
      </c>
      <c r="D341" s="1" t="str">
        <f>IFERROR(__xludf.DUMMYFUNCTION("""COMPUTED_VALUE"""),"Admisión Ordinaria")</f>
        <v>Admisión Ordinaria</v>
      </c>
      <c r="E341" s="2">
        <f>IFERROR(__xludf.DUMMYFUNCTION("""COMPUTED_VALUE"""),45669.0)</f>
        <v>45669</v>
      </c>
      <c r="F341" s="1" t="str">
        <f>IFERROR(__xludf.DUMMYFUNCTION("""COMPUTED_VALUE"""),"JANELA ROCI")</f>
        <v>JANELA ROCI</v>
      </c>
      <c r="G341" s="1" t="str">
        <f>IFERROR(__xludf.DUMMYFUNCTION("""COMPUTED_VALUE"""),"LLAJA SILVA")</f>
        <v>LLAJA SILVA</v>
      </c>
      <c r="H341" s="1" t="str">
        <f>IFERROR(__xludf.DUMMYFUNCTION("""COMPUTED_VALUE"""),"Psicología")</f>
        <v>Psicología</v>
      </c>
      <c r="I341" s="1" t="str">
        <f>IFERROR(__xludf.DUMMYFUNCTION("""COMPUTED_VALUE"""),"Pago Link")</f>
        <v>Pago Link</v>
      </c>
      <c r="J341" s="1" t="str">
        <f>IFERROR(__xludf.DUMMYFUNCTION("""COMPUTED_VALUE"""),"Nocturno - A distancia")</f>
        <v>Nocturno - A distancia</v>
      </c>
      <c r="K341" s="1" t="str">
        <f>IFERROR(__xludf.DUMMYFUNCTION("""COMPUTED_VALUE"""),"NUEVO")</f>
        <v>NUEVO</v>
      </c>
      <c r="L341" s="1">
        <f>IFERROR(__xludf.DUMMYFUNCTION("""COMPUTED_VALUE"""),0.0)</f>
        <v>0</v>
      </c>
      <c r="M341" s="1">
        <f>IFERROR(__xludf.DUMMYFUNCTION("""COMPUTED_VALUE"""),0.0)</f>
        <v>0</v>
      </c>
      <c r="N341" s="1" t="str">
        <f>IFERROR(__xludf.DUMMYFUNCTION("""COMPUTED_VALUE"""),"ESCALA DISTANCIA")</f>
        <v>ESCALA DISTANCIA</v>
      </c>
      <c r="O341" s="1" t="str">
        <f>IFERROR(__xludf.DUMMYFUNCTION("""COMPUTED_VALUE"""),"ESCALA DISTANCIA REGULAR")</f>
        <v>ESCALA DISTANCIA REGULAR</v>
      </c>
      <c r="P341" s="4">
        <f>IFERROR(__xludf.DUMMYFUNCTION("""COMPUTED_VALUE"""),0.0)</f>
        <v>0</v>
      </c>
      <c r="Q341" s="4">
        <f>IFERROR(__xludf.DUMMYFUNCTION("""COMPUTED_VALUE"""),0.0)</f>
        <v>0</v>
      </c>
      <c r="R341" s="4">
        <f>IFERROR(__xludf.DUMMYFUNCTION("""COMPUTED_VALUE"""),700.0)</f>
        <v>700</v>
      </c>
      <c r="S341" s="4">
        <f>IFERROR(__xludf.DUMMYFUNCTION("""COMPUTED_VALUE"""),700.0)</f>
        <v>700</v>
      </c>
      <c r="T341" s="1" t="str">
        <f>IFERROR(__xludf.DUMMYFUNCTION("""COMPUTED_VALUE"""),"Referido")</f>
        <v>Referido</v>
      </c>
      <c r="U341" s="1" t="str">
        <f>IFERROR(__xludf.DUMMYFUNCTION("""COMPUTED_VALUE"""),"FABIOLA")</f>
        <v>FABIOLA</v>
      </c>
      <c r="V341" s="1" t="str">
        <f>IFERROR(__xludf.DUMMYFUNCTION("""COMPUTED_VALUE"""),"Ninguno")</f>
        <v>Ninguno</v>
      </c>
      <c r="W341" s="1" t="str">
        <f>IFERROR(__xludf.DUMMYFUNCTION("""COMPUTED_VALUE"""),"Flexibilidad de horarios")</f>
        <v>Flexibilidad de horarios</v>
      </c>
      <c r="X341" s="1" t="str">
        <f>IFERROR(__xludf.DUMMYFUNCTION("""COMPUTED_VALUE"""),"Referido de su hermano 2508466")</f>
        <v>Referido de su hermano 2508466</v>
      </c>
      <c r="Y341" s="1" t="str">
        <f>IFERROR(__xludf.DUMMYFUNCTION("""COMPUTED_VALUE"""),"PAGO FRACCIONADO")</f>
        <v>PAGO FRACCIONADO</v>
      </c>
      <c r="Z341" s="1">
        <f>IFERROR(__xludf.DUMMYFUNCTION("""COMPUTED_VALUE"""),350.0)</f>
        <v>350</v>
      </c>
      <c r="AA341" s="1" t="str">
        <f>IFERROR(__xludf.DUMMYFUNCTION("""COMPUTED_VALUE"""),"17/01/2025")</f>
        <v>17/01/2025</v>
      </c>
      <c r="AB341" s="1">
        <f>IFERROR(__xludf.DUMMYFUNCTION("""COMPUTED_VALUE"""),0.0)</f>
        <v>0</v>
      </c>
      <c r="AC341" s="1">
        <f>IFERROR(__xludf.DUMMYFUNCTION("""COMPUTED_VALUE"""),0.0)</f>
        <v>0</v>
      </c>
      <c r="AD341" s="1" t="str">
        <f>IFERROR(__xludf.DUMMYFUNCTION("""COMPUTED_VALUE"""),"Daniel Zapata")</f>
        <v>Daniel Zapata</v>
      </c>
      <c r="AE341" s="1" t="str">
        <f>IFERROR(__xludf.DUMMYFUNCTION("""COMPUTED_VALUE"""),"0")</f>
        <v>0</v>
      </c>
      <c r="AF341" s="1">
        <f>IFERROR(__xludf.DUMMYFUNCTION("""COMPUTED_VALUE"""),2017.0)</f>
        <v>2017</v>
      </c>
      <c r="AG341" s="1">
        <f>IFERROR(__xludf.DUMMYFUNCTION("""COMPUTED_VALUE"""),869222.0)</f>
        <v>869222</v>
      </c>
      <c r="AH341" s="1">
        <f>IFERROR(__xludf.DUMMYFUNCTION("""COMPUTED_VALUE"""),26.0)</f>
        <v>26</v>
      </c>
      <c r="AI341" s="1" t="str">
        <f>IFERROR(__xludf.DUMMYFUNCTION("""COMPUTED_VALUE"""),"0000408851")</f>
        <v>0000408851</v>
      </c>
      <c r="AJ341" s="1">
        <f>IFERROR(__xludf.DUMMYFUNCTION("""COMPUTED_VALUE"""),7.4208223E7)</f>
        <v>74208223</v>
      </c>
      <c r="AK341" s="1">
        <f>IFERROR(__xludf.DUMMYFUNCTION("""COMPUTED_VALUE"""),9.55501653E8)</f>
        <v>955501653</v>
      </c>
      <c r="AL341" s="1" t="str">
        <f>IFERROR(__xludf.DUMMYFUNCTION("""COMPUTED_VALUE"""),"janela.ll.s.jls@gmail.com")</f>
        <v>janela.ll.s.jls@gmail.com</v>
      </c>
      <c r="AM341" s="1" t="str">
        <f>IFERROR(__xludf.DUMMYFUNCTION("""COMPUTED_VALUE"""),"FEMENINO")</f>
        <v>FEMENINO</v>
      </c>
      <c r="AN341" s="1">
        <f>IFERROR(__xludf.DUMMYFUNCTION("""COMPUTED_VALUE"""),1350.0)</f>
        <v>1350</v>
      </c>
      <c r="AO341" s="1">
        <f>IFERROR(__xludf.DUMMYFUNCTION("""COMPUTED_VALUE"""),0.0)</f>
        <v>0</v>
      </c>
      <c r="AP341" s="1" t="str">
        <f>IFERROR(__xludf.DUMMYFUNCTION("""COMPUTED_VALUE"""),"OUTBOUND")</f>
        <v>OUTBOUND</v>
      </c>
      <c r="AQ341" s="1" t="str">
        <f>IFERROR(__xludf.DUMMYFUNCTION("""COMPUTED_VALUE"""),"OUTBOUND")</f>
        <v>OUTBOUND</v>
      </c>
      <c r="AR341" s="1" t="str">
        <f>IFERROR(__xludf.DUMMYFUNCTION("""COMPUTED_VALUE"""),"NUEVO")</f>
        <v>NUEVO</v>
      </c>
      <c r="AS341" s="1"/>
      <c r="AT341" s="2">
        <f>IFERROR(__xludf.DUMMYFUNCTION("""COMPUTED_VALUE"""),45669.0)</f>
        <v>45669</v>
      </c>
      <c r="AU341" s="1">
        <f>IFERROR(__xludf.DUMMYFUNCTION("""COMPUTED_VALUE"""),1.0)</f>
        <v>1</v>
      </c>
      <c r="AV341" s="1" t="str">
        <f>IFERROR(__xludf.DUMMYFUNCTION("""COMPUTED_VALUE"""),"NUEVO")</f>
        <v>NUEVO</v>
      </c>
      <c r="AW341" s="1" t="str">
        <f>IFERROR(__xludf.DUMMYFUNCTION("""COMPUTED_VALUE"""),"SI")</f>
        <v>SI</v>
      </c>
      <c r="AX341" s="1"/>
      <c r="AY341" s="1" t="str">
        <f>IFERROR(__xludf.DUMMYFUNCTION("""COMPUTED_VALUE"""),"PAGO COMPLETO")</f>
        <v>PAGO COMPLETO</v>
      </c>
      <c r="AZ341" s="5">
        <f>IFERROR(__xludf.DUMMYFUNCTION("""COMPUTED_VALUE"""),45674.0)</f>
        <v>45674</v>
      </c>
      <c r="BA341" s="1">
        <f>IFERROR(__xludf.DUMMYFUNCTION("""COMPUTED_VALUE"""),350.0)</f>
        <v>350</v>
      </c>
      <c r="BB341" s="1">
        <f>IFERROR(__xludf.DUMMYFUNCTION("""COMPUTED_VALUE"""),0.0)</f>
        <v>0</v>
      </c>
      <c r="BC341" s="4">
        <f>IFERROR(__xludf.DUMMYFUNCTION("""COMPUTED_VALUE"""),0.0)</f>
        <v>0</v>
      </c>
      <c r="BD341" s="4">
        <f>IFERROR(__xludf.DUMMYFUNCTION("""COMPUTED_VALUE"""),0.0)</f>
        <v>0</v>
      </c>
      <c r="BE341" s="1">
        <f>IFERROR(__xludf.DUMMYFUNCTION("""COMPUTED_VALUE"""),1.0)</f>
        <v>1</v>
      </c>
      <c r="BF341" s="6">
        <f>IFERROR(__xludf.DUMMYFUNCTION("""COMPUTED_VALUE"""),1.0)</f>
        <v>1</v>
      </c>
      <c r="BG341" s="1">
        <f>IFERROR(__xludf.DUMMYFUNCTION("""COMPUTED_VALUE"""),1.0)</f>
        <v>1</v>
      </c>
      <c r="BH341" s="1" t="str">
        <f>IFERROR(__xludf.DUMMYFUNCTION("""COMPUTED_VALUE"""),"0")</f>
        <v>0</v>
      </c>
      <c r="BI341" s="4">
        <f>IFERROR(__xludf.DUMMYFUNCTION("""COMPUTED_VALUE"""),700.0)</f>
        <v>700</v>
      </c>
      <c r="BJ341" s="1">
        <f>IFERROR(__xludf.DUMMYFUNCTION("""COMPUTED_VALUE"""),0.0)</f>
        <v>0</v>
      </c>
      <c r="BK341" s="4">
        <f>IFERROR(__xludf.DUMMYFUNCTION("""COMPUTED_VALUE"""),350.0)</f>
        <v>350</v>
      </c>
      <c r="BL341" s="1">
        <f>IFERROR(__xludf.DUMMYFUNCTION("""COMPUTED_VALUE"""),630.0)</f>
        <v>630</v>
      </c>
      <c r="BM341" s="1">
        <f>IFERROR(__xludf.DUMMYFUNCTION("""COMPUTED_VALUE"""),2.0)</f>
        <v>2</v>
      </c>
      <c r="BN341" s="2">
        <f>IFERROR(__xludf.DUMMYFUNCTION("""COMPUTED_VALUE"""),45663.0)</f>
        <v>45663</v>
      </c>
      <c r="BO341" s="1">
        <f>IFERROR(__xludf.DUMMYFUNCTION("""COMPUTED_VALUE"""),1.0)</f>
        <v>1</v>
      </c>
      <c r="BP341" s="1">
        <f>IFERROR(__xludf.DUMMYFUNCTION("""COMPUTED_VALUE"""),2025.0)</f>
        <v>2025</v>
      </c>
    </row>
    <row r="342">
      <c r="A342" s="1">
        <f>IFERROR(__xludf.DUMMYFUNCTION("""COMPUTED_VALUE"""),341.0)</f>
        <v>341</v>
      </c>
      <c r="B342" s="1">
        <f>IFERROR(__xludf.DUMMYFUNCTION("""COMPUTED_VALUE"""),4874583.0)</f>
        <v>4874583</v>
      </c>
      <c r="C342" s="1" t="str">
        <f>IFERROR(__xludf.DUMMYFUNCTION("""COMPUTED_VALUE"""),"2025-1")</f>
        <v>2025-1</v>
      </c>
      <c r="D342" s="1" t="str">
        <f>IFERROR(__xludf.DUMMYFUNCTION("""COMPUTED_VALUE"""),"Admisión Ordinaria")</f>
        <v>Admisión Ordinaria</v>
      </c>
      <c r="E342" s="2">
        <f>IFERROR(__xludf.DUMMYFUNCTION("""COMPUTED_VALUE"""),45669.0)</f>
        <v>45669</v>
      </c>
      <c r="F342" s="1" t="str">
        <f>IFERROR(__xludf.DUMMYFUNCTION("""COMPUTED_VALUE"""),"ALLISON FRANSHESKA ")</f>
        <v>ALLISON FRANSHESKA </v>
      </c>
      <c r="G342" s="1" t="str">
        <f>IFERROR(__xludf.DUMMYFUNCTION("""COMPUTED_VALUE"""),"BARDALES ARAUJO")</f>
        <v>BARDALES ARAUJO</v>
      </c>
      <c r="H342" s="1" t="str">
        <f>IFERROR(__xludf.DUMMYFUNCTION("""COMPUTED_VALUE"""),"Arquitectura de Interiores")</f>
        <v>Arquitectura de Interiores</v>
      </c>
      <c r="I342" s="1" t="str">
        <f>IFERROR(__xludf.DUMMYFUNCTION("""COMPUTED_VALUE"""),"CARGO")</f>
        <v>CARGO</v>
      </c>
      <c r="J342" s="1" t="str">
        <f>IFERROR(__xludf.DUMMYFUNCTION("""COMPUTED_VALUE"""),"Diurno")</f>
        <v>Diurno</v>
      </c>
      <c r="K342" s="1" t="str">
        <f>IFERROR(__xludf.DUMMYFUNCTION("""COMPUTED_VALUE"""),"TRASLADO")</f>
        <v>TRASLADO</v>
      </c>
      <c r="L342" s="1">
        <f>IFERROR(__xludf.DUMMYFUNCTION("""COMPUTED_VALUE"""),0.0)</f>
        <v>0</v>
      </c>
      <c r="M342" s="1">
        <f>IFERROR(__xludf.DUMMYFUNCTION("""COMPUTED_VALUE"""),1.0)</f>
        <v>1</v>
      </c>
      <c r="N342" s="1" t="str">
        <f>IFERROR(__xludf.DUMMYFUNCTION("""COMPUTED_VALUE"""),"BECA")</f>
        <v>BECA</v>
      </c>
      <c r="O342" s="1" t="str">
        <f>IFERROR(__xludf.DUMMYFUNCTION("""COMPUTED_VALUE"""),"BECA CARRERAS CORE-TRASLADOS SIN CONVA")</f>
        <v>BECA CARRERAS CORE-TRASLADOS SIN CONVA</v>
      </c>
      <c r="P342" s="4">
        <f>IFERROR(__xludf.DUMMYFUNCTION("""COMPUTED_VALUE"""),0.0)</f>
        <v>0</v>
      </c>
      <c r="Q342" s="4">
        <f>IFERROR(__xludf.DUMMYFUNCTION("""COMPUTED_VALUE"""),0.0)</f>
        <v>0</v>
      </c>
      <c r="R342" s="4">
        <f>IFERROR(__xludf.DUMMYFUNCTION("""COMPUTED_VALUE"""),1150.0)</f>
        <v>1150</v>
      </c>
      <c r="S342" s="4">
        <f>IFERROR(__xludf.DUMMYFUNCTION("""COMPUTED_VALUE"""),950.0)</f>
        <v>950</v>
      </c>
      <c r="T342" s="1" t="str">
        <f>IFERROR(__xludf.DUMMYFUNCTION("""COMPUTED_VALUE"""),"NINGUNO")</f>
        <v>NINGUNO</v>
      </c>
      <c r="U342" s="1" t="str">
        <f>IFERROR(__xludf.DUMMYFUNCTION("""COMPUTED_VALUE"""),"FABIOLA")</f>
        <v>FABIOLA</v>
      </c>
      <c r="V342" s="1" t="str">
        <f>IFERROR(__xludf.DUMMYFUNCTION("""COMPUTED_VALUE"""),"Ninguno")</f>
        <v>Ninguno</v>
      </c>
      <c r="W342" s="1" t="str">
        <f>IFERROR(__xludf.DUMMYFUNCTION("""COMPUTED_VALUE"""),"Malla curricular")</f>
        <v>Malla curricular</v>
      </c>
      <c r="X342" s="1"/>
      <c r="Y342" s="1" t="str">
        <f>IFERROR(__xludf.DUMMYFUNCTION("""COMPUTED_VALUE"""),"PAGO COMPLETO")</f>
        <v>PAGO COMPLETO</v>
      </c>
      <c r="Z342" s="1"/>
      <c r="AA342" s="1"/>
      <c r="AB342" s="1">
        <f>IFERROR(__xludf.DUMMYFUNCTION("""COMPUTED_VALUE"""),0.0)</f>
        <v>0</v>
      </c>
      <c r="AC342" s="1">
        <f>IFERROR(__xludf.DUMMYFUNCTION("""COMPUTED_VALUE"""),0.0)</f>
        <v>0</v>
      </c>
      <c r="AD342" s="1" t="str">
        <f>IFERROR(__xludf.DUMMYFUNCTION("""COMPUTED_VALUE"""),"Fiorella Lanegra")</f>
        <v>Fiorella Lanegra</v>
      </c>
      <c r="AE342" s="1" t="str">
        <f>IFERROR(__xludf.DUMMYFUNCTION("""COMPUTED_VALUE"""),"0")</f>
        <v>0</v>
      </c>
      <c r="AF342" s="1">
        <f>IFERROR(__xludf.DUMMYFUNCTION("""COMPUTED_VALUE"""),2020.0)</f>
        <v>2020</v>
      </c>
      <c r="AG342" s="1">
        <f>IFERROR(__xludf.DUMMYFUNCTION("""COMPUTED_VALUE"""),1356427.0)</f>
        <v>1356427</v>
      </c>
      <c r="AH342" s="1">
        <f>IFERROR(__xludf.DUMMYFUNCTION("""COMPUTED_VALUE"""),22.0)</f>
        <v>22</v>
      </c>
      <c r="AI342" s="1" t="str">
        <f>IFERROR(__xludf.DUMMYFUNCTION("""COMPUTED_VALUE"""),"0000408850")</f>
        <v>0000408850</v>
      </c>
      <c r="AJ342" s="1">
        <f>IFERROR(__xludf.DUMMYFUNCTION("""COMPUTED_VALUE"""),7.6378965E7)</f>
        <v>76378965</v>
      </c>
      <c r="AK342" s="1">
        <f>IFERROR(__xludf.DUMMYFUNCTION("""COMPUTED_VALUE"""),9.20990924E8)</f>
        <v>920990924</v>
      </c>
      <c r="AL342" s="1" t="str">
        <f>IFERROR(__xludf.DUMMYFUNCTION("""COMPUTED_VALUE"""),"alli.baraujo@gmail.com")</f>
        <v>alli.baraujo@gmail.com</v>
      </c>
      <c r="AM342" s="1" t="str">
        <f>IFERROR(__xludf.DUMMYFUNCTION("""COMPUTED_VALUE"""),"FEMENINO")</f>
        <v>FEMENINO</v>
      </c>
      <c r="AN342" s="1">
        <f>IFERROR(__xludf.DUMMYFUNCTION("""COMPUTED_VALUE"""),1350.0)</f>
        <v>1350</v>
      </c>
      <c r="AO342" s="1">
        <f>IFERROR(__xludf.DUMMYFUNCTION("""COMPUTED_VALUE"""),0.0)</f>
        <v>0</v>
      </c>
      <c r="AP342" s="1" t="str">
        <f>IFERROR(__xludf.DUMMYFUNCTION("""COMPUTED_VALUE"""),"FORMULARIO")</f>
        <v>FORMULARIO</v>
      </c>
      <c r="AQ342" s="1" t="str">
        <f>IFERROR(__xludf.DUMMYFUNCTION("""COMPUTED_VALUE"""),"ORGANICO")</f>
        <v>ORGANICO</v>
      </c>
      <c r="AR342" s="1" t="str">
        <f>IFERROR(__xludf.DUMMYFUNCTION("""COMPUTED_VALUE"""),"NUEVO")</f>
        <v>NUEVO</v>
      </c>
      <c r="AS342" s="1"/>
      <c r="AT342" s="2">
        <f>IFERROR(__xludf.DUMMYFUNCTION("""COMPUTED_VALUE"""),45640.0)</f>
        <v>45640</v>
      </c>
      <c r="AU342" s="1">
        <f>IFERROR(__xludf.DUMMYFUNCTION("""COMPUTED_VALUE"""),1.0)</f>
        <v>1</v>
      </c>
      <c r="AV342" s="1" t="str">
        <f>IFERROR(__xludf.DUMMYFUNCTION("""COMPUTED_VALUE"""),"NUEVO")</f>
        <v>NUEVO</v>
      </c>
      <c r="AW342" s="1" t="str">
        <f>IFERROR(__xludf.DUMMYFUNCTION("""COMPUTED_VALUE"""),"SI")</f>
        <v>SI</v>
      </c>
      <c r="AX342" s="1"/>
      <c r="AY342" s="1" t="str">
        <f>IFERROR(__xludf.DUMMYFUNCTION("""COMPUTED_VALUE"""),"PAGO COMPLETO")</f>
        <v>PAGO COMPLETO</v>
      </c>
      <c r="AZ342" s="5">
        <f>IFERROR(__xludf.DUMMYFUNCTION("""COMPUTED_VALUE"""),45669.0)</f>
        <v>45669</v>
      </c>
      <c r="BA342" s="1">
        <f>IFERROR(__xludf.DUMMYFUNCTION("""COMPUTED_VALUE"""),0.0)</f>
        <v>0</v>
      </c>
      <c r="BB342" s="1">
        <f>IFERROR(__xludf.DUMMYFUNCTION("""COMPUTED_VALUE"""),0.0)</f>
        <v>0</v>
      </c>
      <c r="BC342" s="4">
        <f>IFERROR(__xludf.DUMMYFUNCTION("""COMPUTED_VALUE"""),0.0)</f>
        <v>0</v>
      </c>
      <c r="BD342" s="4">
        <f>IFERROR(__xludf.DUMMYFUNCTION("""COMPUTED_VALUE"""),0.0)</f>
        <v>0</v>
      </c>
      <c r="BE342" s="1">
        <f>IFERROR(__xludf.DUMMYFUNCTION("""COMPUTED_VALUE"""),1.0)</f>
        <v>1</v>
      </c>
      <c r="BF342" s="6">
        <f>IFERROR(__xludf.DUMMYFUNCTION("""COMPUTED_VALUE"""),1.0)</f>
        <v>1</v>
      </c>
      <c r="BG342" s="1">
        <f>IFERROR(__xludf.DUMMYFUNCTION("""COMPUTED_VALUE"""),1.0)</f>
        <v>1</v>
      </c>
      <c r="BH342" s="1" t="str">
        <f>IFERROR(__xludf.DUMMYFUNCTION("""COMPUTED_VALUE"""),"0")</f>
        <v>0</v>
      </c>
      <c r="BI342" s="4">
        <f>IFERROR(__xludf.DUMMYFUNCTION("""COMPUTED_VALUE"""),0.0)</f>
        <v>0</v>
      </c>
      <c r="BJ342" s="1">
        <f>IFERROR(__xludf.DUMMYFUNCTION("""COMPUTED_VALUE"""),0.0)</f>
        <v>0</v>
      </c>
      <c r="BK342" s="4">
        <f>IFERROR(__xludf.DUMMYFUNCTION("""COMPUTED_VALUE"""),0.0)</f>
        <v>0</v>
      </c>
      <c r="BL342" s="1">
        <f>IFERROR(__xludf.DUMMYFUNCTION("""COMPUTED_VALUE"""),950.0)</f>
        <v>950</v>
      </c>
      <c r="BM342" s="1">
        <f>IFERROR(__xludf.DUMMYFUNCTION("""COMPUTED_VALUE"""),2.0)</f>
        <v>2</v>
      </c>
      <c r="BN342" s="2">
        <f>IFERROR(__xludf.DUMMYFUNCTION("""COMPUTED_VALUE"""),45663.0)</f>
        <v>45663</v>
      </c>
      <c r="BO342" s="1">
        <f>IFERROR(__xludf.DUMMYFUNCTION("""COMPUTED_VALUE"""),1.0)</f>
        <v>1</v>
      </c>
      <c r="BP342" s="1">
        <f>IFERROR(__xludf.DUMMYFUNCTION("""COMPUTED_VALUE"""),2025.0)</f>
        <v>2025</v>
      </c>
    </row>
    <row r="343">
      <c r="A343" s="1">
        <f>IFERROR(__xludf.DUMMYFUNCTION("""COMPUTED_VALUE"""),342.0)</f>
        <v>342</v>
      </c>
      <c r="B343" s="1">
        <f>IFERROR(__xludf.DUMMYFUNCTION("""COMPUTED_VALUE"""),1684228.0)</f>
        <v>1684228</v>
      </c>
      <c r="C343" s="1" t="str">
        <f>IFERROR(__xludf.DUMMYFUNCTION("""COMPUTED_VALUE"""),"2025-1")</f>
        <v>2025-1</v>
      </c>
      <c r="D343" s="1" t="str">
        <f>IFERROR(__xludf.DUMMYFUNCTION("""COMPUTED_VALUE"""),"Admisión Ordinaria")</f>
        <v>Admisión Ordinaria</v>
      </c>
      <c r="E343" s="2">
        <f>IFERROR(__xludf.DUMMYFUNCTION("""COMPUTED_VALUE"""),45670.0)</f>
        <v>45670</v>
      </c>
      <c r="F343" s="1" t="str">
        <f>IFERROR(__xludf.DUMMYFUNCTION("""COMPUTED_VALUE"""),"TIFANNY ADRIANA ")</f>
        <v>TIFANNY ADRIANA </v>
      </c>
      <c r="G343" s="1" t="str">
        <f>IFERROR(__xludf.DUMMYFUNCTION("""COMPUTED_VALUE"""),"SIPAN VELASQUEZ")</f>
        <v>SIPAN VELASQUEZ</v>
      </c>
      <c r="H343" s="1" t="str">
        <f>IFERROR(__xludf.DUMMYFUNCTION("""COMPUTED_VALUE"""),"Comunicación Audiovisual y Cine")</f>
        <v>Comunicación Audiovisual y Cine</v>
      </c>
      <c r="I343" s="1" t="str">
        <f>IFERROR(__xludf.DUMMYFUNCTION("""COMPUTED_VALUE"""),"CARGO")</f>
        <v>CARGO</v>
      </c>
      <c r="J343" s="1" t="str">
        <f>IFERROR(__xludf.DUMMYFUNCTION("""COMPUTED_VALUE"""),"Diurno")</f>
        <v>Diurno</v>
      </c>
      <c r="K343" s="1" t="str">
        <f>IFERROR(__xludf.DUMMYFUNCTION("""COMPUTED_VALUE"""),"NUEVO")</f>
        <v>NUEVO</v>
      </c>
      <c r="L343" s="1">
        <f>IFERROR(__xludf.DUMMYFUNCTION("""COMPUTED_VALUE"""),0.0)</f>
        <v>0</v>
      </c>
      <c r="M343" s="1">
        <f>IFERROR(__xludf.DUMMYFUNCTION("""COMPUTED_VALUE"""),0.0)</f>
        <v>0</v>
      </c>
      <c r="N343" s="1" t="str">
        <f>IFERROR(__xludf.DUMMYFUNCTION("""COMPUTED_VALUE"""),"BECA")</f>
        <v>BECA</v>
      </c>
      <c r="O343" s="1" t="str">
        <f>IFERROR(__xludf.DUMMYFUNCTION("""COMPUTED_VALUE"""),"BECA CONGELADA DE 2 AÑOS")</f>
        <v>BECA CONGELADA DE 2 AÑOS</v>
      </c>
      <c r="P343" s="4">
        <f>IFERROR(__xludf.DUMMYFUNCTION("""COMPUTED_VALUE"""),0.0)</f>
        <v>0</v>
      </c>
      <c r="Q343" s="4">
        <f>IFERROR(__xludf.DUMMYFUNCTION("""COMPUTED_VALUE"""),0.0)</f>
        <v>0</v>
      </c>
      <c r="R343" s="4">
        <f>IFERROR(__xludf.DUMMYFUNCTION("""COMPUTED_VALUE"""),1050.0)</f>
        <v>1050</v>
      </c>
      <c r="S343" s="4">
        <f>IFERROR(__xludf.DUMMYFUNCTION("""COMPUTED_VALUE"""),950.0)</f>
        <v>950</v>
      </c>
      <c r="T343" s="1" t="str">
        <f>IFERROR(__xludf.DUMMYFUNCTION("""COMPUTED_VALUE"""),"NINGUNO")</f>
        <v>NINGUNO</v>
      </c>
      <c r="U343" s="1" t="str">
        <f>IFERROR(__xludf.DUMMYFUNCTION("""COMPUTED_VALUE"""),"FABIOLA")</f>
        <v>FABIOLA</v>
      </c>
      <c r="V343" s="1" t="str">
        <f>IFERROR(__xludf.DUMMYFUNCTION("""COMPUTED_VALUE"""),"Ninguno")</f>
        <v>Ninguno</v>
      </c>
      <c r="W343" s="1" t="str">
        <f>IFERROR(__xludf.DUMMYFUNCTION("""COMPUTED_VALUE"""),"Bolsa Laboral")</f>
        <v>Bolsa Laboral</v>
      </c>
      <c r="X343" s="1" t="str">
        <f>IFERROR(__xludf.DUMMYFUNCTION("""COMPUTED_VALUE"""),"0")</f>
        <v>0</v>
      </c>
      <c r="Y343" s="1" t="str">
        <f>IFERROR(__xludf.DUMMYFUNCTION("""COMPUTED_VALUE"""),"PAGO COMPLETO")</f>
        <v>PAGO COMPLETO</v>
      </c>
      <c r="Z343" s="1"/>
      <c r="AA343" s="1"/>
      <c r="AB343" s="1">
        <f>IFERROR(__xludf.DUMMYFUNCTION("""COMPUTED_VALUE"""),0.0)</f>
        <v>0</v>
      </c>
      <c r="AC343" s="1">
        <f>IFERROR(__xludf.DUMMYFUNCTION("""COMPUTED_VALUE"""),0.0)</f>
        <v>0</v>
      </c>
      <c r="AD343" s="1" t="str">
        <f>IFERROR(__xludf.DUMMYFUNCTION("""COMPUTED_VALUE"""),"Andrea Araujo Antara")</f>
        <v>Andrea Araujo Antara</v>
      </c>
      <c r="AE343" s="1" t="str">
        <f>IFERROR(__xludf.DUMMYFUNCTION("""COMPUTED_VALUE"""),"0")</f>
        <v>0</v>
      </c>
      <c r="AF343" s="1">
        <f>IFERROR(__xludf.DUMMYFUNCTION("""COMPUTED_VALUE"""),2022.0)</f>
        <v>2022</v>
      </c>
      <c r="AG343" s="1">
        <f>IFERROR(__xludf.DUMMYFUNCTION("""COMPUTED_VALUE"""),245688.0)</f>
        <v>245688</v>
      </c>
      <c r="AH343" s="1">
        <f>IFERROR(__xludf.DUMMYFUNCTION("""COMPUTED_VALUE"""),21.0)</f>
        <v>21</v>
      </c>
      <c r="AI343" s="1" t="str">
        <f>IFERROR(__xludf.DUMMYFUNCTION("""COMPUTED_VALUE"""),"0000408978")</f>
        <v>0000408978</v>
      </c>
      <c r="AJ343" s="1">
        <f>IFERROR(__xludf.DUMMYFUNCTION("""COMPUTED_VALUE"""),7.2663508E7)</f>
        <v>72663508</v>
      </c>
      <c r="AK343" s="1">
        <f>IFERROR(__xludf.DUMMYFUNCTION("""COMPUTED_VALUE"""),9.36141396E8)</f>
        <v>936141396</v>
      </c>
      <c r="AL343" s="1" t="str">
        <f>IFERROR(__xludf.DUMMYFUNCTION("""COMPUTED_VALUE"""),"tifannysipanvelasquez@gmail.com")</f>
        <v>tifannysipanvelasquez@gmail.com</v>
      </c>
      <c r="AM343" s="1" t="str">
        <f>IFERROR(__xludf.DUMMYFUNCTION("""COMPUTED_VALUE"""),"FEMENINO")</f>
        <v>FEMENINO</v>
      </c>
      <c r="AN343" s="1">
        <f>IFERROR(__xludf.DUMMYFUNCTION("""COMPUTED_VALUE"""),1350.0)</f>
        <v>1350</v>
      </c>
      <c r="AO343" s="1">
        <f>IFERROR(__xludf.DUMMYFUNCTION("""COMPUTED_VALUE"""),0.0)</f>
        <v>0</v>
      </c>
      <c r="AP343" s="1" t="str">
        <f>IFERROR(__xludf.DUMMYFUNCTION("""COMPUTED_VALUE"""),"OUTBOUND")</f>
        <v>OUTBOUND</v>
      </c>
      <c r="AQ343" s="1" t="str">
        <f>IFERROR(__xludf.DUMMYFUNCTION("""COMPUTED_VALUE"""),"OUTBOUND")</f>
        <v>OUTBOUND</v>
      </c>
      <c r="AR343" s="1" t="str">
        <f>IFERROR(__xludf.DUMMYFUNCTION("""COMPUTED_VALUE"""),"HEREDADO")</f>
        <v>HEREDADO</v>
      </c>
      <c r="AS343" s="1"/>
      <c r="AT343" s="2">
        <f>IFERROR(__xludf.DUMMYFUNCTION("""COMPUTED_VALUE"""),45670.0)</f>
        <v>45670</v>
      </c>
      <c r="AU343" s="1">
        <f>IFERROR(__xludf.DUMMYFUNCTION("""COMPUTED_VALUE"""),1.0)</f>
        <v>1</v>
      </c>
      <c r="AV343" s="1" t="str">
        <f>IFERROR(__xludf.DUMMYFUNCTION("""COMPUTED_VALUE"""),"NUEVO")</f>
        <v>NUEVO</v>
      </c>
      <c r="AW343" s="1" t="str">
        <f>IFERROR(__xludf.DUMMYFUNCTION("""COMPUTED_VALUE"""),"SI")</f>
        <v>SI</v>
      </c>
      <c r="AX343" s="1"/>
      <c r="AY343" s="1" t="str">
        <f>IFERROR(__xludf.DUMMYFUNCTION("""COMPUTED_VALUE"""),"PAGO COMPLETO")</f>
        <v>PAGO COMPLETO</v>
      </c>
      <c r="AZ343" s="5">
        <f>IFERROR(__xludf.DUMMYFUNCTION("""COMPUTED_VALUE"""),45670.0)</f>
        <v>45670</v>
      </c>
      <c r="BA343" s="1">
        <f>IFERROR(__xludf.DUMMYFUNCTION("""COMPUTED_VALUE"""),0.0)</f>
        <v>0</v>
      </c>
      <c r="BB343" s="1">
        <f>IFERROR(__xludf.DUMMYFUNCTION("""COMPUTED_VALUE"""),0.0)</f>
        <v>0</v>
      </c>
      <c r="BC343" s="4">
        <f>IFERROR(__xludf.DUMMYFUNCTION("""COMPUTED_VALUE"""),0.0)</f>
        <v>0</v>
      </c>
      <c r="BD343" s="4">
        <f>IFERROR(__xludf.DUMMYFUNCTION("""COMPUTED_VALUE"""),0.0)</f>
        <v>0</v>
      </c>
      <c r="BE343" s="1">
        <f>IFERROR(__xludf.DUMMYFUNCTION("""COMPUTED_VALUE"""),1.0)</f>
        <v>1</v>
      </c>
      <c r="BF343" s="6">
        <f>IFERROR(__xludf.DUMMYFUNCTION("""COMPUTED_VALUE"""),1.0)</f>
        <v>1</v>
      </c>
      <c r="BG343" s="1">
        <f>IFERROR(__xludf.DUMMYFUNCTION("""COMPUTED_VALUE"""),1.0)</f>
        <v>1</v>
      </c>
      <c r="BH343" s="1" t="str">
        <f>IFERROR(__xludf.DUMMYFUNCTION("""COMPUTED_VALUE"""),"0")</f>
        <v>0</v>
      </c>
      <c r="BI343" s="4">
        <f>IFERROR(__xludf.DUMMYFUNCTION("""COMPUTED_VALUE"""),0.0)</f>
        <v>0</v>
      </c>
      <c r="BJ343" s="1">
        <f>IFERROR(__xludf.DUMMYFUNCTION("""COMPUTED_VALUE"""),0.0)</f>
        <v>0</v>
      </c>
      <c r="BK343" s="4">
        <f>IFERROR(__xludf.DUMMYFUNCTION("""COMPUTED_VALUE"""),0.0)</f>
        <v>0</v>
      </c>
      <c r="BL343" s="1">
        <f>IFERROR(__xludf.DUMMYFUNCTION("""COMPUTED_VALUE"""),950.0)</f>
        <v>950</v>
      </c>
      <c r="BM343" s="1">
        <f>IFERROR(__xludf.DUMMYFUNCTION("""COMPUTED_VALUE"""),2.0)</f>
        <v>2</v>
      </c>
      <c r="BN343" s="2">
        <f>IFERROR(__xludf.DUMMYFUNCTION("""COMPUTED_VALUE"""),45663.0)</f>
        <v>45663</v>
      </c>
      <c r="BO343" s="1">
        <f>IFERROR(__xludf.DUMMYFUNCTION("""COMPUTED_VALUE"""),1.0)</f>
        <v>1</v>
      </c>
      <c r="BP343" s="1">
        <f>IFERROR(__xludf.DUMMYFUNCTION("""COMPUTED_VALUE"""),2025.0)</f>
        <v>2025</v>
      </c>
    </row>
    <row r="344">
      <c r="A344" s="1">
        <f>IFERROR(__xludf.DUMMYFUNCTION("""COMPUTED_VALUE"""),343.0)</f>
        <v>343</v>
      </c>
      <c r="B344" s="1">
        <f>IFERROR(__xludf.DUMMYFUNCTION("""COMPUTED_VALUE"""),2016509.0)</f>
        <v>2016509</v>
      </c>
      <c r="C344" s="1" t="str">
        <f>IFERROR(__xludf.DUMMYFUNCTION("""COMPUTED_VALUE"""),"2025-1")</f>
        <v>2025-1</v>
      </c>
      <c r="D344" s="1" t="str">
        <f>IFERROR(__xludf.DUMMYFUNCTION("""COMPUTED_VALUE"""),"Admisión Extraordinaria (Traslados)")</f>
        <v>Admisión Extraordinaria (Traslados)</v>
      </c>
      <c r="E344" s="2">
        <f>IFERROR(__xludf.DUMMYFUNCTION("""COMPUTED_VALUE"""),45670.0)</f>
        <v>45670</v>
      </c>
      <c r="F344" s="1" t="str">
        <f>IFERROR(__xludf.DUMMYFUNCTION("""COMPUTED_VALUE""")," CAMILA MILAGROS ")</f>
        <v> CAMILA MILAGROS </v>
      </c>
      <c r="G344" s="1" t="str">
        <f>IFERROR(__xludf.DUMMYFUNCTION("""COMPUTED_VALUE"""),"LIRA GUERRA")</f>
        <v>LIRA GUERRA</v>
      </c>
      <c r="H344" s="1" t="str">
        <f>IFERROR(__xludf.DUMMYFUNCTION("""COMPUTED_VALUE"""),"Comunicación Audiovisual y Cine")</f>
        <v>Comunicación Audiovisual y Cine</v>
      </c>
      <c r="I344" s="1" t="str">
        <f>IFERROR(__xludf.DUMMYFUNCTION("""COMPUTED_VALUE"""),"CARGO")</f>
        <v>CARGO</v>
      </c>
      <c r="J344" s="1" t="str">
        <f>IFERROR(__xludf.DUMMYFUNCTION("""COMPUTED_VALUE"""),"Diurno")</f>
        <v>Diurno</v>
      </c>
      <c r="K344" s="1" t="str">
        <f>IFERROR(__xludf.DUMMYFUNCTION("""COMPUTED_VALUE"""),"TRASLADO")</f>
        <v>TRASLADO</v>
      </c>
      <c r="L344" s="1">
        <f>IFERROR(__xludf.DUMMYFUNCTION("""COMPUTED_VALUE"""),0.0)</f>
        <v>0</v>
      </c>
      <c r="M344" s="1">
        <f>IFERROR(__xludf.DUMMYFUNCTION("""COMPUTED_VALUE"""),0.0)</f>
        <v>0</v>
      </c>
      <c r="N344" s="1" t="str">
        <f>IFERROR(__xludf.DUMMYFUNCTION("""COMPUTED_VALUE"""),"BECA")</f>
        <v>BECA</v>
      </c>
      <c r="O344" s="1" t="str">
        <f>IFERROR(__xludf.DUMMYFUNCTION("""COMPUTED_VALUE"""),"BECA CONGELADA DE 2 AÑOS")</f>
        <v>BECA CONGELADA DE 2 AÑOS</v>
      </c>
      <c r="P344" s="4">
        <f>IFERROR(__xludf.DUMMYFUNCTION("""COMPUTED_VALUE"""),0.0)</f>
        <v>0</v>
      </c>
      <c r="Q344" s="4">
        <f>IFERROR(__xludf.DUMMYFUNCTION("""COMPUTED_VALUE"""),0.0)</f>
        <v>0</v>
      </c>
      <c r="R344" s="4">
        <f>IFERROR(__xludf.DUMMYFUNCTION("""COMPUTED_VALUE"""),1000.0)</f>
        <v>1000</v>
      </c>
      <c r="S344" s="4">
        <f>IFERROR(__xludf.DUMMYFUNCTION("""COMPUTED_VALUE"""),900.0)</f>
        <v>900</v>
      </c>
      <c r="T344" s="1" t="str">
        <f>IFERROR(__xludf.DUMMYFUNCTION("""COMPUTED_VALUE"""),"NINGUNO")</f>
        <v>NINGUNO</v>
      </c>
      <c r="U344" s="1" t="str">
        <f>IFERROR(__xludf.DUMMYFUNCTION("""COMPUTED_VALUE"""),"FABIOLA")</f>
        <v>FABIOLA</v>
      </c>
      <c r="V344" s="1" t="str">
        <f>IFERROR(__xludf.DUMMYFUNCTION("""COMPUTED_VALUE"""),"Ninguno")</f>
        <v>Ninguno</v>
      </c>
      <c r="W344" s="1" t="str">
        <f>IFERROR(__xludf.DUMMYFUNCTION("""COMPUTED_VALUE"""),"Prestigio de la institución")</f>
        <v>Prestigio de la institución</v>
      </c>
      <c r="X344" s="1" t="str">
        <f>IFERROR(__xludf.DUMMYFUNCTION("""COMPUTED_VALUE"""),"0")</f>
        <v>0</v>
      </c>
      <c r="Y344" s="1" t="str">
        <f>IFERROR(__xludf.DUMMYFUNCTION("""COMPUTED_VALUE"""),"PAGO COMPLETO")</f>
        <v>PAGO COMPLETO</v>
      </c>
      <c r="Z344" s="1"/>
      <c r="AA344" s="1"/>
      <c r="AB344" s="1">
        <f>IFERROR(__xludf.DUMMYFUNCTION("""COMPUTED_VALUE"""),0.0)</f>
        <v>0</v>
      </c>
      <c r="AC344" s="1">
        <f>IFERROR(__xludf.DUMMYFUNCTION("""COMPUTED_VALUE"""),0.0)</f>
        <v>0</v>
      </c>
      <c r="AD344" s="1" t="str">
        <f>IFERROR(__xludf.DUMMYFUNCTION("""COMPUTED_VALUE"""),"Andrea Araujo Antara")</f>
        <v>Andrea Araujo Antara</v>
      </c>
      <c r="AE344" s="1" t="str">
        <f>IFERROR(__xludf.DUMMYFUNCTION("""COMPUTED_VALUE"""),"Instituto de Idiomas de la Catolica")</f>
        <v>Instituto de Idiomas de la Catolica</v>
      </c>
      <c r="AF344" s="1">
        <f>IFERROR(__xludf.DUMMYFUNCTION("""COMPUTED_VALUE"""),0.0)</f>
        <v>0</v>
      </c>
      <c r="AG344" s="1">
        <f>IFERROR(__xludf.DUMMYFUNCTION("""COMPUTED_VALUE"""),645093.0)</f>
        <v>645093</v>
      </c>
      <c r="AH344" s="1">
        <f>IFERROR(__xludf.DUMMYFUNCTION("""COMPUTED_VALUE"""),19.0)</f>
        <v>19</v>
      </c>
      <c r="AI344" s="1" t="str">
        <f>IFERROR(__xludf.DUMMYFUNCTION("""COMPUTED_VALUE"""),"0000408971")</f>
        <v>0000408971</v>
      </c>
      <c r="AJ344" s="1">
        <f>IFERROR(__xludf.DUMMYFUNCTION("""COMPUTED_VALUE"""),6.0914915E7)</f>
        <v>60914915</v>
      </c>
      <c r="AK344" s="1">
        <f>IFERROR(__xludf.DUMMYFUNCTION("""COMPUTED_VALUE"""),9.98914921E8)</f>
        <v>998914921</v>
      </c>
      <c r="AL344" s="1" t="str">
        <f>IFERROR(__xludf.DUMMYFUNCTION("""COMPUTED_VALUE"""),"camlira18@gmail.com")</f>
        <v>camlira18@gmail.com</v>
      </c>
      <c r="AM344" s="1" t="str">
        <f>IFERROR(__xludf.DUMMYFUNCTION("""COMPUTED_VALUE"""),"FEMENINO")</f>
        <v>FEMENINO</v>
      </c>
      <c r="AN344" s="1">
        <f>IFERROR(__xludf.DUMMYFUNCTION("""COMPUTED_VALUE"""),1775.0)</f>
        <v>1775</v>
      </c>
      <c r="AO344" s="1">
        <f>IFERROR(__xludf.DUMMYFUNCTION("""COMPUTED_VALUE"""),450.0)</f>
        <v>450</v>
      </c>
      <c r="AP344" s="1" t="str">
        <f>IFERROR(__xludf.DUMMYFUNCTION("""COMPUTED_VALUE"""),"FORMULARIO")</f>
        <v>FORMULARIO</v>
      </c>
      <c r="AQ344" s="1" t="str">
        <f>IFERROR(__xludf.DUMMYFUNCTION("""COMPUTED_VALUE"""),"ORGANICO")</f>
        <v>ORGANICO</v>
      </c>
      <c r="AR344" s="1" t="str">
        <f>IFERROR(__xludf.DUMMYFUNCTION("""COMPUTED_VALUE"""),"NUEVO")</f>
        <v>NUEVO</v>
      </c>
      <c r="AS344" s="1"/>
      <c r="AT344" s="2">
        <f>IFERROR(__xludf.DUMMYFUNCTION("""COMPUTED_VALUE"""),45668.0)</f>
        <v>45668</v>
      </c>
      <c r="AU344" s="1">
        <f>IFERROR(__xludf.DUMMYFUNCTION("""COMPUTED_VALUE"""),1.0)</f>
        <v>1</v>
      </c>
      <c r="AV344" s="1" t="str">
        <f>IFERROR(__xludf.DUMMYFUNCTION("""COMPUTED_VALUE"""),"NUEVO")</f>
        <v>NUEVO</v>
      </c>
      <c r="AW344" s="1" t="str">
        <f>IFERROR(__xludf.DUMMYFUNCTION("""COMPUTED_VALUE"""),"SI")</f>
        <v>SI</v>
      </c>
      <c r="AX344" s="1"/>
      <c r="AY344" s="1" t="str">
        <f>IFERROR(__xludf.DUMMYFUNCTION("""COMPUTED_VALUE"""),"PAGO COMPLETO")</f>
        <v>PAGO COMPLETO</v>
      </c>
      <c r="AZ344" s="5">
        <f>IFERROR(__xludf.DUMMYFUNCTION("""COMPUTED_VALUE"""),45670.0)</f>
        <v>45670</v>
      </c>
      <c r="BA344" s="1">
        <f>IFERROR(__xludf.DUMMYFUNCTION("""COMPUTED_VALUE"""),0.0)</f>
        <v>0</v>
      </c>
      <c r="BB344" s="1">
        <f>IFERROR(__xludf.DUMMYFUNCTION("""COMPUTED_VALUE"""),0.0)</f>
        <v>0</v>
      </c>
      <c r="BC344" s="4">
        <f>IFERROR(__xludf.DUMMYFUNCTION("""COMPUTED_VALUE"""),0.0)</f>
        <v>0</v>
      </c>
      <c r="BD344" s="4">
        <f>IFERROR(__xludf.DUMMYFUNCTION("""COMPUTED_VALUE"""),0.0)</f>
        <v>0</v>
      </c>
      <c r="BE344" s="1">
        <f>IFERROR(__xludf.DUMMYFUNCTION("""COMPUTED_VALUE"""),1.0)</f>
        <v>1</v>
      </c>
      <c r="BF344" s="6">
        <f>IFERROR(__xludf.DUMMYFUNCTION("""COMPUTED_VALUE"""),1.0)</f>
        <v>1</v>
      </c>
      <c r="BG344" s="1">
        <f>IFERROR(__xludf.DUMMYFUNCTION("""COMPUTED_VALUE"""),1.0)</f>
        <v>1</v>
      </c>
      <c r="BH344" s="1" t="str">
        <f>IFERROR(__xludf.DUMMYFUNCTION("""COMPUTED_VALUE"""),"0")</f>
        <v>0</v>
      </c>
      <c r="BI344" s="4">
        <f>IFERROR(__xludf.DUMMYFUNCTION("""COMPUTED_VALUE"""),0.0)</f>
        <v>0</v>
      </c>
      <c r="BJ344" s="1">
        <f>IFERROR(__xludf.DUMMYFUNCTION("""COMPUTED_VALUE"""),0.0)</f>
        <v>0</v>
      </c>
      <c r="BK344" s="4">
        <f>IFERROR(__xludf.DUMMYFUNCTION("""COMPUTED_VALUE"""),0.0)</f>
        <v>0</v>
      </c>
      <c r="BL344" s="1">
        <f>IFERROR(__xludf.DUMMYFUNCTION("""COMPUTED_VALUE"""),900.0)</f>
        <v>900</v>
      </c>
      <c r="BM344" s="1">
        <f>IFERROR(__xludf.DUMMYFUNCTION("""COMPUTED_VALUE"""),2.0)</f>
        <v>2</v>
      </c>
      <c r="BN344" s="2">
        <f>IFERROR(__xludf.DUMMYFUNCTION("""COMPUTED_VALUE"""),45663.0)</f>
        <v>45663</v>
      </c>
      <c r="BO344" s="1">
        <f>IFERROR(__xludf.DUMMYFUNCTION("""COMPUTED_VALUE"""),1.0)</f>
        <v>1</v>
      </c>
      <c r="BP344" s="1">
        <f>IFERROR(__xludf.DUMMYFUNCTION("""COMPUTED_VALUE"""),2025.0)</f>
        <v>2025</v>
      </c>
    </row>
    <row r="345">
      <c r="A345" s="1">
        <f>IFERROR(__xludf.DUMMYFUNCTION("""COMPUTED_VALUE"""),344.0)</f>
        <v>344</v>
      </c>
      <c r="B345" s="1">
        <f>IFERROR(__xludf.DUMMYFUNCTION("""COMPUTED_VALUE"""),1543809.0)</f>
        <v>1543809</v>
      </c>
      <c r="C345" s="1" t="str">
        <f>IFERROR(__xludf.DUMMYFUNCTION("""COMPUTED_VALUE"""),"2025-1")</f>
        <v>2025-1</v>
      </c>
      <c r="D345" s="1" t="str">
        <f>IFERROR(__xludf.DUMMYFUNCTION("""COMPUTED_VALUE"""),"Admisión Ordinaria")</f>
        <v>Admisión Ordinaria</v>
      </c>
      <c r="E345" s="2">
        <f>IFERROR(__xludf.DUMMYFUNCTION("""COMPUTED_VALUE"""),45670.0)</f>
        <v>45670</v>
      </c>
      <c r="F345" s="1" t="str">
        <f>IFERROR(__xludf.DUMMYFUNCTION("""COMPUTED_VALUE"""),"BELÉN VICTORIA ")</f>
        <v>BELÉN VICTORIA </v>
      </c>
      <c r="G345" s="1" t="str">
        <f>IFERROR(__xludf.DUMMYFUNCTION("""COMPUTED_VALUE"""),"LAURENTE VÁSQUEZ")</f>
        <v>LAURENTE VÁSQUEZ</v>
      </c>
      <c r="H345" s="1" t="str">
        <f>IFERROR(__xludf.DUMMYFUNCTION("""COMPUTED_VALUE"""),"Arquitectura de Interiores")</f>
        <v>Arquitectura de Interiores</v>
      </c>
      <c r="I345" s="1" t="str">
        <f>IFERROR(__xludf.DUMMYFUNCTION("""COMPUTED_VALUE"""),"POS")</f>
        <v>POS</v>
      </c>
      <c r="J345" s="1" t="str">
        <f>IFERROR(__xludf.DUMMYFUNCTION("""COMPUTED_VALUE"""),"Diurno")</f>
        <v>Diurno</v>
      </c>
      <c r="K345" s="1" t="str">
        <f>IFERROR(__xludf.DUMMYFUNCTION("""COMPUTED_VALUE"""),"NUEVO")</f>
        <v>NUEVO</v>
      </c>
      <c r="L345" s="1">
        <f>IFERROR(__xludf.DUMMYFUNCTION("""COMPUTED_VALUE"""),0.0)</f>
        <v>0</v>
      </c>
      <c r="M345" s="1">
        <f>IFERROR(__xludf.DUMMYFUNCTION("""COMPUTED_VALUE"""),0.0)</f>
        <v>0</v>
      </c>
      <c r="N345" s="1" t="str">
        <f>IFERROR(__xludf.DUMMYFUNCTION("""COMPUTED_VALUE"""),"BECA")</f>
        <v>BECA</v>
      </c>
      <c r="O345" s="1" t="str">
        <f>IFERROR(__xludf.DUMMYFUNCTION("""COMPUTED_VALUE"""),"BECA CARRERAS CORE")</f>
        <v>BECA CARRERAS CORE</v>
      </c>
      <c r="P345" s="4">
        <f>IFERROR(__xludf.DUMMYFUNCTION("""COMPUTED_VALUE"""),0.0)</f>
        <v>0</v>
      </c>
      <c r="Q345" s="4">
        <f>IFERROR(__xludf.DUMMYFUNCTION("""COMPUTED_VALUE"""),0.0)</f>
        <v>0</v>
      </c>
      <c r="R345" s="4">
        <f>IFERROR(__xludf.DUMMYFUNCTION("""COMPUTED_VALUE"""),1250.0)</f>
        <v>1250</v>
      </c>
      <c r="S345" s="4">
        <f>IFERROR(__xludf.DUMMYFUNCTION("""COMPUTED_VALUE"""),1050.0)</f>
        <v>1050</v>
      </c>
      <c r="T345" s="1" t="str">
        <f>IFERROR(__xludf.DUMMYFUNCTION("""COMPUTED_VALUE"""),"NINGUNO")</f>
        <v>NINGUNO</v>
      </c>
      <c r="U345" s="1" t="str">
        <f>IFERROR(__xludf.DUMMYFUNCTION("""COMPUTED_VALUE"""),"RODRIGO")</f>
        <v>RODRIGO</v>
      </c>
      <c r="V345" s="1" t="str">
        <f>IFERROR(__xludf.DUMMYFUNCTION("""COMPUTED_VALUE"""),"Ninguno")</f>
        <v>Ninguno</v>
      </c>
      <c r="W345" s="1" t="str">
        <f>IFERROR(__xludf.DUMMYFUNCTION("""COMPUTED_VALUE"""),"Metodología de enseñanza")</f>
        <v>Metodología de enseñanza</v>
      </c>
      <c r="X345" s="1" t="str">
        <f>IFERROR(__xludf.DUMMYFUNCTION("""COMPUTED_VALUE"""),"malla")</f>
        <v>malla</v>
      </c>
      <c r="Y345" s="1" t="str">
        <f>IFERROR(__xludf.DUMMYFUNCTION("""COMPUTED_VALUE"""),"PAGO COMPLETO")</f>
        <v>PAGO COMPLETO</v>
      </c>
      <c r="Z345" s="1"/>
      <c r="AA345" s="1"/>
      <c r="AB345" s="1">
        <f>IFERROR(__xludf.DUMMYFUNCTION("""COMPUTED_VALUE"""),0.0)</f>
        <v>0</v>
      </c>
      <c r="AC345" s="1">
        <f>IFERROR(__xludf.DUMMYFUNCTION("""COMPUTED_VALUE"""),0.0)</f>
        <v>0</v>
      </c>
      <c r="AD345" s="1" t="str">
        <f>IFERROR(__xludf.DUMMYFUNCTION("""COMPUTED_VALUE"""),"Rosa Ugarte")</f>
        <v>Rosa Ugarte</v>
      </c>
      <c r="AE345" s="1" t="str">
        <f>IFERROR(__xludf.DUMMYFUNCTION("""COMPUTED_VALUE"""),"0")</f>
        <v>0</v>
      </c>
      <c r="AF345" s="1">
        <f>IFERROR(__xludf.DUMMYFUNCTION("""COMPUTED_VALUE"""),2021.0)</f>
        <v>2021</v>
      </c>
      <c r="AG345" s="1">
        <f>IFERROR(__xludf.DUMMYFUNCTION("""COMPUTED_VALUE"""),1480086.0)</f>
        <v>1480086</v>
      </c>
      <c r="AH345" s="1">
        <f>IFERROR(__xludf.DUMMYFUNCTION("""COMPUTED_VALUE"""),20.0)</f>
        <v>20</v>
      </c>
      <c r="AI345" s="1" t="str">
        <f>IFERROR(__xludf.DUMMYFUNCTION("""COMPUTED_VALUE"""),"0000409091")</f>
        <v>0000409091</v>
      </c>
      <c r="AJ345" s="1">
        <f>IFERROR(__xludf.DUMMYFUNCTION("""COMPUTED_VALUE"""),7.6364337E7)</f>
        <v>76364337</v>
      </c>
      <c r="AK345" s="1">
        <f>IFERROR(__xludf.DUMMYFUNCTION("""COMPUTED_VALUE"""),9.47705174E8)</f>
        <v>947705174</v>
      </c>
      <c r="AL345" s="1" t="str">
        <f>IFERROR(__xludf.DUMMYFUNCTION("""COMPUTED_VALUE"""),"victoria21lau@gmail.com")</f>
        <v>victoria21lau@gmail.com</v>
      </c>
      <c r="AM345" s="1" t="str">
        <f>IFERROR(__xludf.DUMMYFUNCTION("""COMPUTED_VALUE"""),"FEMENINO")</f>
        <v>FEMENINO</v>
      </c>
      <c r="AN345" s="1">
        <f>IFERROR(__xludf.DUMMYFUNCTION("""COMPUTED_VALUE"""),1775.0)</f>
        <v>1775</v>
      </c>
      <c r="AO345" s="1">
        <f>IFERROR(__xludf.DUMMYFUNCTION("""COMPUTED_VALUE"""),320.0)</f>
        <v>320</v>
      </c>
      <c r="AP345" s="1" t="str">
        <f>IFERROR(__xludf.DUMMYFUNCTION("""COMPUTED_VALUE"""),"FORMULARIO")</f>
        <v>FORMULARIO</v>
      </c>
      <c r="AQ345" s="1" t="str">
        <f>IFERROR(__xludf.DUMMYFUNCTION("""COMPUTED_VALUE"""),"SEARCH MARCA")</f>
        <v>SEARCH MARCA</v>
      </c>
      <c r="AR345" s="1" t="str">
        <f>IFERROR(__xludf.DUMMYFUNCTION("""COMPUTED_VALUE"""),"NUEVO")</f>
        <v>NUEVO</v>
      </c>
      <c r="AS345" s="1" t="str">
        <f>IFERROR(__xludf.DUMMYFUNCTION("""COMPUTED_VALUE"""),"ucal-pg-performance-sedes-abierta-cpl-search_conversion_marca-20240401")</f>
        <v>ucal-pg-performance-sedes-abierta-cpl-search_conversion_marca-20240401</v>
      </c>
      <c r="AT345" s="2">
        <f>IFERROR(__xludf.DUMMYFUNCTION("""COMPUTED_VALUE"""),45665.0)</f>
        <v>45665</v>
      </c>
      <c r="AU345" s="1">
        <f>IFERROR(__xludf.DUMMYFUNCTION("""COMPUTED_VALUE"""),1.0)</f>
        <v>1</v>
      </c>
      <c r="AV345" s="1" t="str">
        <f>IFERROR(__xludf.DUMMYFUNCTION("""COMPUTED_VALUE"""),"NUEVO")</f>
        <v>NUEVO</v>
      </c>
      <c r="AW345" s="1" t="str">
        <f>IFERROR(__xludf.DUMMYFUNCTION("""COMPUTED_VALUE"""),"SI")</f>
        <v>SI</v>
      </c>
      <c r="AX345" s="1"/>
      <c r="AY345" s="1" t="str">
        <f>IFERROR(__xludf.DUMMYFUNCTION("""COMPUTED_VALUE"""),"PAGO COMPLETO")</f>
        <v>PAGO COMPLETO</v>
      </c>
      <c r="AZ345" s="5">
        <f>IFERROR(__xludf.DUMMYFUNCTION("""COMPUTED_VALUE"""),45670.0)</f>
        <v>45670</v>
      </c>
      <c r="BA345" s="1">
        <f>IFERROR(__xludf.DUMMYFUNCTION("""COMPUTED_VALUE"""),0.0)</f>
        <v>0</v>
      </c>
      <c r="BB345" s="1">
        <f>IFERROR(__xludf.DUMMYFUNCTION("""COMPUTED_VALUE"""),0.0)</f>
        <v>0</v>
      </c>
      <c r="BC345" s="4">
        <f>IFERROR(__xludf.DUMMYFUNCTION("""COMPUTED_VALUE"""),0.0)</f>
        <v>0</v>
      </c>
      <c r="BD345" s="4">
        <f>IFERROR(__xludf.DUMMYFUNCTION("""COMPUTED_VALUE"""),0.0)</f>
        <v>0</v>
      </c>
      <c r="BE345" s="1">
        <f>IFERROR(__xludf.DUMMYFUNCTION("""COMPUTED_VALUE"""),1.0)</f>
        <v>1</v>
      </c>
      <c r="BF345" s="6">
        <f>IFERROR(__xludf.DUMMYFUNCTION("""COMPUTED_VALUE"""),1.0)</f>
        <v>1</v>
      </c>
      <c r="BG345" s="1">
        <f>IFERROR(__xludf.DUMMYFUNCTION("""COMPUTED_VALUE"""),1.0)</f>
        <v>1</v>
      </c>
      <c r="BH345" s="1" t="str">
        <f>IFERROR(__xludf.DUMMYFUNCTION("""COMPUTED_VALUE"""),"0")</f>
        <v>0</v>
      </c>
      <c r="BI345" s="4">
        <f>IFERROR(__xludf.DUMMYFUNCTION("""COMPUTED_VALUE"""),0.0)</f>
        <v>0</v>
      </c>
      <c r="BJ345" s="1">
        <f>IFERROR(__xludf.DUMMYFUNCTION("""COMPUTED_VALUE"""),0.0)</f>
        <v>0</v>
      </c>
      <c r="BK345" s="4">
        <f>IFERROR(__xludf.DUMMYFUNCTION("""COMPUTED_VALUE"""),0.0)</f>
        <v>0</v>
      </c>
      <c r="BL345" s="1">
        <f>IFERROR(__xludf.DUMMYFUNCTION("""COMPUTED_VALUE"""),1050.0)</f>
        <v>1050</v>
      </c>
      <c r="BM345" s="1">
        <f>IFERROR(__xludf.DUMMYFUNCTION("""COMPUTED_VALUE"""),2.0)</f>
        <v>2</v>
      </c>
      <c r="BN345" s="2">
        <f>IFERROR(__xludf.DUMMYFUNCTION("""COMPUTED_VALUE"""),45663.0)</f>
        <v>45663</v>
      </c>
      <c r="BO345" s="1">
        <f>IFERROR(__xludf.DUMMYFUNCTION("""COMPUTED_VALUE"""),1.0)</f>
        <v>1</v>
      </c>
      <c r="BP345" s="1">
        <f>IFERROR(__xludf.DUMMYFUNCTION("""COMPUTED_VALUE"""),2025.0)</f>
        <v>2025</v>
      </c>
    </row>
    <row r="346">
      <c r="A346" s="1">
        <f>IFERROR(__xludf.DUMMYFUNCTION("""COMPUTED_VALUE"""),345.0)</f>
        <v>345</v>
      </c>
      <c r="B346" s="1">
        <f>IFERROR(__xludf.DUMMYFUNCTION("""COMPUTED_VALUE"""),4698881.0)</f>
        <v>4698881</v>
      </c>
      <c r="C346" s="1" t="str">
        <f>IFERROR(__xludf.DUMMYFUNCTION("""COMPUTED_VALUE"""),"2025-1")</f>
        <v>2025-1</v>
      </c>
      <c r="D346" s="1" t="str">
        <f>IFERROR(__xludf.DUMMYFUNCTION("""COMPUTED_VALUE"""),"Admisión de Alto Rendimiento")</f>
        <v>Admisión de Alto Rendimiento</v>
      </c>
      <c r="E346" s="2">
        <f>IFERROR(__xludf.DUMMYFUNCTION("""COMPUTED_VALUE"""),45670.0)</f>
        <v>45670</v>
      </c>
      <c r="F346" s="1" t="str">
        <f>IFERROR(__xludf.DUMMYFUNCTION("""COMPUTED_VALUE"""),"CLENDY ANGELA ")</f>
        <v>CLENDY ANGELA </v>
      </c>
      <c r="G346" s="1" t="str">
        <f>IFERROR(__xludf.DUMMYFUNCTION("""COMPUTED_VALUE"""),"CASTRO INGA")</f>
        <v>CASTRO INGA</v>
      </c>
      <c r="H346" s="1" t="str">
        <f>IFERROR(__xludf.DUMMYFUNCTION("""COMPUTED_VALUE"""),"Marketing e Innovación")</f>
        <v>Marketing e Innovación</v>
      </c>
      <c r="I346" s="1" t="str">
        <f>IFERROR(__xludf.DUMMYFUNCTION("""COMPUTED_VALUE"""),"POS")</f>
        <v>POS</v>
      </c>
      <c r="J346" s="1" t="str">
        <f>IFERROR(__xludf.DUMMYFUNCTION("""COMPUTED_VALUE"""),"Diurno")</f>
        <v>Diurno</v>
      </c>
      <c r="K346" s="1" t="str">
        <f>IFERROR(__xludf.DUMMYFUNCTION("""COMPUTED_VALUE"""),"NUEVO")</f>
        <v>NUEVO</v>
      </c>
      <c r="L346" s="1">
        <f>IFERROR(__xludf.DUMMYFUNCTION("""COMPUTED_VALUE"""),0.0)</f>
        <v>0</v>
      </c>
      <c r="M346" s="1">
        <f>IFERROR(__xludf.DUMMYFUNCTION("""COMPUTED_VALUE"""),0.0)</f>
        <v>0</v>
      </c>
      <c r="N346" s="1" t="str">
        <f>IFERROR(__xludf.DUMMYFUNCTION("""COMPUTED_VALUE"""),"BECA")</f>
        <v>BECA</v>
      </c>
      <c r="O346" s="1" t="str">
        <f>IFERROR(__xludf.DUMMYFUNCTION("""COMPUTED_VALUE"""),"BECA CONGELADA DE 2 AÑOS")</f>
        <v>BECA CONGELADA DE 2 AÑOS</v>
      </c>
      <c r="P346" s="4">
        <f>IFERROR(__xludf.DUMMYFUNCTION("""COMPUTED_VALUE"""),0.0)</f>
        <v>0</v>
      </c>
      <c r="Q346" s="4">
        <f>IFERROR(__xludf.DUMMYFUNCTION("""COMPUTED_VALUE"""),0.0)</f>
        <v>0</v>
      </c>
      <c r="R346" s="4">
        <f>IFERROR(__xludf.DUMMYFUNCTION("""COMPUTED_VALUE"""),1000.0)</f>
        <v>1000</v>
      </c>
      <c r="S346" s="4">
        <f>IFERROR(__xludf.DUMMYFUNCTION("""COMPUTED_VALUE"""),850.0)</f>
        <v>850</v>
      </c>
      <c r="T346" s="1" t="str">
        <f>IFERROR(__xludf.DUMMYFUNCTION("""COMPUTED_VALUE"""),"Visita guiada - refirio")</f>
        <v>Visita guiada - refirio</v>
      </c>
      <c r="U346" s="1" t="str">
        <f>IFERROR(__xludf.DUMMYFUNCTION("""COMPUTED_VALUE"""),"FABIOLA")</f>
        <v>FABIOLA</v>
      </c>
      <c r="V346" s="1" t="str">
        <f>IFERROR(__xludf.DUMMYFUNCTION("""COMPUTED_VALUE"""),"Ninguno")</f>
        <v>Ninguno</v>
      </c>
      <c r="W346" s="1" t="str">
        <f>IFERROR(__xludf.DUMMYFUNCTION("""COMPUTED_VALUE"""),"Metodología de enseñanza")</f>
        <v>Metodología de enseñanza</v>
      </c>
      <c r="X346" s="1" t="str">
        <f>IFERROR(__xludf.DUMMYFUNCTION("""COMPUTED_VALUE"""),"metodologia")</f>
        <v>metodologia</v>
      </c>
      <c r="Y346" s="1" t="str">
        <f>IFERROR(__xludf.DUMMYFUNCTION("""COMPUTED_VALUE"""),"PAGO FRACCIONADO")</f>
        <v>PAGO FRACCIONADO</v>
      </c>
      <c r="Z346" s="1">
        <f>IFERROR(__xludf.DUMMYFUNCTION("""COMPUTED_VALUE"""),500.0)</f>
        <v>500</v>
      </c>
      <c r="AA346" s="1" t="str">
        <f>IFERROR(__xludf.DUMMYFUNCTION("""COMPUTED_VALUE"""),"16/01/2025")</f>
        <v>16/01/2025</v>
      </c>
      <c r="AB346" s="1">
        <f>IFERROR(__xludf.DUMMYFUNCTION("""COMPUTED_VALUE"""),1.0)</f>
        <v>1</v>
      </c>
      <c r="AC346" s="1">
        <f>IFERROR(__xludf.DUMMYFUNCTION("""COMPUTED_VALUE"""),0.0)</f>
        <v>0</v>
      </c>
      <c r="AD346" s="1" t="str">
        <f>IFERROR(__xludf.DUMMYFUNCTION("""COMPUTED_VALUE"""),"Cinthia Mariella Orosco")</f>
        <v>Cinthia Mariella Orosco</v>
      </c>
      <c r="AE346" s="1" t="str">
        <f>IFERROR(__xludf.DUMMYFUNCTION("""COMPUTED_VALUE"""),"0")</f>
        <v>0</v>
      </c>
      <c r="AF346" s="1">
        <f>IFERROR(__xludf.DUMMYFUNCTION("""COMPUTED_VALUE"""),2024.0)</f>
        <v>2024</v>
      </c>
      <c r="AG346" s="1">
        <f>IFERROR(__xludf.DUMMYFUNCTION("""COMPUTED_VALUE"""),1241595.0)</f>
        <v>1241595</v>
      </c>
      <c r="AH346" s="1">
        <f>IFERROR(__xludf.DUMMYFUNCTION("""COMPUTED_VALUE"""),18.0)</f>
        <v>18</v>
      </c>
      <c r="AI346" s="1" t="str">
        <f>IFERROR(__xludf.DUMMYFUNCTION("""COMPUTED_VALUE"""),"0000408993")</f>
        <v>0000408993</v>
      </c>
      <c r="AJ346" s="1">
        <f>IFERROR(__xludf.DUMMYFUNCTION("""COMPUTED_VALUE"""),6.10909E7)</f>
        <v>61090900</v>
      </c>
      <c r="AK346" s="1">
        <f>IFERROR(__xludf.DUMMYFUNCTION("""COMPUTED_VALUE"""),9.30167905E8)</f>
        <v>930167905</v>
      </c>
      <c r="AL346" s="1" t="str">
        <f>IFERROR(__xludf.DUMMYFUNCTION("""COMPUTED_VALUE"""),"Clendycass@gmail.com")</f>
        <v>Clendycass@gmail.com</v>
      </c>
      <c r="AM346" s="1" t="str">
        <f>IFERROR(__xludf.DUMMYFUNCTION("""COMPUTED_VALUE"""),"FEMENINO")</f>
        <v>FEMENINO</v>
      </c>
      <c r="AN346" s="1">
        <f>IFERROR(__xludf.DUMMYFUNCTION("""COMPUTED_VALUE"""),1350.0)</f>
        <v>1350</v>
      </c>
      <c r="AO346" s="1">
        <f>IFERROR(__xludf.DUMMYFUNCTION("""COMPUTED_VALUE"""),0.0)</f>
        <v>0</v>
      </c>
      <c r="AP346" s="1" t="str">
        <f>IFERROR(__xludf.DUMMYFUNCTION("""COMPUTED_VALUE"""),"BIDIRECCIONAL")</f>
        <v>BIDIRECCIONAL</v>
      </c>
      <c r="AQ346" s="1" t="str">
        <f>IFERROR(__xludf.DUMMYFUNCTION("""COMPUTED_VALUE"""),"ORGANICO")</f>
        <v>ORGANICO</v>
      </c>
      <c r="AR346" s="1" t="str">
        <f>IFERROR(__xludf.DUMMYFUNCTION("""COMPUTED_VALUE"""),"NUEVO")</f>
        <v>NUEVO</v>
      </c>
      <c r="AS346" s="1"/>
      <c r="AT346" s="2">
        <f>IFERROR(__xludf.DUMMYFUNCTION("""COMPUTED_VALUE"""),45560.0)</f>
        <v>45560</v>
      </c>
      <c r="AU346" s="1">
        <f>IFERROR(__xludf.DUMMYFUNCTION("""COMPUTED_VALUE"""),1.0)</f>
        <v>1</v>
      </c>
      <c r="AV346" s="1" t="str">
        <f>IFERROR(__xludf.DUMMYFUNCTION("""COMPUTED_VALUE"""),"NUEVO")</f>
        <v>NUEVO</v>
      </c>
      <c r="AW346" s="1" t="str">
        <f>IFERROR(__xludf.DUMMYFUNCTION("""COMPUTED_VALUE"""),"SI")</f>
        <v>SI</v>
      </c>
      <c r="AX346" s="1"/>
      <c r="AY346" s="1" t="str">
        <f>IFERROR(__xludf.DUMMYFUNCTION("""COMPUTED_VALUE"""),"PAGO FRACCIONADO")</f>
        <v>PAGO FRACCIONADO</v>
      </c>
      <c r="AZ346" s="1"/>
      <c r="BA346" s="1">
        <f>IFERROR(__xludf.DUMMYFUNCTION("""COMPUTED_VALUE"""),0.0)</f>
        <v>0</v>
      </c>
      <c r="BB346" s="1">
        <f>IFERROR(__xludf.DUMMYFUNCTION("""COMPUTED_VALUE"""),0.0)</f>
        <v>0</v>
      </c>
      <c r="BC346" s="4">
        <f>IFERROR(__xludf.DUMMYFUNCTION("""COMPUTED_VALUE"""),250.0)</f>
        <v>250</v>
      </c>
      <c r="BD346" s="4">
        <f>IFERROR(__xludf.DUMMYFUNCTION("""COMPUTED_VALUE"""),100.0)</f>
        <v>100</v>
      </c>
      <c r="BE346" s="1">
        <f>IFERROR(__xludf.DUMMYFUNCTION("""COMPUTED_VALUE"""),1.0)</f>
        <v>1</v>
      </c>
      <c r="BF346" s="6">
        <f>IFERROR(__xludf.DUMMYFUNCTION("""COMPUTED_VALUE"""),0.6666666666666666)</f>
        <v>0.6666666667</v>
      </c>
      <c r="BG346" s="1">
        <f>IFERROR(__xludf.DUMMYFUNCTION("""COMPUTED_VALUE"""),1.0)</f>
        <v>1</v>
      </c>
      <c r="BH346" s="1" t="str">
        <f>IFERROR(__xludf.DUMMYFUNCTION("""COMPUTED_VALUE"""),"0")</f>
        <v>0</v>
      </c>
      <c r="BI346" s="4">
        <f>IFERROR(__xludf.DUMMYFUNCTION("""COMPUTED_VALUE"""),600.0)</f>
        <v>600</v>
      </c>
      <c r="BJ346" s="1">
        <f>IFERROR(__xludf.DUMMYFUNCTION("""COMPUTED_VALUE"""),0.0)</f>
        <v>0</v>
      </c>
      <c r="BK346" s="4">
        <f>IFERROR(__xludf.DUMMYFUNCTION("""COMPUTED_VALUE"""),950.0)</f>
        <v>950</v>
      </c>
      <c r="BL346" s="1">
        <f>IFERROR(__xludf.DUMMYFUNCTION("""COMPUTED_VALUE"""),660.0)</f>
        <v>660</v>
      </c>
      <c r="BM346" s="1">
        <f>IFERROR(__xludf.DUMMYFUNCTION("""COMPUTED_VALUE"""),2.0)</f>
        <v>2</v>
      </c>
      <c r="BN346" s="2">
        <f>IFERROR(__xludf.DUMMYFUNCTION("""COMPUTED_VALUE"""),45663.0)</f>
        <v>45663</v>
      </c>
      <c r="BO346" s="1">
        <f>IFERROR(__xludf.DUMMYFUNCTION("""COMPUTED_VALUE"""),1.0)</f>
        <v>1</v>
      </c>
      <c r="BP346" s="1">
        <f>IFERROR(__xludf.DUMMYFUNCTION("""COMPUTED_VALUE"""),2025.0)</f>
        <v>2025</v>
      </c>
    </row>
    <row r="347">
      <c r="A347" s="1">
        <f>IFERROR(__xludf.DUMMYFUNCTION("""COMPUTED_VALUE"""),346.0)</f>
        <v>346</v>
      </c>
      <c r="B347" s="1">
        <f>IFERROR(__xludf.DUMMYFUNCTION("""COMPUTED_VALUE"""),1785077.0)</f>
        <v>1785077</v>
      </c>
      <c r="C347" s="1" t="str">
        <f>IFERROR(__xludf.DUMMYFUNCTION("""COMPUTED_VALUE"""),"2025-1")</f>
        <v>2025-1</v>
      </c>
      <c r="D347" s="1" t="str">
        <f>IFERROR(__xludf.DUMMYFUNCTION("""COMPUTED_VALUE"""),"Admisión de Alto Rendimiento")</f>
        <v>Admisión de Alto Rendimiento</v>
      </c>
      <c r="E347" s="2">
        <f>IFERROR(__xludf.DUMMYFUNCTION("""COMPUTED_VALUE"""),45670.0)</f>
        <v>45670</v>
      </c>
      <c r="F347" s="1" t="str">
        <f>IFERROR(__xludf.DUMMYFUNCTION("""COMPUTED_VALUE"""),"PIERO DAVID ")</f>
        <v>PIERO DAVID </v>
      </c>
      <c r="G347" s="1" t="str">
        <f>IFERROR(__xludf.DUMMYFUNCTION("""COMPUTED_VALUE"""),"ATOCHE MACEDO")</f>
        <v>ATOCHE MACEDO</v>
      </c>
      <c r="H347" s="1" t="str">
        <f>IFERROR(__xludf.DUMMYFUNCTION("""COMPUTED_VALUE"""),"Comunicación Audiovisual y Cine")</f>
        <v>Comunicación Audiovisual y Cine</v>
      </c>
      <c r="I347" s="1" t="str">
        <f>IFERROR(__xludf.DUMMYFUNCTION("""COMPUTED_VALUE"""),"CARGO")</f>
        <v>CARGO</v>
      </c>
      <c r="J347" s="1" t="str">
        <f>IFERROR(__xludf.DUMMYFUNCTION("""COMPUTED_VALUE"""),"Diurno")</f>
        <v>Diurno</v>
      </c>
      <c r="K347" s="1" t="str">
        <f>IFERROR(__xludf.DUMMYFUNCTION("""COMPUTED_VALUE"""),"NUEVO")</f>
        <v>NUEVO</v>
      </c>
      <c r="L347" s="1">
        <f>IFERROR(__xludf.DUMMYFUNCTION("""COMPUTED_VALUE"""),0.0)</f>
        <v>0</v>
      </c>
      <c r="M347" s="1">
        <f>IFERROR(__xludf.DUMMYFUNCTION("""COMPUTED_VALUE"""),0.0)</f>
        <v>0</v>
      </c>
      <c r="N347" s="1" t="str">
        <f>IFERROR(__xludf.DUMMYFUNCTION("""COMPUTED_VALUE"""),"BECA")</f>
        <v>BECA</v>
      </c>
      <c r="O347" s="1" t="str">
        <f>IFERROR(__xludf.DUMMYFUNCTION("""COMPUTED_VALUE"""),"BECA CONGELADA DE 2 AÑOS")</f>
        <v>BECA CONGELADA DE 2 AÑOS</v>
      </c>
      <c r="P347" s="4">
        <f>IFERROR(__xludf.DUMMYFUNCTION("""COMPUTED_VALUE"""),0.0)</f>
        <v>0</v>
      </c>
      <c r="Q347" s="4">
        <f>IFERROR(__xludf.DUMMYFUNCTION("""COMPUTED_VALUE"""),0.0)</f>
        <v>0</v>
      </c>
      <c r="R347" s="4">
        <f>IFERROR(__xludf.DUMMYFUNCTION("""COMPUTED_VALUE"""),1250.0)</f>
        <v>1250</v>
      </c>
      <c r="S347" s="4">
        <f>IFERROR(__xludf.DUMMYFUNCTION("""COMPUTED_VALUE"""),1050.0)</f>
        <v>1050</v>
      </c>
      <c r="T347" s="1" t="str">
        <f>IFERROR(__xludf.DUMMYFUNCTION("""COMPUTED_VALUE"""),"NINGUNO")</f>
        <v>NINGUNO</v>
      </c>
      <c r="U347" s="1" t="str">
        <f>IFERROR(__xludf.DUMMYFUNCTION("""COMPUTED_VALUE"""),"FABIOLA")</f>
        <v>FABIOLA</v>
      </c>
      <c r="V347" s="1" t="str">
        <f>IFERROR(__xludf.DUMMYFUNCTION("""COMPUTED_VALUE"""),"Cinthia Orosco")</f>
        <v>Cinthia Orosco</v>
      </c>
      <c r="W347" s="1" t="str">
        <f>IFERROR(__xludf.DUMMYFUNCTION("""COMPUTED_VALUE"""),"Metodología de enseñanza")</f>
        <v>Metodología de enseñanza</v>
      </c>
      <c r="X347" s="1" t="str">
        <f>IFERROR(__xludf.DUMMYFUNCTION("""COMPUTED_VALUE"""),"metodologia")</f>
        <v>metodologia</v>
      </c>
      <c r="Y347" s="1" t="str">
        <f>IFERROR(__xludf.DUMMYFUNCTION("""COMPUTED_VALUE"""),"PAGO COMPLETO")</f>
        <v>PAGO COMPLETO</v>
      </c>
      <c r="Z347" s="1"/>
      <c r="AA347" s="1"/>
      <c r="AB347" s="1">
        <f>IFERROR(__xludf.DUMMYFUNCTION("""COMPUTED_VALUE"""),0.0)</f>
        <v>0</v>
      </c>
      <c r="AC347" s="1">
        <f>IFERROR(__xludf.DUMMYFUNCTION("""COMPUTED_VALUE"""),0.0)</f>
        <v>0</v>
      </c>
      <c r="AD347" s="1" t="str">
        <f>IFERROR(__xludf.DUMMYFUNCTION("""COMPUTED_VALUE"""),"Cinthia Mariella Orosco")</f>
        <v>Cinthia Mariella Orosco</v>
      </c>
      <c r="AE347" s="1" t="str">
        <f>IFERROR(__xludf.DUMMYFUNCTION("""COMPUTED_VALUE"""),"0")</f>
        <v>0</v>
      </c>
      <c r="AF347" s="1">
        <f>IFERROR(__xludf.DUMMYFUNCTION("""COMPUTED_VALUE"""),2024.0)</f>
        <v>2024</v>
      </c>
      <c r="AG347" s="1">
        <f>IFERROR(__xludf.DUMMYFUNCTION("""COMPUTED_VALUE"""),1083864.0)</f>
        <v>1083864</v>
      </c>
      <c r="AH347" s="1">
        <f>IFERROR(__xludf.DUMMYFUNCTION("""COMPUTED_VALUE"""),18.0)</f>
        <v>18</v>
      </c>
      <c r="AI347" s="1" t="str">
        <f>IFERROR(__xludf.DUMMYFUNCTION("""COMPUTED_VALUE"""),"0000409030")</f>
        <v>0000409030</v>
      </c>
      <c r="AJ347" s="1">
        <f>IFERROR(__xludf.DUMMYFUNCTION("""COMPUTED_VALUE"""),7.0739866E7)</f>
        <v>70739866</v>
      </c>
      <c r="AK347" s="1">
        <f>IFERROR(__xludf.DUMMYFUNCTION("""COMPUTED_VALUE"""),9.94500422E8)</f>
        <v>994500422</v>
      </c>
      <c r="AL347" s="1" t="str">
        <f>IFERROR(__xludf.DUMMYFUNCTION("""COMPUTED_VALUE"""),"piero.atoche1809@gmail.com")</f>
        <v>piero.atoche1809@gmail.com</v>
      </c>
      <c r="AM347" s="1" t="str">
        <f>IFERROR(__xludf.DUMMYFUNCTION("""COMPUTED_VALUE"""),"MASCULINO")</f>
        <v>MASCULINO</v>
      </c>
      <c r="AN347" s="1">
        <f>IFERROR(__xludf.DUMMYFUNCTION("""COMPUTED_VALUE"""),1775.0)</f>
        <v>1775</v>
      </c>
      <c r="AO347" s="1">
        <f>IFERROR(__xludf.DUMMYFUNCTION("""COMPUTED_VALUE"""),305.0)</f>
        <v>305</v>
      </c>
      <c r="AP347" s="1" t="str">
        <f>IFERROR(__xludf.DUMMYFUNCTION("""COMPUTED_VALUE"""),"FORMULARIO")</f>
        <v>FORMULARIO</v>
      </c>
      <c r="AQ347" s="1" t="str">
        <f>IFERROR(__xludf.DUMMYFUNCTION("""COMPUTED_VALUE"""),"ORGANICO")</f>
        <v>ORGANICO</v>
      </c>
      <c r="AR347" s="1" t="str">
        <f>IFERROR(__xludf.DUMMYFUNCTION("""COMPUTED_VALUE"""),"HEREDADO")</f>
        <v>HEREDADO</v>
      </c>
      <c r="AS347" s="1"/>
      <c r="AT347" s="2">
        <f>IFERROR(__xludf.DUMMYFUNCTION("""COMPUTED_VALUE"""),45658.0)</f>
        <v>45658</v>
      </c>
      <c r="AU347" s="1">
        <f>IFERROR(__xludf.DUMMYFUNCTION("""COMPUTED_VALUE"""),1.0)</f>
        <v>1</v>
      </c>
      <c r="AV347" s="1" t="str">
        <f>IFERROR(__xludf.DUMMYFUNCTION("""COMPUTED_VALUE"""),"NUEVO")</f>
        <v>NUEVO</v>
      </c>
      <c r="AW347" s="1" t="str">
        <f>IFERROR(__xludf.DUMMYFUNCTION("""COMPUTED_VALUE"""),"SI")</f>
        <v>SI</v>
      </c>
      <c r="AX347" s="1"/>
      <c r="AY347" s="1" t="str">
        <f>IFERROR(__xludf.DUMMYFUNCTION("""COMPUTED_VALUE"""),"PAGO COMPLETO")</f>
        <v>PAGO COMPLETO</v>
      </c>
      <c r="AZ347" s="5">
        <f>IFERROR(__xludf.DUMMYFUNCTION("""COMPUTED_VALUE"""),45670.0)</f>
        <v>45670</v>
      </c>
      <c r="BA347" s="1">
        <f>IFERROR(__xludf.DUMMYFUNCTION("""COMPUTED_VALUE"""),0.0)</f>
        <v>0</v>
      </c>
      <c r="BB347" s="1">
        <f>IFERROR(__xludf.DUMMYFUNCTION("""COMPUTED_VALUE"""),0.0)</f>
        <v>0</v>
      </c>
      <c r="BC347" s="4">
        <f>IFERROR(__xludf.DUMMYFUNCTION("""COMPUTED_VALUE"""),0.0)</f>
        <v>0</v>
      </c>
      <c r="BD347" s="4">
        <f>IFERROR(__xludf.DUMMYFUNCTION("""COMPUTED_VALUE"""),0.0)</f>
        <v>0</v>
      </c>
      <c r="BE347" s="1">
        <f>IFERROR(__xludf.DUMMYFUNCTION("""COMPUTED_VALUE"""),1.0)</f>
        <v>1</v>
      </c>
      <c r="BF347" s="6">
        <f>IFERROR(__xludf.DUMMYFUNCTION("""COMPUTED_VALUE"""),1.0)</f>
        <v>1</v>
      </c>
      <c r="BG347" s="1">
        <f>IFERROR(__xludf.DUMMYFUNCTION("""COMPUTED_VALUE"""),1.0)</f>
        <v>1</v>
      </c>
      <c r="BH347" s="1" t="str">
        <f>IFERROR(__xludf.DUMMYFUNCTION("""COMPUTED_VALUE"""),"0")</f>
        <v>0</v>
      </c>
      <c r="BI347" s="4">
        <f>IFERROR(__xludf.DUMMYFUNCTION("""COMPUTED_VALUE"""),0.0)</f>
        <v>0</v>
      </c>
      <c r="BJ347" s="1">
        <f>IFERROR(__xludf.DUMMYFUNCTION("""COMPUTED_VALUE"""),0.0)</f>
        <v>0</v>
      </c>
      <c r="BK347" s="4">
        <f>IFERROR(__xludf.DUMMYFUNCTION("""COMPUTED_VALUE"""),0.0)</f>
        <v>0</v>
      </c>
      <c r="BL347" s="1">
        <f>IFERROR(__xludf.DUMMYFUNCTION("""COMPUTED_VALUE"""),1050.0)</f>
        <v>1050</v>
      </c>
      <c r="BM347" s="1">
        <f>IFERROR(__xludf.DUMMYFUNCTION("""COMPUTED_VALUE"""),3.0)</f>
        <v>3</v>
      </c>
      <c r="BN347" s="2">
        <f>IFERROR(__xludf.DUMMYFUNCTION("""COMPUTED_VALUE"""),45670.0)</f>
        <v>45670</v>
      </c>
      <c r="BO347" s="1">
        <f>IFERROR(__xludf.DUMMYFUNCTION("""COMPUTED_VALUE"""),1.0)</f>
        <v>1</v>
      </c>
      <c r="BP347" s="1">
        <f>IFERROR(__xludf.DUMMYFUNCTION("""COMPUTED_VALUE"""),2025.0)</f>
        <v>2025</v>
      </c>
    </row>
    <row r="348">
      <c r="A348" s="1">
        <f>IFERROR(__xludf.DUMMYFUNCTION("""COMPUTED_VALUE"""),347.0)</f>
        <v>347</v>
      </c>
      <c r="B348" s="1">
        <f>IFERROR(__xludf.DUMMYFUNCTION("""COMPUTED_VALUE"""),3245995.0)</f>
        <v>3245995</v>
      </c>
      <c r="C348" s="1" t="str">
        <f>IFERROR(__xludf.DUMMYFUNCTION("""COMPUTED_VALUE"""),"2025-1")</f>
        <v>2025-1</v>
      </c>
      <c r="D348" s="1" t="str">
        <f>IFERROR(__xludf.DUMMYFUNCTION("""COMPUTED_VALUE"""),"Admisión de Alto Rendimiento")</f>
        <v>Admisión de Alto Rendimiento</v>
      </c>
      <c r="E348" s="2">
        <f>IFERROR(__xludf.DUMMYFUNCTION("""COMPUTED_VALUE"""),45670.0)</f>
        <v>45670</v>
      </c>
      <c r="F348" s="1" t="str">
        <f>IFERROR(__xludf.DUMMYFUNCTION("""COMPUTED_VALUE"""),"MARIA JULIA ")</f>
        <v>MARIA JULIA </v>
      </c>
      <c r="G348" s="1" t="str">
        <f>IFERROR(__xludf.DUMMYFUNCTION("""COMPUTED_VALUE"""),"MIRANDA PORTILLO")</f>
        <v>MIRANDA PORTILLO</v>
      </c>
      <c r="H348" s="1" t="str">
        <f>IFERROR(__xludf.DUMMYFUNCTION("""COMPUTED_VALUE"""),"Comunicación y Publicidad Transmedia")</f>
        <v>Comunicación y Publicidad Transmedia</v>
      </c>
      <c r="I348" s="1" t="str">
        <f>IFERROR(__xludf.DUMMYFUNCTION("""COMPUTED_VALUE"""),"Pago Link")</f>
        <v>Pago Link</v>
      </c>
      <c r="J348" s="1" t="str">
        <f>IFERROR(__xludf.DUMMYFUNCTION("""COMPUTED_VALUE"""),"Diurno")</f>
        <v>Diurno</v>
      </c>
      <c r="K348" s="1" t="str">
        <f>IFERROR(__xludf.DUMMYFUNCTION("""COMPUTED_VALUE"""),"NUEVO")</f>
        <v>NUEVO</v>
      </c>
      <c r="L348" s="1">
        <f>IFERROR(__xludf.DUMMYFUNCTION("""COMPUTED_VALUE"""),0.0)</f>
        <v>0</v>
      </c>
      <c r="M348" s="1">
        <f>IFERROR(__xludf.DUMMYFUNCTION("""COMPUTED_VALUE"""),0.0)</f>
        <v>0</v>
      </c>
      <c r="N348" s="1" t="str">
        <f>IFERROR(__xludf.DUMMYFUNCTION("""COMPUTED_VALUE"""),"BECA")</f>
        <v>BECA</v>
      </c>
      <c r="O348" s="1" t="str">
        <f>IFERROR(__xludf.DUMMYFUNCTION("""COMPUTED_VALUE"""),"BECA CARRERAS CORE")</f>
        <v>BECA CARRERAS CORE</v>
      </c>
      <c r="P348" s="4">
        <f>IFERROR(__xludf.DUMMYFUNCTION("""COMPUTED_VALUE"""),0.0)</f>
        <v>0</v>
      </c>
      <c r="Q348" s="4">
        <f>IFERROR(__xludf.DUMMYFUNCTION("""COMPUTED_VALUE"""),0.0)</f>
        <v>0</v>
      </c>
      <c r="R348" s="4">
        <f>IFERROR(__xludf.DUMMYFUNCTION("""COMPUTED_VALUE"""),1250.0)</f>
        <v>1250</v>
      </c>
      <c r="S348" s="4">
        <f>IFERROR(__xludf.DUMMYFUNCTION("""COMPUTED_VALUE"""),1050.0)</f>
        <v>1050</v>
      </c>
      <c r="T348" s="1" t="str">
        <f>IFERROR(__xludf.DUMMYFUNCTION("""COMPUTED_VALUE"""),"NINGUNO")</f>
        <v>NINGUNO</v>
      </c>
      <c r="U348" s="1" t="str">
        <f>IFERROR(__xludf.DUMMYFUNCTION("""COMPUTED_VALUE"""),"RODRIGO")</f>
        <v>RODRIGO</v>
      </c>
      <c r="V348" s="1" t="str">
        <f>IFERROR(__xludf.DUMMYFUNCTION("""COMPUTED_VALUE"""),"Ninguno")</f>
        <v>Ninguno</v>
      </c>
      <c r="W348" s="1" t="str">
        <f>IFERROR(__xludf.DUMMYFUNCTION("""COMPUTED_VALUE"""),"Convenios internacionales")</f>
        <v>Convenios internacionales</v>
      </c>
      <c r="X348" s="1" t="str">
        <f>IFERROR(__xludf.DUMMYFUNCTION("""COMPUTED_VALUE"""),"ninguno ")</f>
        <v>ninguno </v>
      </c>
      <c r="Y348" s="1" t="str">
        <f>IFERROR(__xludf.DUMMYFUNCTION("""COMPUTED_VALUE"""),"PAGO FRACCIONADO")</f>
        <v>PAGO FRACCIONADO</v>
      </c>
      <c r="Z348" s="1">
        <f>IFERROR(__xludf.DUMMYFUNCTION("""COMPUTED_VALUE"""),525.0)</f>
        <v>525</v>
      </c>
      <c r="AA348" s="1" t="str">
        <f>IFERROR(__xludf.DUMMYFUNCTION("""COMPUTED_VALUE"""),"29/01/2024")</f>
        <v>29/01/2024</v>
      </c>
      <c r="AB348" s="1">
        <f>IFERROR(__xludf.DUMMYFUNCTION("""COMPUTED_VALUE"""),0.0)</f>
        <v>0</v>
      </c>
      <c r="AC348" s="1">
        <f>IFERROR(__xludf.DUMMYFUNCTION("""COMPUTED_VALUE"""),0.0)</f>
        <v>0</v>
      </c>
      <c r="AD348" s="1" t="str">
        <f>IFERROR(__xludf.DUMMYFUNCTION("""COMPUTED_VALUE"""),"Rosa Ugarte")</f>
        <v>Rosa Ugarte</v>
      </c>
      <c r="AE348" s="1" t="str">
        <f>IFERROR(__xludf.DUMMYFUNCTION("""COMPUTED_VALUE"""),"0")</f>
        <v>0</v>
      </c>
      <c r="AF348" s="1">
        <f>IFERROR(__xludf.DUMMYFUNCTION("""COMPUTED_VALUE"""),2022.0)</f>
        <v>2022</v>
      </c>
      <c r="AG348" s="1">
        <f>IFERROR(__xludf.DUMMYFUNCTION("""COMPUTED_VALUE"""),1072222.0)</f>
        <v>1072222</v>
      </c>
      <c r="AH348" s="1">
        <f>IFERROR(__xludf.DUMMYFUNCTION("""COMPUTED_VALUE"""),20.0)</f>
        <v>20</v>
      </c>
      <c r="AI348" s="1" t="str">
        <f>IFERROR(__xludf.DUMMYFUNCTION("""COMPUTED_VALUE"""),"0000409147")</f>
        <v>0000409147</v>
      </c>
      <c r="AJ348" s="1">
        <f>IFERROR(__xludf.DUMMYFUNCTION("""COMPUTED_VALUE"""),7.664267E7)</f>
        <v>76642670</v>
      </c>
      <c r="AK348" s="1">
        <f>IFERROR(__xludf.DUMMYFUNCTION("""COMPUTED_VALUE"""),9.18607826E8)</f>
        <v>918607826</v>
      </c>
      <c r="AL348" s="1" t="str">
        <f>IFERROR(__xludf.DUMMYFUNCTION("""COMPUTED_VALUE"""),"mjulia.miranda2005@gmail.com")</f>
        <v>mjulia.miranda2005@gmail.com</v>
      </c>
      <c r="AM348" s="1" t="str">
        <f>IFERROR(__xludf.DUMMYFUNCTION("""COMPUTED_VALUE"""),"FEMENINO")</f>
        <v>FEMENINO</v>
      </c>
      <c r="AN348" s="1">
        <f>IFERROR(__xludf.DUMMYFUNCTION("""COMPUTED_VALUE"""),1600.0)</f>
        <v>1600</v>
      </c>
      <c r="AO348" s="1">
        <f>IFERROR(__xludf.DUMMYFUNCTION("""COMPUTED_VALUE"""),300.0)</f>
        <v>300</v>
      </c>
      <c r="AP348" s="1" t="str">
        <f>IFERROR(__xludf.DUMMYFUNCTION("""COMPUTED_VALUE"""),"BIDIRECCIONAL")</f>
        <v>BIDIRECCIONAL</v>
      </c>
      <c r="AQ348" s="1" t="str">
        <f>IFERROR(__xludf.DUMMYFUNCTION("""COMPUTED_VALUE"""),"ORGANICO")</f>
        <v>ORGANICO</v>
      </c>
      <c r="AR348" s="1" t="str">
        <f>IFERROR(__xludf.DUMMYFUNCTION("""COMPUTED_VALUE"""),"NUEVO")</f>
        <v>NUEVO</v>
      </c>
      <c r="AS348" s="1"/>
      <c r="AT348" s="2">
        <f>IFERROR(__xludf.DUMMYFUNCTION("""COMPUTED_VALUE"""),45666.0)</f>
        <v>45666</v>
      </c>
      <c r="AU348" s="1">
        <f>IFERROR(__xludf.DUMMYFUNCTION("""COMPUTED_VALUE"""),1.0)</f>
        <v>1</v>
      </c>
      <c r="AV348" s="1" t="str">
        <f>IFERROR(__xludf.DUMMYFUNCTION("""COMPUTED_VALUE"""),"NUEVO")</f>
        <v>NUEVO</v>
      </c>
      <c r="AW348" s="1" t="str">
        <f>IFERROR(__xludf.DUMMYFUNCTION("""COMPUTED_VALUE"""),"SI")</f>
        <v>SI</v>
      </c>
      <c r="AX348" s="1"/>
      <c r="AY348" s="1" t="str">
        <f>IFERROR(__xludf.DUMMYFUNCTION("""COMPUTED_VALUE"""),"PAGO COMPLETO")</f>
        <v>PAGO COMPLETO</v>
      </c>
      <c r="AZ348" s="5">
        <f>IFERROR(__xludf.DUMMYFUNCTION("""COMPUTED_VALUE"""),45688.0)</f>
        <v>45688</v>
      </c>
      <c r="BA348" s="1">
        <f>IFERROR(__xludf.DUMMYFUNCTION("""COMPUTED_VALUE"""),525.0)</f>
        <v>525</v>
      </c>
      <c r="BB348" s="1">
        <f>IFERROR(__xludf.DUMMYFUNCTION("""COMPUTED_VALUE"""),0.0)</f>
        <v>0</v>
      </c>
      <c r="BC348" s="4">
        <f>IFERROR(__xludf.DUMMYFUNCTION("""COMPUTED_VALUE"""),0.0)</f>
        <v>0</v>
      </c>
      <c r="BD348" s="4">
        <f>IFERROR(__xludf.DUMMYFUNCTION("""COMPUTED_VALUE"""),0.0)</f>
        <v>0</v>
      </c>
      <c r="BE348" s="1">
        <f>IFERROR(__xludf.DUMMYFUNCTION("""COMPUTED_VALUE"""),1.0)</f>
        <v>1</v>
      </c>
      <c r="BF348" s="6">
        <f>IFERROR(__xludf.DUMMYFUNCTION("""COMPUTED_VALUE"""),1.0)</f>
        <v>1</v>
      </c>
      <c r="BG348" s="1">
        <f>IFERROR(__xludf.DUMMYFUNCTION("""COMPUTED_VALUE"""),1.0)</f>
        <v>1</v>
      </c>
      <c r="BH348" s="1" t="str">
        <f>IFERROR(__xludf.DUMMYFUNCTION("""COMPUTED_VALUE"""),"0")</f>
        <v>0</v>
      </c>
      <c r="BI348" s="4">
        <f>IFERROR(__xludf.DUMMYFUNCTION("""COMPUTED_VALUE"""),1050.0)</f>
        <v>1050</v>
      </c>
      <c r="BJ348" s="1">
        <f>IFERROR(__xludf.DUMMYFUNCTION("""COMPUTED_VALUE"""),0.0)</f>
        <v>0</v>
      </c>
      <c r="BK348" s="4">
        <f>IFERROR(__xludf.DUMMYFUNCTION("""COMPUTED_VALUE"""),0.0)</f>
        <v>0</v>
      </c>
      <c r="BL348" s="1">
        <f>IFERROR(__xludf.DUMMYFUNCTION("""COMPUTED_VALUE"""),1050.0)</f>
        <v>1050</v>
      </c>
      <c r="BM348" s="1">
        <f>IFERROR(__xludf.DUMMYFUNCTION("""COMPUTED_VALUE"""),3.0)</f>
        <v>3</v>
      </c>
      <c r="BN348" s="2">
        <f>IFERROR(__xludf.DUMMYFUNCTION("""COMPUTED_VALUE"""),45670.0)</f>
        <v>45670</v>
      </c>
      <c r="BO348" s="1">
        <f>IFERROR(__xludf.DUMMYFUNCTION("""COMPUTED_VALUE"""),1.0)</f>
        <v>1</v>
      </c>
      <c r="BP348" s="1">
        <f>IFERROR(__xludf.DUMMYFUNCTION("""COMPUTED_VALUE"""),2025.0)</f>
        <v>2025</v>
      </c>
    </row>
    <row r="349">
      <c r="A349" s="1">
        <f>IFERROR(__xludf.DUMMYFUNCTION("""COMPUTED_VALUE"""),348.0)</f>
        <v>348</v>
      </c>
      <c r="B349" s="1">
        <f>IFERROR(__xludf.DUMMYFUNCTION("""COMPUTED_VALUE"""),4939093.0)</f>
        <v>4939093</v>
      </c>
      <c r="C349" s="1" t="str">
        <f>IFERROR(__xludf.DUMMYFUNCTION("""COMPUTED_VALUE"""),"2025-1")</f>
        <v>2025-1</v>
      </c>
      <c r="D349" s="1" t="str">
        <f>IFERROR(__xludf.DUMMYFUNCTION("""COMPUTED_VALUE"""),"Admisión de Alto Rendimiento")</f>
        <v>Admisión de Alto Rendimiento</v>
      </c>
      <c r="E349" s="2">
        <f>IFERROR(__xludf.DUMMYFUNCTION("""COMPUTED_VALUE"""),45670.0)</f>
        <v>45670</v>
      </c>
      <c r="F349" s="1" t="str">
        <f>IFERROR(__xludf.DUMMYFUNCTION("""COMPUTED_VALUE"""),"WILLIAMS SEBASTIAN")</f>
        <v>WILLIAMS SEBASTIAN</v>
      </c>
      <c r="G349" s="1" t="str">
        <f>IFERROR(__xludf.DUMMYFUNCTION("""COMPUTED_VALUE"""),"VALDIVIA CASTILLO")</f>
        <v>VALDIVIA CASTILLO</v>
      </c>
      <c r="H349" s="1" t="str">
        <f>IFERROR(__xludf.DUMMYFUNCTION("""COMPUTED_VALUE"""),"Diseño Gráfico Publicitario")</f>
        <v>Diseño Gráfico Publicitario</v>
      </c>
      <c r="I349" s="1" t="str">
        <f>IFERROR(__xludf.DUMMYFUNCTION("""COMPUTED_VALUE"""),"CARGO")</f>
        <v>CARGO</v>
      </c>
      <c r="J349" s="1" t="str">
        <f>IFERROR(__xludf.DUMMYFUNCTION("""COMPUTED_VALUE"""),"Diurno")</f>
        <v>Diurno</v>
      </c>
      <c r="K349" s="1" t="str">
        <f>IFERROR(__xludf.DUMMYFUNCTION("""COMPUTED_VALUE"""),"NUEVO")</f>
        <v>NUEVO</v>
      </c>
      <c r="L349" s="1">
        <f>IFERROR(__xludf.DUMMYFUNCTION("""COMPUTED_VALUE"""),0.0)</f>
        <v>0</v>
      </c>
      <c r="M349" s="1">
        <f>IFERROR(__xludf.DUMMYFUNCTION("""COMPUTED_VALUE"""),0.0)</f>
        <v>0</v>
      </c>
      <c r="N349" s="1" t="str">
        <f>IFERROR(__xludf.DUMMYFUNCTION("""COMPUTED_VALUE"""),"BECA")</f>
        <v>BECA</v>
      </c>
      <c r="O349" s="1" t="str">
        <f>IFERROR(__xludf.DUMMYFUNCTION("""COMPUTED_VALUE"""),"BECA CONGELADA DE 2 AÑOS")</f>
        <v>BECA CONGELADA DE 2 AÑOS</v>
      </c>
      <c r="P349" s="4">
        <f>IFERROR(__xludf.DUMMYFUNCTION("""COMPUTED_VALUE"""),0.0)</f>
        <v>0</v>
      </c>
      <c r="Q349" s="4">
        <f>IFERROR(__xludf.DUMMYFUNCTION("""COMPUTED_VALUE"""),0.0)</f>
        <v>0</v>
      </c>
      <c r="R349" s="4">
        <f>IFERROR(__xludf.DUMMYFUNCTION("""COMPUTED_VALUE"""),1150.0)</f>
        <v>1150</v>
      </c>
      <c r="S349" s="4">
        <f>IFERROR(__xludf.DUMMYFUNCTION("""COMPUTED_VALUE"""),950.0)</f>
        <v>950</v>
      </c>
      <c r="T349" s="1" t="str">
        <f>IFERROR(__xludf.DUMMYFUNCTION("""COMPUTED_VALUE"""),"NINGUNO")</f>
        <v>NINGUNO</v>
      </c>
      <c r="U349" s="1" t="str">
        <f>IFERROR(__xludf.DUMMYFUNCTION("""COMPUTED_VALUE"""),"RODRIGO")</f>
        <v>RODRIGO</v>
      </c>
      <c r="V349" s="1"/>
      <c r="W349" s="1" t="str">
        <f>IFERROR(__xludf.DUMMYFUNCTION("""COMPUTED_VALUE"""),"Beca")</f>
        <v>Beca</v>
      </c>
      <c r="X349" s="1"/>
      <c r="Y349" s="1" t="str">
        <f>IFERROR(__xludf.DUMMYFUNCTION("""COMPUTED_VALUE"""),"PAGO COMPLETO")</f>
        <v>PAGO COMPLETO</v>
      </c>
      <c r="Z349" s="1"/>
      <c r="AA349" s="1"/>
      <c r="AB349" s="1">
        <f>IFERROR(__xludf.DUMMYFUNCTION("""COMPUTED_VALUE"""),0.0)</f>
        <v>0</v>
      </c>
      <c r="AC349" s="1">
        <f>IFERROR(__xludf.DUMMYFUNCTION("""COMPUTED_VALUE"""),0.0)</f>
        <v>0</v>
      </c>
      <c r="AD349" s="1" t="str">
        <f>IFERROR(__xludf.DUMMYFUNCTION("""COMPUTED_VALUE"""),"Erwyn Terie Vital Avila")</f>
        <v>Erwyn Terie Vital Avila</v>
      </c>
      <c r="AE349" s="1" t="str">
        <f>IFERROR(__xludf.DUMMYFUNCTION("""COMPUTED_VALUE"""),"0")</f>
        <v>0</v>
      </c>
      <c r="AF349" s="1">
        <f>IFERROR(__xludf.DUMMYFUNCTION("""COMPUTED_VALUE"""),2024.0)</f>
        <v>2024</v>
      </c>
      <c r="AG349" s="1">
        <f>IFERROR(__xludf.DUMMYFUNCTION("""COMPUTED_VALUE"""),1728757.0)</f>
        <v>1728757</v>
      </c>
      <c r="AH349" s="1">
        <f>IFERROR(__xludf.DUMMYFUNCTION("""COMPUTED_VALUE"""),17.0)</f>
        <v>17</v>
      </c>
      <c r="AI349" s="1" t="str">
        <f>IFERROR(__xludf.DUMMYFUNCTION("""COMPUTED_VALUE"""),"0000409230")</f>
        <v>0000409230</v>
      </c>
      <c r="AJ349" s="1">
        <f>IFERROR(__xludf.DUMMYFUNCTION("""COMPUTED_VALUE"""),7.1169942E7)</f>
        <v>71169942</v>
      </c>
      <c r="AK349" s="1">
        <f>IFERROR(__xludf.DUMMYFUNCTION("""COMPUTED_VALUE"""),9.87847665E8)</f>
        <v>987847665</v>
      </c>
      <c r="AL349" s="1" t="str">
        <f>IFERROR(__xludf.DUMMYFUNCTION("""COMPUTED_VALUE"""),"Poderwar@gmail.com")</f>
        <v>Poderwar@gmail.com</v>
      </c>
      <c r="AM349" s="1" t="str">
        <f>IFERROR(__xludf.DUMMYFUNCTION("""COMPUTED_VALUE"""),"MASCULINO")</f>
        <v>MASCULINO</v>
      </c>
      <c r="AN349" s="1">
        <f>IFERROR(__xludf.DUMMYFUNCTION("""COMPUTED_VALUE"""),1775.0)</f>
        <v>1775</v>
      </c>
      <c r="AO349" s="1">
        <f>IFERROR(__xludf.DUMMYFUNCTION("""COMPUTED_VALUE"""),400.0)</f>
        <v>400</v>
      </c>
      <c r="AP349" s="1" t="str">
        <f>IFERROR(__xludf.DUMMYFUNCTION("""COMPUTED_VALUE"""),"BIDIRECCIONAL")</f>
        <v>BIDIRECCIONAL</v>
      </c>
      <c r="AQ349" s="1" t="str">
        <f>IFERROR(__xludf.DUMMYFUNCTION("""COMPUTED_VALUE"""),"ORGANICO")</f>
        <v>ORGANICO</v>
      </c>
      <c r="AR349" s="1" t="str">
        <f>IFERROR(__xludf.DUMMYFUNCTION("""COMPUTED_VALUE"""),"NUEVO")</f>
        <v>NUEVO</v>
      </c>
      <c r="AS349" s="1"/>
      <c r="AT349" s="2">
        <f>IFERROR(__xludf.DUMMYFUNCTION("""COMPUTED_VALUE"""),45667.0)</f>
        <v>45667</v>
      </c>
      <c r="AU349" s="1">
        <f>IFERROR(__xludf.DUMMYFUNCTION("""COMPUTED_VALUE"""),1.0)</f>
        <v>1</v>
      </c>
      <c r="AV349" s="1" t="str">
        <f>IFERROR(__xludf.DUMMYFUNCTION("""COMPUTED_VALUE"""),"NUEVO")</f>
        <v>NUEVO</v>
      </c>
      <c r="AW349" s="1" t="str">
        <f>IFERROR(__xludf.DUMMYFUNCTION("""COMPUTED_VALUE"""),"SI")</f>
        <v>SI</v>
      </c>
      <c r="AX349" s="1"/>
      <c r="AY349" s="1" t="str">
        <f>IFERROR(__xludf.DUMMYFUNCTION("""COMPUTED_VALUE"""),"PAGO COMPLETO")</f>
        <v>PAGO COMPLETO</v>
      </c>
      <c r="AZ349" s="5">
        <f>IFERROR(__xludf.DUMMYFUNCTION("""COMPUTED_VALUE"""),45670.0)</f>
        <v>45670</v>
      </c>
      <c r="BA349" s="1">
        <f>IFERROR(__xludf.DUMMYFUNCTION("""COMPUTED_VALUE"""),0.0)</f>
        <v>0</v>
      </c>
      <c r="BB349" s="1">
        <f>IFERROR(__xludf.DUMMYFUNCTION("""COMPUTED_VALUE"""),0.0)</f>
        <v>0</v>
      </c>
      <c r="BC349" s="4">
        <f>IFERROR(__xludf.DUMMYFUNCTION("""COMPUTED_VALUE"""),0.0)</f>
        <v>0</v>
      </c>
      <c r="BD349" s="4">
        <f>IFERROR(__xludf.DUMMYFUNCTION("""COMPUTED_VALUE"""),0.0)</f>
        <v>0</v>
      </c>
      <c r="BE349" s="1">
        <f>IFERROR(__xludf.DUMMYFUNCTION("""COMPUTED_VALUE"""),1.0)</f>
        <v>1</v>
      </c>
      <c r="BF349" s="6">
        <f>IFERROR(__xludf.DUMMYFUNCTION("""COMPUTED_VALUE"""),1.0)</f>
        <v>1</v>
      </c>
      <c r="BG349" s="1">
        <f>IFERROR(__xludf.DUMMYFUNCTION("""COMPUTED_VALUE"""),1.0)</f>
        <v>1</v>
      </c>
      <c r="BH349" s="1" t="str">
        <f>IFERROR(__xludf.DUMMYFUNCTION("""COMPUTED_VALUE"""),"0")</f>
        <v>0</v>
      </c>
      <c r="BI349" s="4">
        <f>IFERROR(__xludf.DUMMYFUNCTION("""COMPUTED_VALUE"""),0.0)</f>
        <v>0</v>
      </c>
      <c r="BJ349" s="1">
        <f>IFERROR(__xludf.DUMMYFUNCTION("""COMPUTED_VALUE"""),0.0)</f>
        <v>0</v>
      </c>
      <c r="BK349" s="4">
        <f>IFERROR(__xludf.DUMMYFUNCTION("""COMPUTED_VALUE"""),0.0)</f>
        <v>0</v>
      </c>
      <c r="BL349" s="1">
        <f>IFERROR(__xludf.DUMMYFUNCTION("""COMPUTED_VALUE"""),950.0)</f>
        <v>950</v>
      </c>
      <c r="BM349" s="1">
        <f>IFERROR(__xludf.DUMMYFUNCTION("""COMPUTED_VALUE"""),3.0)</f>
        <v>3</v>
      </c>
      <c r="BN349" s="2">
        <f>IFERROR(__xludf.DUMMYFUNCTION("""COMPUTED_VALUE"""),45670.0)</f>
        <v>45670</v>
      </c>
      <c r="BO349" s="1">
        <f>IFERROR(__xludf.DUMMYFUNCTION("""COMPUTED_VALUE"""),1.0)</f>
        <v>1</v>
      </c>
      <c r="BP349" s="1">
        <f>IFERROR(__xludf.DUMMYFUNCTION("""COMPUTED_VALUE"""),2025.0)</f>
        <v>2025</v>
      </c>
    </row>
    <row r="350">
      <c r="A350" s="1">
        <f>IFERROR(__xludf.DUMMYFUNCTION("""COMPUTED_VALUE"""),349.0)</f>
        <v>349</v>
      </c>
      <c r="B350" s="1">
        <f>IFERROR(__xludf.DUMMYFUNCTION("""COMPUTED_VALUE"""),1815869.0)</f>
        <v>1815869</v>
      </c>
      <c r="C350" s="1" t="str">
        <f>IFERROR(__xludf.DUMMYFUNCTION("""COMPUTED_VALUE"""),"2025-1")</f>
        <v>2025-1</v>
      </c>
      <c r="D350" s="1" t="str">
        <f>IFERROR(__xludf.DUMMYFUNCTION("""COMPUTED_VALUE"""),"Admisión Extraordinaria (Traslados)")</f>
        <v>Admisión Extraordinaria (Traslados)</v>
      </c>
      <c r="E350" s="2">
        <f>IFERROR(__xludf.DUMMYFUNCTION("""COMPUTED_VALUE"""),45671.0)</f>
        <v>45671</v>
      </c>
      <c r="F350" s="1" t="str">
        <f>IFERROR(__xludf.DUMMYFUNCTION("""COMPUTED_VALUE"""),"VIVIEN SCARLETT ")</f>
        <v>VIVIEN SCARLETT </v>
      </c>
      <c r="G350" s="1" t="str">
        <f>IFERROR(__xludf.DUMMYFUNCTION("""COMPUTED_VALUE"""),"CARDENAS ROSAS")</f>
        <v>CARDENAS ROSAS</v>
      </c>
      <c r="H350" s="1" t="str">
        <f>IFERROR(__xludf.DUMMYFUNCTION("""COMPUTED_VALUE"""),"Arquitectura de Interiores")</f>
        <v>Arquitectura de Interiores</v>
      </c>
      <c r="I350" s="1" t="str">
        <f>IFERROR(__xludf.DUMMYFUNCTION("""COMPUTED_VALUE"""),"CARGO")</f>
        <v>CARGO</v>
      </c>
      <c r="J350" s="1" t="str">
        <f>IFERROR(__xludf.DUMMYFUNCTION("""COMPUTED_VALUE"""),"Diurno")</f>
        <v>Diurno</v>
      </c>
      <c r="K350" s="1" t="str">
        <f>IFERROR(__xludf.DUMMYFUNCTION("""COMPUTED_VALUE"""),"TRASLADO")</f>
        <v>TRASLADO</v>
      </c>
      <c r="L350" s="1">
        <f>IFERROR(__xludf.DUMMYFUNCTION("""COMPUTED_VALUE"""),1.0)</f>
        <v>1</v>
      </c>
      <c r="M350" s="1">
        <f>IFERROR(__xludf.DUMMYFUNCTION("""COMPUTED_VALUE"""),0.0)</f>
        <v>0</v>
      </c>
      <c r="N350" s="1" t="str">
        <f>IFERROR(__xludf.DUMMYFUNCTION("""COMPUTED_VALUE"""),"RECA")</f>
        <v>RECA</v>
      </c>
      <c r="O350" s="1" t="str">
        <f>IFERROR(__xludf.DUMMYFUNCTION("""COMPUTED_VALUE"""),"RECA TRASLADO CON CONVA")</f>
        <v>RECA TRASLADO CON CONVA</v>
      </c>
      <c r="P350" s="4">
        <f>IFERROR(__xludf.DUMMYFUNCTION("""COMPUTED_VALUE"""),0.0)</f>
        <v>0</v>
      </c>
      <c r="Q350" s="4">
        <f>IFERROR(__xludf.DUMMYFUNCTION("""COMPUTED_VALUE"""),0.0)</f>
        <v>0</v>
      </c>
      <c r="R350" s="4">
        <f>IFERROR(__xludf.DUMMYFUNCTION("""COMPUTED_VALUE"""),700.0)</f>
        <v>700</v>
      </c>
      <c r="S350" s="4">
        <f>IFERROR(__xludf.DUMMYFUNCTION("""COMPUTED_VALUE"""),700.0)</f>
        <v>700</v>
      </c>
      <c r="T350" s="1" t="str">
        <f>IFERROR(__xludf.DUMMYFUNCTION("""COMPUTED_VALUE"""),"NINGUNO")</f>
        <v>NINGUNO</v>
      </c>
      <c r="U350" s="1" t="str">
        <f>IFERROR(__xludf.DUMMYFUNCTION("""COMPUTED_VALUE"""),"FABIOLA")</f>
        <v>FABIOLA</v>
      </c>
      <c r="V350" s="1" t="str">
        <f>IFERROR(__xludf.DUMMYFUNCTION("""COMPUTED_VALUE"""),"Ninguno")</f>
        <v>Ninguno</v>
      </c>
      <c r="W350" s="1" t="str">
        <f>IFERROR(__xludf.DUMMYFUNCTION("""COMPUTED_VALUE"""),"Metodología de enseñanza")</f>
        <v>Metodología de enseñanza</v>
      </c>
      <c r="X350" s="1" t="str">
        <f>IFERROR(__xludf.DUMMYFUNCTION("""COMPUTED_VALUE"""),"0")</f>
        <v>0</v>
      </c>
      <c r="Y350" s="1" t="str">
        <f>IFERROR(__xludf.DUMMYFUNCTION("""COMPUTED_VALUE"""),"PAGO COMPLETO")</f>
        <v>PAGO COMPLETO</v>
      </c>
      <c r="Z350" s="1"/>
      <c r="AA350" s="1"/>
      <c r="AB350" s="1">
        <f>IFERROR(__xludf.DUMMYFUNCTION("""COMPUTED_VALUE"""),0.0)</f>
        <v>0</v>
      </c>
      <c r="AC350" s="1">
        <f>IFERROR(__xludf.DUMMYFUNCTION("""COMPUTED_VALUE"""),0.0)</f>
        <v>0</v>
      </c>
      <c r="AD350" s="1" t="str">
        <f>IFERROR(__xludf.DUMMYFUNCTION("""COMPUTED_VALUE"""),"Cinthia Mariella Orosco")</f>
        <v>Cinthia Mariella Orosco</v>
      </c>
      <c r="AE350" s="1" t="str">
        <f>IFERROR(__xludf.DUMMYFUNCTION("""COMPUTED_VALUE"""),"Instituto de Educación Superior Tecnológico Privado Toulouse Lautrec")</f>
        <v>Instituto de Educación Superior Tecnológico Privado Toulouse Lautrec</v>
      </c>
      <c r="AF350" s="1">
        <f>IFERROR(__xludf.DUMMYFUNCTION("""COMPUTED_VALUE"""),2022.0)</f>
        <v>2022</v>
      </c>
      <c r="AG350" s="1">
        <f>IFERROR(__xludf.DUMMYFUNCTION("""COMPUTED_VALUE"""),597120.0)</f>
        <v>597120</v>
      </c>
      <c r="AH350" s="1">
        <f>IFERROR(__xludf.DUMMYFUNCTION("""COMPUTED_VALUE"""),19.0)</f>
        <v>19</v>
      </c>
      <c r="AI350" s="1" t="str">
        <f>IFERROR(__xludf.DUMMYFUNCTION("""COMPUTED_VALUE"""),"0000037739")</f>
        <v>0000037739</v>
      </c>
      <c r="AJ350" s="1">
        <f>IFERROR(__xludf.DUMMYFUNCTION("""COMPUTED_VALUE"""),7.3934107E7)</f>
        <v>73934107</v>
      </c>
      <c r="AK350" s="1">
        <f>IFERROR(__xludf.DUMMYFUNCTION("""COMPUTED_VALUE"""),9.99001171E8)</f>
        <v>999001171</v>
      </c>
      <c r="AL350" s="1" t="str">
        <f>IFERROR(__xludf.DUMMYFUNCTION("""COMPUTED_VALUE"""),"cardenasrosasvivien@gmail.com")</f>
        <v>cardenasrosasvivien@gmail.com</v>
      </c>
      <c r="AM350" s="1" t="str">
        <f>IFERROR(__xludf.DUMMYFUNCTION("""COMPUTED_VALUE"""),"FEMENINO")</f>
        <v>FEMENINO</v>
      </c>
      <c r="AN350" s="1">
        <f>IFERROR(__xludf.DUMMYFUNCTION("""COMPUTED_VALUE"""),1775.0)</f>
        <v>1775</v>
      </c>
      <c r="AO350" s="1">
        <f>IFERROR(__xludf.DUMMYFUNCTION("""COMPUTED_VALUE"""),350.0)</f>
        <v>350</v>
      </c>
      <c r="AP350" s="1" t="str">
        <f>IFERROR(__xludf.DUMMYFUNCTION("""COMPUTED_VALUE"""),"FORMULARIO")</f>
        <v>FORMULARIO</v>
      </c>
      <c r="AQ350" s="1" t="str">
        <f>IFERROR(__xludf.DUMMYFUNCTION("""COMPUTED_VALUE"""),"SEARCH MARCA")</f>
        <v>SEARCH MARCA</v>
      </c>
      <c r="AR350" s="1" t="str">
        <f>IFERROR(__xludf.DUMMYFUNCTION("""COMPUTED_VALUE"""),"NUEVO")</f>
        <v>NUEVO</v>
      </c>
      <c r="AS350" s="1" t="str">
        <f>IFERROR(__xludf.DUMMYFUNCTION("""COMPUTED_VALUE"""),"ucal-pg-performance-sedes-abierta-cpl-extensiones_traslados_marca-20240401")</f>
        <v>ucal-pg-performance-sedes-abierta-cpl-extensiones_traslados_marca-20240401</v>
      </c>
      <c r="AT350" s="2">
        <f>IFERROR(__xludf.DUMMYFUNCTION("""COMPUTED_VALUE"""),45587.0)</f>
        <v>45587</v>
      </c>
      <c r="AU350" s="1">
        <f>IFERROR(__xludf.DUMMYFUNCTION("""COMPUTED_VALUE"""),1.0)</f>
        <v>1</v>
      </c>
      <c r="AV350" s="1" t="str">
        <f>IFERROR(__xludf.DUMMYFUNCTION("""COMPUTED_VALUE"""),"TRASLADO")</f>
        <v>TRASLADO</v>
      </c>
      <c r="AW350" s="1"/>
      <c r="AX350" s="1"/>
      <c r="AY350" s="1" t="str">
        <f>IFERROR(__xludf.DUMMYFUNCTION("""COMPUTED_VALUE"""),"PAGO COMPLETO")</f>
        <v>PAGO COMPLETO</v>
      </c>
      <c r="AZ350" s="5">
        <f>IFERROR(__xludf.DUMMYFUNCTION("""COMPUTED_VALUE"""),45671.0)</f>
        <v>45671</v>
      </c>
      <c r="BA350" s="1">
        <f>IFERROR(__xludf.DUMMYFUNCTION("""COMPUTED_VALUE"""),0.0)</f>
        <v>0</v>
      </c>
      <c r="BB350" s="1">
        <f>IFERROR(__xludf.DUMMYFUNCTION("""COMPUTED_VALUE"""),0.0)</f>
        <v>0</v>
      </c>
      <c r="BC350" s="4">
        <f>IFERROR(__xludf.DUMMYFUNCTION("""COMPUTED_VALUE"""),0.0)</f>
        <v>0</v>
      </c>
      <c r="BD350" s="4">
        <f>IFERROR(__xludf.DUMMYFUNCTION("""COMPUTED_VALUE"""),0.0)</f>
        <v>0</v>
      </c>
      <c r="BE350" s="1">
        <f>IFERROR(__xludf.DUMMYFUNCTION("""COMPUTED_VALUE"""),1.0)</f>
        <v>1</v>
      </c>
      <c r="BF350" s="6">
        <f>IFERROR(__xludf.DUMMYFUNCTION("""COMPUTED_VALUE"""),1.0)</f>
        <v>1</v>
      </c>
      <c r="BG350" s="1">
        <f>IFERROR(__xludf.DUMMYFUNCTION("""COMPUTED_VALUE"""),1.0)</f>
        <v>1</v>
      </c>
      <c r="BH350" s="1" t="str">
        <f>IFERROR(__xludf.DUMMYFUNCTION("""COMPUTED_VALUE"""),"1")</f>
        <v>1</v>
      </c>
      <c r="BI350" s="4">
        <f>IFERROR(__xludf.DUMMYFUNCTION("""COMPUTED_VALUE"""),0.0)</f>
        <v>0</v>
      </c>
      <c r="BJ350" s="1">
        <f>IFERROR(__xludf.DUMMYFUNCTION("""COMPUTED_VALUE"""),0.0)</f>
        <v>0</v>
      </c>
      <c r="BK350" s="4">
        <f>IFERROR(__xludf.DUMMYFUNCTION("""COMPUTED_VALUE"""),0.0)</f>
        <v>0</v>
      </c>
      <c r="BL350" s="1">
        <f>IFERROR(__xludf.DUMMYFUNCTION("""COMPUTED_VALUE"""),700.0)</f>
        <v>700</v>
      </c>
      <c r="BM350" s="1">
        <f>IFERROR(__xludf.DUMMYFUNCTION("""COMPUTED_VALUE"""),3.0)</f>
        <v>3</v>
      </c>
      <c r="BN350" s="2">
        <f>IFERROR(__xludf.DUMMYFUNCTION("""COMPUTED_VALUE"""),45670.0)</f>
        <v>45670</v>
      </c>
      <c r="BO350" s="1">
        <f>IFERROR(__xludf.DUMMYFUNCTION("""COMPUTED_VALUE"""),1.0)</f>
        <v>1</v>
      </c>
      <c r="BP350" s="1">
        <f>IFERROR(__xludf.DUMMYFUNCTION("""COMPUTED_VALUE"""),2025.0)</f>
        <v>2025</v>
      </c>
    </row>
    <row r="351">
      <c r="A351" s="1">
        <f>IFERROR(__xludf.DUMMYFUNCTION("""COMPUTED_VALUE"""),350.0)</f>
        <v>350</v>
      </c>
      <c r="B351" s="1">
        <f>IFERROR(__xludf.DUMMYFUNCTION("""COMPUTED_VALUE"""),4923193.0)</f>
        <v>4923193</v>
      </c>
      <c r="C351" s="1" t="str">
        <f>IFERROR(__xludf.DUMMYFUNCTION("""COMPUTED_VALUE"""),"2025-1")</f>
        <v>2025-1</v>
      </c>
      <c r="D351" s="1" t="str">
        <f>IFERROR(__xludf.DUMMYFUNCTION("""COMPUTED_VALUE"""),"Admisión de Alto Rendimiento")</f>
        <v>Admisión de Alto Rendimiento</v>
      </c>
      <c r="E351" s="7">
        <f>IFERROR(__xludf.DUMMYFUNCTION("""COMPUTED_VALUE"""),45671.0)</f>
        <v>45671</v>
      </c>
      <c r="F351" s="1" t="str">
        <f>IFERROR(__xludf.DUMMYFUNCTION("""COMPUTED_VALUE"""),"MIGUEL ELI ")</f>
        <v>MIGUEL ELI </v>
      </c>
      <c r="G351" s="1" t="str">
        <f>IFERROR(__xludf.DUMMYFUNCTION("""COMPUTED_VALUE"""),"CALDERON AVILA")</f>
        <v>CALDERON AVILA</v>
      </c>
      <c r="H351" s="1" t="str">
        <f>IFERROR(__xludf.DUMMYFUNCTION("""COMPUTED_VALUE"""),"Comunicación Audiovisual y Cine")</f>
        <v>Comunicación Audiovisual y Cine</v>
      </c>
      <c r="I351" s="1" t="str">
        <f>IFERROR(__xludf.DUMMYFUNCTION("""COMPUTED_VALUE"""),"POS")</f>
        <v>POS</v>
      </c>
      <c r="J351" s="1" t="str">
        <f>IFERROR(__xludf.DUMMYFUNCTION("""COMPUTED_VALUE"""),"Diurno")</f>
        <v>Diurno</v>
      </c>
      <c r="K351" s="1" t="str">
        <f>IFERROR(__xludf.DUMMYFUNCTION("""COMPUTED_VALUE"""),"NUEVO")</f>
        <v>NUEVO</v>
      </c>
      <c r="L351" s="1">
        <f>IFERROR(__xludf.DUMMYFUNCTION("""COMPUTED_VALUE"""),0.0)</f>
        <v>0</v>
      </c>
      <c r="M351" s="1">
        <f>IFERROR(__xludf.DUMMYFUNCTION("""COMPUTED_VALUE"""),0.0)</f>
        <v>0</v>
      </c>
      <c r="N351" s="1" t="str">
        <f>IFERROR(__xludf.DUMMYFUNCTION("""COMPUTED_VALUE"""),"RECA-BECA")</f>
        <v>RECA-BECA</v>
      </c>
      <c r="O351" s="1" t="str">
        <f>IFERROR(__xludf.DUMMYFUNCTION("""COMPUTED_VALUE"""),"BECA CONGELADA DE 2 AÑOS")</f>
        <v>BECA CONGELADA DE 2 AÑOS</v>
      </c>
      <c r="P351" s="4">
        <f>IFERROR(__xludf.DUMMYFUNCTION("""COMPUTED_VALUE"""),0.0)</f>
        <v>0</v>
      </c>
      <c r="Q351" s="4">
        <f>IFERROR(__xludf.DUMMYFUNCTION("""COMPUTED_VALUE"""),0.0)</f>
        <v>0</v>
      </c>
      <c r="R351" s="4">
        <f>IFERROR(__xludf.DUMMYFUNCTION("""COMPUTED_VALUE"""),1050.0)</f>
        <v>1050</v>
      </c>
      <c r="S351" s="4">
        <f>IFERROR(__xludf.DUMMYFUNCTION("""COMPUTED_VALUE"""),950.0)</f>
        <v>950</v>
      </c>
      <c r="T351" s="1" t="str">
        <f>IFERROR(__xludf.DUMMYFUNCTION("""COMPUTED_VALUE"""),"Visita Guiada")</f>
        <v>Visita Guiada</v>
      </c>
      <c r="U351" s="1" t="str">
        <f>IFERROR(__xludf.DUMMYFUNCTION("""COMPUTED_VALUE"""),"RODRIGO")</f>
        <v>RODRIGO</v>
      </c>
      <c r="V351" s="1" t="str">
        <f>IFERROR(__xludf.DUMMYFUNCTION("""COMPUTED_VALUE"""),"Ninguno")</f>
        <v>Ninguno</v>
      </c>
      <c r="W351" s="1" t="str">
        <f>IFERROR(__xludf.DUMMYFUNCTION("""COMPUTED_VALUE"""),"Equipos e instalaciones")</f>
        <v>Equipos e instalaciones</v>
      </c>
      <c r="X351" s="1"/>
      <c r="Y351" s="1" t="str">
        <f>IFERROR(__xludf.DUMMYFUNCTION("""COMPUTED_VALUE"""),"PAGO COMPLETO")</f>
        <v>PAGO COMPLETO</v>
      </c>
      <c r="Z351" s="1"/>
      <c r="AA351" s="1"/>
      <c r="AB351" s="1">
        <f>IFERROR(__xludf.DUMMYFUNCTION("""COMPUTED_VALUE"""),0.0)</f>
        <v>0</v>
      </c>
      <c r="AC351" s="1">
        <f>IFERROR(__xludf.DUMMYFUNCTION("""COMPUTED_VALUE"""),0.0)</f>
        <v>0</v>
      </c>
      <c r="AD351" s="1" t="str">
        <f>IFERROR(__xludf.DUMMYFUNCTION("""COMPUTED_VALUE"""),"Fiorella Lanegra")</f>
        <v>Fiorella Lanegra</v>
      </c>
      <c r="AE351" s="1" t="str">
        <f>IFERROR(__xludf.DUMMYFUNCTION("""COMPUTED_VALUE"""),"0")</f>
        <v>0</v>
      </c>
      <c r="AF351" s="1">
        <f>IFERROR(__xludf.DUMMYFUNCTION("""COMPUTED_VALUE"""),2024.0)</f>
        <v>2024</v>
      </c>
      <c r="AG351" s="1">
        <f>IFERROR(__xludf.DUMMYFUNCTION("""COMPUTED_VALUE"""),1509181.0)</f>
        <v>1509181</v>
      </c>
      <c r="AH351" s="1">
        <f>IFERROR(__xludf.DUMMYFUNCTION("""COMPUTED_VALUE"""),18.0)</f>
        <v>18</v>
      </c>
      <c r="AI351" s="1" t="str">
        <f>IFERROR(__xludf.DUMMYFUNCTION("""COMPUTED_VALUE"""),"0000409313")</f>
        <v>0000409313</v>
      </c>
      <c r="AJ351" s="1">
        <f>IFERROR(__xludf.DUMMYFUNCTION("""COMPUTED_VALUE"""),7.0964223E7)</f>
        <v>70964223</v>
      </c>
      <c r="AK351" s="1">
        <f>IFERROR(__xludf.DUMMYFUNCTION("""COMPUTED_VALUE"""),9.95157485E8)</f>
        <v>995157485</v>
      </c>
      <c r="AL351" s="1" t="str">
        <f>IFERROR(__xludf.DUMMYFUNCTION("""COMPUTED_VALUE"""),"ELLISPLAY1232@gmail.com")</f>
        <v>ELLISPLAY1232@gmail.com</v>
      </c>
      <c r="AM351" s="1" t="str">
        <f>IFERROR(__xludf.DUMMYFUNCTION("""COMPUTED_VALUE"""),"MASCULINO")</f>
        <v>MASCULINO</v>
      </c>
      <c r="AN351" s="1">
        <f>IFERROR(__xludf.DUMMYFUNCTION("""COMPUTED_VALUE"""),0.0)</f>
        <v>0</v>
      </c>
      <c r="AO351" s="1">
        <f>IFERROR(__xludf.DUMMYFUNCTION("""COMPUTED_VALUE"""),290.0)</f>
        <v>290</v>
      </c>
      <c r="AP351" s="1" t="str">
        <f>IFERROR(__xludf.DUMMYFUNCTION("""COMPUTED_VALUE"""),"COLEGIOS")</f>
        <v>COLEGIOS</v>
      </c>
      <c r="AQ351" s="1" t="str">
        <f>IFERROR(__xludf.DUMMYFUNCTION("""COMPUTED_VALUE"""),"COLEGIOS")</f>
        <v>COLEGIOS</v>
      </c>
      <c r="AR351" s="1" t="str">
        <f>IFERROR(__xludf.DUMMYFUNCTION("""COMPUTED_VALUE"""),"HEREDADO")</f>
        <v>HEREDADO</v>
      </c>
      <c r="AS351" s="1"/>
      <c r="AT351" s="2">
        <f>IFERROR(__xludf.DUMMYFUNCTION("""COMPUTED_VALUE"""),45636.0)</f>
        <v>45636</v>
      </c>
      <c r="AU351" s="1">
        <f>IFERROR(__xludf.DUMMYFUNCTION("""COMPUTED_VALUE"""),1.0)</f>
        <v>1</v>
      </c>
      <c r="AV351" s="1" t="str">
        <f>IFERROR(__xludf.DUMMYFUNCTION("""COMPUTED_VALUE"""),"NUEVO")</f>
        <v>NUEVO</v>
      </c>
      <c r="AW351" s="1"/>
      <c r="AX351" s="1"/>
      <c r="AY351" s="1" t="str">
        <f>IFERROR(__xludf.DUMMYFUNCTION("""COMPUTED_VALUE"""),"PAGO COMPLETO")</f>
        <v>PAGO COMPLETO</v>
      </c>
      <c r="AZ351" s="5">
        <f>IFERROR(__xludf.DUMMYFUNCTION("""COMPUTED_VALUE"""),45671.0)</f>
        <v>45671</v>
      </c>
      <c r="BA351" s="1">
        <f>IFERROR(__xludf.DUMMYFUNCTION("""COMPUTED_VALUE"""),0.0)</f>
        <v>0</v>
      </c>
      <c r="BB351" s="1">
        <f>IFERROR(__xludf.DUMMYFUNCTION("""COMPUTED_VALUE"""),0.0)</f>
        <v>0</v>
      </c>
      <c r="BC351" s="4">
        <f>IFERROR(__xludf.DUMMYFUNCTION("""COMPUTED_VALUE"""),0.0)</f>
        <v>0</v>
      </c>
      <c r="BD351" s="4">
        <f>IFERROR(__xludf.DUMMYFUNCTION("""COMPUTED_VALUE"""),100.0)</f>
        <v>100</v>
      </c>
      <c r="BE351" s="1">
        <f>IFERROR(__xludf.DUMMYFUNCTION("""COMPUTED_VALUE"""),1.0)</f>
        <v>1</v>
      </c>
      <c r="BF351" s="6">
        <f>IFERROR(__xludf.DUMMYFUNCTION("""COMPUTED_VALUE"""),1.0)</f>
        <v>1</v>
      </c>
      <c r="BG351" s="1">
        <f>IFERROR(__xludf.DUMMYFUNCTION("""COMPUTED_VALUE"""),1.0)</f>
        <v>1</v>
      </c>
      <c r="BH351" s="1" t="str">
        <f>IFERROR(__xludf.DUMMYFUNCTION("""COMPUTED_VALUE"""),"0")</f>
        <v>0</v>
      </c>
      <c r="BI351" s="4">
        <f>IFERROR(__xludf.DUMMYFUNCTION("""COMPUTED_VALUE"""),100.0)</f>
        <v>100</v>
      </c>
      <c r="BJ351" s="1">
        <f>IFERROR(__xludf.DUMMYFUNCTION("""COMPUTED_VALUE"""),0.0)</f>
        <v>0</v>
      </c>
      <c r="BK351" s="4">
        <f>IFERROR(__xludf.DUMMYFUNCTION("""COMPUTED_VALUE"""),100.0)</f>
        <v>100</v>
      </c>
      <c r="BL351" s="1">
        <f>IFERROR(__xludf.DUMMYFUNCTION("""COMPUTED_VALUE"""),930.0)</f>
        <v>930</v>
      </c>
      <c r="BM351" s="1">
        <f>IFERROR(__xludf.DUMMYFUNCTION("""COMPUTED_VALUE"""),3.0)</f>
        <v>3</v>
      </c>
      <c r="BN351" s="2">
        <f>IFERROR(__xludf.DUMMYFUNCTION("""COMPUTED_VALUE"""),45670.0)</f>
        <v>45670</v>
      </c>
      <c r="BO351" s="1">
        <f>IFERROR(__xludf.DUMMYFUNCTION("""COMPUTED_VALUE"""),1.0)</f>
        <v>1</v>
      </c>
      <c r="BP351" s="1">
        <f>IFERROR(__xludf.DUMMYFUNCTION("""COMPUTED_VALUE"""),2025.0)</f>
        <v>2025</v>
      </c>
    </row>
    <row r="352">
      <c r="A352" s="1">
        <f>IFERROR(__xludf.DUMMYFUNCTION("""COMPUTED_VALUE"""),351.0)</f>
        <v>351</v>
      </c>
      <c r="B352" s="1">
        <f>IFERROR(__xludf.DUMMYFUNCTION("""COMPUTED_VALUE"""),4934243.0)</f>
        <v>4934243</v>
      </c>
      <c r="C352" s="1" t="str">
        <f>IFERROR(__xludf.DUMMYFUNCTION("""COMPUTED_VALUE"""),"2025-1")</f>
        <v>2025-1</v>
      </c>
      <c r="D352" s="1" t="str">
        <f>IFERROR(__xludf.DUMMYFUNCTION("""COMPUTED_VALUE"""),"Admisión de Alto Rendimiento")</f>
        <v>Admisión de Alto Rendimiento</v>
      </c>
      <c r="E352" s="7">
        <f>IFERROR(__xludf.DUMMYFUNCTION("""COMPUTED_VALUE"""),45671.0)</f>
        <v>45671</v>
      </c>
      <c r="F352" s="1" t="str">
        <f>IFERROR(__xludf.DUMMYFUNCTION("""COMPUTED_VALUE""")," KEYSI ANTUANETT ")</f>
        <v> KEYSI ANTUANETT </v>
      </c>
      <c r="G352" s="1" t="str">
        <f>IFERROR(__xludf.DUMMYFUNCTION("""COMPUTED_VALUE"""),"PEREZ LEZAMA")</f>
        <v>PEREZ LEZAMA</v>
      </c>
      <c r="H352" s="1" t="str">
        <f>IFERROR(__xludf.DUMMYFUNCTION("""COMPUTED_VALUE"""),"Diseño Gráfico Publicitario")</f>
        <v>Diseño Gráfico Publicitario</v>
      </c>
      <c r="I352" s="1" t="str">
        <f>IFERROR(__xludf.DUMMYFUNCTION("""COMPUTED_VALUE"""),"CARGO")</f>
        <v>CARGO</v>
      </c>
      <c r="J352" s="1" t="str">
        <f>IFERROR(__xludf.DUMMYFUNCTION("""COMPUTED_VALUE"""),"Diurno")</f>
        <v>Diurno</v>
      </c>
      <c r="K352" s="1" t="str">
        <f>IFERROR(__xludf.DUMMYFUNCTION("""COMPUTED_VALUE"""),"NUEVO")</f>
        <v>NUEVO</v>
      </c>
      <c r="L352" s="1">
        <f>IFERROR(__xludf.DUMMYFUNCTION("""COMPUTED_VALUE"""),0.0)</f>
        <v>0</v>
      </c>
      <c r="M352" s="1">
        <f>IFERROR(__xludf.DUMMYFUNCTION("""COMPUTED_VALUE"""),0.0)</f>
        <v>0</v>
      </c>
      <c r="N352" s="1" t="str">
        <f>IFERROR(__xludf.DUMMYFUNCTION("""COMPUTED_VALUE"""),"BECA")</f>
        <v>BECA</v>
      </c>
      <c r="O352" s="1" t="str">
        <f>IFERROR(__xludf.DUMMYFUNCTION("""COMPUTED_VALUE"""),"BECA CONGELADA DE 2 AÑOS")</f>
        <v>BECA CONGELADA DE 2 AÑOS</v>
      </c>
      <c r="P352" s="4">
        <f>IFERROR(__xludf.DUMMYFUNCTION("""COMPUTED_VALUE"""),0.0)</f>
        <v>0</v>
      </c>
      <c r="Q352" s="4">
        <f>IFERROR(__xludf.DUMMYFUNCTION("""COMPUTED_VALUE"""),0.0)</f>
        <v>0</v>
      </c>
      <c r="R352" s="4">
        <f>IFERROR(__xludf.DUMMYFUNCTION("""COMPUTED_VALUE"""),1150.0)</f>
        <v>1150</v>
      </c>
      <c r="S352" s="4">
        <f>IFERROR(__xludf.DUMMYFUNCTION("""COMPUTED_VALUE"""),850.0)</f>
        <v>850</v>
      </c>
      <c r="T352" s="1" t="str">
        <f>IFERROR(__xludf.DUMMYFUNCTION("""COMPUTED_VALUE"""),"PALANCA 700")</f>
        <v>PALANCA 700</v>
      </c>
      <c r="U352" s="1" t="str">
        <f>IFERROR(__xludf.DUMMYFUNCTION("""COMPUTED_VALUE"""),"RODRIGO")</f>
        <v>RODRIGO</v>
      </c>
      <c r="V352" s="1" t="str">
        <f>IFERROR(__xludf.DUMMYFUNCTION("""COMPUTED_VALUE"""),"Ninguno")</f>
        <v>Ninguno</v>
      </c>
      <c r="W352" s="1" t="str">
        <f>IFERROR(__xludf.DUMMYFUNCTION("""COMPUTED_VALUE"""),"Metodología de enseñanza")</f>
        <v>Metodología de enseñanza</v>
      </c>
      <c r="X352" s="1" t="str">
        <f>IFERROR(__xludf.DUMMYFUNCTION("""COMPUTED_VALUE"""),"primera boelta 700 , fue antes del decante de nhueva boletas ")</f>
        <v>primera boelta 700 , fue antes del decante de nhueva boletas </v>
      </c>
      <c r="Y352" s="1" t="str">
        <f>IFERROR(__xludf.DUMMYFUNCTION("""COMPUTED_VALUE"""),"PAGO COMPLETO")</f>
        <v>PAGO COMPLETO</v>
      </c>
      <c r="Z352" s="1"/>
      <c r="AA352" s="1"/>
      <c r="AB352" s="1">
        <f>IFERROR(__xludf.DUMMYFUNCTION("""COMPUTED_VALUE"""),0.0)</f>
        <v>0</v>
      </c>
      <c r="AC352" s="1">
        <f>IFERROR(__xludf.DUMMYFUNCTION("""COMPUTED_VALUE"""),0.0)</f>
        <v>0</v>
      </c>
      <c r="AD352" s="1" t="str">
        <f>IFERROR(__xludf.DUMMYFUNCTION("""COMPUTED_VALUE"""),"Ingrid Guillermo Rivera")</f>
        <v>Ingrid Guillermo Rivera</v>
      </c>
      <c r="AE352" s="1" t="str">
        <f>IFERROR(__xludf.DUMMYFUNCTION("""COMPUTED_VALUE"""),"0")</f>
        <v>0</v>
      </c>
      <c r="AF352" s="1">
        <f>IFERROR(__xludf.DUMMYFUNCTION("""COMPUTED_VALUE"""),2024.0)</f>
        <v>2024</v>
      </c>
      <c r="AG352" s="1">
        <f>IFERROR(__xludf.DUMMYFUNCTION("""COMPUTED_VALUE"""),1330216.0)</f>
        <v>1330216</v>
      </c>
      <c r="AH352" s="1">
        <f>IFERROR(__xludf.DUMMYFUNCTION("""COMPUTED_VALUE"""),17.0)</f>
        <v>17</v>
      </c>
      <c r="AI352" s="1" t="str">
        <f>IFERROR(__xludf.DUMMYFUNCTION("""COMPUTED_VALUE"""),"0000409216")</f>
        <v>0000409216</v>
      </c>
      <c r="AJ352" s="1">
        <f>IFERROR(__xludf.DUMMYFUNCTION("""COMPUTED_VALUE"""),7.117519E7)</f>
        <v>71175190</v>
      </c>
      <c r="AK352" s="1">
        <f>IFERROR(__xludf.DUMMYFUNCTION("""COMPUTED_VALUE"""),9.9243683E8)</f>
        <v>992436830</v>
      </c>
      <c r="AL352" s="1" t="str">
        <f>IFERROR(__xludf.DUMMYFUNCTION("""COMPUTED_VALUE"""),"keysiperez208@gmail.com")</f>
        <v>keysiperez208@gmail.com</v>
      </c>
      <c r="AM352" s="1" t="str">
        <f>IFERROR(__xludf.DUMMYFUNCTION("""COMPUTED_VALUE"""),"FEMENINO")</f>
        <v>FEMENINO</v>
      </c>
      <c r="AN352" s="1">
        <f>IFERROR(__xludf.DUMMYFUNCTION("""COMPUTED_VALUE"""),1350.0)</f>
        <v>1350</v>
      </c>
      <c r="AO352" s="1">
        <f>IFERROR(__xludf.DUMMYFUNCTION("""COMPUTED_VALUE"""),0.0)</f>
        <v>0</v>
      </c>
      <c r="AP352" s="1" t="str">
        <f>IFERROR(__xludf.DUMMYFUNCTION("""COMPUTED_VALUE"""),"FORMULARIO")</f>
        <v>FORMULARIO</v>
      </c>
      <c r="AQ352" s="1" t="str">
        <f>IFERROR(__xludf.DUMMYFUNCTION("""COMPUTED_VALUE"""),"ORGANICO")</f>
        <v>ORGANICO</v>
      </c>
      <c r="AR352" s="1" t="str">
        <f>IFERROR(__xludf.DUMMYFUNCTION("""COMPUTED_VALUE"""),"NUEVO")</f>
        <v>NUEVO</v>
      </c>
      <c r="AS352" s="1"/>
      <c r="AT352" s="2">
        <f>IFERROR(__xludf.DUMMYFUNCTION("""COMPUTED_VALUE"""),45665.0)</f>
        <v>45665</v>
      </c>
      <c r="AU352" s="1">
        <f>IFERROR(__xludf.DUMMYFUNCTION("""COMPUTED_VALUE"""),1.0)</f>
        <v>1</v>
      </c>
      <c r="AV352" s="1" t="str">
        <f>IFERROR(__xludf.DUMMYFUNCTION("""COMPUTED_VALUE"""),"NUEVO")</f>
        <v>NUEVO</v>
      </c>
      <c r="AW352" s="1"/>
      <c r="AX352" s="1"/>
      <c r="AY352" s="1" t="str">
        <f>IFERROR(__xludf.DUMMYFUNCTION("""COMPUTED_VALUE"""),"PAGO COMPLETO")</f>
        <v>PAGO COMPLETO</v>
      </c>
      <c r="AZ352" s="5">
        <f>IFERROR(__xludf.DUMMYFUNCTION("""COMPUTED_VALUE"""),45671.0)</f>
        <v>45671</v>
      </c>
      <c r="BA352" s="1">
        <f>IFERROR(__xludf.DUMMYFUNCTION("""COMPUTED_VALUE"""),0.0)</f>
        <v>0</v>
      </c>
      <c r="BB352" s="1">
        <f>IFERROR(__xludf.DUMMYFUNCTION("""COMPUTED_VALUE"""),0.0)</f>
        <v>0</v>
      </c>
      <c r="BC352" s="4">
        <f>IFERROR(__xludf.DUMMYFUNCTION("""COMPUTED_VALUE"""),0.0)</f>
        <v>0</v>
      </c>
      <c r="BD352" s="4">
        <f>IFERROR(__xludf.DUMMYFUNCTION("""COMPUTED_VALUE"""),150.0)</f>
        <v>150</v>
      </c>
      <c r="BE352" s="1">
        <f>IFERROR(__xludf.DUMMYFUNCTION("""COMPUTED_VALUE"""),1.0)</f>
        <v>1</v>
      </c>
      <c r="BF352" s="6">
        <f>IFERROR(__xludf.DUMMYFUNCTION("""COMPUTED_VALUE"""),1.0)</f>
        <v>1</v>
      </c>
      <c r="BG352" s="1">
        <f>IFERROR(__xludf.DUMMYFUNCTION("""COMPUTED_VALUE"""),1.0)</f>
        <v>1</v>
      </c>
      <c r="BH352" s="1" t="str">
        <f>IFERROR(__xludf.DUMMYFUNCTION("""COMPUTED_VALUE"""),"0")</f>
        <v>0</v>
      </c>
      <c r="BI352" s="4">
        <f>IFERROR(__xludf.DUMMYFUNCTION("""COMPUTED_VALUE"""),150.0)</f>
        <v>150</v>
      </c>
      <c r="BJ352" s="1">
        <f>IFERROR(__xludf.DUMMYFUNCTION("""COMPUTED_VALUE"""),0.0)</f>
        <v>0</v>
      </c>
      <c r="BK352" s="4">
        <f>IFERROR(__xludf.DUMMYFUNCTION("""COMPUTED_VALUE"""),150.0)</f>
        <v>150</v>
      </c>
      <c r="BL352" s="1">
        <f>IFERROR(__xludf.DUMMYFUNCTION("""COMPUTED_VALUE"""),820.0)</f>
        <v>820</v>
      </c>
      <c r="BM352" s="1">
        <f>IFERROR(__xludf.DUMMYFUNCTION("""COMPUTED_VALUE"""),3.0)</f>
        <v>3</v>
      </c>
      <c r="BN352" s="2">
        <f>IFERROR(__xludf.DUMMYFUNCTION("""COMPUTED_VALUE"""),45670.0)</f>
        <v>45670</v>
      </c>
      <c r="BO352" s="1">
        <f>IFERROR(__xludf.DUMMYFUNCTION("""COMPUTED_VALUE"""),1.0)</f>
        <v>1</v>
      </c>
      <c r="BP352" s="1">
        <f>IFERROR(__xludf.DUMMYFUNCTION("""COMPUTED_VALUE"""),2025.0)</f>
        <v>2025</v>
      </c>
    </row>
    <row r="353">
      <c r="A353" s="1">
        <f>IFERROR(__xludf.DUMMYFUNCTION("""COMPUTED_VALUE"""),352.0)</f>
        <v>352</v>
      </c>
      <c r="B353" s="1">
        <f>IFERROR(__xludf.DUMMYFUNCTION("""COMPUTED_VALUE"""),475062.0)</f>
        <v>475062</v>
      </c>
      <c r="C353" s="1" t="str">
        <f>IFERROR(__xludf.DUMMYFUNCTION("""COMPUTED_VALUE"""),"2025-1")</f>
        <v>2025-1</v>
      </c>
      <c r="D353" s="1" t="str">
        <f>IFERROR(__xludf.DUMMYFUNCTION("""COMPUTED_VALUE"""),"Admisión Extraordinaria (Traslados)")</f>
        <v>Admisión Extraordinaria (Traslados)</v>
      </c>
      <c r="E353" s="7">
        <f>IFERROR(__xludf.DUMMYFUNCTION("""COMPUTED_VALUE"""),45671.0)</f>
        <v>45671</v>
      </c>
      <c r="F353" s="1" t="str">
        <f>IFERROR(__xludf.DUMMYFUNCTION("""COMPUTED_VALUE"""),"NAYSET STEPHANIA")</f>
        <v>NAYSET STEPHANIA</v>
      </c>
      <c r="G353" s="1" t="str">
        <f>IFERROR(__xludf.DUMMYFUNCTION("""COMPUTED_VALUE"""),"LOZADA QUEVEDO")</f>
        <v>LOZADA QUEVEDO</v>
      </c>
      <c r="H353" s="1" t="str">
        <f>IFERROR(__xludf.DUMMYFUNCTION("""COMPUTED_VALUE"""),"Arquitectura de Interiores")</f>
        <v>Arquitectura de Interiores</v>
      </c>
      <c r="I353" s="1" t="str">
        <f>IFERROR(__xludf.DUMMYFUNCTION("""COMPUTED_VALUE"""),"POS")</f>
        <v>POS</v>
      </c>
      <c r="J353" s="1" t="str">
        <f>IFERROR(__xludf.DUMMYFUNCTION("""COMPUTED_VALUE"""),"Diurno")</f>
        <v>Diurno</v>
      </c>
      <c r="K353" s="1" t="str">
        <f>IFERROR(__xludf.DUMMYFUNCTION("""COMPUTED_VALUE"""),"TRASLADO")</f>
        <v>TRASLADO</v>
      </c>
      <c r="L353" s="1">
        <f>IFERROR(__xludf.DUMMYFUNCTION("""COMPUTED_VALUE"""),1.0)</f>
        <v>1</v>
      </c>
      <c r="M353" s="1">
        <f>IFERROR(__xludf.DUMMYFUNCTION("""COMPUTED_VALUE"""),0.0)</f>
        <v>0</v>
      </c>
      <c r="N353" s="1" t="str">
        <f>IFERROR(__xludf.DUMMYFUNCTION("""COMPUTED_VALUE"""),"RECA")</f>
        <v>RECA</v>
      </c>
      <c r="O353" s="1" t="str">
        <f>IFERROR(__xludf.DUMMYFUNCTION("""COMPUTED_VALUE"""),"RECA TRASLADO CON CONVA")</f>
        <v>RECA TRASLADO CON CONVA</v>
      </c>
      <c r="P353" s="4">
        <f>IFERROR(__xludf.DUMMYFUNCTION("""COMPUTED_VALUE"""),0.0)</f>
        <v>0</v>
      </c>
      <c r="Q353" s="4">
        <f>IFERROR(__xludf.DUMMYFUNCTION("""COMPUTED_VALUE"""),0.0)</f>
        <v>0</v>
      </c>
      <c r="R353" s="4">
        <f>IFERROR(__xludf.DUMMYFUNCTION("""COMPUTED_VALUE"""),1150.0)</f>
        <v>1150</v>
      </c>
      <c r="S353" s="4">
        <f>IFERROR(__xludf.DUMMYFUNCTION("""COMPUTED_VALUE"""),800.0)</f>
        <v>800</v>
      </c>
      <c r="T353" s="1" t="str">
        <f>IFERROR(__xludf.DUMMYFUNCTION("""COMPUTED_VALUE"""),"Visita Guiada")</f>
        <v>Visita Guiada</v>
      </c>
      <c r="U353" s="1" t="str">
        <f>IFERROR(__xludf.DUMMYFUNCTION("""COMPUTED_VALUE"""),"FABIOLA")</f>
        <v>FABIOLA</v>
      </c>
      <c r="V353" s="1" t="str">
        <f>IFERROR(__xludf.DUMMYFUNCTION("""COMPUTED_VALUE"""),"Ninguno")</f>
        <v>Ninguno</v>
      </c>
      <c r="W353" s="1" t="str">
        <f>IFERROR(__xludf.DUMMYFUNCTION("""COMPUTED_VALUE"""),"Malla curricular")</f>
        <v>Malla curricular</v>
      </c>
      <c r="X353" s="1"/>
      <c r="Y353" s="1" t="str">
        <f>IFERROR(__xludf.DUMMYFUNCTION("""COMPUTED_VALUE"""),"PAGO COMPLETO")</f>
        <v>PAGO COMPLETO</v>
      </c>
      <c r="Z353" s="1"/>
      <c r="AA353" s="1"/>
      <c r="AB353" s="1">
        <f>IFERROR(__xludf.DUMMYFUNCTION("""COMPUTED_VALUE"""),1.0)</f>
        <v>1</v>
      </c>
      <c r="AC353" s="1">
        <f>IFERROR(__xludf.DUMMYFUNCTION("""COMPUTED_VALUE"""),0.0)</f>
        <v>0</v>
      </c>
      <c r="AD353" s="1" t="str">
        <f>IFERROR(__xludf.DUMMYFUNCTION("""COMPUTED_VALUE"""),"Angelica Iparraguirre")</f>
        <v>Angelica Iparraguirre</v>
      </c>
      <c r="AE353" s="1" t="str">
        <f>IFERROR(__xludf.DUMMYFUNCTION("""COMPUTED_VALUE"""),"Instituto de Educación Superior Tecnológico Privado Toulouse Lautrec")</f>
        <v>Instituto de Educación Superior Tecnológico Privado Toulouse Lautrec</v>
      </c>
      <c r="AF353" s="1">
        <f>IFERROR(__xludf.DUMMYFUNCTION("""COMPUTED_VALUE"""),2021.0)</f>
        <v>2021</v>
      </c>
      <c r="AG353" s="1">
        <f>IFERROR(__xludf.DUMMYFUNCTION("""COMPUTED_VALUE"""),523472.0)</f>
        <v>523472</v>
      </c>
      <c r="AH353" s="1">
        <f>IFERROR(__xludf.DUMMYFUNCTION("""COMPUTED_VALUE"""),22.0)</f>
        <v>22</v>
      </c>
      <c r="AI353" s="1" t="str">
        <f>IFERROR(__xludf.DUMMYFUNCTION("""COMPUTED_VALUE"""),"2019006961")</f>
        <v>2019006961</v>
      </c>
      <c r="AJ353" s="1">
        <f>IFERROR(__xludf.DUMMYFUNCTION("""COMPUTED_VALUE"""),7.2962529E7)</f>
        <v>72962529</v>
      </c>
      <c r="AK353" s="1">
        <f>IFERROR(__xludf.DUMMYFUNCTION("""COMPUTED_VALUE"""),9.31619012E8)</f>
        <v>931619012</v>
      </c>
      <c r="AL353" s="1" t="str">
        <f>IFERROR(__xludf.DUMMYFUNCTION("""COMPUTED_VALUE"""),"naysetslq27@gmail.com")</f>
        <v>naysetslq27@gmail.com</v>
      </c>
      <c r="AM353" s="1" t="str">
        <f>IFERROR(__xludf.DUMMYFUNCTION("""COMPUTED_VALUE"""),"FEMENINO")</f>
        <v>FEMENINO</v>
      </c>
      <c r="AN353" s="1">
        <f>IFERROR(__xludf.DUMMYFUNCTION("""COMPUTED_VALUE"""),0.0)</f>
        <v>0</v>
      </c>
      <c r="AO353" s="1">
        <f>IFERROR(__xludf.DUMMYFUNCTION("""COMPUTED_VALUE"""),0.0)</f>
        <v>0</v>
      </c>
      <c r="AP353" s="1" t="str">
        <f>IFERROR(__xludf.DUMMYFUNCTION("""COMPUTED_VALUE"""),"BIDIRECCIONAL")</f>
        <v>BIDIRECCIONAL</v>
      </c>
      <c r="AQ353" s="1" t="str">
        <f>IFERROR(__xludf.DUMMYFUNCTION("""COMPUTED_VALUE"""),"ORGANICO")</f>
        <v>ORGANICO</v>
      </c>
      <c r="AR353" s="1" t="str">
        <f>IFERROR(__xludf.DUMMYFUNCTION("""COMPUTED_VALUE"""),"HEREDADO")</f>
        <v>HEREDADO</v>
      </c>
      <c r="AS353" s="1"/>
      <c r="AT353" s="2">
        <f>IFERROR(__xludf.DUMMYFUNCTION("""COMPUTED_VALUE"""),45666.0)</f>
        <v>45666</v>
      </c>
      <c r="AU353" s="1">
        <f>IFERROR(__xludf.DUMMYFUNCTION("""COMPUTED_VALUE"""),1.0)</f>
        <v>1</v>
      </c>
      <c r="AV353" s="1" t="str">
        <f>IFERROR(__xludf.DUMMYFUNCTION("""COMPUTED_VALUE"""),"TRASLADO")</f>
        <v>TRASLADO</v>
      </c>
      <c r="AW353" s="1"/>
      <c r="AX353" s="1"/>
      <c r="AY353" s="1" t="str">
        <f>IFERROR(__xludf.DUMMYFUNCTION("""COMPUTED_VALUE"""),"PAGO COMPLETO")</f>
        <v>PAGO COMPLETO</v>
      </c>
      <c r="AZ353" s="5">
        <f>IFERROR(__xludf.DUMMYFUNCTION("""COMPUTED_VALUE"""),45671.0)</f>
        <v>45671</v>
      </c>
      <c r="BA353" s="1">
        <f>IFERROR(__xludf.DUMMYFUNCTION("""COMPUTED_VALUE"""),0.0)</f>
        <v>0</v>
      </c>
      <c r="BB353" s="1">
        <f>IFERROR(__xludf.DUMMYFUNCTION("""COMPUTED_VALUE"""),0.0)</f>
        <v>0</v>
      </c>
      <c r="BC353" s="4">
        <f>IFERROR(__xludf.DUMMYFUNCTION("""COMPUTED_VALUE"""),0.0)</f>
        <v>0</v>
      </c>
      <c r="BD353" s="4">
        <f>IFERROR(__xludf.DUMMYFUNCTION("""COMPUTED_VALUE"""),100.0)</f>
        <v>100</v>
      </c>
      <c r="BE353" s="1">
        <f>IFERROR(__xludf.DUMMYFUNCTION("""COMPUTED_VALUE"""),1.0)</f>
        <v>1</v>
      </c>
      <c r="BF353" s="6">
        <f>IFERROR(__xludf.DUMMYFUNCTION("""COMPUTED_VALUE"""),1.0)</f>
        <v>1</v>
      </c>
      <c r="BG353" s="1">
        <f>IFERROR(__xludf.DUMMYFUNCTION("""COMPUTED_VALUE"""),1.0)</f>
        <v>1</v>
      </c>
      <c r="BH353" s="1" t="str">
        <f>IFERROR(__xludf.DUMMYFUNCTION("""COMPUTED_VALUE"""),"0")</f>
        <v>0</v>
      </c>
      <c r="BI353" s="4">
        <f>IFERROR(__xludf.DUMMYFUNCTION("""COMPUTED_VALUE"""),100.0)</f>
        <v>100</v>
      </c>
      <c r="BJ353" s="1">
        <f>IFERROR(__xludf.DUMMYFUNCTION("""COMPUTED_VALUE"""),0.0)</f>
        <v>0</v>
      </c>
      <c r="BK353" s="4">
        <f>IFERROR(__xludf.DUMMYFUNCTION("""COMPUTED_VALUE"""),100.0)</f>
        <v>100</v>
      </c>
      <c r="BL353" s="1">
        <f>IFERROR(__xludf.DUMMYFUNCTION("""COMPUTED_VALUE"""),780.0)</f>
        <v>780</v>
      </c>
      <c r="BM353" s="1">
        <f>IFERROR(__xludf.DUMMYFUNCTION("""COMPUTED_VALUE"""),3.0)</f>
        <v>3</v>
      </c>
      <c r="BN353" s="2">
        <f>IFERROR(__xludf.DUMMYFUNCTION("""COMPUTED_VALUE"""),45670.0)</f>
        <v>45670</v>
      </c>
      <c r="BO353" s="1">
        <f>IFERROR(__xludf.DUMMYFUNCTION("""COMPUTED_VALUE"""),1.0)</f>
        <v>1</v>
      </c>
      <c r="BP353" s="1">
        <f>IFERROR(__xludf.DUMMYFUNCTION("""COMPUTED_VALUE"""),2025.0)</f>
        <v>2025</v>
      </c>
    </row>
    <row r="354">
      <c r="A354" s="1">
        <f>IFERROR(__xludf.DUMMYFUNCTION("""COMPUTED_VALUE"""),353.0)</f>
        <v>353</v>
      </c>
      <c r="B354" s="1">
        <f>IFERROR(__xludf.DUMMYFUNCTION("""COMPUTED_VALUE"""),2384152.0)</f>
        <v>2384152</v>
      </c>
      <c r="C354" s="1" t="str">
        <f>IFERROR(__xludf.DUMMYFUNCTION("""COMPUTED_VALUE"""),"2025-1")</f>
        <v>2025-1</v>
      </c>
      <c r="D354" s="1" t="str">
        <f>IFERROR(__xludf.DUMMYFUNCTION("""COMPUTED_VALUE"""),"Admisión Ordinaria")</f>
        <v>Admisión Ordinaria</v>
      </c>
      <c r="E354" s="7">
        <f>IFERROR(__xludf.DUMMYFUNCTION("""COMPUTED_VALUE"""),45671.0)</f>
        <v>45671</v>
      </c>
      <c r="F354" s="1" t="str">
        <f>IFERROR(__xludf.DUMMYFUNCTION("""COMPUTED_VALUE"""),"JOAQUIN FRANCESCO ")</f>
        <v>JOAQUIN FRANCESCO </v>
      </c>
      <c r="G354" s="1" t="str">
        <f>IFERROR(__xludf.DUMMYFUNCTION("""COMPUTED_VALUE"""),"RODRIGUEZPRIETO TAPIA")</f>
        <v>RODRIGUEZPRIETO TAPIA</v>
      </c>
      <c r="H354" s="1" t="str">
        <f>IFERROR(__xludf.DUMMYFUNCTION("""COMPUTED_VALUE"""),"Comunicación Audiovisual y Cine")</f>
        <v>Comunicación Audiovisual y Cine</v>
      </c>
      <c r="I354" s="1" t="str">
        <f>IFERROR(__xludf.DUMMYFUNCTION("""COMPUTED_VALUE"""),"CARGO")</f>
        <v>CARGO</v>
      </c>
      <c r="J354" s="1" t="str">
        <f>IFERROR(__xludf.DUMMYFUNCTION("""COMPUTED_VALUE"""),"Diurno")</f>
        <v>Diurno</v>
      </c>
      <c r="K354" s="1" t="str">
        <f>IFERROR(__xludf.DUMMYFUNCTION("""COMPUTED_VALUE"""),"NUEVO")</f>
        <v>NUEVO</v>
      </c>
      <c r="L354" s="1">
        <f>IFERROR(__xludf.DUMMYFUNCTION("""COMPUTED_VALUE"""),0.0)</f>
        <v>0</v>
      </c>
      <c r="M354" s="1">
        <f>IFERROR(__xludf.DUMMYFUNCTION("""COMPUTED_VALUE"""),0.0)</f>
        <v>0</v>
      </c>
      <c r="N354" s="1" t="str">
        <f>IFERROR(__xludf.DUMMYFUNCTION("""COMPUTED_VALUE"""),"BECA")</f>
        <v>BECA</v>
      </c>
      <c r="O354" s="1" t="str">
        <f>IFERROR(__xludf.DUMMYFUNCTION("""COMPUTED_VALUE"""),"BECA CONGELADA DE 2 AÑOS")</f>
        <v>BECA CONGELADA DE 2 AÑOS</v>
      </c>
      <c r="P354" s="4">
        <f>IFERROR(__xludf.DUMMYFUNCTION("""COMPUTED_VALUE"""),0.0)</f>
        <v>0</v>
      </c>
      <c r="Q354" s="4">
        <f>IFERROR(__xludf.DUMMYFUNCTION("""COMPUTED_VALUE"""),0.0)</f>
        <v>0</v>
      </c>
      <c r="R354" s="4">
        <f>IFERROR(__xludf.DUMMYFUNCTION("""COMPUTED_VALUE"""),1400.0)</f>
        <v>1400</v>
      </c>
      <c r="S354" s="4">
        <f>IFERROR(__xludf.DUMMYFUNCTION("""COMPUTED_VALUE"""),1150.0)</f>
        <v>1150</v>
      </c>
      <c r="T354" s="1" t="str">
        <f>IFERROR(__xludf.DUMMYFUNCTION("""COMPUTED_VALUE"""),"NINGUNO")</f>
        <v>NINGUNO</v>
      </c>
      <c r="U354" s="1"/>
      <c r="V354" s="1" t="str">
        <f>IFERROR(__xludf.DUMMYFUNCTION("""COMPUTED_VALUE"""),"Ninguno")</f>
        <v>Ninguno</v>
      </c>
      <c r="W354" s="1" t="str">
        <f>IFERROR(__xludf.DUMMYFUNCTION("""COMPUTED_VALUE"""),"Metodología de enseñanza")</f>
        <v>Metodología de enseñanza</v>
      </c>
      <c r="X354" s="1"/>
      <c r="Y354" s="1" t="str">
        <f>IFERROR(__xludf.DUMMYFUNCTION("""COMPUTED_VALUE"""),"PAGO COMPLETO")</f>
        <v>PAGO COMPLETO</v>
      </c>
      <c r="Z354" s="1"/>
      <c r="AA354" s="1"/>
      <c r="AB354" s="1">
        <f>IFERROR(__xludf.DUMMYFUNCTION("""COMPUTED_VALUE"""),0.0)</f>
        <v>0</v>
      </c>
      <c r="AC354" s="1">
        <f>IFERROR(__xludf.DUMMYFUNCTION("""COMPUTED_VALUE"""),0.0)</f>
        <v>0</v>
      </c>
      <c r="AD354" s="1" t="str">
        <f>IFERROR(__xludf.DUMMYFUNCTION("""COMPUTED_VALUE"""),"Ingrid Guillermo Rivera")</f>
        <v>Ingrid Guillermo Rivera</v>
      </c>
      <c r="AE354" s="1" t="str">
        <f>IFERROR(__xludf.DUMMYFUNCTION("""COMPUTED_VALUE"""),"0")</f>
        <v>0</v>
      </c>
      <c r="AF354" s="1">
        <f>IFERROR(__xludf.DUMMYFUNCTION("""COMPUTED_VALUE"""),2020.0)</f>
        <v>2020</v>
      </c>
      <c r="AG354" s="1">
        <f>IFERROR(__xludf.DUMMYFUNCTION("""COMPUTED_VALUE"""),0.0)</f>
        <v>0</v>
      </c>
      <c r="AH354" s="1">
        <f>IFERROR(__xludf.DUMMYFUNCTION("""COMPUTED_VALUE"""),21.0)</f>
        <v>21</v>
      </c>
      <c r="AI354" s="1" t="str">
        <f>IFERROR(__xludf.DUMMYFUNCTION("""COMPUTED_VALUE"""),"0000409266")</f>
        <v>0000409266</v>
      </c>
      <c r="AJ354" s="1">
        <f>IFERROR(__xludf.DUMMYFUNCTION("""COMPUTED_VALUE"""),7.5231734E7)</f>
        <v>75231734</v>
      </c>
      <c r="AK354" s="1">
        <f>IFERROR(__xludf.DUMMYFUNCTION("""COMPUTED_VALUE"""),9.75224436E8)</f>
        <v>975224436</v>
      </c>
      <c r="AL354" s="1" t="str">
        <f>IFERROR(__xludf.DUMMYFUNCTION("""COMPUTED_VALUE"""),"rpt.joaquin@gmail.com")</f>
        <v>rpt.joaquin@gmail.com</v>
      </c>
      <c r="AM354" s="1" t="str">
        <f>IFERROR(__xludf.DUMMYFUNCTION("""COMPUTED_VALUE"""),"MASCULINO")</f>
        <v>MASCULINO</v>
      </c>
      <c r="AN354" s="1">
        <f>IFERROR(__xludf.DUMMYFUNCTION("""COMPUTED_VALUE"""),1350.0)</f>
        <v>1350</v>
      </c>
      <c r="AO354" s="1">
        <f>IFERROR(__xludf.DUMMYFUNCTION("""COMPUTED_VALUE"""),0.0)</f>
        <v>0</v>
      </c>
      <c r="AP354" s="1" t="str">
        <f>IFERROR(__xludf.DUMMYFUNCTION("""COMPUTED_VALUE"""),"OUTBOUND")</f>
        <v>OUTBOUND</v>
      </c>
      <c r="AQ354" s="1" t="str">
        <f>IFERROR(__xludf.DUMMYFUNCTION("""COMPUTED_VALUE"""),"OUTBOUND")</f>
        <v>OUTBOUND</v>
      </c>
      <c r="AR354" s="1" t="str">
        <f>IFERROR(__xludf.DUMMYFUNCTION("""COMPUTED_VALUE"""),"HEREDADO")</f>
        <v>HEREDADO</v>
      </c>
      <c r="AS354" s="1"/>
      <c r="AT354" s="2">
        <f>IFERROR(__xludf.DUMMYFUNCTION("""COMPUTED_VALUE"""),45671.0)</f>
        <v>45671</v>
      </c>
      <c r="AU354" s="1">
        <f>IFERROR(__xludf.DUMMYFUNCTION("""COMPUTED_VALUE"""),1.0)</f>
        <v>1</v>
      </c>
      <c r="AV354" s="1" t="str">
        <f>IFERROR(__xludf.DUMMYFUNCTION("""COMPUTED_VALUE"""),"NUEVO")</f>
        <v>NUEVO</v>
      </c>
      <c r="AW354" s="1"/>
      <c r="AX354" s="1"/>
      <c r="AY354" s="1" t="str">
        <f>IFERROR(__xludf.DUMMYFUNCTION("""COMPUTED_VALUE"""),"PAGO COMPLETO")</f>
        <v>PAGO COMPLETO</v>
      </c>
      <c r="AZ354" s="5">
        <f>IFERROR(__xludf.DUMMYFUNCTION("""COMPUTED_VALUE"""),45671.0)</f>
        <v>45671</v>
      </c>
      <c r="BA354" s="1">
        <f>IFERROR(__xludf.DUMMYFUNCTION("""COMPUTED_VALUE"""),0.0)</f>
        <v>0</v>
      </c>
      <c r="BB354" s="1">
        <f>IFERROR(__xludf.DUMMYFUNCTION("""COMPUTED_VALUE"""),0.0)</f>
        <v>0</v>
      </c>
      <c r="BC354" s="4">
        <f>IFERROR(__xludf.DUMMYFUNCTION("""COMPUTED_VALUE"""),0.0)</f>
        <v>0</v>
      </c>
      <c r="BD354" s="4">
        <f>IFERROR(__xludf.DUMMYFUNCTION("""COMPUTED_VALUE"""),0.0)</f>
        <v>0</v>
      </c>
      <c r="BE354" s="1">
        <f>IFERROR(__xludf.DUMMYFUNCTION("""COMPUTED_VALUE"""),1.0)</f>
        <v>1</v>
      </c>
      <c r="BF354" s="6">
        <f>IFERROR(__xludf.DUMMYFUNCTION("""COMPUTED_VALUE"""),1.0)</f>
        <v>1</v>
      </c>
      <c r="BG354" s="1">
        <f>IFERROR(__xludf.DUMMYFUNCTION("""COMPUTED_VALUE"""),1.0)</f>
        <v>1</v>
      </c>
      <c r="BH354" s="1" t="str">
        <f>IFERROR(__xludf.DUMMYFUNCTION("""COMPUTED_VALUE"""),"0")</f>
        <v>0</v>
      </c>
      <c r="BI354" s="4">
        <f>IFERROR(__xludf.DUMMYFUNCTION("""COMPUTED_VALUE"""),0.0)</f>
        <v>0</v>
      </c>
      <c r="BJ354" s="1">
        <f>IFERROR(__xludf.DUMMYFUNCTION("""COMPUTED_VALUE"""),0.0)</f>
        <v>0</v>
      </c>
      <c r="BK354" s="4">
        <f>IFERROR(__xludf.DUMMYFUNCTION("""COMPUTED_VALUE"""),0.0)</f>
        <v>0</v>
      </c>
      <c r="BL354" s="1">
        <f>IFERROR(__xludf.DUMMYFUNCTION("""COMPUTED_VALUE"""),1150.0)</f>
        <v>1150</v>
      </c>
      <c r="BM354" s="1">
        <f>IFERROR(__xludf.DUMMYFUNCTION("""COMPUTED_VALUE"""),3.0)</f>
        <v>3</v>
      </c>
      <c r="BN354" s="2">
        <f>IFERROR(__xludf.DUMMYFUNCTION("""COMPUTED_VALUE"""),45670.0)</f>
        <v>45670</v>
      </c>
      <c r="BO354" s="1">
        <f>IFERROR(__xludf.DUMMYFUNCTION("""COMPUTED_VALUE"""),1.0)</f>
        <v>1</v>
      </c>
      <c r="BP354" s="1">
        <f>IFERROR(__xludf.DUMMYFUNCTION("""COMPUTED_VALUE"""),2025.0)</f>
        <v>2025</v>
      </c>
    </row>
    <row r="355">
      <c r="A355" s="1">
        <f>IFERROR(__xludf.DUMMYFUNCTION("""COMPUTED_VALUE"""),354.0)</f>
        <v>354</v>
      </c>
      <c r="B355" s="1">
        <f>IFERROR(__xludf.DUMMYFUNCTION("""COMPUTED_VALUE"""),1857409.0)</f>
        <v>1857409</v>
      </c>
      <c r="C355" s="1" t="str">
        <f>IFERROR(__xludf.DUMMYFUNCTION("""COMPUTED_VALUE"""),"2025-1")</f>
        <v>2025-1</v>
      </c>
      <c r="D355" s="1" t="str">
        <f>IFERROR(__xludf.DUMMYFUNCTION("""COMPUTED_VALUE"""),"Admisión Ordinaria")</f>
        <v>Admisión Ordinaria</v>
      </c>
      <c r="E355" s="2">
        <f>IFERROR(__xludf.DUMMYFUNCTION("""COMPUTED_VALUE"""),45671.0)</f>
        <v>45671</v>
      </c>
      <c r="F355" s="1" t="str">
        <f>IFERROR(__xludf.DUMMYFUNCTION("""COMPUTED_VALUE"""),"VALERIA LUCIA ")</f>
        <v>VALERIA LUCIA </v>
      </c>
      <c r="G355" s="1" t="str">
        <f>IFERROR(__xludf.DUMMYFUNCTION("""COMPUTED_VALUE"""),"GONZALES TEMOCHE")</f>
        <v>GONZALES TEMOCHE</v>
      </c>
      <c r="H355" s="1" t="str">
        <f>IFERROR(__xludf.DUMMYFUNCTION("""COMPUTED_VALUE"""),"Comunicación y Publicidad Transmedia")</f>
        <v>Comunicación y Publicidad Transmedia</v>
      </c>
      <c r="I355" s="1" t="str">
        <f>IFERROR(__xludf.DUMMYFUNCTION("""COMPUTED_VALUE"""),"CARGO")</f>
        <v>CARGO</v>
      </c>
      <c r="J355" s="1" t="str">
        <f>IFERROR(__xludf.DUMMYFUNCTION("""COMPUTED_VALUE"""),"Diurno")</f>
        <v>Diurno</v>
      </c>
      <c r="K355" s="1" t="str">
        <f>IFERROR(__xludf.DUMMYFUNCTION("""COMPUTED_VALUE"""),"NUEVO")</f>
        <v>NUEVO</v>
      </c>
      <c r="L355" s="1">
        <f>IFERROR(__xludf.DUMMYFUNCTION("""COMPUTED_VALUE"""),0.0)</f>
        <v>0</v>
      </c>
      <c r="M355" s="1">
        <f>IFERROR(__xludf.DUMMYFUNCTION("""COMPUTED_VALUE"""),0.0)</f>
        <v>0</v>
      </c>
      <c r="N355" s="1" t="str">
        <f>IFERROR(__xludf.DUMMYFUNCTION("""COMPUTED_VALUE"""),"ESCALA REGULAR")</f>
        <v>ESCALA REGULAR</v>
      </c>
      <c r="O355" s="1" t="str">
        <f>IFERROR(__xludf.DUMMYFUNCTION("""COMPUTED_VALUE"""),"NINGUNO")</f>
        <v>NINGUNO</v>
      </c>
      <c r="P355" s="4">
        <f>IFERROR(__xludf.DUMMYFUNCTION("""COMPUTED_VALUE"""),0.0)</f>
        <v>0</v>
      </c>
      <c r="Q355" s="4">
        <f>IFERROR(__xludf.DUMMYFUNCTION("""COMPUTED_VALUE"""),0.0)</f>
        <v>0</v>
      </c>
      <c r="R355" s="4">
        <f>IFERROR(__xludf.DUMMYFUNCTION("""COMPUTED_VALUE"""),1400.0)</f>
        <v>1400</v>
      </c>
      <c r="S355" s="4">
        <f>IFERROR(__xludf.DUMMYFUNCTION("""COMPUTED_VALUE"""),1400.0)</f>
        <v>1400</v>
      </c>
      <c r="T355" s="1" t="str">
        <f>IFERROR(__xludf.DUMMYFUNCTION("""COMPUTED_VALUE"""),"NINGUNO")</f>
        <v>NINGUNO</v>
      </c>
      <c r="U355" s="1" t="str">
        <f>IFERROR(__xludf.DUMMYFUNCTION("""COMPUTED_VALUE"""),"RODRIGO")</f>
        <v>RODRIGO</v>
      </c>
      <c r="V355" s="1" t="str">
        <f>IFERROR(__xludf.DUMMYFUNCTION("""COMPUTED_VALUE"""),"Ninguno")</f>
        <v>Ninguno</v>
      </c>
      <c r="W355" s="1" t="str">
        <f>IFERROR(__xludf.DUMMYFUNCTION("""COMPUTED_VALUE"""),"Prestigio de la institución")</f>
        <v>Prestigio de la institución</v>
      </c>
      <c r="X355" s="1" t="str">
        <f>IFERROR(__xludf.DUMMYFUNCTION("""COMPUTED_VALUE"""),"0")</f>
        <v>0</v>
      </c>
      <c r="Y355" s="1" t="str">
        <f>IFERROR(__xludf.DUMMYFUNCTION("""COMPUTED_VALUE"""),"PAGO COMPLETO")</f>
        <v>PAGO COMPLETO</v>
      </c>
      <c r="Z355" s="1"/>
      <c r="AA355" s="1"/>
      <c r="AB355" s="1">
        <f>IFERROR(__xludf.DUMMYFUNCTION("""COMPUTED_VALUE"""),0.0)</f>
        <v>0</v>
      </c>
      <c r="AC355" s="1">
        <f>IFERROR(__xludf.DUMMYFUNCTION("""COMPUTED_VALUE"""),0.0)</f>
        <v>0</v>
      </c>
      <c r="AD355" s="1" t="str">
        <f>IFERROR(__xludf.DUMMYFUNCTION("""COMPUTED_VALUE"""),"Andrea Araujo Antara")</f>
        <v>Andrea Araujo Antara</v>
      </c>
      <c r="AE355" s="1" t="str">
        <f>IFERROR(__xludf.DUMMYFUNCTION("""COMPUTED_VALUE"""),"0")</f>
        <v>0</v>
      </c>
      <c r="AF355" s="1">
        <f>IFERROR(__xludf.DUMMYFUNCTION("""COMPUTED_VALUE"""),2022.0)</f>
        <v>2022</v>
      </c>
      <c r="AG355" s="1">
        <f>IFERROR(__xludf.DUMMYFUNCTION("""COMPUTED_VALUE"""),0.0)</f>
        <v>0</v>
      </c>
      <c r="AH355" s="1">
        <f>IFERROR(__xludf.DUMMYFUNCTION("""COMPUTED_VALUE"""),20.0)</f>
        <v>20</v>
      </c>
      <c r="AI355" s="1" t="str">
        <f>IFERROR(__xludf.DUMMYFUNCTION("""COMPUTED_VALUE"""),"0000409403")</f>
        <v>0000409403</v>
      </c>
      <c r="AJ355" s="1">
        <f>IFERROR(__xludf.DUMMYFUNCTION("""COMPUTED_VALUE"""),7.2778959E7)</f>
        <v>72778959</v>
      </c>
      <c r="AK355" s="1">
        <f>IFERROR(__xludf.DUMMYFUNCTION("""COMPUTED_VALUE"""),9.49597938E8)</f>
        <v>949597938</v>
      </c>
      <c r="AL355" s="1" t="str">
        <f>IFERROR(__xludf.DUMMYFUNCTION("""COMPUTED_VALUE"""),"valerialuciagt@hotmail.com")</f>
        <v>valerialuciagt@hotmail.com</v>
      </c>
      <c r="AM355" s="1" t="str">
        <f>IFERROR(__xludf.DUMMYFUNCTION("""COMPUTED_VALUE"""),"FEMENINO")</f>
        <v>FEMENINO</v>
      </c>
      <c r="AN355" s="1">
        <f>IFERROR(__xludf.DUMMYFUNCTION("""COMPUTED_VALUE"""),1350.0)</f>
        <v>1350</v>
      </c>
      <c r="AO355" s="1">
        <f>IFERROR(__xludf.DUMMYFUNCTION("""COMPUTED_VALUE"""),0.0)</f>
        <v>0</v>
      </c>
      <c r="AP355" s="1" t="str">
        <f>IFERROR(__xludf.DUMMYFUNCTION("""COMPUTED_VALUE"""),"FORMULARIO")</f>
        <v>FORMULARIO</v>
      </c>
      <c r="AQ355" s="1" t="str">
        <f>IFERROR(__xludf.DUMMYFUNCTION("""COMPUTED_VALUE"""),"SEARCH CARRERA")</f>
        <v>SEARCH CARRERA</v>
      </c>
      <c r="AR355" s="1" t="str">
        <f>IFERROR(__xludf.DUMMYFUNCTION("""COMPUTED_VALUE"""),"HEREDADO")</f>
        <v>HEREDADO</v>
      </c>
      <c r="AS355" s="1" t="str">
        <f>IFERROR(__xludf.DUMMYFUNCTION("""COMPUTED_VALUE"""),"ucal-pg-performance-sedes-abierta-cpl-search_conversion_mundo_comunicaciones_reactivacion-20241105")</f>
        <v>ucal-pg-performance-sedes-abierta-cpl-search_conversion_mundo_comunicaciones_reactivacion-20241105</v>
      </c>
      <c r="AT355" s="2">
        <f>IFERROR(__xludf.DUMMYFUNCTION("""COMPUTED_VALUE"""),45671.0)</f>
        <v>45671</v>
      </c>
      <c r="AU355" s="1">
        <f>IFERROR(__xludf.DUMMYFUNCTION("""COMPUTED_VALUE"""),1.0)</f>
        <v>1</v>
      </c>
      <c r="AV355" s="1" t="str">
        <f>IFERROR(__xludf.DUMMYFUNCTION("""COMPUTED_VALUE"""),"NUEVO")</f>
        <v>NUEVO</v>
      </c>
      <c r="AW355" s="1"/>
      <c r="AX355" s="1"/>
      <c r="AY355" s="1" t="str">
        <f>IFERROR(__xludf.DUMMYFUNCTION("""COMPUTED_VALUE"""),"PAGO COMPLETO")</f>
        <v>PAGO COMPLETO</v>
      </c>
      <c r="AZ355" s="5">
        <f>IFERROR(__xludf.DUMMYFUNCTION("""COMPUTED_VALUE"""),45671.0)</f>
        <v>45671</v>
      </c>
      <c r="BA355" s="1">
        <f>IFERROR(__xludf.DUMMYFUNCTION("""COMPUTED_VALUE"""),0.0)</f>
        <v>0</v>
      </c>
      <c r="BB355" s="1">
        <f>IFERROR(__xludf.DUMMYFUNCTION("""COMPUTED_VALUE"""),0.0)</f>
        <v>0</v>
      </c>
      <c r="BC355" s="4">
        <f>IFERROR(__xludf.DUMMYFUNCTION("""COMPUTED_VALUE"""),0.0)</f>
        <v>0</v>
      </c>
      <c r="BD355" s="4">
        <f>IFERROR(__xludf.DUMMYFUNCTION("""COMPUTED_VALUE"""),0.0)</f>
        <v>0</v>
      </c>
      <c r="BE355" s="1">
        <f>IFERROR(__xludf.DUMMYFUNCTION("""COMPUTED_VALUE"""),1.0)</f>
        <v>1</v>
      </c>
      <c r="BF355" s="6">
        <f>IFERROR(__xludf.DUMMYFUNCTION("""COMPUTED_VALUE"""),1.0)</f>
        <v>1</v>
      </c>
      <c r="BG355" s="1">
        <f>IFERROR(__xludf.DUMMYFUNCTION("""COMPUTED_VALUE"""),1.0)</f>
        <v>1</v>
      </c>
      <c r="BH355" s="1" t="str">
        <f>IFERROR(__xludf.DUMMYFUNCTION("""COMPUTED_VALUE"""),"0")</f>
        <v>0</v>
      </c>
      <c r="BI355" s="4">
        <f>IFERROR(__xludf.DUMMYFUNCTION("""COMPUTED_VALUE"""),0.0)</f>
        <v>0</v>
      </c>
      <c r="BJ355" s="1">
        <f>IFERROR(__xludf.DUMMYFUNCTION("""COMPUTED_VALUE"""),0.0)</f>
        <v>0</v>
      </c>
      <c r="BK355" s="4">
        <f>IFERROR(__xludf.DUMMYFUNCTION("""COMPUTED_VALUE"""),0.0)</f>
        <v>0</v>
      </c>
      <c r="BL355" s="1">
        <f>IFERROR(__xludf.DUMMYFUNCTION("""COMPUTED_VALUE"""),1400.0)</f>
        <v>1400</v>
      </c>
      <c r="BM355" s="1">
        <f>IFERROR(__xludf.DUMMYFUNCTION("""COMPUTED_VALUE"""),3.0)</f>
        <v>3</v>
      </c>
      <c r="BN355" s="2">
        <f>IFERROR(__xludf.DUMMYFUNCTION("""COMPUTED_VALUE"""),45670.0)</f>
        <v>45670</v>
      </c>
      <c r="BO355" s="1">
        <f>IFERROR(__xludf.DUMMYFUNCTION("""COMPUTED_VALUE"""),1.0)</f>
        <v>1</v>
      </c>
      <c r="BP355" s="1">
        <f>IFERROR(__xludf.DUMMYFUNCTION("""COMPUTED_VALUE"""),2025.0)</f>
        <v>2025</v>
      </c>
    </row>
    <row r="356">
      <c r="A356" s="1">
        <f>IFERROR(__xludf.DUMMYFUNCTION("""COMPUTED_VALUE"""),355.0)</f>
        <v>355</v>
      </c>
      <c r="B356" s="1">
        <f>IFERROR(__xludf.DUMMYFUNCTION("""COMPUTED_VALUE"""),352348.0)</f>
        <v>352348</v>
      </c>
      <c r="C356" s="1" t="str">
        <f>IFERROR(__xludf.DUMMYFUNCTION("""COMPUTED_VALUE"""),"2025-1")</f>
        <v>2025-1</v>
      </c>
      <c r="D356" s="1" t="str">
        <f>IFERROR(__xludf.DUMMYFUNCTION("""COMPUTED_VALUE"""),"Admisión Ordinaria")</f>
        <v>Admisión Ordinaria</v>
      </c>
      <c r="E356" s="2">
        <f>IFERROR(__xludf.DUMMYFUNCTION("""COMPUTED_VALUE"""),45671.0)</f>
        <v>45671</v>
      </c>
      <c r="F356" s="1" t="str">
        <f>IFERROR(__xludf.DUMMYFUNCTION("""COMPUTED_VALUE"""),"YVONNE CLAUDIA ALEJANDRA ")</f>
        <v>YVONNE CLAUDIA ALEJANDRA </v>
      </c>
      <c r="G356" s="1" t="str">
        <f>IFERROR(__xludf.DUMMYFUNCTION("""COMPUTED_VALUE"""),"CHACON LOAYZA")</f>
        <v>CHACON LOAYZA</v>
      </c>
      <c r="H356" s="1" t="str">
        <f>IFERROR(__xludf.DUMMYFUNCTION("""COMPUTED_VALUE"""),"Administración y Marketing")</f>
        <v>Administración y Marketing</v>
      </c>
      <c r="I356" s="1" t="str">
        <f>IFERROR(__xludf.DUMMYFUNCTION("""COMPUTED_VALUE"""),"CARGO")</f>
        <v>CARGO</v>
      </c>
      <c r="J356" s="1" t="str">
        <f>IFERROR(__xludf.DUMMYFUNCTION("""COMPUTED_VALUE"""),"Nocturno - A distancia")</f>
        <v>Nocturno - A distancia</v>
      </c>
      <c r="K356" s="1" t="str">
        <f>IFERROR(__xludf.DUMMYFUNCTION("""COMPUTED_VALUE"""),"NUEVO")</f>
        <v>NUEVO</v>
      </c>
      <c r="L356" s="1">
        <f>IFERROR(__xludf.DUMMYFUNCTION("""COMPUTED_VALUE"""),0.0)</f>
        <v>0</v>
      </c>
      <c r="M356" s="1">
        <f>IFERROR(__xludf.DUMMYFUNCTION("""COMPUTED_VALUE"""),0.0)</f>
        <v>0</v>
      </c>
      <c r="N356" s="1" t="str">
        <f>IFERROR(__xludf.DUMMYFUNCTION("""COMPUTED_VALUE"""),"ESCALA DISTANCIA")</f>
        <v>ESCALA DISTANCIA</v>
      </c>
      <c r="O356" s="1" t="str">
        <f>IFERROR(__xludf.DUMMYFUNCTION("""COMPUTED_VALUE"""),"ESCALA DISTANCIA REGULAR")</f>
        <v>ESCALA DISTANCIA REGULAR</v>
      </c>
      <c r="P356" s="4">
        <f>IFERROR(__xludf.DUMMYFUNCTION("""COMPUTED_VALUE"""),0.0)</f>
        <v>0</v>
      </c>
      <c r="Q356" s="4">
        <f>IFERROR(__xludf.DUMMYFUNCTION("""COMPUTED_VALUE"""),0.0)</f>
        <v>0</v>
      </c>
      <c r="R356" s="4">
        <f>IFERROR(__xludf.DUMMYFUNCTION("""COMPUTED_VALUE"""),700.0)</f>
        <v>700</v>
      </c>
      <c r="S356" s="4">
        <f>IFERROR(__xludf.DUMMYFUNCTION("""COMPUTED_VALUE"""),700.0)</f>
        <v>700</v>
      </c>
      <c r="T356" s="1" t="str">
        <f>IFERROR(__xludf.DUMMYFUNCTION("""COMPUTED_VALUE"""),"NINGUNO")</f>
        <v>NINGUNO</v>
      </c>
      <c r="U356" s="1" t="str">
        <f>IFERROR(__xludf.DUMMYFUNCTION("""COMPUTED_VALUE"""),"FABIOLA")</f>
        <v>FABIOLA</v>
      </c>
      <c r="V356" s="1" t="str">
        <f>IFERROR(__xludf.DUMMYFUNCTION("""COMPUTED_VALUE"""),"Ninguno")</f>
        <v>Ninguno</v>
      </c>
      <c r="W356" s="1" t="str">
        <f>IFERROR(__xludf.DUMMYFUNCTION("""COMPUTED_VALUE"""),"Flexibilidad de horarios")</f>
        <v>Flexibilidad de horarios</v>
      </c>
      <c r="X356" s="1" t="str">
        <f>IFERROR(__xludf.DUMMYFUNCTION("""COMPUTED_VALUE"""),"0")</f>
        <v>0</v>
      </c>
      <c r="Y356" s="1" t="str">
        <f>IFERROR(__xludf.DUMMYFUNCTION("""COMPUTED_VALUE"""),"PAGO COMPLETO")</f>
        <v>PAGO COMPLETO</v>
      </c>
      <c r="Z356" s="1"/>
      <c r="AA356" s="1"/>
      <c r="AB356" s="1">
        <f>IFERROR(__xludf.DUMMYFUNCTION("""COMPUTED_VALUE"""),0.0)</f>
        <v>0</v>
      </c>
      <c r="AC356" s="1">
        <f>IFERROR(__xludf.DUMMYFUNCTION("""COMPUTED_VALUE"""),0.0)</f>
        <v>0</v>
      </c>
      <c r="AD356" s="1" t="str">
        <f>IFERROR(__xludf.DUMMYFUNCTION("""COMPUTED_VALUE"""),"Andrea Araujo Antara")</f>
        <v>Andrea Araujo Antara</v>
      </c>
      <c r="AE356" s="1" t="str">
        <f>IFERROR(__xludf.DUMMYFUNCTION("""COMPUTED_VALUE"""),"0")</f>
        <v>0</v>
      </c>
      <c r="AF356" s="1">
        <f>IFERROR(__xludf.DUMMYFUNCTION("""COMPUTED_VALUE"""),0.0)</f>
        <v>0</v>
      </c>
      <c r="AG356" s="1">
        <f>IFERROR(__xludf.DUMMYFUNCTION("""COMPUTED_VALUE"""),1793405.0)</f>
        <v>1793405</v>
      </c>
      <c r="AH356" s="1">
        <f>IFERROR(__xludf.DUMMYFUNCTION("""COMPUTED_VALUE"""),34.0)</f>
        <v>34</v>
      </c>
      <c r="AI356" s="1" t="str">
        <f>IFERROR(__xludf.DUMMYFUNCTION("""COMPUTED_VALUE"""),"2020006828")</f>
        <v>2020006828</v>
      </c>
      <c r="AJ356" s="1">
        <f>IFERROR(__xludf.DUMMYFUNCTION("""COMPUTED_VALUE"""),4.723687E7)</f>
        <v>47236870</v>
      </c>
      <c r="AK356" s="1">
        <f>IFERROR(__xludf.DUMMYFUNCTION("""COMPUTED_VALUE"""),9.93943439E8)</f>
        <v>993943439</v>
      </c>
      <c r="AL356" s="1" t="str">
        <f>IFERROR(__xludf.DUMMYFUNCTION("""COMPUTED_VALUE"""),"claudiaclo91@gmail.com")</f>
        <v>claudiaclo91@gmail.com</v>
      </c>
      <c r="AM356" s="1" t="str">
        <f>IFERROR(__xludf.DUMMYFUNCTION("""COMPUTED_VALUE"""),"FEMENINO")</f>
        <v>FEMENINO</v>
      </c>
      <c r="AN356" s="1">
        <f>IFERROR(__xludf.DUMMYFUNCTION("""COMPUTED_VALUE"""),1350.0)</f>
        <v>1350</v>
      </c>
      <c r="AO356" s="1">
        <f>IFERROR(__xludf.DUMMYFUNCTION("""COMPUTED_VALUE"""),0.0)</f>
        <v>0</v>
      </c>
      <c r="AP356" s="1" t="str">
        <f>IFERROR(__xludf.DUMMYFUNCTION("""COMPUTED_VALUE"""),"FORMULARIO")</f>
        <v>FORMULARIO</v>
      </c>
      <c r="AQ356" s="1" t="str">
        <f>IFERROR(__xludf.DUMMYFUNCTION("""COMPUTED_VALUE"""),"SEARCH CARRERA")</f>
        <v>SEARCH CARRERA</v>
      </c>
      <c r="AR356" s="1" t="str">
        <f>IFERROR(__xludf.DUMMYFUNCTION("""COMPUTED_VALUE"""),"NUEVO")</f>
        <v>NUEVO</v>
      </c>
      <c r="AS356" s="1" t="str">
        <f>IFERROR(__xludf.DUMMYFUNCTION("""COMPUTED_VALUE"""),"ucal-pg-performance-sedes-abierta-cpl-search_conversion_mundo_negocios-20240401")</f>
        <v>ucal-pg-performance-sedes-abierta-cpl-search_conversion_mundo_negocios-20240401</v>
      </c>
      <c r="AT356" s="2">
        <f>IFERROR(__xludf.DUMMYFUNCTION("""COMPUTED_VALUE"""),45671.0)</f>
        <v>45671</v>
      </c>
      <c r="AU356" s="1">
        <f>IFERROR(__xludf.DUMMYFUNCTION("""COMPUTED_VALUE"""),1.0)</f>
        <v>1</v>
      </c>
      <c r="AV356" s="1" t="str">
        <f>IFERROR(__xludf.DUMMYFUNCTION("""COMPUTED_VALUE"""),"NUEVO")</f>
        <v>NUEVO</v>
      </c>
      <c r="AW356" s="1"/>
      <c r="AX356" s="1"/>
      <c r="AY356" s="1" t="str">
        <f>IFERROR(__xludf.DUMMYFUNCTION("""COMPUTED_VALUE"""),"PAGO COMPLETO")</f>
        <v>PAGO COMPLETO</v>
      </c>
      <c r="AZ356" s="5">
        <f>IFERROR(__xludf.DUMMYFUNCTION("""COMPUTED_VALUE"""),45671.0)</f>
        <v>45671</v>
      </c>
      <c r="BA356" s="1">
        <f>IFERROR(__xludf.DUMMYFUNCTION("""COMPUTED_VALUE"""),0.0)</f>
        <v>0</v>
      </c>
      <c r="BB356" s="1">
        <f>IFERROR(__xludf.DUMMYFUNCTION("""COMPUTED_VALUE"""),0.0)</f>
        <v>0</v>
      </c>
      <c r="BC356" s="4">
        <f>IFERROR(__xludf.DUMMYFUNCTION("""COMPUTED_VALUE"""),0.0)</f>
        <v>0</v>
      </c>
      <c r="BD356" s="4">
        <f>IFERROR(__xludf.DUMMYFUNCTION("""COMPUTED_VALUE"""),0.0)</f>
        <v>0</v>
      </c>
      <c r="BE356" s="1">
        <f>IFERROR(__xludf.DUMMYFUNCTION("""COMPUTED_VALUE"""),1.0)</f>
        <v>1</v>
      </c>
      <c r="BF356" s="6">
        <f>IFERROR(__xludf.DUMMYFUNCTION("""COMPUTED_VALUE"""),1.0)</f>
        <v>1</v>
      </c>
      <c r="BG356" s="1">
        <f>IFERROR(__xludf.DUMMYFUNCTION("""COMPUTED_VALUE"""),1.0)</f>
        <v>1</v>
      </c>
      <c r="BH356" s="1" t="str">
        <f>IFERROR(__xludf.DUMMYFUNCTION("""COMPUTED_VALUE"""),"0")</f>
        <v>0</v>
      </c>
      <c r="BI356" s="4">
        <f>IFERROR(__xludf.DUMMYFUNCTION("""COMPUTED_VALUE"""),0.0)</f>
        <v>0</v>
      </c>
      <c r="BJ356" s="1">
        <f>IFERROR(__xludf.DUMMYFUNCTION("""COMPUTED_VALUE"""),0.0)</f>
        <v>0</v>
      </c>
      <c r="BK356" s="4">
        <f>IFERROR(__xludf.DUMMYFUNCTION("""COMPUTED_VALUE"""),0.0)</f>
        <v>0</v>
      </c>
      <c r="BL356" s="1">
        <f>IFERROR(__xludf.DUMMYFUNCTION("""COMPUTED_VALUE"""),700.0)</f>
        <v>700</v>
      </c>
      <c r="BM356" s="1">
        <f>IFERROR(__xludf.DUMMYFUNCTION("""COMPUTED_VALUE"""),3.0)</f>
        <v>3</v>
      </c>
      <c r="BN356" s="2">
        <f>IFERROR(__xludf.DUMMYFUNCTION("""COMPUTED_VALUE"""),45670.0)</f>
        <v>45670</v>
      </c>
      <c r="BO356" s="1">
        <f>IFERROR(__xludf.DUMMYFUNCTION("""COMPUTED_VALUE"""),1.0)</f>
        <v>1</v>
      </c>
      <c r="BP356" s="1">
        <f>IFERROR(__xludf.DUMMYFUNCTION("""COMPUTED_VALUE"""),2025.0)</f>
        <v>2025</v>
      </c>
    </row>
    <row r="357">
      <c r="A357" s="1">
        <f>IFERROR(__xludf.DUMMYFUNCTION("""COMPUTED_VALUE"""),356.0)</f>
        <v>356</v>
      </c>
      <c r="B357" s="1">
        <f>IFERROR(__xludf.DUMMYFUNCTION("""COMPUTED_VALUE"""),2000991.0)</f>
        <v>2000991</v>
      </c>
      <c r="C357" s="1" t="str">
        <f>IFERROR(__xludf.DUMMYFUNCTION("""COMPUTED_VALUE"""),"2025-1")</f>
        <v>2025-1</v>
      </c>
      <c r="D357" s="1" t="str">
        <f>IFERROR(__xludf.DUMMYFUNCTION("""COMPUTED_VALUE"""),"Admisión Ordinaria")</f>
        <v>Admisión Ordinaria</v>
      </c>
      <c r="E357" s="2">
        <f>IFERROR(__xludf.DUMMYFUNCTION("""COMPUTED_VALUE"""),45672.0)</f>
        <v>45672</v>
      </c>
      <c r="F357" s="1" t="str">
        <f>IFERROR(__xludf.DUMMYFUNCTION("""COMPUTED_VALUE"""),"CIELO VALERIA ")</f>
        <v>CIELO VALERIA </v>
      </c>
      <c r="G357" s="1" t="str">
        <f>IFERROR(__xludf.DUMMYFUNCTION("""COMPUTED_VALUE"""),"MAYTA BENITES")</f>
        <v>MAYTA BENITES</v>
      </c>
      <c r="H357" s="1" t="str">
        <f>IFERROR(__xludf.DUMMYFUNCTION("""COMPUTED_VALUE"""),"Diseño Gráfico Publicitario")</f>
        <v>Diseño Gráfico Publicitario</v>
      </c>
      <c r="I357" s="1" t="str">
        <f>IFERROR(__xludf.DUMMYFUNCTION("""COMPUTED_VALUE"""),"CARGO")</f>
        <v>CARGO</v>
      </c>
      <c r="J357" s="1" t="str">
        <f>IFERROR(__xludf.DUMMYFUNCTION("""COMPUTED_VALUE"""),"Diurno")</f>
        <v>Diurno</v>
      </c>
      <c r="K357" s="1" t="str">
        <f>IFERROR(__xludf.DUMMYFUNCTION("""COMPUTED_VALUE"""),"NUEVO")</f>
        <v>NUEVO</v>
      </c>
      <c r="L357" s="1">
        <f>IFERROR(__xludf.DUMMYFUNCTION("""COMPUTED_VALUE"""),0.0)</f>
        <v>0</v>
      </c>
      <c r="M357" s="1">
        <f>IFERROR(__xludf.DUMMYFUNCTION("""COMPUTED_VALUE"""),0.0)</f>
        <v>0</v>
      </c>
      <c r="N357" s="1" t="str">
        <f>IFERROR(__xludf.DUMMYFUNCTION("""COMPUTED_VALUE"""),"BECA")</f>
        <v>BECA</v>
      </c>
      <c r="O357" s="1" t="str">
        <f>IFERROR(__xludf.DUMMYFUNCTION("""COMPUTED_VALUE"""),"BECA CARRERAS CORE")</f>
        <v>BECA CARRERAS CORE</v>
      </c>
      <c r="P357" s="4">
        <f>IFERROR(__xludf.DUMMYFUNCTION("""COMPUTED_VALUE"""),0.0)</f>
        <v>0</v>
      </c>
      <c r="Q357" s="4">
        <f>IFERROR(__xludf.DUMMYFUNCTION("""COMPUTED_VALUE"""),0.0)</f>
        <v>0</v>
      </c>
      <c r="R357" s="4">
        <f>IFERROR(__xludf.DUMMYFUNCTION("""COMPUTED_VALUE"""),1000.0)</f>
        <v>1000</v>
      </c>
      <c r="S357" s="4">
        <f>IFERROR(__xludf.DUMMYFUNCTION("""COMPUTED_VALUE"""),850.0)</f>
        <v>850</v>
      </c>
      <c r="T357" s="1" t="str">
        <f>IFERROR(__xludf.DUMMYFUNCTION("""COMPUTED_VALUE"""),"NINGUNO")</f>
        <v>NINGUNO</v>
      </c>
      <c r="U357" s="1" t="str">
        <f>IFERROR(__xludf.DUMMYFUNCTION("""COMPUTED_VALUE"""),"RODRIGO")</f>
        <v>RODRIGO</v>
      </c>
      <c r="V357" s="1" t="str">
        <f>IFERROR(__xludf.DUMMYFUNCTION("""COMPUTED_VALUE"""),"Ninguno")</f>
        <v>Ninguno</v>
      </c>
      <c r="W357" s="1" t="str">
        <f>IFERROR(__xludf.DUMMYFUNCTION("""COMPUTED_VALUE"""),"Metodología de enseñanza")</f>
        <v>Metodología de enseñanza</v>
      </c>
      <c r="X357" s="1"/>
      <c r="Y357" s="1" t="str">
        <f>IFERROR(__xludf.DUMMYFUNCTION("""COMPUTED_VALUE"""),"PAGO COMPLETO")</f>
        <v>PAGO COMPLETO</v>
      </c>
      <c r="Z357" s="1"/>
      <c r="AA357" s="1"/>
      <c r="AB357" s="1">
        <f>IFERROR(__xludf.DUMMYFUNCTION("""COMPUTED_VALUE"""),0.0)</f>
        <v>0</v>
      </c>
      <c r="AC357" s="1">
        <f>IFERROR(__xludf.DUMMYFUNCTION("""COMPUTED_VALUE"""),0.0)</f>
        <v>0</v>
      </c>
      <c r="AD357" s="1" t="str">
        <f>IFERROR(__xludf.DUMMYFUNCTION("""COMPUTED_VALUE"""),"Ingrid Guillermo Rivera")</f>
        <v>Ingrid Guillermo Rivera</v>
      </c>
      <c r="AE357" s="1" t="str">
        <f>IFERROR(__xludf.DUMMYFUNCTION("""COMPUTED_VALUE"""),"0")</f>
        <v>0</v>
      </c>
      <c r="AF357" s="1">
        <f>IFERROR(__xludf.DUMMYFUNCTION("""COMPUTED_VALUE"""),2023.0)</f>
        <v>2023</v>
      </c>
      <c r="AG357" s="1">
        <f>IFERROR(__xludf.DUMMYFUNCTION("""COMPUTED_VALUE"""),0.0)</f>
        <v>0</v>
      </c>
      <c r="AH357" s="1">
        <f>IFERROR(__xludf.DUMMYFUNCTION("""COMPUTED_VALUE"""),19.0)</f>
        <v>19</v>
      </c>
      <c r="AI357" s="1" t="str">
        <f>IFERROR(__xludf.DUMMYFUNCTION("""COMPUTED_VALUE"""),"0000409457")</f>
        <v>0000409457</v>
      </c>
      <c r="AJ357" s="1">
        <f>IFERROR(__xludf.DUMMYFUNCTION("""COMPUTED_VALUE"""),6.0916212E7)</f>
        <v>60916212</v>
      </c>
      <c r="AK357" s="1">
        <f>IFERROR(__xludf.DUMMYFUNCTION("""COMPUTED_VALUE"""),9.12703543E8)</f>
        <v>912703543</v>
      </c>
      <c r="AL357" s="1" t="str">
        <f>IFERROR(__xludf.DUMMYFUNCTION("""COMPUTED_VALUE"""),"benitesvaleria89@gmail.com")</f>
        <v>benitesvaleria89@gmail.com</v>
      </c>
      <c r="AM357" s="1" t="str">
        <f>IFERROR(__xludf.DUMMYFUNCTION("""COMPUTED_VALUE"""),"FEMENINO")</f>
        <v>FEMENINO</v>
      </c>
      <c r="AN357" s="1">
        <f>IFERROR(__xludf.DUMMYFUNCTION("""COMPUTED_VALUE"""),1350.0)</f>
        <v>1350</v>
      </c>
      <c r="AO357" s="1">
        <f>IFERROR(__xludf.DUMMYFUNCTION("""COMPUTED_VALUE"""),0.0)</f>
        <v>0</v>
      </c>
      <c r="AP357" s="1" t="str">
        <f>IFERROR(__xludf.DUMMYFUNCTION("""COMPUTED_VALUE"""),"BIDIRECCIONAL")</f>
        <v>BIDIRECCIONAL</v>
      </c>
      <c r="AQ357" s="1" t="str">
        <f>IFERROR(__xludf.DUMMYFUNCTION("""COMPUTED_VALUE"""),"ORGANICO")</f>
        <v>ORGANICO</v>
      </c>
      <c r="AR357" s="1" t="str">
        <f>IFERROR(__xludf.DUMMYFUNCTION("""COMPUTED_VALUE"""),"HEREDADO")</f>
        <v>HEREDADO</v>
      </c>
      <c r="AS357" s="1"/>
      <c r="AT357" s="2">
        <f>IFERROR(__xludf.DUMMYFUNCTION("""COMPUTED_VALUE"""),45669.0)</f>
        <v>45669</v>
      </c>
      <c r="AU357" s="1">
        <f>IFERROR(__xludf.DUMMYFUNCTION("""COMPUTED_VALUE"""),1.0)</f>
        <v>1</v>
      </c>
      <c r="AV357" s="1" t="str">
        <f>IFERROR(__xludf.DUMMYFUNCTION("""COMPUTED_VALUE"""),"NUEVO")</f>
        <v>NUEVO</v>
      </c>
      <c r="AW357" s="1"/>
      <c r="AX357" s="1"/>
      <c r="AY357" s="1" t="str">
        <f>IFERROR(__xludf.DUMMYFUNCTION("""COMPUTED_VALUE"""),"PAGO COMPLETO")</f>
        <v>PAGO COMPLETO</v>
      </c>
      <c r="AZ357" s="5">
        <f>IFERROR(__xludf.DUMMYFUNCTION("""COMPUTED_VALUE"""),45672.0)</f>
        <v>45672</v>
      </c>
      <c r="BA357" s="1">
        <f>IFERROR(__xludf.DUMMYFUNCTION("""COMPUTED_VALUE"""),0.0)</f>
        <v>0</v>
      </c>
      <c r="BB357" s="1">
        <f>IFERROR(__xludf.DUMMYFUNCTION("""COMPUTED_VALUE"""),0.0)</f>
        <v>0</v>
      </c>
      <c r="BC357" s="4">
        <f>IFERROR(__xludf.DUMMYFUNCTION("""COMPUTED_VALUE"""),0.0)</f>
        <v>0</v>
      </c>
      <c r="BD357" s="4">
        <f>IFERROR(__xludf.DUMMYFUNCTION("""COMPUTED_VALUE"""),0.0)</f>
        <v>0</v>
      </c>
      <c r="BE357" s="1">
        <f>IFERROR(__xludf.DUMMYFUNCTION("""COMPUTED_VALUE"""),1.0)</f>
        <v>1</v>
      </c>
      <c r="BF357" s="6">
        <f>IFERROR(__xludf.DUMMYFUNCTION("""COMPUTED_VALUE"""),1.0)</f>
        <v>1</v>
      </c>
      <c r="BG357" s="1">
        <f>IFERROR(__xludf.DUMMYFUNCTION("""COMPUTED_VALUE"""),1.0)</f>
        <v>1</v>
      </c>
      <c r="BH357" s="1" t="str">
        <f>IFERROR(__xludf.DUMMYFUNCTION("""COMPUTED_VALUE"""),"0")</f>
        <v>0</v>
      </c>
      <c r="BI357" s="4">
        <f>IFERROR(__xludf.DUMMYFUNCTION("""COMPUTED_VALUE"""),0.0)</f>
        <v>0</v>
      </c>
      <c r="BJ357" s="1">
        <f>IFERROR(__xludf.DUMMYFUNCTION("""COMPUTED_VALUE"""),0.0)</f>
        <v>0</v>
      </c>
      <c r="BK357" s="4">
        <f>IFERROR(__xludf.DUMMYFUNCTION("""COMPUTED_VALUE"""),0.0)</f>
        <v>0</v>
      </c>
      <c r="BL357" s="1">
        <f>IFERROR(__xludf.DUMMYFUNCTION("""COMPUTED_VALUE"""),850.0)</f>
        <v>850</v>
      </c>
      <c r="BM357" s="1">
        <f>IFERROR(__xludf.DUMMYFUNCTION("""COMPUTED_VALUE"""),3.0)</f>
        <v>3</v>
      </c>
      <c r="BN357" s="2">
        <f>IFERROR(__xludf.DUMMYFUNCTION("""COMPUTED_VALUE"""),45670.0)</f>
        <v>45670</v>
      </c>
      <c r="BO357" s="1">
        <f>IFERROR(__xludf.DUMMYFUNCTION("""COMPUTED_VALUE"""),1.0)</f>
        <v>1</v>
      </c>
      <c r="BP357" s="1">
        <f>IFERROR(__xludf.DUMMYFUNCTION("""COMPUTED_VALUE"""),2025.0)</f>
        <v>2025</v>
      </c>
    </row>
    <row r="358">
      <c r="A358" s="1">
        <f>IFERROR(__xludf.DUMMYFUNCTION("""COMPUTED_VALUE"""),357.0)</f>
        <v>357</v>
      </c>
      <c r="B358" s="1">
        <f>IFERROR(__xludf.DUMMYFUNCTION("""COMPUTED_VALUE"""),4917592.0)</f>
        <v>4917592</v>
      </c>
      <c r="C358" s="1" t="str">
        <f>IFERROR(__xludf.DUMMYFUNCTION("""COMPUTED_VALUE"""),"2025-1")</f>
        <v>2025-1</v>
      </c>
      <c r="D358" s="1" t="str">
        <f>IFERROR(__xludf.DUMMYFUNCTION("""COMPUTED_VALUE"""),"Admisión de Alto Rendimiento")</f>
        <v>Admisión de Alto Rendimiento</v>
      </c>
      <c r="E358" s="2">
        <f>IFERROR(__xludf.DUMMYFUNCTION("""COMPUTED_VALUE"""),45672.0)</f>
        <v>45672</v>
      </c>
      <c r="F358" s="1" t="str">
        <f>IFERROR(__xludf.DUMMYFUNCTION("""COMPUTED_VALUE"""),"YULIA FATIMA ")</f>
        <v>YULIA FATIMA </v>
      </c>
      <c r="G358" s="1" t="str">
        <f>IFERROR(__xludf.DUMMYFUNCTION("""COMPUTED_VALUE"""),"CHINCHAY CERNA")</f>
        <v>CHINCHAY CERNA</v>
      </c>
      <c r="H358" s="1" t="str">
        <f>IFERROR(__xludf.DUMMYFUNCTION("""COMPUTED_VALUE"""),"Diseño Gráfico Publicitario")</f>
        <v>Diseño Gráfico Publicitario</v>
      </c>
      <c r="I358" s="1" t="str">
        <f>IFERROR(__xludf.DUMMYFUNCTION("""COMPUTED_VALUE"""),"CARGO")</f>
        <v>CARGO</v>
      </c>
      <c r="J358" s="1" t="str">
        <f>IFERROR(__xludf.DUMMYFUNCTION("""COMPUTED_VALUE"""),"Diurno")</f>
        <v>Diurno</v>
      </c>
      <c r="K358" s="1" t="str">
        <f>IFERROR(__xludf.DUMMYFUNCTION("""COMPUTED_VALUE"""),"NUEVO")</f>
        <v>NUEVO</v>
      </c>
      <c r="L358" s="1">
        <f>IFERROR(__xludf.DUMMYFUNCTION("""COMPUTED_VALUE"""),0.0)</f>
        <v>0</v>
      </c>
      <c r="M358" s="1">
        <f>IFERROR(__xludf.DUMMYFUNCTION("""COMPUTED_VALUE"""),0.0)</f>
        <v>0</v>
      </c>
      <c r="N358" s="1" t="str">
        <f>IFERROR(__xludf.DUMMYFUNCTION("""COMPUTED_VALUE"""),"BECA")</f>
        <v>BECA</v>
      </c>
      <c r="O358" s="1" t="str">
        <f>IFERROR(__xludf.DUMMYFUNCTION("""COMPUTED_VALUE"""),"BECA DGP")</f>
        <v>BECA DGP</v>
      </c>
      <c r="P358" s="4">
        <f>IFERROR(__xludf.DUMMYFUNCTION("""COMPUTED_VALUE"""),0.0)</f>
        <v>0</v>
      </c>
      <c r="Q358" s="4">
        <f>IFERROR(__xludf.DUMMYFUNCTION("""COMPUTED_VALUE"""),0.0)</f>
        <v>0</v>
      </c>
      <c r="R358" s="4">
        <f>IFERROR(__xludf.DUMMYFUNCTION("""COMPUTED_VALUE"""),1150.0)</f>
        <v>1150</v>
      </c>
      <c r="S358" s="4">
        <f>IFERROR(__xludf.DUMMYFUNCTION("""COMPUTED_VALUE"""),950.0)</f>
        <v>950</v>
      </c>
      <c r="T358" s="1" t="str">
        <f>IFERROR(__xludf.DUMMYFUNCTION("""COMPUTED_VALUE"""),"NINGUNO")</f>
        <v>NINGUNO</v>
      </c>
      <c r="U358" s="1"/>
      <c r="V358" s="1" t="str">
        <f>IFERROR(__xludf.DUMMYFUNCTION("""COMPUTED_VALUE"""),"Ninguno")</f>
        <v>Ninguno</v>
      </c>
      <c r="W358" s="1" t="str">
        <f>IFERROR(__xludf.DUMMYFUNCTION("""COMPUTED_VALUE"""),"Metodología de enseñanza")</f>
        <v>Metodología de enseñanza</v>
      </c>
      <c r="X358" s="1" t="str">
        <f>IFERROR(__xludf.DUMMYFUNCTION("""COMPUTED_VALUE"""),"LE GUSTA LA UNIVERSIDAD ")</f>
        <v>LE GUSTA LA UNIVERSIDAD </v>
      </c>
      <c r="Y358" s="1" t="str">
        <f>IFERROR(__xludf.DUMMYFUNCTION("""COMPUTED_VALUE"""),"PAGO COMPLETO")</f>
        <v>PAGO COMPLETO</v>
      </c>
      <c r="Z358" s="1"/>
      <c r="AA358" s="1"/>
      <c r="AB358" s="1">
        <f>IFERROR(__xludf.DUMMYFUNCTION("""COMPUTED_VALUE"""),0.0)</f>
        <v>0</v>
      </c>
      <c r="AC358" s="1">
        <f>IFERROR(__xludf.DUMMYFUNCTION("""COMPUTED_VALUE"""),0.0)</f>
        <v>0</v>
      </c>
      <c r="AD358" s="1" t="str">
        <f>IFERROR(__xludf.DUMMYFUNCTION("""COMPUTED_VALUE"""),"Daniel Zapata")</f>
        <v>Daniel Zapata</v>
      </c>
      <c r="AE358" s="1" t="str">
        <f>IFERROR(__xludf.DUMMYFUNCTION("""COMPUTED_VALUE"""),"0")</f>
        <v>0</v>
      </c>
      <c r="AF358" s="1">
        <f>IFERROR(__xludf.DUMMYFUNCTION("""COMPUTED_VALUE"""),2024.0)</f>
        <v>2024</v>
      </c>
      <c r="AG358" s="1">
        <f>IFERROR(__xludf.DUMMYFUNCTION("""COMPUTED_VALUE"""),1766435.0)</f>
        <v>1766435</v>
      </c>
      <c r="AH358" s="1">
        <f>IFERROR(__xludf.DUMMYFUNCTION("""COMPUTED_VALUE"""),17.0)</f>
        <v>17</v>
      </c>
      <c r="AI358" s="1" t="str">
        <f>IFERROR(__xludf.DUMMYFUNCTION("""COMPUTED_VALUE"""),"0000409451")</f>
        <v>0000409451</v>
      </c>
      <c r="AJ358" s="1">
        <f>IFERROR(__xludf.DUMMYFUNCTION("""COMPUTED_VALUE"""),6.0672311E7)</f>
        <v>60672311</v>
      </c>
      <c r="AK358" s="1">
        <f>IFERROR(__xludf.DUMMYFUNCTION("""COMPUTED_VALUE"""),9.01866845E8)</f>
        <v>901866845</v>
      </c>
      <c r="AL358" s="1" t="str">
        <f>IFERROR(__xludf.DUMMYFUNCTION("""COMPUTED_VALUE"""),"yuliachinchay@icloud.com")</f>
        <v>yuliachinchay@icloud.com</v>
      </c>
      <c r="AM358" s="1" t="str">
        <f>IFERROR(__xludf.DUMMYFUNCTION("""COMPUTED_VALUE"""),"FEMENINO")</f>
        <v>FEMENINO</v>
      </c>
      <c r="AN358" s="1">
        <f>IFERROR(__xludf.DUMMYFUNCTION("""COMPUTED_VALUE"""),1600.0)</f>
        <v>1600</v>
      </c>
      <c r="AO358" s="1">
        <f>IFERROR(__xludf.DUMMYFUNCTION("""COMPUTED_VALUE"""),210.0)</f>
        <v>210</v>
      </c>
      <c r="AP358" s="1" t="str">
        <f>IFERROR(__xludf.DUMMYFUNCTION("""COMPUTED_VALUE"""),"OUTBOUND")</f>
        <v>OUTBOUND</v>
      </c>
      <c r="AQ358" s="1" t="str">
        <f>IFERROR(__xludf.DUMMYFUNCTION("""COMPUTED_VALUE"""),"OUTBOUND")</f>
        <v>OUTBOUND</v>
      </c>
      <c r="AR358" s="1" t="str">
        <f>IFERROR(__xludf.DUMMYFUNCTION("""COMPUTED_VALUE"""),"NUEVO")</f>
        <v>NUEVO</v>
      </c>
      <c r="AS358" s="1"/>
      <c r="AT358" s="2">
        <f>IFERROR(__xludf.DUMMYFUNCTION("""COMPUTED_VALUE"""),45671.0)</f>
        <v>45671</v>
      </c>
      <c r="AU358" s="1">
        <f>IFERROR(__xludf.DUMMYFUNCTION("""COMPUTED_VALUE"""),1.0)</f>
        <v>1</v>
      </c>
      <c r="AV358" s="1" t="str">
        <f>IFERROR(__xludf.DUMMYFUNCTION("""COMPUTED_VALUE"""),"NUEVO")</f>
        <v>NUEVO</v>
      </c>
      <c r="AW358" s="1"/>
      <c r="AX358" s="1"/>
      <c r="AY358" s="1" t="str">
        <f>IFERROR(__xludf.DUMMYFUNCTION("""COMPUTED_VALUE"""),"PAGO COMPLETO")</f>
        <v>PAGO COMPLETO</v>
      </c>
      <c r="AZ358" s="5">
        <f>IFERROR(__xludf.DUMMYFUNCTION("""COMPUTED_VALUE"""),45672.0)</f>
        <v>45672</v>
      </c>
      <c r="BA358" s="1">
        <f>IFERROR(__xludf.DUMMYFUNCTION("""COMPUTED_VALUE"""),0.0)</f>
        <v>0</v>
      </c>
      <c r="BB358" s="1">
        <f>IFERROR(__xludf.DUMMYFUNCTION("""COMPUTED_VALUE"""),0.0)</f>
        <v>0</v>
      </c>
      <c r="BC358" s="4">
        <f>IFERROR(__xludf.DUMMYFUNCTION("""COMPUTED_VALUE"""),0.0)</f>
        <v>0</v>
      </c>
      <c r="BD358" s="4">
        <f>IFERROR(__xludf.DUMMYFUNCTION("""COMPUTED_VALUE"""),0.0)</f>
        <v>0</v>
      </c>
      <c r="BE358" s="1">
        <f>IFERROR(__xludf.DUMMYFUNCTION("""COMPUTED_VALUE"""),1.0)</f>
        <v>1</v>
      </c>
      <c r="BF358" s="6">
        <f>IFERROR(__xludf.DUMMYFUNCTION("""COMPUTED_VALUE"""),1.0)</f>
        <v>1</v>
      </c>
      <c r="BG358" s="1">
        <f>IFERROR(__xludf.DUMMYFUNCTION("""COMPUTED_VALUE"""),1.0)</f>
        <v>1</v>
      </c>
      <c r="BH358" s="1" t="str">
        <f>IFERROR(__xludf.DUMMYFUNCTION("""COMPUTED_VALUE"""),"0")</f>
        <v>0</v>
      </c>
      <c r="BI358" s="4">
        <f>IFERROR(__xludf.DUMMYFUNCTION("""COMPUTED_VALUE"""),0.0)</f>
        <v>0</v>
      </c>
      <c r="BJ358" s="1">
        <f>IFERROR(__xludf.DUMMYFUNCTION("""COMPUTED_VALUE"""),0.0)</f>
        <v>0</v>
      </c>
      <c r="BK358" s="4">
        <f>IFERROR(__xludf.DUMMYFUNCTION("""COMPUTED_VALUE"""),0.0)</f>
        <v>0</v>
      </c>
      <c r="BL358" s="1">
        <f>IFERROR(__xludf.DUMMYFUNCTION("""COMPUTED_VALUE"""),950.0)</f>
        <v>950</v>
      </c>
      <c r="BM358" s="1">
        <f>IFERROR(__xludf.DUMMYFUNCTION("""COMPUTED_VALUE"""),3.0)</f>
        <v>3</v>
      </c>
      <c r="BN358" s="2">
        <f>IFERROR(__xludf.DUMMYFUNCTION("""COMPUTED_VALUE"""),45670.0)</f>
        <v>45670</v>
      </c>
      <c r="BO358" s="1">
        <f>IFERROR(__xludf.DUMMYFUNCTION("""COMPUTED_VALUE"""),1.0)</f>
        <v>1</v>
      </c>
      <c r="BP358" s="1">
        <f>IFERROR(__xludf.DUMMYFUNCTION("""COMPUTED_VALUE"""),2025.0)</f>
        <v>2025</v>
      </c>
    </row>
    <row r="359">
      <c r="A359" s="1">
        <f>IFERROR(__xludf.DUMMYFUNCTION("""COMPUTED_VALUE"""),358.0)</f>
        <v>358</v>
      </c>
      <c r="B359" s="1">
        <f>IFERROR(__xludf.DUMMYFUNCTION("""COMPUTED_VALUE"""),449327.0)</f>
        <v>449327</v>
      </c>
      <c r="C359" s="1" t="str">
        <f>IFERROR(__xludf.DUMMYFUNCTION("""COMPUTED_VALUE"""),"2025-1")</f>
        <v>2025-1</v>
      </c>
      <c r="D359" s="1" t="str">
        <f>IFERROR(__xludf.DUMMYFUNCTION("""COMPUTED_VALUE"""),"Admisión Extraordinaria (Traslados)")</f>
        <v>Admisión Extraordinaria (Traslados)</v>
      </c>
      <c r="E359" s="2">
        <f>IFERROR(__xludf.DUMMYFUNCTION("""COMPUTED_VALUE"""),45672.0)</f>
        <v>45672</v>
      </c>
      <c r="F359" s="1" t="str">
        <f>IFERROR(__xludf.DUMMYFUNCTION("""COMPUTED_VALUE"""),"ANDREA ALEXANDRA ")</f>
        <v>ANDREA ALEXANDRA </v>
      </c>
      <c r="G359" s="1" t="str">
        <f>IFERROR(__xludf.DUMMYFUNCTION("""COMPUTED_VALUE"""),"FERNANDEZ ROMERO")</f>
        <v>FERNANDEZ ROMERO</v>
      </c>
      <c r="H359" s="1" t="str">
        <f>IFERROR(__xludf.DUMMYFUNCTION("""COMPUTED_VALUE"""),"Arquitectura de Interiores")</f>
        <v>Arquitectura de Interiores</v>
      </c>
      <c r="I359" s="1" t="str">
        <f>IFERROR(__xludf.DUMMYFUNCTION("""COMPUTED_VALUE"""),"POS")</f>
        <v>POS</v>
      </c>
      <c r="J359" s="1" t="str">
        <f>IFERROR(__xludf.DUMMYFUNCTION("""COMPUTED_VALUE"""),"Diurno")</f>
        <v>Diurno</v>
      </c>
      <c r="K359" s="1" t="str">
        <f>IFERROR(__xludf.DUMMYFUNCTION("""COMPUTED_VALUE"""),"TRASLADO")</f>
        <v>TRASLADO</v>
      </c>
      <c r="L359" s="1">
        <f>IFERROR(__xludf.DUMMYFUNCTION("""COMPUTED_VALUE"""),1.0)</f>
        <v>1</v>
      </c>
      <c r="M359" s="1">
        <f>IFERROR(__xludf.DUMMYFUNCTION("""COMPUTED_VALUE"""),0.0)</f>
        <v>0</v>
      </c>
      <c r="N359" s="1" t="str">
        <f>IFERROR(__xludf.DUMMYFUNCTION("""COMPUTED_VALUE"""),"RECA")</f>
        <v>RECA</v>
      </c>
      <c r="O359" s="1" t="str">
        <f>IFERROR(__xludf.DUMMYFUNCTION("""COMPUTED_VALUE"""),"RECA TRASLADO CON CONVA")</f>
        <v>RECA TRASLADO CON CONVA</v>
      </c>
      <c r="P359" s="4">
        <f>IFERROR(__xludf.DUMMYFUNCTION("""COMPUTED_VALUE"""),0.0)</f>
        <v>0</v>
      </c>
      <c r="Q359" s="4">
        <f>IFERROR(__xludf.DUMMYFUNCTION("""COMPUTED_VALUE"""),0.0)</f>
        <v>0</v>
      </c>
      <c r="R359" s="4">
        <f>IFERROR(__xludf.DUMMYFUNCTION("""COMPUTED_VALUE"""),1000.0)</f>
        <v>1000</v>
      </c>
      <c r="S359" s="4">
        <f>IFERROR(__xludf.DUMMYFUNCTION("""COMPUTED_VALUE"""),1000.0)</f>
        <v>1000</v>
      </c>
      <c r="T359" s="1" t="str">
        <f>IFERROR(__xludf.DUMMYFUNCTION("""COMPUTED_VALUE"""),"Visita Guiada")</f>
        <v>Visita Guiada</v>
      </c>
      <c r="U359" s="1"/>
      <c r="V359" s="1" t="str">
        <f>IFERROR(__xludf.DUMMYFUNCTION("""COMPUTED_VALUE"""),"Ninguno")</f>
        <v>Ninguno</v>
      </c>
      <c r="W359" s="1" t="str">
        <f>IFERROR(__xludf.DUMMYFUNCTION("""COMPUTED_VALUE"""),"Prestigio de la institución")</f>
        <v>Prestigio de la institución</v>
      </c>
      <c r="X359" s="1"/>
      <c r="Y359" s="1" t="str">
        <f>IFERROR(__xludf.DUMMYFUNCTION("""COMPUTED_VALUE"""),"PAGO COMPLETO")</f>
        <v>PAGO COMPLETO</v>
      </c>
      <c r="Z359" s="1"/>
      <c r="AA359" s="1"/>
      <c r="AB359" s="1">
        <f>IFERROR(__xludf.DUMMYFUNCTION("""COMPUTED_VALUE"""),0.0)</f>
        <v>0</v>
      </c>
      <c r="AC359" s="1">
        <f>IFERROR(__xludf.DUMMYFUNCTION("""COMPUTED_VALUE"""),0.0)</f>
        <v>0</v>
      </c>
      <c r="AD359" s="1" t="str">
        <f>IFERROR(__xludf.DUMMYFUNCTION("""COMPUTED_VALUE"""),"Ingrid Guillermo Rivera")</f>
        <v>Ingrid Guillermo Rivera</v>
      </c>
      <c r="AE359" s="1" t="str">
        <f>IFERROR(__xludf.DUMMYFUNCTION("""COMPUTED_VALUE"""),"Instituto de Educación Superior Tecnológico Privado Toulouse Lautrec")</f>
        <v>Instituto de Educación Superior Tecnológico Privado Toulouse Lautrec</v>
      </c>
      <c r="AF359" s="1">
        <f>IFERROR(__xludf.DUMMYFUNCTION("""COMPUTED_VALUE"""),2014.0)</f>
        <v>2014</v>
      </c>
      <c r="AG359" s="1">
        <f>IFERROR(__xludf.DUMMYFUNCTION("""COMPUTED_VALUE"""),1734300.0)</f>
        <v>1734300</v>
      </c>
      <c r="AH359" s="1">
        <f>IFERROR(__xludf.DUMMYFUNCTION("""COMPUTED_VALUE"""),27.0)</f>
        <v>27</v>
      </c>
      <c r="AI359" s="1" t="str">
        <f>IFERROR(__xludf.DUMMYFUNCTION("""COMPUTED_VALUE"""),"0000013217")</f>
        <v>0000013217</v>
      </c>
      <c r="AJ359" s="1">
        <f>IFERROR(__xludf.DUMMYFUNCTION("""COMPUTED_VALUE"""),7.4244088E7)</f>
        <v>74244088</v>
      </c>
      <c r="AK359" s="1">
        <f>IFERROR(__xludf.DUMMYFUNCTION("""COMPUTED_VALUE"""),9.71040827E8)</f>
        <v>971040827</v>
      </c>
      <c r="AL359" s="1" t="str">
        <f>IFERROR(__xludf.DUMMYFUNCTION("""COMPUTED_VALUE"""),"anf0298@gmail.com")</f>
        <v>anf0298@gmail.com</v>
      </c>
      <c r="AM359" s="1" t="str">
        <f>IFERROR(__xludf.DUMMYFUNCTION("""COMPUTED_VALUE"""),"FEMENINO")</f>
        <v>FEMENINO</v>
      </c>
      <c r="AN359" s="1">
        <f>IFERROR(__xludf.DUMMYFUNCTION("""COMPUTED_VALUE"""),1775.0)</f>
        <v>1775</v>
      </c>
      <c r="AO359" s="1">
        <f>IFERROR(__xludf.DUMMYFUNCTION("""COMPUTED_VALUE"""),530.0)</f>
        <v>530</v>
      </c>
      <c r="AP359" s="1" t="str">
        <f>IFERROR(__xludf.DUMMYFUNCTION("""COMPUTED_VALUE"""),"VISITA")</f>
        <v>VISITA</v>
      </c>
      <c r="AQ359" s="1" t="str">
        <f>IFERROR(__xludf.DUMMYFUNCTION("""COMPUTED_VALUE"""),"VISITA")</f>
        <v>VISITA</v>
      </c>
      <c r="AR359" s="1" t="str">
        <f>IFERROR(__xludf.DUMMYFUNCTION("""COMPUTED_VALUE"""),"HEREDADO")</f>
        <v>HEREDADO</v>
      </c>
      <c r="AS359" s="1"/>
      <c r="AT359" s="2">
        <f>IFERROR(__xludf.DUMMYFUNCTION("""COMPUTED_VALUE"""),45672.0)</f>
        <v>45672</v>
      </c>
      <c r="AU359" s="1">
        <f>IFERROR(__xludf.DUMMYFUNCTION("""COMPUTED_VALUE"""),1.0)</f>
        <v>1</v>
      </c>
      <c r="AV359" s="1" t="str">
        <f>IFERROR(__xludf.DUMMYFUNCTION("""COMPUTED_VALUE"""),"TRASLADO")</f>
        <v>TRASLADO</v>
      </c>
      <c r="AW359" s="1" t="str">
        <f>IFERROR(__xludf.DUMMYFUNCTION("""COMPUTED_VALUE"""),"SI")</f>
        <v>SI</v>
      </c>
      <c r="AX359" s="1"/>
      <c r="AY359" s="1" t="str">
        <f>IFERROR(__xludf.DUMMYFUNCTION("""COMPUTED_VALUE"""),"PAGO COMPLETO")</f>
        <v>PAGO COMPLETO</v>
      </c>
      <c r="AZ359" s="5">
        <f>IFERROR(__xludf.DUMMYFUNCTION("""COMPUTED_VALUE"""),45672.0)</f>
        <v>45672</v>
      </c>
      <c r="BA359" s="1">
        <f>IFERROR(__xludf.DUMMYFUNCTION("""COMPUTED_VALUE"""),0.0)</f>
        <v>0</v>
      </c>
      <c r="BB359" s="1">
        <f>IFERROR(__xludf.DUMMYFUNCTION("""COMPUTED_VALUE"""),0.0)</f>
        <v>0</v>
      </c>
      <c r="BC359" s="4">
        <f>IFERROR(__xludf.DUMMYFUNCTION("""COMPUTED_VALUE"""),0.0)</f>
        <v>0</v>
      </c>
      <c r="BD359" s="4">
        <f>IFERROR(__xludf.DUMMYFUNCTION("""COMPUTED_VALUE"""),100.0)</f>
        <v>100</v>
      </c>
      <c r="BE359" s="1">
        <f>IFERROR(__xludf.DUMMYFUNCTION("""COMPUTED_VALUE"""),1.0)</f>
        <v>1</v>
      </c>
      <c r="BF359" s="6">
        <f>IFERROR(__xludf.DUMMYFUNCTION("""COMPUTED_VALUE"""),1.0)</f>
        <v>1</v>
      </c>
      <c r="BG359" s="1">
        <f>IFERROR(__xludf.DUMMYFUNCTION("""COMPUTED_VALUE"""),1.0)</f>
        <v>1</v>
      </c>
      <c r="BH359" s="1" t="str">
        <f>IFERROR(__xludf.DUMMYFUNCTION("""COMPUTED_VALUE"""),"1")</f>
        <v>1</v>
      </c>
      <c r="BI359" s="4">
        <f>IFERROR(__xludf.DUMMYFUNCTION("""COMPUTED_VALUE"""),100.0)</f>
        <v>100</v>
      </c>
      <c r="BJ359" s="1">
        <f>IFERROR(__xludf.DUMMYFUNCTION("""COMPUTED_VALUE"""),0.0)</f>
        <v>0</v>
      </c>
      <c r="BK359" s="4">
        <f>IFERROR(__xludf.DUMMYFUNCTION("""COMPUTED_VALUE"""),100.0)</f>
        <v>100</v>
      </c>
      <c r="BL359" s="1">
        <f>IFERROR(__xludf.DUMMYFUNCTION("""COMPUTED_VALUE"""),980.0)</f>
        <v>980</v>
      </c>
      <c r="BM359" s="1">
        <f>IFERROR(__xludf.DUMMYFUNCTION("""COMPUTED_VALUE"""),3.0)</f>
        <v>3</v>
      </c>
      <c r="BN359" s="2">
        <f>IFERROR(__xludf.DUMMYFUNCTION("""COMPUTED_VALUE"""),45670.0)</f>
        <v>45670</v>
      </c>
      <c r="BO359" s="1">
        <f>IFERROR(__xludf.DUMMYFUNCTION("""COMPUTED_VALUE"""),1.0)</f>
        <v>1</v>
      </c>
      <c r="BP359" s="1">
        <f>IFERROR(__xludf.DUMMYFUNCTION("""COMPUTED_VALUE"""),2025.0)</f>
        <v>2025</v>
      </c>
    </row>
    <row r="360">
      <c r="A360" s="1">
        <f>IFERROR(__xludf.DUMMYFUNCTION("""COMPUTED_VALUE"""),359.0)</f>
        <v>359</v>
      </c>
      <c r="B360" s="1">
        <f>IFERROR(__xludf.DUMMYFUNCTION("""COMPUTED_VALUE"""),4776590.0)</f>
        <v>4776590</v>
      </c>
      <c r="C360" s="1" t="str">
        <f>IFERROR(__xludf.DUMMYFUNCTION("""COMPUTED_VALUE"""),"2025-1")</f>
        <v>2025-1</v>
      </c>
      <c r="D360" s="1" t="str">
        <f>IFERROR(__xludf.DUMMYFUNCTION("""COMPUTED_VALUE"""),"Admisión de Alto Rendimiento")</f>
        <v>Admisión de Alto Rendimiento</v>
      </c>
      <c r="E360" s="2">
        <f>IFERROR(__xludf.DUMMYFUNCTION("""COMPUTED_VALUE"""),45672.0)</f>
        <v>45672</v>
      </c>
      <c r="F360" s="1" t="str">
        <f>IFERROR(__xludf.DUMMYFUNCTION("""COMPUTED_VALUE"""),"JOSSUE RICARDO")</f>
        <v>JOSSUE RICARDO</v>
      </c>
      <c r="G360" s="1" t="str">
        <f>IFERROR(__xludf.DUMMYFUNCTION("""COMPUTED_VALUE"""),"RAMIREZ RAMOS")</f>
        <v>RAMIREZ RAMOS</v>
      </c>
      <c r="H360" s="1" t="str">
        <f>IFERROR(__xludf.DUMMYFUNCTION("""COMPUTED_VALUE"""),"Arquitectura")</f>
        <v>Arquitectura</v>
      </c>
      <c r="I360" s="1" t="str">
        <f>IFERROR(__xludf.DUMMYFUNCTION("""COMPUTED_VALUE"""),"Pago Link")</f>
        <v>Pago Link</v>
      </c>
      <c r="J360" s="1" t="str">
        <f>IFERROR(__xludf.DUMMYFUNCTION("""COMPUTED_VALUE"""),"Diurno")</f>
        <v>Diurno</v>
      </c>
      <c r="K360" s="1" t="str">
        <f>IFERROR(__xludf.DUMMYFUNCTION("""COMPUTED_VALUE"""),"NUEVO")</f>
        <v>NUEVO</v>
      </c>
      <c r="L360" s="1">
        <f>IFERROR(__xludf.DUMMYFUNCTION("""COMPUTED_VALUE"""),0.0)</f>
        <v>0</v>
      </c>
      <c r="M360" s="1">
        <f>IFERROR(__xludf.DUMMYFUNCTION("""COMPUTED_VALUE"""),0.0)</f>
        <v>0</v>
      </c>
      <c r="N360" s="1" t="str">
        <f>IFERROR(__xludf.DUMMYFUNCTION("""COMPUTED_VALUE"""),"BECA")</f>
        <v>BECA</v>
      </c>
      <c r="O360" s="1" t="str">
        <f>IFERROR(__xludf.DUMMYFUNCTION("""COMPUTED_VALUE"""),"BECA CONGELADA DE 2 AÑOS")</f>
        <v>BECA CONGELADA DE 2 AÑOS</v>
      </c>
      <c r="P360" s="4">
        <f>IFERROR(__xludf.DUMMYFUNCTION("""COMPUTED_VALUE"""),0.0)</f>
        <v>0</v>
      </c>
      <c r="Q360" s="4">
        <f>IFERROR(__xludf.DUMMYFUNCTION("""COMPUTED_VALUE"""),0.0)</f>
        <v>0</v>
      </c>
      <c r="R360" s="4">
        <f>IFERROR(__xludf.DUMMYFUNCTION("""COMPUTED_VALUE"""),1250.0)</f>
        <v>1250</v>
      </c>
      <c r="S360" s="4">
        <f>IFERROR(__xludf.DUMMYFUNCTION("""COMPUTED_VALUE"""),1050.0)</f>
        <v>1050</v>
      </c>
      <c r="T360" s="1" t="str">
        <f>IFERROR(__xludf.DUMMYFUNCTION("""COMPUTED_VALUE"""),"NINGUNO")</f>
        <v>NINGUNO</v>
      </c>
      <c r="U360" s="1" t="str">
        <f>IFERROR(__xludf.DUMMYFUNCTION("""COMPUTED_VALUE"""),"RODRIGO")</f>
        <v>RODRIGO</v>
      </c>
      <c r="V360" s="1" t="str">
        <f>IFERROR(__xludf.DUMMYFUNCTION("""COMPUTED_VALUE"""),"Ninguno")</f>
        <v>Ninguno</v>
      </c>
      <c r="W360" s="1" t="str">
        <f>IFERROR(__xludf.DUMMYFUNCTION("""COMPUTED_VALUE"""),"Beca")</f>
        <v>Beca</v>
      </c>
      <c r="X360" s="1"/>
      <c r="Y360" s="1" t="str">
        <f>IFERROR(__xludf.DUMMYFUNCTION("""COMPUTED_VALUE"""),"PAGO FRACCIONADO")</f>
        <v>PAGO FRACCIONADO</v>
      </c>
      <c r="Z360" s="1">
        <f>IFERROR(__xludf.DUMMYFUNCTION("""COMPUTED_VALUE"""),525.0)</f>
        <v>525</v>
      </c>
      <c r="AA360" s="1" t="str">
        <f>IFERROR(__xludf.DUMMYFUNCTION("""COMPUTED_VALUE"""),"20/01/2025")</f>
        <v>20/01/2025</v>
      </c>
      <c r="AB360" s="1">
        <f>IFERROR(__xludf.DUMMYFUNCTION("""COMPUTED_VALUE"""),0.0)</f>
        <v>0</v>
      </c>
      <c r="AC360" s="1">
        <f>IFERROR(__xludf.DUMMYFUNCTION("""COMPUTED_VALUE"""),0.0)</f>
        <v>0</v>
      </c>
      <c r="AD360" s="1" t="str">
        <f>IFERROR(__xludf.DUMMYFUNCTION("""COMPUTED_VALUE"""),"Erwyn Terie Vital Avila")</f>
        <v>Erwyn Terie Vital Avila</v>
      </c>
      <c r="AE360" s="1" t="str">
        <f>IFERROR(__xludf.DUMMYFUNCTION("""COMPUTED_VALUE"""),"0")</f>
        <v>0</v>
      </c>
      <c r="AF360" s="1">
        <f>IFERROR(__xludf.DUMMYFUNCTION("""COMPUTED_VALUE"""),2023.0)</f>
        <v>2023</v>
      </c>
      <c r="AG360" s="1">
        <f>IFERROR(__xludf.DUMMYFUNCTION("""COMPUTED_VALUE"""),1307321.0)</f>
        <v>1307321</v>
      </c>
      <c r="AH360" s="1">
        <f>IFERROR(__xludf.DUMMYFUNCTION("""COMPUTED_VALUE"""),18.0)</f>
        <v>18</v>
      </c>
      <c r="AI360" s="1" t="str">
        <f>IFERROR(__xludf.DUMMYFUNCTION("""COMPUTED_VALUE"""),"0000409616")</f>
        <v>0000409616</v>
      </c>
      <c r="AJ360" s="1">
        <f>IFERROR(__xludf.DUMMYFUNCTION("""COMPUTED_VALUE"""),7.0626305E7)</f>
        <v>70626305</v>
      </c>
      <c r="AK360" s="1">
        <f>IFERROR(__xludf.DUMMYFUNCTION("""COMPUTED_VALUE"""),9.41153701E8)</f>
        <v>941153701</v>
      </c>
      <c r="AL360" s="1" t="str">
        <f>IFERROR(__xludf.DUMMYFUNCTION("""COMPUTED_VALUE"""),"dianakenny.1995@gmail.com")</f>
        <v>dianakenny.1995@gmail.com</v>
      </c>
      <c r="AM360" s="1" t="str">
        <f>IFERROR(__xludf.DUMMYFUNCTION("""COMPUTED_VALUE"""),"MASCULINO")</f>
        <v>MASCULINO</v>
      </c>
      <c r="AN360" s="1">
        <f>IFERROR(__xludf.DUMMYFUNCTION("""COMPUTED_VALUE"""),1775.0)</f>
        <v>1775</v>
      </c>
      <c r="AO360" s="1">
        <f>IFERROR(__xludf.DUMMYFUNCTION("""COMPUTED_VALUE"""),370.0)</f>
        <v>370</v>
      </c>
      <c r="AP360" s="1" t="str">
        <f>IFERROR(__xludf.DUMMYFUNCTION("""COMPUTED_VALUE"""),"BIDIRECCIONAL")</f>
        <v>BIDIRECCIONAL</v>
      </c>
      <c r="AQ360" s="1" t="str">
        <f>IFERROR(__xludf.DUMMYFUNCTION("""COMPUTED_VALUE"""),"ORGANICO")</f>
        <v>ORGANICO</v>
      </c>
      <c r="AR360" s="1" t="str">
        <f>IFERROR(__xludf.DUMMYFUNCTION("""COMPUTED_VALUE"""),"HEREDADO")</f>
        <v>HEREDADO</v>
      </c>
      <c r="AS360" s="1"/>
      <c r="AT360" s="2">
        <f>IFERROR(__xludf.DUMMYFUNCTION("""COMPUTED_VALUE"""),45593.0)</f>
        <v>45593</v>
      </c>
      <c r="AU360" s="1">
        <f>IFERROR(__xludf.DUMMYFUNCTION("""COMPUTED_VALUE"""),1.0)</f>
        <v>1</v>
      </c>
      <c r="AV360" s="1" t="str">
        <f>IFERROR(__xludf.DUMMYFUNCTION("""COMPUTED_VALUE"""),"NUEVO")</f>
        <v>NUEVO</v>
      </c>
      <c r="AW360" s="1"/>
      <c r="AX360" s="1"/>
      <c r="AY360" s="1" t="str">
        <f>IFERROR(__xludf.DUMMYFUNCTION("""COMPUTED_VALUE"""),"PAGO COMPLETO")</f>
        <v>PAGO COMPLETO</v>
      </c>
      <c r="AZ360" s="5">
        <f>IFERROR(__xludf.DUMMYFUNCTION("""COMPUTED_VALUE"""),45687.0)</f>
        <v>45687</v>
      </c>
      <c r="BA360" s="1">
        <f>IFERROR(__xludf.DUMMYFUNCTION("""COMPUTED_VALUE"""),525.0)</f>
        <v>525</v>
      </c>
      <c r="BB360" s="1">
        <f>IFERROR(__xludf.DUMMYFUNCTION("""COMPUTED_VALUE"""),0.0)</f>
        <v>0</v>
      </c>
      <c r="BC360" s="4">
        <f>IFERROR(__xludf.DUMMYFUNCTION("""COMPUTED_VALUE"""),0.0)</f>
        <v>0</v>
      </c>
      <c r="BD360" s="4">
        <f>IFERROR(__xludf.DUMMYFUNCTION("""COMPUTED_VALUE"""),0.0)</f>
        <v>0</v>
      </c>
      <c r="BE360" s="1">
        <f>IFERROR(__xludf.DUMMYFUNCTION("""COMPUTED_VALUE"""),1.0)</f>
        <v>1</v>
      </c>
      <c r="BF360" s="6">
        <f>IFERROR(__xludf.DUMMYFUNCTION("""COMPUTED_VALUE"""),1.0)</f>
        <v>1</v>
      </c>
      <c r="BG360" s="1">
        <f>IFERROR(__xludf.DUMMYFUNCTION("""COMPUTED_VALUE"""),1.0)</f>
        <v>1</v>
      </c>
      <c r="BH360" s="1" t="str">
        <f>IFERROR(__xludf.DUMMYFUNCTION("""COMPUTED_VALUE"""),"0")</f>
        <v>0</v>
      </c>
      <c r="BI360" s="4">
        <f>IFERROR(__xludf.DUMMYFUNCTION("""COMPUTED_VALUE"""),1050.0)</f>
        <v>1050</v>
      </c>
      <c r="BJ360" s="1">
        <f>IFERROR(__xludf.DUMMYFUNCTION("""COMPUTED_VALUE"""),0.0)</f>
        <v>0</v>
      </c>
      <c r="BK360" s="4">
        <f>IFERROR(__xludf.DUMMYFUNCTION("""COMPUTED_VALUE"""),0.0)</f>
        <v>0</v>
      </c>
      <c r="BL360" s="1">
        <f>IFERROR(__xludf.DUMMYFUNCTION("""COMPUTED_VALUE"""),1050.0)</f>
        <v>1050</v>
      </c>
      <c r="BM360" s="1">
        <f>IFERROR(__xludf.DUMMYFUNCTION("""COMPUTED_VALUE"""),3.0)</f>
        <v>3</v>
      </c>
      <c r="BN360" s="2">
        <f>IFERROR(__xludf.DUMMYFUNCTION("""COMPUTED_VALUE"""),45670.0)</f>
        <v>45670</v>
      </c>
      <c r="BO360" s="1">
        <f>IFERROR(__xludf.DUMMYFUNCTION("""COMPUTED_VALUE"""),1.0)</f>
        <v>1</v>
      </c>
      <c r="BP360" s="1">
        <f>IFERROR(__xludf.DUMMYFUNCTION("""COMPUTED_VALUE"""),2025.0)</f>
        <v>2025</v>
      </c>
    </row>
    <row r="361">
      <c r="A361" s="1">
        <f>IFERROR(__xludf.DUMMYFUNCTION("""COMPUTED_VALUE"""),360.0)</f>
        <v>360</v>
      </c>
      <c r="B361" s="1">
        <f>IFERROR(__xludf.DUMMYFUNCTION("""COMPUTED_VALUE"""),1056693.0)</f>
        <v>1056693</v>
      </c>
      <c r="C361" s="1" t="str">
        <f>IFERROR(__xludf.DUMMYFUNCTION("""COMPUTED_VALUE"""),"2025-1")</f>
        <v>2025-1</v>
      </c>
      <c r="D361" s="1" t="str">
        <f>IFERROR(__xludf.DUMMYFUNCTION("""COMPUTED_VALUE"""),"Admisión Extraordinaria (Traslados)")</f>
        <v>Admisión Extraordinaria (Traslados)</v>
      </c>
      <c r="E361" s="2">
        <f>IFERROR(__xludf.DUMMYFUNCTION("""COMPUTED_VALUE"""),45672.0)</f>
        <v>45672</v>
      </c>
      <c r="F361" s="1" t="str">
        <f>IFERROR(__xludf.DUMMYFUNCTION("""COMPUTED_VALUE"""),"SARAI MILAGROS")</f>
        <v>SARAI MILAGROS</v>
      </c>
      <c r="G361" s="1" t="str">
        <f>IFERROR(__xludf.DUMMYFUNCTION("""COMPUTED_VALUE"""),"APARICIO FERNANDEZ")</f>
        <v>APARICIO FERNANDEZ</v>
      </c>
      <c r="H361" s="1" t="str">
        <f>IFERROR(__xludf.DUMMYFUNCTION("""COMPUTED_VALUE"""),"Arquitectura")</f>
        <v>Arquitectura</v>
      </c>
      <c r="I361" s="1" t="str">
        <f>IFERROR(__xludf.DUMMYFUNCTION("""COMPUTED_VALUE"""),"CARGO")</f>
        <v>CARGO</v>
      </c>
      <c r="J361" s="1" t="str">
        <f>IFERROR(__xludf.DUMMYFUNCTION("""COMPUTED_VALUE"""),"Diurno")</f>
        <v>Diurno</v>
      </c>
      <c r="K361" s="1" t="str">
        <f>IFERROR(__xludf.DUMMYFUNCTION("""COMPUTED_VALUE"""),"TRASLADO")</f>
        <v>TRASLADO</v>
      </c>
      <c r="L361" s="1">
        <f>IFERROR(__xludf.DUMMYFUNCTION("""COMPUTED_VALUE"""),1.0)</f>
        <v>1</v>
      </c>
      <c r="M361" s="1">
        <f>IFERROR(__xludf.DUMMYFUNCTION("""COMPUTED_VALUE"""),0.0)</f>
        <v>0</v>
      </c>
      <c r="N361" s="1" t="str">
        <f>IFERROR(__xludf.DUMMYFUNCTION("""COMPUTED_VALUE"""),"RECA")</f>
        <v>RECA</v>
      </c>
      <c r="O361" s="1" t="str">
        <f>IFERROR(__xludf.DUMMYFUNCTION("""COMPUTED_VALUE"""),"RECA TRASLADO CON CONVA")</f>
        <v>RECA TRASLADO CON CONVA</v>
      </c>
      <c r="P361" s="4">
        <f>IFERROR(__xludf.DUMMYFUNCTION("""COMPUTED_VALUE"""),0.0)</f>
        <v>0</v>
      </c>
      <c r="Q361" s="4">
        <f>IFERROR(__xludf.DUMMYFUNCTION("""COMPUTED_VALUE"""),0.0)</f>
        <v>0</v>
      </c>
      <c r="R361" s="4">
        <f>IFERROR(__xludf.DUMMYFUNCTION("""COMPUTED_VALUE"""),700.0)</f>
        <v>700</v>
      </c>
      <c r="S361" s="4">
        <f>IFERROR(__xludf.DUMMYFUNCTION("""COMPUTED_VALUE"""),700.0)</f>
        <v>700</v>
      </c>
      <c r="T361" s="1" t="str">
        <f>IFERROR(__xludf.DUMMYFUNCTION("""COMPUTED_VALUE"""),"NINGUNO")</f>
        <v>NINGUNO</v>
      </c>
      <c r="U361" s="1" t="str">
        <f>IFERROR(__xludf.DUMMYFUNCTION("""COMPUTED_VALUE"""),"RODRIGO")</f>
        <v>RODRIGO</v>
      </c>
      <c r="V361" s="1" t="str">
        <f>IFERROR(__xludf.DUMMYFUNCTION("""COMPUTED_VALUE"""),"Ninguno")</f>
        <v>Ninguno</v>
      </c>
      <c r="W361" s="1" t="str">
        <f>IFERROR(__xludf.DUMMYFUNCTION("""COMPUTED_VALUE"""),"Metodología de enseñanza")</f>
        <v>Metodología de enseñanza</v>
      </c>
      <c r="X361" s="1" t="str">
        <f>IFERROR(__xludf.DUMMYFUNCTION("""COMPUTED_VALUE"""),"0")</f>
        <v>0</v>
      </c>
      <c r="Y361" s="1" t="str">
        <f>IFERROR(__xludf.DUMMYFUNCTION("""COMPUTED_VALUE"""),"PAGO COMPLETO")</f>
        <v>PAGO COMPLETO</v>
      </c>
      <c r="Z361" s="1"/>
      <c r="AA361" s="1"/>
      <c r="AB361" s="1">
        <f>IFERROR(__xludf.DUMMYFUNCTION("""COMPUTED_VALUE"""),0.0)</f>
        <v>0</v>
      </c>
      <c r="AC361" s="1">
        <f>IFERROR(__xludf.DUMMYFUNCTION("""COMPUTED_VALUE"""),0.0)</f>
        <v>0</v>
      </c>
      <c r="AD361" s="1" t="str">
        <f>IFERROR(__xludf.DUMMYFUNCTION("""COMPUTED_VALUE"""),"Andrea Araujo Antara")</f>
        <v>Andrea Araujo Antara</v>
      </c>
      <c r="AE361" s="1" t="str">
        <f>IFERROR(__xludf.DUMMYFUNCTION("""COMPUTED_VALUE"""),"Instituto de Educación Superior Tecnológico Privado Toulouse Lautrec")</f>
        <v>Instituto de Educación Superior Tecnológico Privado Toulouse Lautrec</v>
      </c>
      <c r="AF361" s="1">
        <f>IFERROR(__xludf.DUMMYFUNCTION("""COMPUTED_VALUE"""),2020.0)</f>
        <v>2020</v>
      </c>
      <c r="AG361" s="1">
        <f>IFERROR(__xludf.DUMMYFUNCTION("""COMPUTED_VALUE"""),340430.0)</f>
        <v>340430</v>
      </c>
      <c r="AH361" s="1">
        <f>IFERROR(__xludf.DUMMYFUNCTION("""COMPUTED_VALUE"""),24.0)</f>
        <v>24</v>
      </c>
      <c r="AI361" s="1" t="str">
        <f>IFERROR(__xludf.DUMMYFUNCTION("""COMPUTED_VALUE"""),"2020004508")</f>
        <v>2020004508</v>
      </c>
      <c r="AJ361" s="1">
        <f>IFERROR(__xludf.DUMMYFUNCTION("""COMPUTED_VALUE"""),7.4072962E7)</f>
        <v>74072962</v>
      </c>
      <c r="AK361" s="1">
        <f>IFERROR(__xludf.DUMMYFUNCTION("""COMPUTED_VALUE"""),9.10388783E8)</f>
        <v>910388783</v>
      </c>
      <c r="AL361" s="1" t="str">
        <f>IFERROR(__xludf.DUMMYFUNCTION("""COMPUTED_VALUE"""),"apariciosarai9@gmail.com")</f>
        <v>apariciosarai9@gmail.com</v>
      </c>
      <c r="AM361" s="1" t="str">
        <f>IFERROR(__xludf.DUMMYFUNCTION("""COMPUTED_VALUE"""),"FEMENINO")</f>
        <v>FEMENINO</v>
      </c>
      <c r="AN361" s="1">
        <f>IFERROR(__xludf.DUMMYFUNCTION("""COMPUTED_VALUE"""),1350.0)</f>
        <v>1350</v>
      </c>
      <c r="AO361" s="1">
        <f>IFERROR(__xludf.DUMMYFUNCTION("""COMPUTED_VALUE"""),0.0)</f>
        <v>0</v>
      </c>
      <c r="AP361" s="1" t="str">
        <f>IFERROR(__xludf.DUMMYFUNCTION("""COMPUTED_VALUE"""),"BIDIRECCIONAL")</f>
        <v>BIDIRECCIONAL</v>
      </c>
      <c r="AQ361" s="1" t="str">
        <f>IFERROR(__xludf.DUMMYFUNCTION("""COMPUTED_VALUE"""),"ORGANICO")</f>
        <v>ORGANICO</v>
      </c>
      <c r="AR361" s="1" t="str">
        <f>IFERROR(__xludf.DUMMYFUNCTION("""COMPUTED_VALUE"""),"NUEVO")</f>
        <v>NUEVO</v>
      </c>
      <c r="AS361" s="1"/>
      <c r="AT361" s="2">
        <f>IFERROR(__xludf.DUMMYFUNCTION("""COMPUTED_VALUE"""),45562.0)</f>
        <v>45562</v>
      </c>
      <c r="AU361" s="1">
        <f>IFERROR(__xludf.DUMMYFUNCTION("""COMPUTED_VALUE"""),1.0)</f>
        <v>1</v>
      </c>
      <c r="AV361" s="1" t="str">
        <f>IFERROR(__xludf.DUMMYFUNCTION("""COMPUTED_VALUE"""),"TRASLADO")</f>
        <v>TRASLADO</v>
      </c>
      <c r="AW361" s="1"/>
      <c r="AX361" s="1"/>
      <c r="AY361" s="1" t="str">
        <f>IFERROR(__xludf.DUMMYFUNCTION("""COMPUTED_VALUE"""),"PAGO COMPLETO")</f>
        <v>PAGO COMPLETO</v>
      </c>
      <c r="AZ361" s="5">
        <f>IFERROR(__xludf.DUMMYFUNCTION("""COMPUTED_VALUE"""),45672.0)</f>
        <v>45672</v>
      </c>
      <c r="BA361" s="1">
        <f>IFERROR(__xludf.DUMMYFUNCTION("""COMPUTED_VALUE"""),0.0)</f>
        <v>0</v>
      </c>
      <c r="BB361" s="1">
        <f>IFERROR(__xludf.DUMMYFUNCTION("""COMPUTED_VALUE"""),0.0)</f>
        <v>0</v>
      </c>
      <c r="BC361" s="4">
        <f>IFERROR(__xludf.DUMMYFUNCTION("""COMPUTED_VALUE"""),0.0)</f>
        <v>0</v>
      </c>
      <c r="BD361" s="4">
        <f>IFERROR(__xludf.DUMMYFUNCTION("""COMPUTED_VALUE"""),0.0)</f>
        <v>0</v>
      </c>
      <c r="BE361" s="1">
        <f>IFERROR(__xludf.DUMMYFUNCTION("""COMPUTED_VALUE"""),1.0)</f>
        <v>1</v>
      </c>
      <c r="BF361" s="6">
        <f>IFERROR(__xludf.DUMMYFUNCTION("""COMPUTED_VALUE"""),1.0)</f>
        <v>1</v>
      </c>
      <c r="BG361" s="1">
        <f>IFERROR(__xludf.DUMMYFUNCTION("""COMPUTED_VALUE"""),1.0)</f>
        <v>1</v>
      </c>
      <c r="BH361" s="1" t="str">
        <f>IFERROR(__xludf.DUMMYFUNCTION("""COMPUTED_VALUE"""),"1")</f>
        <v>1</v>
      </c>
      <c r="BI361" s="4">
        <f>IFERROR(__xludf.DUMMYFUNCTION("""COMPUTED_VALUE"""),0.0)</f>
        <v>0</v>
      </c>
      <c r="BJ361" s="1">
        <f>IFERROR(__xludf.DUMMYFUNCTION("""COMPUTED_VALUE"""),0.0)</f>
        <v>0</v>
      </c>
      <c r="BK361" s="4">
        <f>IFERROR(__xludf.DUMMYFUNCTION("""COMPUTED_VALUE"""),0.0)</f>
        <v>0</v>
      </c>
      <c r="BL361" s="1">
        <f>IFERROR(__xludf.DUMMYFUNCTION("""COMPUTED_VALUE"""),700.0)</f>
        <v>700</v>
      </c>
      <c r="BM361" s="1">
        <f>IFERROR(__xludf.DUMMYFUNCTION("""COMPUTED_VALUE"""),3.0)</f>
        <v>3</v>
      </c>
      <c r="BN361" s="2">
        <f>IFERROR(__xludf.DUMMYFUNCTION("""COMPUTED_VALUE"""),45670.0)</f>
        <v>45670</v>
      </c>
      <c r="BO361" s="1">
        <f>IFERROR(__xludf.DUMMYFUNCTION("""COMPUTED_VALUE"""),1.0)</f>
        <v>1</v>
      </c>
      <c r="BP361" s="1">
        <f>IFERROR(__xludf.DUMMYFUNCTION("""COMPUTED_VALUE"""),2025.0)</f>
        <v>2025</v>
      </c>
    </row>
    <row r="362">
      <c r="A362" s="1">
        <f>IFERROR(__xludf.DUMMYFUNCTION("""COMPUTED_VALUE"""),361.0)</f>
        <v>361</v>
      </c>
      <c r="B362" s="1">
        <f>IFERROR(__xludf.DUMMYFUNCTION("""COMPUTED_VALUE"""),1893171.0)</f>
        <v>1893171</v>
      </c>
      <c r="C362" s="1" t="str">
        <f>IFERROR(__xludf.DUMMYFUNCTION("""COMPUTED_VALUE"""),"2025-1")</f>
        <v>2025-1</v>
      </c>
      <c r="D362" s="1" t="str">
        <f>IFERROR(__xludf.DUMMYFUNCTION("""COMPUTED_VALUE"""),"Admisión de Alto Rendimiento")</f>
        <v>Admisión de Alto Rendimiento</v>
      </c>
      <c r="E362" s="2">
        <f>IFERROR(__xludf.DUMMYFUNCTION("""COMPUTED_VALUE"""),45673.0)</f>
        <v>45673</v>
      </c>
      <c r="F362" s="1" t="str">
        <f>IFERROR(__xludf.DUMMYFUNCTION("""COMPUTED_VALUE"""),"MAYRA ZORAIDA")</f>
        <v>MAYRA ZORAIDA</v>
      </c>
      <c r="G362" s="1" t="str">
        <f>IFERROR(__xludf.DUMMYFUNCTION("""COMPUTED_VALUE"""),"CACERES CAMA")</f>
        <v>CACERES CAMA</v>
      </c>
      <c r="H362" s="1" t="str">
        <f>IFERROR(__xludf.DUMMYFUNCTION("""COMPUTED_VALUE"""),"Arquitectura de Interiores")</f>
        <v>Arquitectura de Interiores</v>
      </c>
      <c r="I362" s="1" t="str">
        <f>IFERROR(__xludf.DUMMYFUNCTION("""COMPUTED_VALUE"""),"CARGO")</f>
        <v>CARGO</v>
      </c>
      <c r="J362" s="1" t="str">
        <f>IFERROR(__xludf.DUMMYFUNCTION("""COMPUTED_VALUE"""),"Diurno")</f>
        <v>Diurno</v>
      </c>
      <c r="K362" s="1" t="str">
        <f>IFERROR(__xludf.DUMMYFUNCTION("""COMPUTED_VALUE"""),"NUEVO")</f>
        <v>NUEVO</v>
      </c>
      <c r="L362" s="1">
        <f>IFERROR(__xludf.DUMMYFUNCTION("""COMPUTED_VALUE"""),0.0)</f>
        <v>0</v>
      </c>
      <c r="M362" s="1">
        <f>IFERROR(__xludf.DUMMYFUNCTION("""COMPUTED_VALUE"""),0.0)</f>
        <v>0</v>
      </c>
      <c r="N362" s="1" t="str">
        <f>IFERROR(__xludf.DUMMYFUNCTION("""COMPUTED_VALUE"""),"BECA")</f>
        <v>BECA</v>
      </c>
      <c r="O362" s="1" t="str">
        <f>IFERROR(__xludf.DUMMYFUNCTION("""COMPUTED_VALUE"""),"BECA CONGELADA DE 2 AÑOS")</f>
        <v>BECA CONGELADA DE 2 AÑOS</v>
      </c>
      <c r="P362" s="4">
        <f>IFERROR(__xludf.DUMMYFUNCTION("""COMPUTED_VALUE"""),0.0)</f>
        <v>0</v>
      </c>
      <c r="Q362" s="4">
        <f>IFERROR(__xludf.DUMMYFUNCTION("""COMPUTED_VALUE"""),0.0)</f>
        <v>0</v>
      </c>
      <c r="R362" s="4">
        <f>IFERROR(__xludf.DUMMYFUNCTION("""COMPUTED_VALUE"""),1250.0)</f>
        <v>1250</v>
      </c>
      <c r="S362" s="4">
        <f>IFERROR(__xludf.DUMMYFUNCTION("""COMPUTED_VALUE"""),1050.0)</f>
        <v>1050</v>
      </c>
      <c r="T362" s="1" t="str">
        <f>IFERROR(__xludf.DUMMYFUNCTION("""COMPUTED_VALUE"""),"NINGUNO")</f>
        <v>NINGUNO</v>
      </c>
      <c r="U362" s="1" t="str">
        <f>IFERROR(__xludf.DUMMYFUNCTION("""COMPUTED_VALUE"""),"FABIOLA")</f>
        <v>FABIOLA</v>
      </c>
      <c r="V362" s="1" t="str">
        <f>IFERROR(__xludf.DUMMYFUNCTION("""COMPUTED_VALUE"""),"Ninguno")</f>
        <v>Ninguno</v>
      </c>
      <c r="W362" s="1" t="str">
        <f>IFERROR(__xludf.DUMMYFUNCTION("""COMPUTED_VALUE"""),"Metodología de enseñanza")</f>
        <v>Metodología de enseñanza</v>
      </c>
      <c r="X362" s="1"/>
      <c r="Y362" s="1" t="str">
        <f>IFERROR(__xludf.DUMMYFUNCTION("""COMPUTED_VALUE"""),"PAGO COMPLETO")</f>
        <v>PAGO COMPLETO</v>
      </c>
      <c r="Z362" s="1"/>
      <c r="AA362" s="1"/>
      <c r="AB362" s="1">
        <f>IFERROR(__xludf.DUMMYFUNCTION("""COMPUTED_VALUE"""),0.0)</f>
        <v>0</v>
      </c>
      <c r="AC362" s="1">
        <f>IFERROR(__xludf.DUMMYFUNCTION("""COMPUTED_VALUE"""),0.0)</f>
        <v>0</v>
      </c>
      <c r="AD362" s="1" t="str">
        <f>IFERROR(__xludf.DUMMYFUNCTION("""COMPUTED_VALUE"""),"Angelica Iparraguirre")</f>
        <v>Angelica Iparraguirre</v>
      </c>
      <c r="AE362" s="1" t="str">
        <f>IFERROR(__xludf.DUMMYFUNCTION("""COMPUTED_VALUE"""),"0")</f>
        <v>0</v>
      </c>
      <c r="AF362" s="1">
        <f>IFERROR(__xludf.DUMMYFUNCTION("""COMPUTED_VALUE"""),2024.0)</f>
        <v>2024</v>
      </c>
      <c r="AG362" s="1">
        <f>IFERROR(__xludf.DUMMYFUNCTION("""COMPUTED_VALUE"""),1044437.0)</f>
        <v>1044437</v>
      </c>
      <c r="AH362" s="1">
        <f>IFERROR(__xludf.DUMMYFUNCTION("""COMPUTED_VALUE"""),18.0)</f>
        <v>18</v>
      </c>
      <c r="AI362" s="1" t="str">
        <f>IFERROR(__xludf.DUMMYFUNCTION("""COMPUTED_VALUE"""),"0000043156")</f>
        <v>0000043156</v>
      </c>
      <c r="AJ362" s="1">
        <f>IFERROR(__xludf.DUMMYFUNCTION("""COMPUTED_VALUE"""),7.0736732E7)</f>
        <v>70736732</v>
      </c>
      <c r="AK362" s="1">
        <f>IFERROR(__xludf.DUMMYFUNCTION("""COMPUTED_VALUE"""),9.22143044E8)</f>
        <v>922143044</v>
      </c>
      <c r="AL362" s="1" t="str">
        <f>IFERROR(__xludf.DUMMYFUNCTION("""COMPUTED_VALUE"""),"cacerescamamayra@gmail.com")</f>
        <v>cacerescamamayra@gmail.com</v>
      </c>
      <c r="AM362" s="1" t="str">
        <f>IFERROR(__xludf.DUMMYFUNCTION("""COMPUTED_VALUE"""),"FEMENINO")</f>
        <v>FEMENINO</v>
      </c>
      <c r="AN362" s="1">
        <f>IFERROR(__xludf.DUMMYFUNCTION("""COMPUTED_VALUE"""),0.0)</f>
        <v>0</v>
      </c>
      <c r="AO362" s="1">
        <f>IFERROR(__xludf.DUMMYFUNCTION("""COMPUTED_VALUE"""),300.0)</f>
        <v>300</v>
      </c>
      <c r="AP362" s="1" t="str">
        <f>IFERROR(__xludf.DUMMYFUNCTION("""COMPUTED_VALUE"""),"COLEGIOS")</f>
        <v>COLEGIOS</v>
      </c>
      <c r="AQ362" s="1" t="str">
        <f>IFERROR(__xludf.DUMMYFUNCTION("""COMPUTED_VALUE"""),"COLEGIOS")</f>
        <v>COLEGIOS</v>
      </c>
      <c r="AR362" s="1" t="str">
        <f>IFERROR(__xludf.DUMMYFUNCTION("""COMPUTED_VALUE"""),"HEREDADO")</f>
        <v>HEREDADO</v>
      </c>
      <c r="AS362" s="1"/>
      <c r="AT362" s="2">
        <f>IFERROR(__xludf.DUMMYFUNCTION("""COMPUTED_VALUE"""),45519.0)</f>
        <v>45519</v>
      </c>
      <c r="AU362" s="1">
        <f>IFERROR(__xludf.DUMMYFUNCTION("""COMPUTED_VALUE"""),1.0)</f>
        <v>1</v>
      </c>
      <c r="AV362" s="1" t="str">
        <f>IFERROR(__xludf.DUMMYFUNCTION("""COMPUTED_VALUE"""),"NUEVO")</f>
        <v>NUEVO</v>
      </c>
      <c r="AW362" s="1"/>
      <c r="AX362" s="1"/>
      <c r="AY362" s="1" t="str">
        <f>IFERROR(__xludf.DUMMYFUNCTION("""COMPUTED_VALUE"""),"PAGO COMPLETO")</f>
        <v>PAGO COMPLETO</v>
      </c>
      <c r="AZ362" s="5">
        <f>IFERROR(__xludf.DUMMYFUNCTION("""COMPUTED_VALUE"""),45673.0)</f>
        <v>45673</v>
      </c>
      <c r="BA362" s="1">
        <f>IFERROR(__xludf.DUMMYFUNCTION("""COMPUTED_VALUE"""),0.0)</f>
        <v>0</v>
      </c>
      <c r="BB362" s="1">
        <f>IFERROR(__xludf.DUMMYFUNCTION("""COMPUTED_VALUE"""),0.0)</f>
        <v>0</v>
      </c>
      <c r="BC362" s="4">
        <f>IFERROR(__xludf.DUMMYFUNCTION("""COMPUTED_VALUE"""),0.0)</f>
        <v>0</v>
      </c>
      <c r="BD362" s="4">
        <f>IFERROR(__xludf.DUMMYFUNCTION("""COMPUTED_VALUE"""),0.0)</f>
        <v>0</v>
      </c>
      <c r="BE362" s="1">
        <f>IFERROR(__xludf.DUMMYFUNCTION("""COMPUTED_VALUE"""),1.0)</f>
        <v>1</v>
      </c>
      <c r="BF362" s="6">
        <f>IFERROR(__xludf.DUMMYFUNCTION("""COMPUTED_VALUE"""),1.0)</f>
        <v>1</v>
      </c>
      <c r="BG362" s="1">
        <f>IFERROR(__xludf.DUMMYFUNCTION("""COMPUTED_VALUE"""),1.0)</f>
        <v>1</v>
      </c>
      <c r="BH362" s="1" t="str">
        <f>IFERROR(__xludf.DUMMYFUNCTION("""COMPUTED_VALUE"""),"0")</f>
        <v>0</v>
      </c>
      <c r="BI362" s="4">
        <f>IFERROR(__xludf.DUMMYFUNCTION("""COMPUTED_VALUE"""),0.0)</f>
        <v>0</v>
      </c>
      <c r="BJ362" s="1">
        <f>IFERROR(__xludf.DUMMYFUNCTION("""COMPUTED_VALUE"""),0.0)</f>
        <v>0</v>
      </c>
      <c r="BK362" s="4">
        <f>IFERROR(__xludf.DUMMYFUNCTION("""COMPUTED_VALUE"""),0.0)</f>
        <v>0</v>
      </c>
      <c r="BL362" s="1">
        <f>IFERROR(__xludf.DUMMYFUNCTION("""COMPUTED_VALUE"""),1050.0)</f>
        <v>1050</v>
      </c>
      <c r="BM362" s="1">
        <f>IFERROR(__xludf.DUMMYFUNCTION("""COMPUTED_VALUE"""),3.0)</f>
        <v>3</v>
      </c>
      <c r="BN362" s="2">
        <f>IFERROR(__xludf.DUMMYFUNCTION("""COMPUTED_VALUE"""),45670.0)</f>
        <v>45670</v>
      </c>
      <c r="BO362" s="1">
        <f>IFERROR(__xludf.DUMMYFUNCTION("""COMPUTED_VALUE"""),1.0)</f>
        <v>1</v>
      </c>
      <c r="BP362" s="1">
        <f>IFERROR(__xludf.DUMMYFUNCTION("""COMPUTED_VALUE"""),2025.0)</f>
        <v>2025</v>
      </c>
    </row>
    <row r="363">
      <c r="A363" s="1">
        <f>IFERROR(__xludf.DUMMYFUNCTION("""COMPUTED_VALUE"""),362.0)</f>
        <v>362</v>
      </c>
      <c r="B363" s="1">
        <f>IFERROR(__xludf.DUMMYFUNCTION("""COMPUTED_VALUE"""),1869396.0)</f>
        <v>1869396</v>
      </c>
      <c r="C363" s="1" t="str">
        <f>IFERROR(__xludf.DUMMYFUNCTION("""COMPUTED_VALUE"""),"2025-1")</f>
        <v>2025-1</v>
      </c>
      <c r="D363" s="1" t="str">
        <f>IFERROR(__xludf.DUMMYFUNCTION("""COMPUTED_VALUE"""),"Admisión Ordinaria")</f>
        <v>Admisión Ordinaria</v>
      </c>
      <c r="E363" s="2">
        <f>IFERROR(__xludf.DUMMYFUNCTION("""COMPUTED_VALUE"""),45673.0)</f>
        <v>45673</v>
      </c>
      <c r="F363" s="1" t="str">
        <f>IFERROR(__xludf.DUMMYFUNCTION("""COMPUTED_VALUE"""),"CARLOS JORDY")</f>
        <v>CARLOS JORDY</v>
      </c>
      <c r="G363" s="1" t="str">
        <f>IFERROR(__xludf.DUMMYFUNCTION("""COMPUTED_VALUE"""),"NAVARRETE ALVAREZ")</f>
        <v>NAVARRETE ALVAREZ</v>
      </c>
      <c r="H363" s="1" t="str">
        <f>IFERROR(__xludf.DUMMYFUNCTION("""COMPUTED_VALUE"""),"Comunicación Audiovisual y Cine")</f>
        <v>Comunicación Audiovisual y Cine</v>
      </c>
      <c r="I363" s="1" t="str">
        <f>IFERROR(__xludf.DUMMYFUNCTION("""COMPUTED_VALUE"""),"POS")</f>
        <v>POS</v>
      </c>
      <c r="J363" s="1" t="str">
        <f>IFERROR(__xludf.DUMMYFUNCTION("""COMPUTED_VALUE"""),"Diurno")</f>
        <v>Diurno</v>
      </c>
      <c r="K363" s="1" t="str">
        <f>IFERROR(__xludf.DUMMYFUNCTION("""COMPUTED_VALUE"""),"NUEVO")</f>
        <v>NUEVO</v>
      </c>
      <c r="L363" s="1">
        <f>IFERROR(__xludf.DUMMYFUNCTION("""COMPUTED_VALUE"""),0.0)</f>
        <v>0</v>
      </c>
      <c r="M363" s="1">
        <f>IFERROR(__xludf.DUMMYFUNCTION("""COMPUTED_VALUE"""),0.0)</f>
        <v>0</v>
      </c>
      <c r="N363" s="1" t="str">
        <f>IFERROR(__xludf.DUMMYFUNCTION("""COMPUTED_VALUE"""),"BECA")</f>
        <v>BECA</v>
      </c>
      <c r="O363" s="1" t="str">
        <f>IFERROR(__xludf.DUMMYFUNCTION("""COMPUTED_VALUE"""),"BECA CONGELADA DE 2 AÑOS")</f>
        <v>BECA CONGELADA DE 2 AÑOS</v>
      </c>
      <c r="P363" s="4">
        <f>IFERROR(__xludf.DUMMYFUNCTION("""COMPUTED_VALUE"""),0.0)</f>
        <v>0</v>
      </c>
      <c r="Q363" s="4">
        <f>IFERROR(__xludf.DUMMYFUNCTION("""COMPUTED_VALUE"""),0.0)</f>
        <v>0</v>
      </c>
      <c r="R363" s="4">
        <f>IFERROR(__xludf.DUMMYFUNCTION("""COMPUTED_VALUE"""),1250.0)</f>
        <v>1250</v>
      </c>
      <c r="S363" s="4">
        <f>IFERROR(__xludf.DUMMYFUNCTION("""COMPUTED_VALUE"""),1050.0)</f>
        <v>1050</v>
      </c>
      <c r="T363" s="1" t="str">
        <f>IFERROR(__xludf.DUMMYFUNCTION("""COMPUTED_VALUE"""),"NINGUNO")</f>
        <v>NINGUNO</v>
      </c>
      <c r="U363" s="1" t="str">
        <f>IFERROR(__xludf.DUMMYFUNCTION("""COMPUTED_VALUE"""),"FABIOLA")</f>
        <v>FABIOLA</v>
      </c>
      <c r="V363" s="1" t="str">
        <f>IFERROR(__xludf.DUMMYFUNCTION("""COMPUTED_VALUE"""),"Leandro Urbina")</f>
        <v>Leandro Urbina</v>
      </c>
      <c r="W363" s="1" t="str">
        <f>IFERROR(__xludf.DUMMYFUNCTION("""COMPUTED_VALUE"""),"Metodología de enseñanza")</f>
        <v>Metodología de enseñanza</v>
      </c>
      <c r="X363" s="1" t="str">
        <f>IFERROR(__xludf.DUMMYFUNCTION("""COMPUTED_VALUE"""),"-")</f>
        <v>-</v>
      </c>
      <c r="Y363" s="1" t="str">
        <f>IFERROR(__xludf.DUMMYFUNCTION("""COMPUTED_VALUE"""),"PAGO FRACCIONADO")</f>
        <v>PAGO FRACCIONADO</v>
      </c>
      <c r="Z363" s="1">
        <f>IFERROR(__xludf.DUMMYFUNCTION("""COMPUTED_VALUE"""),525.0)</f>
        <v>525</v>
      </c>
      <c r="AA363" s="1" t="str">
        <f>IFERROR(__xludf.DUMMYFUNCTION("""COMPUTED_VALUE"""),"30/01/2025")</f>
        <v>30/01/2025</v>
      </c>
      <c r="AB363" s="1">
        <f>IFERROR(__xludf.DUMMYFUNCTION("""COMPUTED_VALUE"""),0.0)</f>
        <v>0</v>
      </c>
      <c r="AC363" s="1">
        <f>IFERROR(__xludf.DUMMYFUNCTION("""COMPUTED_VALUE"""),0.0)</f>
        <v>0</v>
      </c>
      <c r="AD363" s="1" t="str">
        <f>IFERROR(__xludf.DUMMYFUNCTION("""COMPUTED_VALUE"""),"César Alberto Loayza Gutiérrez")</f>
        <v>César Alberto Loayza Gutiérrez</v>
      </c>
      <c r="AE363" s="1" t="str">
        <f>IFERROR(__xludf.DUMMYFUNCTION("""COMPUTED_VALUE"""),"0")</f>
        <v>0</v>
      </c>
      <c r="AF363" s="1">
        <f>IFERROR(__xludf.DUMMYFUNCTION("""COMPUTED_VALUE"""),2017.0)</f>
        <v>2017</v>
      </c>
      <c r="AG363" s="1">
        <f>IFERROR(__xludf.DUMMYFUNCTION("""COMPUTED_VALUE"""),872622.0)</f>
        <v>872622</v>
      </c>
      <c r="AH363" s="1">
        <f>IFERROR(__xludf.DUMMYFUNCTION("""COMPUTED_VALUE"""),25.0)</f>
        <v>25</v>
      </c>
      <c r="AI363" s="1" t="str">
        <f>IFERROR(__xludf.DUMMYFUNCTION("""COMPUTED_VALUE"""),"0000409914")</f>
        <v>0000409914</v>
      </c>
      <c r="AJ363" s="1">
        <f>IFERROR(__xludf.DUMMYFUNCTION("""COMPUTED_VALUE"""),6.149498E7)</f>
        <v>61494980</v>
      </c>
      <c r="AK363" s="1">
        <f>IFERROR(__xludf.DUMMYFUNCTION("""COMPUTED_VALUE"""),9.53930345E8)</f>
        <v>953930345</v>
      </c>
      <c r="AL363" s="1" t="str">
        <f>IFERROR(__xludf.DUMMYFUNCTION("""COMPUTED_VALUE"""),"jordystaaar08@gmail.com")</f>
        <v>jordystaaar08@gmail.com</v>
      </c>
      <c r="AM363" s="1" t="str">
        <f>IFERROR(__xludf.DUMMYFUNCTION("""COMPUTED_VALUE"""),"MASCULINO")</f>
        <v>MASCULINO</v>
      </c>
      <c r="AN363" s="1">
        <f>IFERROR(__xludf.DUMMYFUNCTION("""COMPUTED_VALUE"""),1600.0)</f>
        <v>1600</v>
      </c>
      <c r="AO363" s="1">
        <f>IFERROR(__xludf.DUMMYFUNCTION("""COMPUTED_VALUE"""),260.0)</f>
        <v>260</v>
      </c>
      <c r="AP363" s="1" t="str">
        <f>IFERROR(__xludf.DUMMYFUNCTION("""COMPUTED_VALUE"""),"FORMULARIO")</f>
        <v>FORMULARIO</v>
      </c>
      <c r="AQ363" s="1" t="str">
        <f>IFERROR(__xludf.DUMMYFUNCTION("""COMPUTED_VALUE"""),"SEARCH MARCA")</f>
        <v>SEARCH MARCA</v>
      </c>
      <c r="AR363" s="1" t="str">
        <f>IFERROR(__xludf.DUMMYFUNCTION("""COMPUTED_VALUE"""),"HEREDADO")</f>
        <v>HEREDADO</v>
      </c>
      <c r="AS363" s="1" t="str">
        <f>IFERROR(__xludf.DUMMYFUNCTION("""COMPUTED_VALUE"""),"ucal-pg-performance-sedes-abierta-cpl-search_conversion_marca-20240401")</f>
        <v>ucal-pg-performance-sedes-abierta-cpl-search_conversion_marca-20240401</v>
      </c>
      <c r="AT363" s="2">
        <f>IFERROR(__xludf.DUMMYFUNCTION("""COMPUTED_VALUE"""),45651.0)</f>
        <v>45651</v>
      </c>
      <c r="AU363" s="1">
        <f>IFERROR(__xludf.DUMMYFUNCTION("""COMPUTED_VALUE"""),1.0)</f>
        <v>1</v>
      </c>
      <c r="AV363" s="1" t="str">
        <f>IFERROR(__xludf.DUMMYFUNCTION("""COMPUTED_VALUE"""),"NUEVO")</f>
        <v>NUEVO</v>
      </c>
      <c r="AW363" s="1"/>
      <c r="AX363" s="1"/>
      <c r="AY363" s="1" t="str">
        <f>IFERROR(__xludf.DUMMYFUNCTION("""COMPUTED_VALUE"""),"PAGO COMPLETO")</f>
        <v>PAGO COMPLETO</v>
      </c>
      <c r="AZ363" s="5">
        <f>IFERROR(__xludf.DUMMYFUNCTION("""COMPUTED_VALUE"""),45687.0)</f>
        <v>45687</v>
      </c>
      <c r="BA363" s="1">
        <f>IFERROR(__xludf.DUMMYFUNCTION("""COMPUTED_VALUE"""),525.0)</f>
        <v>525</v>
      </c>
      <c r="BB363" s="1">
        <f>IFERROR(__xludf.DUMMYFUNCTION("""COMPUTED_VALUE"""),0.0)</f>
        <v>0</v>
      </c>
      <c r="BC363" s="4">
        <f>IFERROR(__xludf.DUMMYFUNCTION("""COMPUTED_VALUE"""),0.0)</f>
        <v>0</v>
      </c>
      <c r="BD363" s="4">
        <f>IFERROR(__xludf.DUMMYFUNCTION("""COMPUTED_VALUE"""),0.0)</f>
        <v>0</v>
      </c>
      <c r="BE363" s="1">
        <f>IFERROR(__xludf.DUMMYFUNCTION("""COMPUTED_VALUE"""),1.0)</f>
        <v>1</v>
      </c>
      <c r="BF363" s="6">
        <f>IFERROR(__xludf.DUMMYFUNCTION("""COMPUTED_VALUE"""),1.0)</f>
        <v>1</v>
      </c>
      <c r="BG363" s="1">
        <f>IFERROR(__xludf.DUMMYFUNCTION("""COMPUTED_VALUE"""),1.0)</f>
        <v>1</v>
      </c>
      <c r="BH363" s="1" t="str">
        <f>IFERROR(__xludf.DUMMYFUNCTION("""COMPUTED_VALUE"""),"0")</f>
        <v>0</v>
      </c>
      <c r="BI363" s="4">
        <f>IFERROR(__xludf.DUMMYFUNCTION("""COMPUTED_VALUE"""),1050.0)</f>
        <v>1050</v>
      </c>
      <c r="BJ363" s="1">
        <f>IFERROR(__xludf.DUMMYFUNCTION("""COMPUTED_VALUE"""),0.0)</f>
        <v>0</v>
      </c>
      <c r="BK363" s="4">
        <f>IFERROR(__xludf.DUMMYFUNCTION("""COMPUTED_VALUE"""),0.0)</f>
        <v>0</v>
      </c>
      <c r="BL363" s="1">
        <f>IFERROR(__xludf.DUMMYFUNCTION("""COMPUTED_VALUE"""),1050.0)</f>
        <v>1050</v>
      </c>
      <c r="BM363" s="1">
        <f>IFERROR(__xludf.DUMMYFUNCTION("""COMPUTED_VALUE"""),3.0)</f>
        <v>3</v>
      </c>
      <c r="BN363" s="2">
        <f>IFERROR(__xludf.DUMMYFUNCTION("""COMPUTED_VALUE"""),45670.0)</f>
        <v>45670</v>
      </c>
      <c r="BO363" s="1">
        <f>IFERROR(__xludf.DUMMYFUNCTION("""COMPUTED_VALUE"""),1.0)</f>
        <v>1</v>
      </c>
      <c r="BP363" s="1">
        <f>IFERROR(__xludf.DUMMYFUNCTION("""COMPUTED_VALUE"""),2025.0)</f>
        <v>2025</v>
      </c>
    </row>
    <row r="364">
      <c r="A364" s="1">
        <f>IFERROR(__xludf.DUMMYFUNCTION("""COMPUTED_VALUE"""),363.0)</f>
        <v>363</v>
      </c>
      <c r="B364" s="1">
        <f>IFERROR(__xludf.DUMMYFUNCTION("""COMPUTED_VALUE"""),4758529.0)</f>
        <v>4758529</v>
      </c>
      <c r="C364" s="1" t="str">
        <f>IFERROR(__xludf.DUMMYFUNCTION("""COMPUTED_VALUE"""),"2025-1")</f>
        <v>2025-1</v>
      </c>
      <c r="D364" s="1" t="str">
        <f>IFERROR(__xludf.DUMMYFUNCTION("""COMPUTED_VALUE"""),"Admisión de Alto Rendimiento")</f>
        <v>Admisión de Alto Rendimiento</v>
      </c>
      <c r="E364" s="2">
        <f>IFERROR(__xludf.DUMMYFUNCTION("""COMPUTED_VALUE"""),45674.0)</f>
        <v>45674</v>
      </c>
      <c r="F364" s="1" t="str">
        <f>IFERROR(__xludf.DUMMYFUNCTION("""COMPUTED_VALUE"""),"GABRIELA FERNANDA ")</f>
        <v>GABRIELA FERNANDA </v>
      </c>
      <c r="G364" s="1" t="str">
        <f>IFERROR(__xludf.DUMMYFUNCTION("""COMPUTED_VALUE"""),"MARTÍNEZ MISAICO")</f>
        <v>MARTÍNEZ MISAICO</v>
      </c>
      <c r="H364" s="1" t="str">
        <f>IFERROR(__xludf.DUMMYFUNCTION("""COMPUTED_VALUE"""),"Comunicación y Publicidad Transmedia")</f>
        <v>Comunicación y Publicidad Transmedia</v>
      </c>
      <c r="I364" s="1" t="str">
        <f>IFERROR(__xludf.DUMMYFUNCTION("""COMPUTED_VALUE"""),"CARGO")</f>
        <v>CARGO</v>
      </c>
      <c r="J364" s="1" t="str">
        <f>IFERROR(__xludf.DUMMYFUNCTION("""COMPUTED_VALUE"""),"Diurno")</f>
        <v>Diurno</v>
      </c>
      <c r="K364" s="1" t="str">
        <f>IFERROR(__xludf.DUMMYFUNCTION("""COMPUTED_VALUE"""),"NUEVO")</f>
        <v>NUEVO</v>
      </c>
      <c r="L364" s="1">
        <f>IFERROR(__xludf.DUMMYFUNCTION("""COMPUTED_VALUE"""),0.0)</f>
        <v>0</v>
      </c>
      <c r="M364" s="1">
        <f>IFERROR(__xludf.DUMMYFUNCTION("""COMPUTED_VALUE"""),0.0)</f>
        <v>0</v>
      </c>
      <c r="N364" s="1" t="str">
        <f>IFERROR(__xludf.DUMMYFUNCTION("""COMPUTED_VALUE"""),"BECA")</f>
        <v>BECA</v>
      </c>
      <c r="O364" s="1" t="str">
        <f>IFERROR(__xludf.DUMMYFUNCTION("""COMPUTED_VALUE"""),"BECA CARRERAS CORE")</f>
        <v>BECA CARRERAS CORE</v>
      </c>
      <c r="P364" s="4">
        <f>IFERROR(__xludf.DUMMYFUNCTION("""COMPUTED_VALUE"""),0.0)</f>
        <v>0</v>
      </c>
      <c r="Q364" s="4">
        <f>IFERROR(__xludf.DUMMYFUNCTION("""COMPUTED_VALUE"""),0.0)</f>
        <v>0</v>
      </c>
      <c r="R364" s="4">
        <f>IFERROR(__xludf.DUMMYFUNCTION("""COMPUTED_VALUE"""),1050.0)</f>
        <v>1050</v>
      </c>
      <c r="S364" s="4">
        <f>IFERROR(__xludf.DUMMYFUNCTION("""COMPUTED_VALUE"""),950.0)</f>
        <v>950</v>
      </c>
      <c r="T364" s="1" t="str">
        <f>IFERROR(__xludf.DUMMYFUNCTION("""COMPUTED_VALUE"""),"Visita Guiada")</f>
        <v>Visita Guiada</v>
      </c>
      <c r="U364" s="1" t="str">
        <f>IFERROR(__xludf.DUMMYFUNCTION("""COMPUTED_VALUE"""),"RODRIGO")</f>
        <v>RODRIGO</v>
      </c>
      <c r="V364" s="1" t="str">
        <f>IFERROR(__xludf.DUMMYFUNCTION("""COMPUTED_VALUE"""),"Ninguno")</f>
        <v>Ninguno</v>
      </c>
      <c r="W364" s="1" t="str">
        <f>IFERROR(__xludf.DUMMYFUNCTION("""COMPUTED_VALUE"""),"Beca")</f>
        <v>Beca</v>
      </c>
      <c r="X364" s="1" t="str">
        <f>IFERROR(__xludf.DUMMYFUNCTION("""COMPUTED_VALUE"""),"desea comunicacion")</f>
        <v>desea comunicacion</v>
      </c>
      <c r="Y364" s="1" t="str">
        <f>IFERROR(__xludf.DUMMYFUNCTION("""COMPUTED_VALUE"""),"PAGO COMPLETO")</f>
        <v>PAGO COMPLETO</v>
      </c>
      <c r="Z364" s="1"/>
      <c r="AA364" s="1"/>
      <c r="AB364" s="1">
        <f>IFERROR(__xludf.DUMMYFUNCTION("""COMPUTED_VALUE"""),0.0)</f>
        <v>0</v>
      </c>
      <c r="AC364" s="1">
        <f>IFERROR(__xludf.DUMMYFUNCTION("""COMPUTED_VALUE"""),0.0)</f>
        <v>0</v>
      </c>
      <c r="AD364" s="1" t="str">
        <f>IFERROR(__xludf.DUMMYFUNCTION("""COMPUTED_VALUE"""),"Rosa Ugarte")</f>
        <v>Rosa Ugarte</v>
      </c>
      <c r="AE364" s="1" t="str">
        <f>IFERROR(__xludf.DUMMYFUNCTION("""COMPUTED_VALUE"""),"0")</f>
        <v>0</v>
      </c>
      <c r="AF364" s="1">
        <f>IFERROR(__xludf.DUMMYFUNCTION("""COMPUTED_VALUE"""),2024.0)</f>
        <v>2024</v>
      </c>
      <c r="AG364" s="1">
        <f>IFERROR(__xludf.DUMMYFUNCTION("""COMPUTED_VALUE"""),340364.0)</f>
        <v>340364</v>
      </c>
      <c r="AH364" s="1">
        <f>IFERROR(__xludf.DUMMYFUNCTION("""COMPUTED_VALUE"""),18.0)</f>
        <v>18</v>
      </c>
      <c r="AI364" s="1" t="str">
        <f>IFERROR(__xludf.DUMMYFUNCTION("""COMPUTED_VALUE"""),"0000410069")</f>
        <v>0000410069</v>
      </c>
      <c r="AJ364" s="1">
        <f>IFERROR(__xludf.DUMMYFUNCTION("""COMPUTED_VALUE"""),6.1139424E7)</f>
        <v>61139424</v>
      </c>
      <c r="AK364" s="1">
        <f>IFERROR(__xludf.DUMMYFUNCTION("""COMPUTED_VALUE"""),9.415366E8)</f>
        <v>941536600</v>
      </c>
      <c r="AL364" s="1" t="str">
        <f>IFERROR(__xludf.DUMMYFUNCTION("""COMPUTED_VALUE"""),"gabmartinez0015@gmail.com")</f>
        <v>gabmartinez0015@gmail.com</v>
      </c>
      <c r="AM364" s="1" t="str">
        <f>IFERROR(__xludf.DUMMYFUNCTION("""COMPUTED_VALUE"""),"FEMENINO")</f>
        <v>FEMENINO</v>
      </c>
      <c r="AN364" s="1">
        <f>IFERROR(__xludf.DUMMYFUNCTION("""COMPUTED_VALUE"""),1350.0)</f>
        <v>1350</v>
      </c>
      <c r="AO364" s="1">
        <f>IFERROR(__xludf.DUMMYFUNCTION("""COMPUTED_VALUE"""),0.0)</f>
        <v>0</v>
      </c>
      <c r="AP364" s="1" t="str">
        <f>IFERROR(__xludf.DUMMYFUNCTION("""COMPUTED_VALUE"""),"BIDIRECCIONAL")</f>
        <v>BIDIRECCIONAL</v>
      </c>
      <c r="AQ364" s="1" t="str">
        <f>IFERROR(__xludf.DUMMYFUNCTION("""COMPUTED_VALUE"""),"ORGANICO")</f>
        <v>ORGANICO</v>
      </c>
      <c r="AR364" s="1" t="str">
        <f>IFERROR(__xludf.DUMMYFUNCTION("""COMPUTED_VALUE"""),"NUEVO")</f>
        <v>NUEVO</v>
      </c>
      <c r="AS364" s="1"/>
      <c r="AT364" s="2">
        <f>IFERROR(__xludf.DUMMYFUNCTION("""COMPUTED_VALUE"""),45582.0)</f>
        <v>45582</v>
      </c>
      <c r="AU364" s="1">
        <f>IFERROR(__xludf.DUMMYFUNCTION("""COMPUTED_VALUE"""),1.0)</f>
        <v>1</v>
      </c>
      <c r="AV364" s="1" t="str">
        <f>IFERROR(__xludf.DUMMYFUNCTION("""COMPUTED_VALUE"""),"NUEVO")</f>
        <v>NUEVO</v>
      </c>
      <c r="AW364" s="1"/>
      <c r="AX364" s="1"/>
      <c r="AY364" s="1" t="str">
        <f>IFERROR(__xludf.DUMMYFUNCTION("""COMPUTED_VALUE"""),"PAGO COMPLETO")</f>
        <v>PAGO COMPLETO</v>
      </c>
      <c r="AZ364" s="5">
        <f>IFERROR(__xludf.DUMMYFUNCTION("""COMPUTED_VALUE"""),45674.0)</f>
        <v>45674</v>
      </c>
      <c r="BA364" s="1">
        <f>IFERROR(__xludf.DUMMYFUNCTION("""COMPUTED_VALUE"""),0.0)</f>
        <v>0</v>
      </c>
      <c r="BB364" s="1">
        <f>IFERROR(__xludf.DUMMYFUNCTION("""COMPUTED_VALUE"""),0.0)</f>
        <v>0</v>
      </c>
      <c r="BC364" s="4">
        <f>IFERROR(__xludf.DUMMYFUNCTION("""COMPUTED_VALUE"""),0.0)</f>
        <v>0</v>
      </c>
      <c r="BD364" s="4">
        <f>IFERROR(__xludf.DUMMYFUNCTION("""COMPUTED_VALUE"""),100.0)</f>
        <v>100</v>
      </c>
      <c r="BE364" s="1">
        <f>IFERROR(__xludf.DUMMYFUNCTION("""COMPUTED_VALUE"""),1.0)</f>
        <v>1</v>
      </c>
      <c r="BF364" s="6">
        <f>IFERROR(__xludf.DUMMYFUNCTION("""COMPUTED_VALUE"""),1.0)</f>
        <v>1</v>
      </c>
      <c r="BG364" s="1">
        <f>IFERROR(__xludf.DUMMYFUNCTION("""COMPUTED_VALUE"""),1.0)</f>
        <v>1</v>
      </c>
      <c r="BH364" s="1" t="str">
        <f>IFERROR(__xludf.DUMMYFUNCTION("""COMPUTED_VALUE"""),"0")</f>
        <v>0</v>
      </c>
      <c r="BI364" s="4">
        <f>IFERROR(__xludf.DUMMYFUNCTION("""COMPUTED_VALUE"""),100.0)</f>
        <v>100</v>
      </c>
      <c r="BJ364" s="1">
        <f>IFERROR(__xludf.DUMMYFUNCTION("""COMPUTED_VALUE"""),0.0)</f>
        <v>0</v>
      </c>
      <c r="BK364" s="4">
        <f>IFERROR(__xludf.DUMMYFUNCTION("""COMPUTED_VALUE"""),100.0)</f>
        <v>100</v>
      </c>
      <c r="BL364" s="1">
        <f>IFERROR(__xludf.DUMMYFUNCTION("""COMPUTED_VALUE"""),930.0)</f>
        <v>930</v>
      </c>
      <c r="BM364" s="1">
        <f>IFERROR(__xludf.DUMMYFUNCTION("""COMPUTED_VALUE"""),3.0)</f>
        <v>3</v>
      </c>
      <c r="BN364" s="2">
        <f>IFERROR(__xludf.DUMMYFUNCTION("""COMPUTED_VALUE"""),45670.0)</f>
        <v>45670</v>
      </c>
      <c r="BO364" s="1">
        <f>IFERROR(__xludf.DUMMYFUNCTION("""COMPUTED_VALUE"""),1.0)</f>
        <v>1</v>
      </c>
      <c r="BP364" s="1">
        <f>IFERROR(__xludf.DUMMYFUNCTION("""COMPUTED_VALUE"""),2025.0)</f>
        <v>2025</v>
      </c>
    </row>
    <row r="365">
      <c r="A365" s="1">
        <f>IFERROR(__xludf.DUMMYFUNCTION("""COMPUTED_VALUE"""),364.0)</f>
        <v>364</v>
      </c>
      <c r="B365" s="1">
        <f>IFERROR(__xludf.DUMMYFUNCTION("""COMPUTED_VALUE"""),1717165.0)</f>
        <v>1717165</v>
      </c>
      <c r="C365" s="1" t="str">
        <f>IFERROR(__xludf.DUMMYFUNCTION("""COMPUTED_VALUE"""),"2025-1")</f>
        <v>2025-1</v>
      </c>
      <c r="D365" s="1" t="str">
        <f>IFERROR(__xludf.DUMMYFUNCTION("""COMPUTED_VALUE"""),"Admisión Extraordinaria (Traslados)")</f>
        <v>Admisión Extraordinaria (Traslados)</v>
      </c>
      <c r="E365" s="2">
        <f>IFERROR(__xludf.DUMMYFUNCTION("""COMPUTED_VALUE"""),45674.0)</f>
        <v>45674</v>
      </c>
      <c r="F365" s="1" t="str">
        <f>IFERROR(__xludf.DUMMYFUNCTION("""COMPUTED_VALUE"""),"ISAI SAMIR ")</f>
        <v>ISAI SAMIR </v>
      </c>
      <c r="G365" s="1" t="str">
        <f>IFERROR(__xludf.DUMMYFUNCTION("""COMPUTED_VALUE"""),"GIRALDO VILLALOBOS")</f>
        <v>GIRALDO VILLALOBOS</v>
      </c>
      <c r="H365" s="1" t="str">
        <f>IFERROR(__xludf.DUMMYFUNCTION("""COMPUTED_VALUE"""),"Comunicación Audiovisual y Cine")</f>
        <v>Comunicación Audiovisual y Cine</v>
      </c>
      <c r="I365" s="1" t="str">
        <f>IFERROR(__xludf.DUMMYFUNCTION("""COMPUTED_VALUE"""),"POS")</f>
        <v>POS</v>
      </c>
      <c r="J365" s="1" t="str">
        <f>IFERROR(__xludf.DUMMYFUNCTION("""COMPUTED_VALUE"""),"Diurno")</f>
        <v>Diurno</v>
      </c>
      <c r="K365" s="1" t="str">
        <f>IFERROR(__xludf.DUMMYFUNCTION("""COMPUTED_VALUE"""),"NUEVO")</f>
        <v>NUEVO</v>
      </c>
      <c r="L365" s="1">
        <f>IFERROR(__xludf.DUMMYFUNCTION("""COMPUTED_VALUE"""),0.0)</f>
        <v>0</v>
      </c>
      <c r="M365" s="1">
        <f>IFERROR(__xludf.DUMMYFUNCTION("""COMPUTED_VALUE"""),0.0)</f>
        <v>0</v>
      </c>
      <c r="N365" s="1" t="str">
        <f>IFERROR(__xludf.DUMMYFUNCTION("""COMPUTED_VALUE"""),"RECA")</f>
        <v>RECA</v>
      </c>
      <c r="O365" s="1" t="str">
        <f>IFERROR(__xludf.DUMMYFUNCTION("""COMPUTED_VALUE"""),"RECATEGORIZACIÓN")</f>
        <v>RECATEGORIZACIÓN</v>
      </c>
      <c r="P365" s="4">
        <f>IFERROR(__xludf.DUMMYFUNCTION("""COMPUTED_VALUE"""),0.0)</f>
        <v>0</v>
      </c>
      <c r="Q365" s="4">
        <f>IFERROR(__xludf.DUMMYFUNCTION("""COMPUTED_VALUE"""),0.0)</f>
        <v>0</v>
      </c>
      <c r="R365" s="4">
        <f>IFERROR(__xludf.DUMMYFUNCTION("""COMPUTED_VALUE"""),1600.0)</f>
        <v>1600</v>
      </c>
      <c r="S365" s="4">
        <f>IFERROR(__xludf.DUMMYFUNCTION("""COMPUTED_VALUE"""),1280.0)</f>
        <v>1280</v>
      </c>
      <c r="T365" s="1" t="str">
        <f>IFERROR(__xludf.DUMMYFUNCTION("""COMPUTED_VALUE"""),"NINGUNO")</f>
        <v>NINGUNO</v>
      </c>
      <c r="U365" s="1" t="str">
        <f>IFERROR(__xludf.DUMMYFUNCTION("""COMPUTED_VALUE"""),"RODRIGO")</f>
        <v>RODRIGO</v>
      </c>
      <c r="V365" s="1" t="str">
        <f>IFERROR(__xludf.DUMMYFUNCTION("""COMPUTED_VALUE"""),"Ninguno")</f>
        <v>Ninguno</v>
      </c>
      <c r="W365" s="1" t="str">
        <f>IFERROR(__xludf.DUMMYFUNCTION("""COMPUTED_VALUE"""),"Metodología de enseñanza")</f>
        <v>Metodología de enseñanza</v>
      </c>
      <c r="X365" s="1"/>
      <c r="Y365" s="1" t="str">
        <f>IFERROR(__xludf.DUMMYFUNCTION("""COMPUTED_VALUE"""),"PAGO FRACCIONADO")</f>
        <v>PAGO FRACCIONADO</v>
      </c>
      <c r="Z365" s="1">
        <f>IFERROR(__xludf.DUMMYFUNCTION("""COMPUTED_VALUE"""),640.0)</f>
        <v>640</v>
      </c>
      <c r="AA365" s="1" t="str">
        <f>IFERROR(__xludf.DUMMYFUNCTION("""COMPUTED_VALUE"""),"31/01/2025")</f>
        <v>31/01/2025</v>
      </c>
      <c r="AB365" s="1">
        <f>IFERROR(__xludf.DUMMYFUNCTION("""COMPUTED_VALUE"""),1.0)</f>
        <v>1</v>
      </c>
      <c r="AC365" s="1">
        <f>IFERROR(__xludf.DUMMYFUNCTION("""COMPUTED_VALUE"""),0.0)</f>
        <v>0</v>
      </c>
      <c r="AD365" s="1" t="str">
        <f>IFERROR(__xludf.DUMMYFUNCTION("""COMPUTED_VALUE"""),"Fiorella Lanegra")</f>
        <v>Fiorella Lanegra</v>
      </c>
      <c r="AE365" s="1" t="str">
        <f>IFERROR(__xludf.DUMMYFUNCTION("""COMPUTED_VALUE"""),"Universidad De Lima")</f>
        <v>Universidad De Lima</v>
      </c>
      <c r="AF365" s="1">
        <f>IFERROR(__xludf.DUMMYFUNCTION("""COMPUTED_VALUE"""),2021.0)</f>
        <v>2021</v>
      </c>
      <c r="AG365" s="1">
        <f>IFERROR(__xludf.DUMMYFUNCTION("""COMPUTED_VALUE"""),743849.0)</f>
        <v>743849</v>
      </c>
      <c r="AH365" s="1">
        <f>IFERROR(__xludf.DUMMYFUNCTION("""COMPUTED_VALUE"""),21.0)</f>
        <v>21</v>
      </c>
      <c r="AI365" s="1" t="str">
        <f>IFERROR(__xludf.DUMMYFUNCTION("""COMPUTED_VALUE"""),"0000033093")</f>
        <v>0000033093</v>
      </c>
      <c r="AJ365" s="1">
        <f>IFERROR(__xludf.DUMMYFUNCTION("""COMPUTED_VALUE"""),7.6344855E7)</f>
        <v>76344855</v>
      </c>
      <c r="AK365" s="1">
        <f>IFERROR(__xludf.DUMMYFUNCTION("""COMPUTED_VALUE"""),9.87093259E8)</f>
        <v>987093259</v>
      </c>
      <c r="AL365" s="1" t="str">
        <f>IFERROR(__xludf.DUMMYFUNCTION("""COMPUTED_VALUE"""),"samir200456@gmail.com")</f>
        <v>samir200456@gmail.com</v>
      </c>
      <c r="AM365" s="1" t="str">
        <f>IFERROR(__xludf.DUMMYFUNCTION("""COMPUTED_VALUE"""),"MASCULINO")</f>
        <v>MASCULINO</v>
      </c>
      <c r="AN365" s="1">
        <f>IFERROR(__xludf.DUMMYFUNCTION("""COMPUTED_VALUE"""),0.0)</f>
        <v>0</v>
      </c>
      <c r="AO365" s="1">
        <f>IFERROR(__xludf.DUMMYFUNCTION("""COMPUTED_VALUE"""),2100.0)</f>
        <v>2100</v>
      </c>
      <c r="AP365" s="1" t="str">
        <f>IFERROR(__xludf.DUMMYFUNCTION("""COMPUTED_VALUE"""),"BIDIRECCIONAL")</f>
        <v>BIDIRECCIONAL</v>
      </c>
      <c r="AQ365" s="1" t="str">
        <f>IFERROR(__xludf.DUMMYFUNCTION("""COMPUTED_VALUE"""),"ORGANICO")</f>
        <v>ORGANICO</v>
      </c>
      <c r="AR365" s="1" t="str">
        <f>IFERROR(__xludf.DUMMYFUNCTION("""COMPUTED_VALUE"""),"HEREDADO")</f>
        <v>HEREDADO</v>
      </c>
      <c r="AS365" s="1"/>
      <c r="AT365" s="2">
        <f>IFERROR(__xludf.DUMMYFUNCTION("""COMPUTED_VALUE"""),45665.0)</f>
        <v>45665</v>
      </c>
      <c r="AU365" s="1">
        <f>IFERROR(__xludf.DUMMYFUNCTION("""COMPUTED_VALUE"""),1.0)</f>
        <v>1</v>
      </c>
      <c r="AV365" s="1" t="str">
        <f>IFERROR(__xludf.DUMMYFUNCTION("""COMPUTED_VALUE"""),"NUEVO")</f>
        <v>NUEVO</v>
      </c>
      <c r="AW365" s="1"/>
      <c r="AX365" s="1"/>
      <c r="AY365" s="1" t="str">
        <f>IFERROR(__xludf.DUMMYFUNCTION("""COMPUTED_VALUE"""),"PAGO FRACCIONADO")</f>
        <v>PAGO FRACCIONADO</v>
      </c>
      <c r="AZ365" s="1"/>
      <c r="BA365" s="1">
        <f>IFERROR(__xludf.DUMMYFUNCTION("""COMPUTED_VALUE"""),0.0)</f>
        <v>0</v>
      </c>
      <c r="BB365" s="1">
        <f>IFERROR(__xludf.DUMMYFUNCTION("""COMPUTED_VALUE"""),0.0)</f>
        <v>0</v>
      </c>
      <c r="BC365" s="4">
        <f>IFERROR(__xludf.DUMMYFUNCTION("""COMPUTED_VALUE"""),640.0)</f>
        <v>640</v>
      </c>
      <c r="BD365" s="4">
        <f>IFERROR(__xludf.DUMMYFUNCTION("""COMPUTED_VALUE"""),0.0)</f>
        <v>0</v>
      </c>
      <c r="BE365" s="1">
        <f>IFERROR(__xludf.DUMMYFUNCTION("""COMPUTED_VALUE"""),1.0)</f>
        <v>1</v>
      </c>
      <c r="BF365" s="6">
        <f>IFERROR(__xludf.DUMMYFUNCTION("""COMPUTED_VALUE"""),0.5)</f>
        <v>0.5</v>
      </c>
      <c r="BG365" s="1">
        <f>IFERROR(__xludf.DUMMYFUNCTION("""COMPUTED_VALUE"""),1.0)</f>
        <v>1</v>
      </c>
      <c r="BH365" s="1" t="str">
        <f>IFERROR(__xludf.DUMMYFUNCTION("""COMPUTED_VALUE"""),"0")</f>
        <v>0</v>
      </c>
      <c r="BI365" s="4">
        <f>IFERROR(__xludf.DUMMYFUNCTION("""COMPUTED_VALUE"""),640.0)</f>
        <v>640</v>
      </c>
      <c r="BJ365" s="1">
        <f>IFERROR(__xludf.DUMMYFUNCTION("""COMPUTED_VALUE"""),0.0)</f>
        <v>0</v>
      </c>
      <c r="BK365" s="4">
        <f>IFERROR(__xludf.DUMMYFUNCTION("""COMPUTED_VALUE"""),0.0)</f>
        <v>0</v>
      </c>
      <c r="BL365" s="1">
        <f>IFERROR(__xludf.DUMMYFUNCTION("""COMPUTED_VALUE"""),1280.0)</f>
        <v>1280</v>
      </c>
      <c r="BM365" s="1">
        <f>IFERROR(__xludf.DUMMYFUNCTION("""COMPUTED_VALUE"""),3.0)</f>
        <v>3</v>
      </c>
      <c r="BN365" s="2">
        <f>IFERROR(__xludf.DUMMYFUNCTION("""COMPUTED_VALUE"""),45670.0)</f>
        <v>45670</v>
      </c>
      <c r="BO365" s="1">
        <f>IFERROR(__xludf.DUMMYFUNCTION("""COMPUTED_VALUE"""),1.0)</f>
        <v>1</v>
      </c>
      <c r="BP365" s="1">
        <f>IFERROR(__xludf.DUMMYFUNCTION("""COMPUTED_VALUE"""),2025.0)</f>
        <v>2025</v>
      </c>
    </row>
    <row r="366">
      <c r="A366" s="1">
        <f>IFERROR(__xludf.DUMMYFUNCTION("""COMPUTED_VALUE"""),365.0)</f>
        <v>365</v>
      </c>
      <c r="B366" s="1">
        <f>IFERROR(__xludf.DUMMYFUNCTION("""COMPUTED_VALUE"""),4902223.0)</f>
        <v>4902223</v>
      </c>
      <c r="C366" s="1" t="str">
        <f>IFERROR(__xludf.DUMMYFUNCTION("""COMPUTED_VALUE"""),"2025-1")</f>
        <v>2025-1</v>
      </c>
      <c r="D366" s="1" t="str">
        <f>IFERROR(__xludf.DUMMYFUNCTION("""COMPUTED_VALUE"""),"Admisión de Alto Rendimiento")</f>
        <v>Admisión de Alto Rendimiento</v>
      </c>
      <c r="E366" s="2">
        <f>IFERROR(__xludf.DUMMYFUNCTION("""COMPUTED_VALUE"""),45674.0)</f>
        <v>45674</v>
      </c>
      <c r="F366" s="1" t="str">
        <f>IFERROR(__xludf.DUMMYFUNCTION("""COMPUTED_VALUE"""),"DEREK ANDRE")</f>
        <v>DEREK ANDRE</v>
      </c>
      <c r="G366" s="1" t="str">
        <f>IFERROR(__xludf.DUMMYFUNCTION("""COMPUTED_VALUE"""),"TORREJON ORDOÑEZ")</f>
        <v>TORREJON ORDOÑEZ</v>
      </c>
      <c r="H366" s="1" t="str">
        <f>IFERROR(__xludf.DUMMYFUNCTION("""COMPUTED_VALUE"""),"Comunicación")</f>
        <v>Comunicación</v>
      </c>
      <c r="I366" s="1" t="str">
        <f>IFERROR(__xludf.DUMMYFUNCTION("""COMPUTED_VALUE"""),"CARGO")</f>
        <v>CARGO</v>
      </c>
      <c r="J366" s="1" t="str">
        <f>IFERROR(__xludf.DUMMYFUNCTION("""COMPUTED_VALUE"""),"Diurno")</f>
        <v>Diurno</v>
      </c>
      <c r="K366" s="1" t="str">
        <f>IFERROR(__xludf.DUMMYFUNCTION("""COMPUTED_VALUE"""),"TRASLADO")</f>
        <v>TRASLADO</v>
      </c>
      <c r="L366" s="1">
        <f>IFERROR(__xludf.DUMMYFUNCTION("""COMPUTED_VALUE"""),0.0)</f>
        <v>0</v>
      </c>
      <c r="M366" s="1">
        <f>IFERROR(__xludf.DUMMYFUNCTION("""COMPUTED_VALUE"""),0.0)</f>
        <v>0</v>
      </c>
      <c r="N366" s="1" t="str">
        <f>IFERROR(__xludf.DUMMYFUNCTION("""COMPUTED_VALUE"""),"BECA")</f>
        <v>BECA</v>
      </c>
      <c r="O366" s="1" t="str">
        <f>IFERROR(__xludf.DUMMYFUNCTION("""COMPUTED_VALUE"""),"BECA CONGELADA DE 2 AÑOS")</f>
        <v>BECA CONGELADA DE 2 AÑOS</v>
      </c>
      <c r="P366" s="4">
        <f>IFERROR(__xludf.DUMMYFUNCTION("""COMPUTED_VALUE"""),0.0)</f>
        <v>0</v>
      </c>
      <c r="Q366" s="4">
        <f>IFERROR(__xludf.DUMMYFUNCTION("""COMPUTED_VALUE"""),0.0)</f>
        <v>0</v>
      </c>
      <c r="R366" s="4">
        <f>IFERROR(__xludf.DUMMYFUNCTION("""COMPUTED_VALUE"""),1000.0)</f>
        <v>1000</v>
      </c>
      <c r="S366" s="4">
        <f>IFERROR(__xludf.DUMMYFUNCTION("""COMPUTED_VALUE"""),850.0)</f>
        <v>850</v>
      </c>
      <c r="T366" s="1" t="str">
        <f>IFERROR(__xludf.DUMMYFUNCTION("""COMPUTED_VALUE"""),"Visita Guiada")</f>
        <v>Visita Guiada</v>
      </c>
      <c r="U366" s="1" t="str">
        <f>IFERROR(__xludf.DUMMYFUNCTION("""COMPUTED_VALUE"""),"RODRIGO")</f>
        <v>RODRIGO</v>
      </c>
      <c r="V366" s="1" t="str">
        <f>IFERROR(__xludf.DUMMYFUNCTION("""COMPUTED_VALUE"""),"Ninguno")</f>
        <v>Ninguno</v>
      </c>
      <c r="W366" s="1" t="str">
        <f>IFERROR(__xludf.DUMMYFUNCTION("""COMPUTED_VALUE"""),"Prestigio de la institución")</f>
        <v>Prestigio de la institución</v>
      </c>
      <c r="X366" s="1"/>
      <c r="Y366" s="1" t="str">
        <f>IFERROR(__xludf.DUMMYFUNCTION("""COMPUTED_VALUE"""),"PAGO COMPLETO")</f>
        <v>PAGO COMPLETO</v>
      </c>
      <c r="Z366" s="1"/>
      <c r="AA366" s="1"/>
      <c r="AB366" s="1">
        <f>IFERROR(__xludf.DUMMYFUNCTION("""COMPUTED_VALUE"""),0.0)</f>
        <v>0</v>
      </c>
      <c r="AC366" s="1">
        <f>IFERROR(__xludf.DUMMYFUNCTION("""COMPUTED_VALUE"""),0.0)</f>
        <v>0</v>
      </c>
      <c r="AD366" s="1" t="str">
        <f>IFERROR(__xludf.DUMMYFUNCTION("""COMPUTED_VALUE"""),"Angelica Iparraguirre")</f>
        <v>Angelica Iparraguirre</v>
      </c>
      <c r="AE366" s="1" t="str">
        <f>IFERROR(__xludf.DUMMYFUNCTION("""COMPUTED_VALUE"""),"0")</f>
        <v>0</v>
      </c>
      <c r="AF366" s="1">
        <f>IFERROR(__xludf.DUMMYFUNCTION("""COMPUTED_VALUE"""),2024.0)</f>
        <v>2024</v>
      </c>
      <c r="AG366" s="1">
        <f>IFERROR(__xludf.DUMMYFUNCTION("""COMPUTED_VALUE"""),0.0)</f>
        <v>0</v>
      </c>
      <c r="AH366" s="1">
        <f>IFERROR(__xludf.DUMMYFUNCTION("""COMPUTED_VALUE"""),17.0)</f>
        <v>17</v>
      </c>
      <c r="AI366" s="1" t="str">
        <f>IFERROR(__xludf.DUMMYFUNCTION("""COMPUTED_VALUE"""),"0000410105")</f>
        <v>0000410105</v>
      </c>
      <c r="AJ366" s="1">
        <f>IFERROR(__xludf.DUMMYFUNCTION("""COMPUTED_VALUE"""),7.1179039E7)</f>
        <v>71179039</v>
      </c>
      <c r="AK366" s="1">
        <f>IFERROR(__xludf.DUMMYFUNCTION("""COMPUTED_VALUE"""),9.56703811E8)</f>
        <v>956703811</v>
      </c>
      <c r="AL366" s="1" t="str">
        <f>IFERROR(__xludf.DUMMYFUNCTION("""COMPUTED_VALUE"""),"dto180208@gmail.com")</f>
        <v>dto180208@gmail.com</v>
      </c>
      <c r="AM366" s="1" t="str">
        <f>IFERROR(__xludf.DUMMYFUNCTION("""COMPUTED_VALUE"""),"MASCULINO")</f>
        <v>MASCULINO</v>
      </c>
      <c r="AN366" s="1">
        <f>IFERROR(__xludf.DUMMYFUNCTION("""COMPUTED_VALUE"""),0.0)</f>
        <v>0</v>
      </c>
      <c r="AO366" s="1">
        <f>IFERROR(__xludf.DUMMYFUNCTION("""COMPUTED_VALUE"""),0.0)</f>
        <v>0</v>
      </c>
      <c r="AP366" s="1" t="str">
        <f>IFERROR(__xludf.DUMMYFUNCTION("""COMPUTED_VALUE"""),"FORMULARIO")</f>
        <v>FORMULARIO</v>
      </c>
      <c r="AQ366" s="1" t="str">
        <f>IFERROR(__xludf.DUMMYFUNCTION("""COMPUTED_VALUE"""),"SEARCH CARRERA")</f>
        <v>SEARCH CARRERA</v>
      </c>
      <c r="AR366" s="1" t="str">
        <f>IFERROR(__xludf.DUMMYFUNCTION("""COMPUTED_VALUE"""),"NUEVO")</f>
        <v>NUEVO</v>
      </c>
      <c r="AS366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366" s="2">
        <f>IFERROR(__xludf.DUMMYFUNCTION("""COMPUTED_VALUE"""),45672.0)</f>
        <v>45672</v>
      </c>
      <c r="AU366" s="1">
        <f>IFERROR(__xludf.DUMMYFUNCTION("""COMPUTED_VALUE"""),1.0)</f>
        <v>1</v>
      </c>
      <c r="AV366" s="1" t="str">
        <f>IFERROR(__xludf.DUMMYFUNCTION("""COMPUTED_VALUE"""),"NUEVO")</f>
        <v>NUEVO</v>
      </c>
      <c r="AW366" s="1"/>
      <c r="AX366" s="1"/>
      <c r="AY366" s="1" t="str">
        <f>IFERROR(__xludf.DUMMYFUNCTION("""COMPUTED_VALUE"""),"PAGO COMPLETO")</f>
        <v>PAGO COMPLETO</v>
      </c>
      <c r="AZ366" s="5">
        <f>IFERROR(__xludf.DUMMYFUNCTION("""COMPUTED_VALUE"""),45674.0)</f>
        <v>45674</v>
      </c>
      <c r="BA366" s="1">
        <f>IFERROR(__xludf.DUMMYFUNCTION("""COMPUTED_VALUE"""),0.0)</f>
        <v>0</v>
      </c>
      <c r="BB366" s="1">
        <f>IFERROR(__xludf.DUMMYFUNCTION("""COMPUTED_VALUE"""),0.0)</f>
        <v>0</v>
      </c>
      <c r="BC366" s="4">
        <f>IFERROR(__xludf.DUMMYFUNCTION("""COMPUTED_VALUE"""),0.0)</f>
        <v>0</v>
      </c>
      <c r="BD366" s="4">
        <f>IFERROR(__xludf.DUMMYFUNCTION("""COMPUTED_VALUE"""),100.0)</f>
        <v>100</v>
      </c>
      <c r="BE366" s="1">
        <f>IFERROR(__xludf.DUMMYFUNCTION("""COMPUTED_VALUE"""),1.0)</f>
        <v>1</v>
      </c>
      <c r="BF366" s="6">
        <f>IFERROR(__xludf.DUMMYFUNCTION("""COMPUTED_VALUE"""),1.0)</f>
        <v>1</v>
      </c>
      <c r="BG366" s="1">
        <f>IFERROR(__xludf.DUMMYFUNCTION("""COMPUTED_VALUE"""),1.0)</f>
        <v>1</v>
      </c>
      <c r="BH366" s="1" t="str">
        <f>IFERROR(__xludf.DUMMYFUNCTION("""COMPUTED_VALUE"""),"0")</f>
        <v>0</v>
      </c>
      <c r="BI366" s="4">
        <f>IFERROR(__xludf.DUMMYFUNCTION("""COMPUTED_VALUE"""),100.0)</f>
        <v>100</v>
      </c>
      <c r="BJ366" s="1">
        <f>IFERROR(__xludf.DUMMYFUNCTION("""COMPUTED_VALUE"""),0.0)</f>
        <v>0</v>
      </c>
      <c r="BK366" s="4">
        <f>IFERROR(__xludf.DUMMYFUNCTION("""COMPUTED_VALUE"""),100.0)</f>
        <v>100</v>
      </c>
      <c r="BL366" s="1">
        <f>IFERROR(__xludf.DUMMYFUNCTION("""COMPUTED_VALUE"""),830.0)</f>
        <v>830</v>
      </c>
      <c r="BM366" s="1">
        <f>IFERROR(__xludf.DUMMYFUNCTION("""COMPUTED_VALUE"""),3.0)</f>
        <v>3</v>
      </c>
      <c r="BN366" s="2">
        <f>IFERROR(__xludf.DUMMYFUNCTION("""COMPUTED_VALUE"""),45670.0)</f>
        <v>45670</v>
      </c>
      <c r="BO366" s="1">
        <f>IFERROR(__xludf.DUMMYFUNCTION("""COMPUTED_VALUE"""),1.0)</f>
        <v>1</v>
      </c>
      <c r="BP366" s="1">
        <f>IFERROR(__xludf.DUMMYFUNCTION("""COMPUTED_VALUE"""),2025.0)</f>
        <v>2025</v>
      </c>
    </row>
    <row r="367">
      <c r="A367" s="1">
        <f>IFERROR(__xludf.DUMMYFUNCTION("""COMPUTED_VALUE"""),366.0)</f>
        <v>366</v>
      </c>
      <c r="B367" s="1">
        <f>IFERROR(__xludf.DUMMYFUNCTION("""COMPUTED_VALUE"""),649221.0)</f>
        <v>649221</v>
      </c>
      <c r="C367" s="1" t="str">
        <f>IFERROR(__xludf.DUMMYFUNCTION("""COMPUTED_VALUE"""),"2025-1")</f>
        <v>2025-1</v>
      </c>
      <c r="D367" s="1" t="str">
        <f>IFERROR(__xludf.DUMMYFUNCTION("""COMPUTED_VALUE"""),"Admisión Extraordinaria (Traslados)")</f>
        <v>Admisión Extraordinaria (Traslados)</v>
      </c>
      <c r="E367" s="2">
        <f>IFERROR(__xludf.DUMMYFUNCTION("""COMPUTED_VALUE"""),45674.0)</f>
        <v>45674</v>
      </c>
      <c r="F367" s="1" t="str">
        <f>IFERROR(__xludf.DUMMYFUNCTION("""COMPUTED_VALUE"""),"GABRIEL JESUS ")</f>
        <v>GABRIEL JESUS </v>
      </c>
      <c r="G367" s="1" t="str">
        <f>IFERROR(__xludf.DUMMYFUNCTION("""COMPUTED_VALUE""")," BURGOS ROJAS")</f>
        <v> BURGOS ROJAS</v>
      </c>
      <c r="H367" s="1" t="str">
        <f>IFERROR(__xludf.DUMMYFUNCTION("""COMPUTED_VALUE"""),"Arquitectura de Interiores")</f>
        <v>Arquitectura de Interiores</v>
      </c>
      <c r="I367" s="1" t="str">
        <f>IFERROR(__xludf.DUMMYFUNCTION("""COMPUTED_VALUE"""),"POS")</f>
        <v>POS</v>
      </c>
      <c r="J367" s="1" t="str">
        <f>IFERROR(__xludf.DUMMYFUNCTION("""COMPUTED_VALUE"""),"Diurno")</f>
        <v>Diurno</v>
      </c>
      <c r="K367" s="1" t="str">
        <f>IFERROR(__xludf.DUMMYFUNCTION("""COMPUTED_VALUE"""),"TRASLADO")</f>
        <v>TRASLADO</v>
      </c>
      <c r="L367" s="1">
        <f>IFERROR(__xludf.DUMMYFUNCTION("""COMPUTED_VALUE"""),1.0)</f>
        <v>1</v>
      </c>
      <c r="M367" s="1">
        <f>IFERROR(__xludf.DUMMYFUNCTION("""COMPUTED_VALUE"""),0.0)</f>
        <v>0</v>
      </c>
      <c r="N367" s="1" t="str">
        <f>IFERROR(__xludf.DUMMYFUNCTION("""COMPUTED_VALUE"""),"RECA")</f>
        <v>RECA</v>
      </c>
      <c r="O367" s="1" t="str">
        <f>IFERROR(__xludf.DUMMYFUNCTION("""COMPUTED_VALUE"""),"RECA TRASLADO CON CONVA")</f>
        <v>RECA TRASLADO CON CONVA</v>
      </c>
      <c r="P367" s="4">
        <f>IFERROR(__xludf.DUMMYFUNCTION("""COMPUTED_VALUE"""),0.0)</f>
        <v>0</v>
      </c>
      <c r="Q367" s="4">
        <f>IFERROR(__xludf.DUMMYFUNCTION("""COMPUTED_VALUE"""),0.0)</f>
        <v>0</v>
      </c>
      <c r="R367" s="4">
        <f>IFERROR(__xludf.DUMMYFUNCTION("""COMPUTED_VALUE"""),700.0)</f>
        <v>700</v>
      </c>
      <c r="S367" s="4">
        <f>IFERROR(__xludf.DUMMYFUNCTION("""COMPUTED_VALUE"""),700.0)</f>
        <v>700</v>
      </c>
      <c r="T367" s="1" t="str">
        <f>IFERROR(__xludf.DUMMYFUNCTION("""COMPUTED_VALUE"""),"NINGUNO")</f>
        <v>NINGUNO</v>
      </c>
      <c r="U367" s="1"/>
      <c r="V367" s="1" t="str">
        <f>IFERROR(__xludf.DUMMYFUNCTION("""COMPUTED_VALUE"""),"Ninguno")</f>
        <v>Ninguno</v>
      </c>
      <c r="W367" s="1" t="str">
        <f>IFERROR(__xludf.DUMMYFUNCTION("""COMPUTED_VALUE"""),"Metodología de enseñanza")</f>
        <v>Metodología de enseñanza</v>
      </c>
      <c r="X367" s="1"/>
      <c r="Y367" s="1" t="str">
        <f>IFERROR(__xludf.DUMMYFUNCTION("""COMPUTED_VALUE"""),"PAGO COMPLETO")</f>
        <v>PAGO COMPLETO</v>
      </c>
      <c r="Z367" s="1"/>
      <c r="AA367" s="1"/>
      <c r="AB367" s="1">
        <f>IFERROR(__xludf.DUMMYFUNCTION("""COMPUTED_VALUE"""),0.0)</f>
        <v>0</v>
      </c>
      <c r="AC367" s="1">
        <f>IFERROR(__xludf.DUMMYFUNCTION("""COMPUTED_VALUE"""),0.0)</f>
        <v>0</v>
      </c>
      <c r="AD367" s="1" t="str">
        <f>IFERROR(__xludf.DUMMYFUNCTION("""COMPUTED_VALUE"""),"Ingrid Guillermo Rivera")</f>
        <v>Ingrid Guillermo Rivera</v>
      </c>
      <c r="AE367" s="1" t="str">
        <f>IFERROR(__xludf.DUMMYFUNCTION("""COMPUTED_VALUE"""),"Universidad Privada del Norte(UPN)")</f>
        <v>Universidad Privada del Norte(UPN)</v>
      </c>
      <c r="AF367" s="1">
        <f>IFERROR(__xludf.DUMMYFUNCTION("""COMPUTED_VALUE"""),2017.0)</f>
        <v>2017</v>
      </c>
      <c r="AG367" s="1">
        <f>IFERROR(__xludf.DUMMYFUNCTION("""COMPUTED_VALUE"""),1531433.0)</f>
        <v>1531433</v>
      </c>
      <c r="AH367" s="1">
        <f>IFERROR(__xludf.DUMMYFUNCTION("""COMPUTED_VALUE"""),25.0)</f>
        <v>25</v>
      </c>
      <c r="AI367" s="1" t="str">
        <f>IFERROR(__xludf.DUMMYFUNCTION("""COMPUTED_VALUE"""),"0000410168")</f>
        <v>0000410168</v>
      </c>
      <c r="AJ367" s="1">
        <f>IFERROR(__xludf.DUMMYFUNCTION("""COMPUTED_VALUE"""),7.1395221E7)</f>
        <v>71395221</v>
      </c>
      <c r="AK367" s="1">
        <f>IFERROR(__xludf.DUMMYFUNCTION("""COMPUTED_VALUE"""),0.0)</f>
        <v>0</v>
      </c>
      <c r="AL367" s="1" t="str">
        <f>IFERROR(__xludf.DUMMYFUNCTION("""COMPUTED_VALUE"""),"GABRIELBURGOS00@hotmail.com")</f>
        <v>GABRIELBURGOS00@hotmail.com</v>
      </c>
      <c r="AM367" s="1" t="str">
        <f>IFERROR(__xludf.DUMMYFUNCTION("""COMPUTED_VALUE"""),"MASCULINO")</f>
        <v>MASCULINO</v>
      </c>
      <c r="AN367" s="1">
        <f>IFERROR(__xludf.DUMMYFUNCTION("""COMPUTED_VALUE"""),1775.0)</f>
        <v>1775</v>
      </c>
      <c r="AO367" s="1">
        <f>IFERROR(__xludf.DUMMYFUNCTION("""COMPUTED_VALUE"""),500.0)</f>
        <v>500</v>
      </c>
      <c r="AP367" s="1" t="str">
        <f>IFERROR(__xludf.DUMMYFUNCTION("""COMPUTED_VALUE"""),"VISITA")</f>
        <v>VISITA</v>
      </c>
      <c r="AQ367" s="1" t="str">
        <f>IFERROR(__xludf.DUMMYFUNCTION("""COMPUTED_VALUE"""),"VISITA")</f>
        <v>VISITA</v>
      </c>
      <c r="AR367" s="1" t="str">
        <f>IFERROR(__xludf.DUMMYFUNCTION("""COMPUTED_VALUE"""),"HEREDADO")</f>
        <v>HEREDADO</v>
      </c>
      <c r="AS367" s="1"/>
      <c r="AT367" s="2">
        <f>IFERROR(__xludf.DUMMYFUNCTION("""COMPUTED_VALUE"""),45671.0)</f>
        <v>45671</v>
      </c>
      <c r="AU367" s="1">
        <f>IFERROR(__xludf.DUMMYFUNCTION("""COMPUTED_VALUE"""),1.0)</f>
        <v>1</v>
      </c>
      <c r="AV367" s="1" t="str">
        <f>IFERROR(__xludf.DUMMYFUNCTION("""COMPUTED_VALUE"""),"TRASLADO")</f>
        <v>TRASLADO</v>
      </c>
      <c r="AW367" s="1" t="str">
        <f>IFERROR(__xludf.DUMMYFUNCTION("""COMPUTED_VALUE"""),"SI")</f>
        <v>SI</v>
      </c>
      <c r="AX367" s="1"/>
      <c r="AY367" s="1" t="str">
        <f>IFERROR(__xludf.DUMMYFUNCTION("""COMPUTED_VALUE"""),"PAGO COMPLETO")</f>
        <v>PAGO COMPLETO</v>
      </c>
      <c r="AZ367" s="5">
        <f>IFERROR(__xludf.DUMMYFUNCTION("""COMPUTED_VALUE"""),45674.0)</f>
        <v>45674</v>
      </c>
      <c r="BA367" s="1">
        <f>IFERROR(__xludf.DUMMYFUNCTION("""COMPUTED_VALUE"""),0.0)</f>
        <v>0</v>
      </c>
      <c r="BB367" s="1">
        <f>IFERROR(__xludf.DUMMYFUNCTION("""COMPUTED_VALUE"""),0.0)</f>
        <v>0</v>
      </c>
      <c r="BC367" s="4">
        <f>IFERROR(__xludf.DUMMYFUNCTION("""COMPUTED_VALUE"""),0.0)</f>
        <v>0</v>
      </c>
      <c r="BD367" s="4">
        <f>IFERROR(__xludf.DUMMYFUNCTION("""COMPUTED_VALUE"""),0.0)</f>
        <v>0</v>
      </c>
      <c r="BE367" s="1">
        <f>IFERROR(__xludf.DUMMYFUNCTION("""COMPUTED_VALUE"""),1.0)</f>
        <v>1</v>
      </c>
      <c r="BF367" s="6">
        <f>IFERROR(__xludf.DUMMYFUNCTION("""COMPUTED_VALUE"""),1.0)</f>
        <v>1</v>
      </c>
      <c r="BG367" s="1">
        <f>IFERROR(__xludf.DUMMYFUNCTION("""COMPUTED_VALUE"""),1.0)</f>
        <v>1</v>
      </c>
      <c r="BH367" s="1" t="str">
        <f>IFERROR(__xludf.DUMMYFUNCTION("""COMPUTED_VALUE"""),"1")</f>
        <v>1</v>
      </c>
      <c r="BI367" s="4">
        <f>IFERROR(__xludf.DUMMYFUNCTION("""COMPUTED_VALUE"""),0.0)</f>
        <v>0</v>
      </c>
      <c r="BJ367" s="1">
        <f>IFERROR(__xludf.DUMMYFUNCTION("""COMPUTED_VALUE"""),0.0)</f>
        <v>0</v>
      </c>
      <c r="BK367" s="4">
        <f>IFERROR(__xludf.DUMMYFUNCTION("""COMPUTED_VALUE"""),0.0)</f>
        <v>0</v>
      </c>
      <c r="BL367" s="1">
        <f>IFERROR(__xludf.DUMMYFUNCTION("""COMPUTED_VALUE"""),700.0)</f>
        <v>700</v>
      </c>
      <c r="BM367" s="1">
        <f>IFERROR(__xludf.DUMMYFUNCTION("""COMPUTED_VALUE"""),3.0)</f>
        <v>3</v>
      </c>
      <c r="BN367" s="2">
        <f>IFERROR(__xludf.DUMMYFUNCTION("""COMPUTED_VALUE"""),45670.0)</f>
        <v>45670</v>
      </c>
      <c r="BO367" s="1">
        <f>IFERROR(__xludf.DUMMYFUNCTION("""COMPUTED_VALUE"""),1.0)</f>
        <v>1</v>
      </c>
      <c r="BP367" s="1">
        <f>IFERROR(__xludf.DUMMYFUNCTION("""COMPUTED_VALUE"""),2025.0)</f>
        <v>2025</v>
      </c>
    </row>
    <row r="368">
      <c r="A368" s="1">
        <f>IFERROR(__xludf.DUMMYFUNCTION("""COMPUTED_VALUE"""),367.0)</f>
        <v>367</v>
      </c>
      <c r="B368" s="1">
        <f>IFERROR(__xludf.DUMMYFUNCTION("""COMPUTED_VALUE"""),4924173.0)</f>
        <v>4924173</v>
      </c>
      <c r="C368" s="1" t="str">
        <f>IFERROR(__xludf.DUMMYFUNCTION("""COMPUTED_VALUE"""),"2025-1")</f>
        <v>2025-1</v>
      </c>
      <c r="D368" s="1" t="str">
        <f>IFERROR(__xludf.DUMMYFUNCTION("""COMPUTED_VALUE"""),"Admisión Extraordinaria (Traslados)")</f>
        <v>Admisión Extraordinaria (Traslados)</v>
      </c>
      <c r="E368" s="2">
        <f>IFERROR(__xludf.DUMMYFUNCTION("""COMPUTED_VALUE"""),45674.0)</f>
        <v>45674</v>
      </c>
      <c r="F368" s="1" t="str">
        <f>IFERROR(__xludf.DUMMYFUNCTION("""COMPUTED_VALUE"""),"GUSTAVO AYRTON ")</f>
        <v>GUSTAVO AYRTON </v>
      </c>
      <c r="G368" s="1" t="str">
        <f>IFERROR(__xludf.DUMMYFUNCTION("""COMPUTED_VALUE"""),"NUÑEZ SÁNCHEZ")</f>
        <v>NUÑEZ SÁNCHEZ</v>
      </c>
      <c r="H368" s="1" t="str">
        <f>IFERROR(__xludf.DUMMYFUNCTION("""COMPUTED_VALUE"""),"Administración y Negocios Internacionales")</f>
        <v>Administración y Negocios Internacionales</v>
      </c>
      <c r="I368" s="1" t="str">
        <f>IFERROR(__xludf.DUMMYFUNCTION("""COMPUTED_VALUE"""),"CARGO")</f>
        <v>CARGO</v>
      </c>
      <c r="J368" s="1" t="str">
        <f>IFERROR(__xludf.DUMMYFUNCTION("""COMPUTED_VALUE"""),"Nocturno - A distancia")</f>
        <v>Nocturno - A distancia</v>
      </c>
      <c r="K368" s="1" t="str">
        <f>IFERROR(__xludf.DUMMYFUNCTION("""COMPUTED_VALUE"""),"TRASLADO")</f>
        <v>TRASLADO</v>
      </c>
      <c r="L368" s="1">
        <f>IFERROR(__xludf.DUMMYFUNCTION("""COMPUTED_VALUE"""),1.0)</f>
        <v>1</v>
      </c>
      <c r="M368" s="1">
        <f>IFERROR(__xludf.DUMMYFUNCTION("""COMPUTED_VALUE"""),1.0)</f>
        <v>1</v>
      </c>
      <c r="N368" s="1" t="str">
        <f>IFERROR(__xludf.DUMMYFUNCTION("""COMPUTED_VALUE"""),"ESCALA DISTANCIA")</f>
        <v>ESCALA DISTANCIA</v>
      </c>
      <c r="O368" s="1" t="str">
        <f>IFERROR(__xludf.DUMMYFUNCTION("""COMPUTED_VALUE"""),"ESCALA DISTANCIA TRASLADO")</f>
        <v>ESCALA DISTANCIA TRASLADO</v>
      </c>
      <c r="P368" s="4">
        <f>IFERROR(__xludf.DUMMYFUNCTION("""COMPUTED_VALUE"""),0.0)</f>
        <v>0</v>
      </c>
      <c r="Q368" s="4">
        <f>IFERROR(__xludf.DUMMYFUNCTION("""COMPUTED_VALUE"""),0.0)</f>
        <v>0</v>
      </c>
      <c r="R368" s="4">
        <f>IFERROR(__xludf.DUMMYFUNCTION("""COMPUTED_VALUE"""),700.0)</f>
        <v>700</v>
      </c>
      <c r="S368" s="4">
        <f>IFERROR(__xludf.DUMMYFUNCTION("""COMPUTED_VALUE"""),600.0)</f>
        <v>600</v>
      </c>
      <c r="T368" s="1" t="str">
        <f>IFERROR(__xludf.DUMMYFUNCTION("""COMPUTED_VALUE"""),"NINGUNO")</f>
        <v>NINGUNO</v>
      </c>
      <c r="U368" s="1" t="str">
        <f>IFERROR(__xludf.DUMMYFUNCTION("""COMPUTED_VALUE"""),"RODRIGO")</f>
        <v>RODRIGO</v>
      </c>
      <c r="V368" s="1" t="str">
        <f>IFERROR(__xludf.DUMMYFUNCTION("""COMPUTED_VALUE"""),"Ninguno")</f>
        <v>Ninguno</v>
      </c>
      <c r="W368" s="1" t="str">
        <f>IFERROR(__xludf.DUMMYFUNCTION("""COMPUTED_VALUE"""),"Egresados")</f>
        <v>Egresados</v>
      </c>
      <c r="X368" s="1" t="str">
        <f>IFERROR(__xludf.DUMMYFUNCTION("""COMPUTED_VALUE"""),"convenio certus")</f>
        <v>convenio certus</v>
      </c>
      <c r="Y368" s="1" t="str">
        <f>IFERROR(__xludf.DUMMYFUNCTION("""COMPUTED_VALUE"""),"PAGO COMPLETO")</f>
        <v>PAGO COMPLETO</v>
      </c>
      <c r="Z368" s="1"/>
      <c r="AA368" s="1"/>
      <c r="AB368" s="1">
        <f>IFERROR(__xludf.DUMMYFUNCTION("""COMPUTED_VALUE"""),1.0)</f>
        <v>1</v>
      </c>
      <c r="AC368" s="1">
        <f>IFERROR(__xludf.DUMMYFUNCTION("""COMPUTED_VALUE"""),0.0)</f>
        <v>0</v>
      </c>
      <c r="AD368" s="1" t="str">
        <f>IFERROR(__xludf.DUMMYFUNCTION("""COMPUTED_VALUE"""),"Rosa Ugarte")</f>
        <v>Rosa Ugarte</v>
      </c>
      <c r="AE368" s="1" t="str">
        <f>IFERROR(__xludf.DUMMYFUNCTION("""COMPUTED_VALUE"""),"Certus")</f>
        <v>Certus</v>
      </c>
      <c r="AF368" s="1">
        <f>IFERROR(__xludf.DUMMYFUNCTION("""COMPUTED_VALUE"""),2020.0)</f>
        <v>2020</v>
      </c>
      <c r="AG368" s="1">
        <f>IFERROR(__xludf.DUMMYFUNCTION("""COMPUTED_VALUE"""),1074095.0)</f>
        <v>1074095</v>
      </c>
      <c r="AH368" s="1">
        <f>IFERROR(__xludf.DUMMYFUNCTION("""COMPUTED_VALUE"""),23.0)</f>
        <v>23</v>
      </c>
      <c r="AI368" s="1" t="str">
        <f>IFERROR(__xludf.DUMMYFUNCTION("""COMPUTED_VALUE"""),"0000142008")</f>
        <v>0000142008</v>
      </c>
      <c r="AJ368" s="1">
        <f>IFERROR(__xludf.DUMMYFUNCTION("""COMPUTED_VALUE"""),7.6057987E7)</f>
        <v>76057987</v>
      </c>
      <c r="AK368" s="1">
        <f>IFERROR(__xludf.DUMMYFUNCTION("""COMPUTED_VALUE"""),9.24918092E8)</f>
        <v>924918092</v>
      </c>
      <c r="AL368" s="1" t="str">
        <f>IFERROR(__xludf.DUMMYFUNCTION("""COMPUTED_VALUE"""),"ayrton0602@gmail.com")</f>
        <v>ayrton0602@gmail.com</v>
      </c>
      <c r="AM368" s="1" t="str">
        <f>IFERROR(__xludf.DUMMYFUNCTION("""COMPUTED_VALUE"""),"MASCULINO")</f>
        <v>MASCULINO</v>
      </c>
      <c r="AN368" s="1">
        <f>IFERROR(__xludf.DUMMYFUNCTION("""COMPUTED_VALUE"""),0.0)</f>
        <v>0</v>
      </c>
      <c r="AO368" s="1">
        <f>IFERROR(__xludf.DUMMYFUNCTION("""COMPUTED_VALUE"""),0.0)</f>
        <v>0</v>
      </c>
      <c r="AP368" s="1" t="str">
        <f>IFERROR(__xludf.DUMMYFUNCTION("""COMPUTED_VALUE"""),"BIDIRECCIONAL")</f>
        <v>BIDIRECCIONAL</v>
      </c>
      <c r="AQ368" s="1" t="str">
        <f>IFERROR(__xludf.DUMMYFUNCTION("""COMPUTED_VALUE"""),"ORGANICO")</f>
        <v>ORGANICO</v>
      </c>
      <c r="AR368" s="1" t="str">
        <f>IFERROR(__xludf.DUMMYFUNCTION("""COMPUTED_VALUE"""),"NUEVO")</f>
        <v>NUEVO</v>
      </c>
      <c r="AS368" s="1"/>
      <c r="AT368" s="2">
        <f>IFERROR(__xludf.DUMMYFUNCTION("""COMPUTED_VALUE"""),45662.0)</f>
        <v>45662</v>
      </c>
      <c r="AU368" s="1">
        <f>IFERROR(__xludf.DUMMYFUNCTION("""COMPUTED_VALUE"""),1.0)</f>
        <v>1</v>
      </c>
      <c r="AV368" s="1" t="str">
        <f>IFERROR(__xludf.DUMMYFUNCTION("""COMPUTED_VALUE"""),"TRASLADO")</f>
        <v>TRASLADO</v>
      </c>
      <c r="AW368" s="1"/>
      <c r="AX368" s="1"/>
      <c r="AY368" s="1" t="str">
        <f>IFERROR(__xludf.DUMMYFUNCTION("""COMPUTED_VALUE"""),"PAGO COMPLETO")</f>
        <v>PAGO COMPLETO</v>
      </c>
      <c r="AZ368" s="5">
        <f>IFERROR(__xludf.DUMMYFUNCTION("""COMPUTED_VALUE"""),45674.0)</f>
        <v>45674</v>
      </c>
      <c r="BA368" s="1">
        <f>IFERROR(__xludf.DUMMYFUNCTION("""COMPUTED_VALUE"""),0.0)</f>
        <v>0</v>
      </c>
      <c r="BB368" s="1">
        <f>IFERROR(__xludf.DUMMYFUNCTION("""COMPUTED_VALUE"""),0.0)</f>
        <v>0</v>
      </c>
      <c r="BC368" s="4">
        <f>IFERROR(__xludf.DUMMYFUNCTION("""COMPUTED_VALUE"""),0.0)</f>
        <v>0</v>
      </c>
      <c r="BD368" s="4">
        <f>IFERROR(__xludf.DUMMYFUNCTION("""COMPUTED_VALUE"""),0.0)</f>
        <v>0</v>
      </c>
      <c r="BE368" s="1">
        <f>IFERROR(__xludf.DUMMYFUNCTION("""COMPUTED_VALUE"""),1.0)</f>
        <v>1</v>
      </c>
      <c r="BF368" s="6">
        <f>IFERROR(__xludf.DUMMYFUNCTION("""COMPUTED_VALUE"""),1.0)</f>
        <v>1</v>
      </c>
      <c r="BG368" s="1">
        <f>IFERROR(__xludf.DUMMYFUNCTION("""COMPUTED_VALUE"""),1.0)</f>
        <v>1</v>
      </c>
      <c r="BH368" s="1" t="str">
        <f>IFERROR(__xludf.DUMMYFUNCTION("""COMPUTED_VALUE"""),"0")</f>
        <v>0</v>
      </c>
      <c r="BI368" s="4">
        <f>IFERROR(__xludf.DUMMYFUNCTION("""COMPUTED_VALUE"""),0.0)</f>
        <v>0</v>
      </c>
      <c r="BJ368" s="1">
        <f>IFERROR(__xludf.DUMMYFUNCTION("""COMPUTED_VALUE"""),0.0)</f>
        <v>0</v>
      </c>
      <c r="BK368" s="4">
        <f>IFERROR(__xludf.DUMMYFUNCTION("""COMPUTED_VALUE"""),0.0)</f>
        <v>0</v>
      </c>
      <c r="BL368" s="1">
        <f>IFERROR(__xludf.DUMMYFUNCTION("""COMPUTED_VALUE"""),600.0)</f>
        <v>600</v>
      </c>
      <c r="BM368" s="1">
        <f>IFERROR(__xludf.DUMMYFUNCTION("""COMPUTED_VALUE"""),3.0)</f>
        <v>3</v>
      </c>
      <c r="BN368" s="2">
        <f>IFERROR(__xludf.DUMMYFUNCTION("""COMPUTED_VALUE"""),45670.0)</f>
        <v>45670</v>
      </c>
      <c r="BO368" s="1">
        <f>IFERROR(__xludf.DUMMYFUNCTION("""COMPUTED_VALUE"""),1.0)</f>
        <v>1</v>
      </c>
      <c r="BP368" s="1">
        <f>IFERROR(__xludf.DUMMYFUNCTION("""COMPUTED_VALUE"""),2025.0)</f>
        <v>2025</v>
      </c>
    </row>
    <row r="369">
      <c r="A369" s="1">
        <f>IFERROR(__xludf.DUMMYFUNCTION("""COMPUTED_VALUE"""),368.0)</f>
        <v>368</v>
      </c>
      <c r="B369" s="1">
        <f>IFERROR(__xludf.DUMMYFUNCTION("""COMPUTED_VALUE"""),4884730.0)</f>
        <v>4884730</v>
      </c>
      <c r="C369" s="1" t="str">
        <f>IFERROR(__xludf.DUMMYFUNCTION("""COMPUTED_VALUE"""),"2025-1")</f>
        <v>2025-1</v>
      </c>
      <c r="D369" s="1" t="str">
        <f>IFERROR(__xludf.DUMMYFUNCTION("""COMPUTED_VALUE"""),"Admisión Extraordinaria (Traslados)")</f>
        <v>Admisión Extraordinaria (Traslados)</v>
      </c>
      <c r="E369" s="2">
        <f>IFERROR(__xludf.DUMMYFUNCTION("""COMPUTED_VALUE"""),45674.0)</f>
        <v>45674</v>
      </c>
      <c r="F369" s="1" t="str">
        <f>IFERROR(__xludf.DUMMYFUNCTION("""COMPUTED_VALUE"""),"STEPHANY ALLISON")</f>
        <v>STEPHANY ALLISON</v>
      </c>
      <c r="G369" s="1" t="str">
        <f>IFERROR(__xludf.DUMMYFUNCTION("""COMPUTED_VALUE"""),"MENENDEZ ORTIZ")</f>
        <v>MENENDEZ ORTIZ</v>
      </c>
      <c r="H369" s="1" t="str">
        <f>IFERROR(__xludf.DUMMYFUNCTION("""COMPUTED_VALUE"""),"Arquitectura")</f>
        <v>Arquitectura</v>
      </c>
      <c r="I369" s="1" t="str">
        <f>IFERROR(__xludf.DUMMYFUNCTION("""COMPUTED_VALUE"""),"CARGO")</f>
        <v>CARGO</v>
      </c>
      <c r="J369" s="1" t="str">
        <f>IFERROR(__xludf.DUMMYFUNCTION("""COMPUTED_VALUE"""),"Diurno")</f>
        <v>Diurno</v>
      </c>
      <c r="K369" s="1" t="str">
        <f>IFERROR(__xludf.DUMMYFUNCTION("""COMPUTED_VALUE"""),"TRASLADO")</f>
        <v>TRASLADO</v>
      </c>
      <c r="L369" s="1">
        <f>IFERROR(__xludf.DUMMYFUNCTION("""COMPUTED_VALUE"""),1.0)</f>
        <v>1</v>
      </c>
      <c r="M369" s="1">
        <f>IFERROR(__xludf.DUMMYFUNCTION("""COMPUTED_VALUE"""),0.0)</f>
        <v>0</v>
      </c>
      <c r="N369" s="1" t="str">
        <f>IFERROR(__xludf.DUMMYFUNCTION("""COMPUTED_VALUE"""),"RECA")</f>
        <v>RECA</v>
      </c>
      <c r="O369" s="1" t="str">
        <f>IFERROR(__xludf.DUMMYFUNCTION("""COMPUTED_VALUE"""),"RECA TRASLADO CON CONVA")</f>
        <v>RECA TRASLADO CON CONVA</v>
      </c>
      <c r="P369" s="4">
        <f>IFERROR(__xludf.DUMMYFUNCTION("""COMPUTED_VALUE"""),0.0)</f>
        <v>0</v>
      </c>
      <c r="Q369" s="4">
        <f>IFERROR(__xludf.DUMMYFUNCTION("""COMPUTED_VALUE"""),0.0)</f>
        <v>0</v>
      </c>
      <c r="R369" s="4">
        <f>IFERROR(__xludf.DUMMYFUNCTION("""COMPUTED_VALUE"""),1600.0)</f>
        <v>1600</v>
      </c>
      <c r="S369" s="4">
        <f>IFERROR(__xludf.DUMMYFUNCTION("""COMPUTED_VALUE"""),1280.0)</f>
        <v>1280</v>
      </c>
      <c r="T369" s="1" t="str">
        <f>IFERROR(__xludf.DUMMYFUNCTION("""COMPUTED_VALUE"""),"NINGUNO")</f>
        <v>NINGUNO</v>
      </c>
      <c r="U369" s="1" t="str">
        <f>IFERROR(__xludf.DUMMYFUNCTION("""COMPUTED_VALUE"""),"FABIOLA")</f>
        <v>FABIOLA</v>
      </c>
      <c r="V369" s="1" t="str">
        <f>IFERROR(__xludf.DUMMYFUNCTION("""COMPUTED_VALUE"""),"Ninguno")</f>
        <v>Ninguno</v>
      </c>
      <c r="W369" s="1" t="str">
        <f>IFERROR(__xludf.DUMMYFUNCTION("""COMPUTED_VALUE"""),"Metodología de enseñanza")</f>
        <v>Metodología de enseñanza</v>
      </c>
      <c r="X369" s="1" t="str">
        <f>IFERROR(__xludf.DUMMYFUNCTION("""COMPUTED_VALUE"""),"Metodología ")</f>
        <v>Metodología </v>
      </c>
      <c r="Y369" s="1" t="str">
        <f>IFERROR(__xludf.DUMMYFUNCTION("""COMPUTED_VALUE"""),"PAGO COMPLETO")</f>
        <v>PAGO COMPLETO</v>
      </c>
      <c r="Z369" s="1"/>
      <c r="AA369" s="1"/>
      <c r="AB369" s="1">
        <f>IFERROR(__xludf.DUMMYFUNCTION("""COMPUTED_VALUE"""),1.0)</f>
        <v>1</v>
      </c>
      <c r="AC369" s="1">
        <f>IFERROR(__xludf.DUMMYFUNCTION("""COMPUTED_VALUE"""),0.0)</f>
        <v>0</v>
      </c>
      <c r="AD369" s="1" t="str">
        <f>IFERROR(__xludf.DUMMYFUNCTION("""COMPUTED_VALUE"""),"Cinthia Mariella Orosco")</f>
        <v>Cinthia Mariella Orosco</v>
      </c>
      <c r="AE369" s="1" t="str">
        <f>IFERROR(__xludf.DUMMYFUNCTION("""COMPUTED_VALUE"""),"Universidad Peruana De Ciencias Aplicadas(UPC)")</f>
        <v>Universidad Peruana De Ciencias Aplicadas(UPC)</v>
      </c>
      <c r="AF369" s="1">
        <f>IFERROR(__xludf.DUMMYFUNCTION("""COMPUTED_VALUE"""),2022.0)</f>
        <v>2022</v>
      </c>
      <c r="AG369" s="1">
        <f>IFERROR(__xludf.DUMMYFUNCTION("""COMPUTED_VALUE"""),742254.0)</f>
        <v>742254</v>
      </c>
      <c r="AH369" s="1">
        <f>IFERROR(__xludf.DUMMYFUNCTION("""COMPUTED_VALUE"""),20.0)</f>
        <v>20</v>
      </c>
      <c r="AI369" s="1" t="str">
        <f>IFERROR(__xludf.DUMMYFUNCTION("""COMPUTED_VALUE"""),"0000409113")</f>
        <v>0000409113</v>
      </c>
      <c r="AJ369" s="1">
        <f>IFERROR(__xludf.DUMMYFUNCTION("""COMPUTED_VALUE"""),7.2853805E7)</f>
        <v>72853805</v>
      </c>
      <c r="AK369" s="1">
        <f>IFERROR(__xludf.DUMMYFUNCTION("""COMPUTED_VALUE"""),9.76662696E8)</f>
        <v>976662696</v>
      </c>
      <c r="AL369" s="1" t="str">
        <f>IFERROR(__xludf.DUMMYFUNCTION("""COMPUTED_VALUE"""),"stephmenendez98@gmail.com")</f>
        <v>stephmenendez98@gmail.com</v>
      </c>
      <c r="AM369" s="1" t="str">
        <f>IFERROR(__xludf.DUMMYFUNCTION("""COMPUTED_VALUE"""),"FEMENINO")</f>
        <v>FEMENINO</v>
      </c>
      <c r="AN369" s="1">
        <f>IFERROR(__xludf.DUMMYFUNCTION("""COMPUTED_VALUE"""),1850.0)</f>
        <v>1850</v>
      </c>
      <c r="AO369" s="1">
        <f>IFERROR(__xludf.DUMMYFUNCTION("""COMPUTED_VALUE"""),780.0)</f>
        <v>780</v>
      </c>
      <c r="AP369" s="1" t="str">
        <f>IFERROR(__xludf.DUMMYFUNCTION("""COMPUTED_VALUE"""),"FORMULARIO")</f>
        <v>FORMULARIO</v>
      </c>
      <c r="AQ369" s="1" t="str">
        <f>IFERROR(__xludf.DUMMYFUNCTION("""COMPUTED_VALUE"""),"ORGANICO")</f>
        <v>ORGANICO</v>
      </c>
      <c r="AR369" s="1" t="str">
        <f>IFERROR(__xludf.DUMMYFUNCTION("""COMPUTED_VALUE"""),"NUEVO")</f>
        <v>NUEVO</v>
      </c>
      <c r="AS369" s="1"/>
      <c r="AT369" s="2">
        <f>IFERROR(__xludf.DUMMYFUNCTION("""COMPUTED_VALUE"""),45645.0)</f>
        <v>45645</v>
      </c>
      <c r="AU369" s="1">
        <f>IFERROR(__xludf.DUMMYFUNCTION("""COMPUTED_VALUE"""),1.0)</f>
        <v>1</v>
      </c>
      <c r="AV369" s="1" t="str">
        <f>IFERROR(__xludf.DUMMYFUNCTION("""COMPUTED_VALUE"""),"TRASLADO")</f>
        <v>TRASLADO</v>
      </c>
      <c r="AW369" s="1"/>
      <c r="AX369" s="1"/>
      <c r="AY369" s="1" t="str">
        <f>IFERROR(__xludf.DUMMYFUNCTION("""COMPUTED_VALUE"""),"PAGO COMPLETO")</f>
        <v>PAGO COMPLETO</v>
      </c>
      <c r="AZ369" s="5">
        <f>IFERROR(__xludf.DUMMYFUNCTION("""COMPUTED_VALUE"""),45674.0)</f>
        <v>45674</v>
      </c>
      <c r="BA369" s="1">
        <f>IFERROR(__xludf.DUMMYFUNCTION("""COMPUTED_VALUE"""),0.0)</f>
        <v>0</v>
      </c>
      <c r="BB369" s="1">
        <f>IFERROR(__xludf.DUMMYFUNCTION("""COMPUTED_VALUE"""),0.0)</f>
        <v>0</v>
      </c>
      <c r="BC369" s="4">
        <f>IFERROR(__xludf.DUMMYFUNCTION("""COMPUTED_VALUE"""),0.0)</f>
        <v>0</v>
      </c>
      <c r="BD369" s="4">
        <f>IFERROR(__xludf.DUMMYFUNCTION("""COMPUTED_VALUE"""),0.0)</f>
        <v>0</v>
      </c>
      <c r="BE369" s="1">
        <f>IFERROR(__xludf.DUMMYFUNCTION("""COMPUTED_VALUE"""),1.0)</f>
        <v>1</v>
      </c>
      <c r="BF369" s="6">
        <f>IFERROR(__xludf.DUMMYFUNCTION("""COMPUTED_VALUE"""),1.0)</f>
        <v>1</v>
      </c>
      <c r="BG369" s="1">
        <f>IFERROR(__xludf.DUMMYFUNCTION("""COMPUTED_VALUE"""),1.0)</f>
        <v>1</v>
      </c>
      <c r="BH369" s="1" t="str">
        <f>IFERROR(__xludf.DUMMYFUNCTION("""COMPUTED_VALUE"""),"0")</f>
        <v>0</v>
      </c>
      <c r="BI369" s="4">
        <f>IFERROR(__xludf.DUMMYFUNCTION("""COMPUTED_VALUE"""),0.0)</f>
        <v>0</v>
      </c>
      <c r="BJ369" s="1">
        <f>IFERROR(__xludf.DUMMYFUNCTION("""COMPUTED_VALUE"""),0.0)</f>
        <v>0</v>
      </c>
      <c r="BK369" s="4">
        <f>IFERROR(__xludf.DUMMYFUNCTION("""COMPUTED_VALUE"""),0.0)</f>
        <v>0</v>
      </c>
      <c r="BL369" s="1">
        <f>IFERROR(__xludf.DUMMYFUNCTION("""COMPUTED_VALUE"""),1280.0)</f>
        <v>1280</v>
      </c>
      <c r="BM369" s="1">
        <f>IFERROR(__xludf.DUMMYFUNCTION("""COMPUTED_VALUE"""),3.0)</f>
        <v>3</v>
      </c>
      <c r="BN369" s="2">
        <f>IFERROR(__xludf.DUMMYFUNCTION("""COMPUTED_VALUE"""),45670.0)</f>
        <v>45670</v>
      </c>
      <c r="BO369" s="1">
        <f>IFERROR(__xludf.DUMMYFUNCTION("""COMPUTED_VALUE"""),1.0)</f>
        <v>1</v>
      </c>
      <c r="BP369" s="1">
        <f>IFERROR(__xludf.DUMMYFUNCTION("""COMPUTED_VALUE"""),2025.0)</f>
        <v>2025</v>
      </c>
    </row>
    <row r="370">
      <c r="A370" s="1">
        <f>IFERROR(__xludf.DUMMYFUNCTION("""COMPUTED_VALUE"""),369.0)</f>
        <v>369</v>
      </c>
      <c r="B370" s="1">
        <f>IFERROR(__xludf.DUMMYFUNCTION("""COMPUTED_VALUE"""),1161004.0)</f>
        <v>1161004</v>
      </c>
      <c r="C370" s="1" t="str">
        <f>IFERROR(__xludf.DUMMYFUNCTION("""COMPUTED_VALUE"""),"2025-1")</f>
        <v>2025-1</v>
      </c>
      <c r="D370" s="1" t="str">
        <f>IFERROR(__xludf.DUMMYFUNCTION("""COMPUTED_VALUE"""),"Admisión Ordinaria")</f>
        <v>Admisión Ordinaria</v>
      </c>
      <c r="E370" s="2">
        <f>IFERROR(__xludf.DUMMYFUNCTION("""COMPUTED_VALUE"""),45675.0)</f>
        <v>45675</v>
      </c>
      <c r="F370" s="1" t="str">
        <f>IFERROR(__xludf.DUMMYFUNCTION("""COMPUTED_VALUE"""),"KIARA GABRIELA")</f>
        <v>KIARA GABRIELA</v>
      </c>
      <c r="G370" s="1" t="str">
        <f>IFERROR(__xludf.DUMMYFUNCTION("""COMPUTED_VALUE"""),"FLORES ARAGON")</f>
        <v>FLORES ARAGON</v>
      </c>
      <c r="H370" s="1" t="str">
        <f>IFERROR(__xludf.DUMMYFUNCTION("""COMPUTED_VALUE"""),"Diseño Gráfico Publicitario")</f>
        <v>Diseño Gráfico Publicitario</v>
      </c>
      <c r="I370" s="1" t="str">
        <f>IFERROR(__xludf.DUMMYFUNCTION("""COMPUTED_VALUE"""),"POS")</f>
        <v>POS</v>
      </c>
      <c r="J370" s="1" t="str">
        <f>IFERROR(__xludf.DUMMYFUNCTION("""COMPUTED_VALUE"""),"Diurno")</f>
        <v>Diurno</v>
      </c>
      <c r="K370" s="1" t="str">
        <f>IFERROR(__xludf.DUMMYFUNCTION("""COMPUTED_VALUE"""),"NUEVO")</f>
        <v>NUEVO</v>
      </c>
      <c r="L370" s="1">
        <f>IFERROR(__xludf.DUMMYFUNCTION("""COMPUTED_VALUE"""),0.0)</f>
        <v>0</v>
      </c>
      <c r="M370" s="1">
        <f>IFERROR(__xludf.DUMMYFUNCTION("""COMPUTED_VALUE"""),0.0)</f>
        <v>0</v>
      </c>
      <c r="N370" s="1" t="str">
        <f>IFERROR(__xludf.DUMMYFUNCTION("""COMPUTED_VALUE"""),"BECA")</f>
        <v>BECA</v>
      </c>
      <c r="O370" s="1" t="str">
        <f>IFERROR(__xludf.DUMMYFUNCTION("""COMPUTED_VALUE"""),"BECA CONGELADA DE 2 AÑOS")</f>
        <v>BECA CONGELADA DE 2 AÑOS</v>
      </c>
      <c r="P370" s="4">
        <f>IFERROR(__xludf.DUMMYFUNCTION("""COMPUTED_VALUE"""),0.0)</f>
        <v>0</v>
      </c>
      <c r="Q370" s="4">
        <f>IFERROR(__xludf.DUMMYFUNCTION("""COMPUTED_VALUE"""),0.0)</f>
        <v>0</v>
      </c>
      <c r="R370" s="4">
        <f>IFERROR(__xludf.DUMMYFUNCTION("""COMPUTED_VALUE"""),1000.0)</f>
        <v>1000</v>
      </c>
      <c r="S370" s="4">
        <f>IFERROR(__xludf.DUMMYFUNCTION("""COMPUTED_VALUE"""),850.0)</f>
        <v>850</v>
      </c>
      <c r="T370" s="1" t="str">
        <f>IFERROR(__xludf.DUMMYFUNCTION("""COMPUTED_VALUE"""),"NINGUNO")</f>
        <v>NINGUNO</v>
      </c>
      <c r="U370" s="1" t="str">
        <f>IFERROR(__xludf.DUMMYFUNCTION("""COMPUTED_VALUE"""),"FABIOLA")</f>
        <v>FABIOLA</v>
      </c>
      <c r="V370" s="1" t="str">
        <f>IFERROR(__xludf.DUMMYFUNCTION("""COMPUTED_VALUE"""),"Ninguno")</f>
        <v>Ninguno</v>
      </c>
      <c r="W370" s="1" t="str">
        <f>IFERROR(__xludf.DUMMYFUNCTION("""COMPUTED_VALUE"""),"Prestigio de la institución")</f>
        <v>Prestigio de la institución</v>
      </c>
      <c r="X370" s="1"/>
      <c r="Y370" s="1" t="str">
        <f>IFERROR(__xludf.DUMMYFUNCTION("""COMPUTED_VALUE"""),"PAGO FRACCIONADO")</f>
        <v>PAGO FRACCIONADO</v>
      </c>
      <c r="Z370" s="1">
        <f>IFERROR(__xludf.DUMMYFUNCTION("""COMPUTED_VALUE"""),430.0)</f>
        <v>430</v>
      </c>
      <c r="AA370" s="1" t="str">
        <f>IFERROR(__xludf.DUMMYFUNCTION("""COMPUTED_VALUE"""),"28/01/2025")</f>
        <v>28/01/2025</v>
      </c>
      <c r="AB370" s="1">
        <f>IFERROR(__xludf.DUMMYFUNCTION("""COMPUTED_VALUE"""),0.0)</f>
        <v>0</v>
      </c>
      <c r="AC370" s="1">
        <f>IFERROR(__xludf.DUMMYFUNCTION("""COMPUTED_VALUE"""),0.0)</f>
        <v>0</v>
      </c>
      <c r="AD370" s="1" t="str">
        <f>IFERROR(__xludf.DUMMYFUNCTION("""COMPUTED_VALUE"""),"Angelica Iparraguirre")</f>
        <v>Angelica Iparraguirre</v>
      </c>
      <c r="AE370" s="1" t="str">
        <f>IFERROR(__xludf.DUMMYFUNCTION("""COMPUTED_VALUE"""),"0")</f>
        <v>0</v>
      </c>
      <c r="AF370" s="1">
        <f>IFERROR(__xludf.DUMMYFUNCTION("""COMPUTED_VALUE"""),2020.0)</f>
        <v>2020</v>
      </c>
      <c r="AG370" s="1">
        <f>IFERROR(__xludf.DUMMYFUNCTION("""COMPUTED_VALUE"""),0.0)</f>
        <v>0</v>
      </c>
      <c r="AH370" s="1">
        <f>IFERROR(__xludf.DUMMYFUNCTION("""COMPUTED_VALUE"""),22.0)</f>
        <v>22</v>
      </c>
      <c r="AI370" s="1" t="str">
        <f>IFERROR(__xludf.DUMMYFUNCTION("""COMPUTED_VALUE"""),"0000410239")</f>
        <v>0000410239</v>
      </c>
      <c r="AJ370" s="1">
        <f>IFERROR(__xludf.DUMMYFUNCTION("""COMPUTED_VALUE"""),7.1799513E7)</f>
        <v>71799513</v>
      </c>
      <c r="AK370" s="1">
        <f>IFERROR(__xludf.DUMMYFUNCTION("""COMPUTED_VALUE"""),9.83611479E8)</f>
        <v>983611479</v>
      </c>
      <c r="AL370" s="1" t="str">
        <f>IFERROR(__xludf.DUMMYFUNCTION("""COMPUTED_VALUE"""),"gabrielaflores2905@gmail.com")</f>
        <v>gabrielaflores2905@gmail.com</v>
      </c>
      <c r="AM370" s="1" t="str">
        <f>IFERROR(__xludf.DUMMYFUNCTION("""COMPUTED_VALUE"""),"FEMENINO")</f>
        <v>FEMENINO</v>
      </c>
      <c r="AN370" s="1">
        <f>IFERROR(__xludf.DUMMYFUNCTION("""COMPUTED_VALUE"""),1350.0)</f>
        <v>1350</v>
      </c>
      <c r="AO370" s="1">
        <f>IFERROR(__xludf.DUMMYFUNCTION("""COMPUTED_VALUE"""),0.0)</f>
        <v>0</v>
      </c>
      <c r="AP370" s="1" t="str">
        <f>IFERROR(__xludf.DUMMYFUNCTION("""COMPUTED_VALUE"""),"FORMULARIO")</f>
        <v>FORMULARIO</v>
      </c>
      <c r="AQ370" s="1" t="str">
        <f>IFERROR(__xludf.DUMMYFUNCTION("""COMPUTED_VALUE"""),"ORGANICO")</f>
        <v>ORGANICO</v>
      </c>
      <c r="AR370" s="1" t="str">
        <f>IFERROR(__xludf.DUMMYFUNCTION("""COMPUTED_VALUE"""),"NUEVO")</f>
        <v>NUEVO</v>
      </c>
      <c r="AS370" s="1"/>
      <c r="AT370" s="2">
        <f>IFERROR(__xludf.DUMMYFUNCTION("""COMPUTED_VALUE"""),45635.0)</f>
        <v>45635</v>
      </c>
      <c r="AU370" s="1">
        <f>IFERROR(__xludf.DUMMYFUNCTION("""COMPUTED_VALUE"""),1.0)</f>
        <v>1</v>
      </c>
      <c r="AV370" s="1" t="str">
        <f>IFERROR(__xludf.DUMMYFUNCTION("""COMPUTED_VALUE"""),"NUEVO")</f>
        <v>NUEVO</v>
      </c>
      <c r="AW370" s="1"/>
      <c r="AX370" s="1"/>
      <c r="AY370" s="1" t="str">
        <f>IFERROR(__xludf.DUMMYFUNCTION("""COMPUTED_VALUE"""),"PAGO COMPLETO")</f>
        <v>PAGO COMPLETO</v>
      </c>
      <c r="AZ370" s="5">
        <f>IFERROR(__xludf.DUMMYFUNCTION("""COMPUTED_VALUE"""),45688.0)</f>
        <v>45688</v>
      </c>
      <c r="BA370" s="1">
        <f>IFERROR(__xludf.DUMMYFUNCTION("""COMPUTED_VALUE"""),420.0)</f>
        <v>420</v>
      </c>
      <c r="BB370" s="1">
        <f>IFERROR(__xludf.DUMMYFUNCTION("""COMPUTED_VALUE"""),0.0)</f>
        <v>0</v>
      </c>
      <c r="BC370" s="4">
        <f>IFERROR(__xludf.DUMMYFUNCTION("""COMPUTED_VALUE"""),0.0)</f>
        <v>0</v>
      </c>
      <c r="BD370" s="4">
        <f>IFERROR(__xludf.DUMMYFUNCTION("""COMPUTED_VALUE"""),0.0)</f>
        <v>0</v>
      </c>
      <c r="BE370" s="1">
        <f>IFERROR(__xludf.DUMMYFUNCTION("""COMPUTED_VALUE"""),1.0)</f>
        <v>1</v>
      </c>
      <c r="BF370" s="6">
        <f>IFERROR(__xludf.DUMMYFUNCTION("""COMPUTED_VALUE"""),1.0)</f>
        <v>1</v>
      </c>
      <c r="BG370" s="1">
        <f>IFERROR(__xludf.DUMMYFUNCTION("""COMPUTED_VALUE"""),1.0)</f>
        <v>1</v>
      </c>
      <c r="BH370" s="1" t="str">
        <f>IFERROR(__xludf.DUMMYFUNCTION("""COMPUTED_VALUE"""),"0")</f>
        <v>0</v>
      </c>
      <c r="BI370" s="4">
        <f>IFERROR(__xludf.DUMMYFUNCTION("""COMPUTED_VALUE"""),850.0)</f>
        <v>850</v>
      </c>
      <c r="BJ370" s="1">
        <f>IFERROR(__xludf.DUMMYFUNCTION("""COMPUTED_VALUE"""),0.0)</f>
        <v>0</v>
      </c>
      <c r="BK370" s="4">
        <f>IFERROR(__xludf.DUMMYFUNCTION("""COMPUTED_VALUE"""),0.0)</f>
        <v>0</v>
      </c>
      <c r="BL370" s="1">
        <f>IFERROR(__xludf.DUMMYFUNCTION("""COMPUTED_VALUE"""),850.0)</f>
        <v>850</v>
      </c>
      <c r="BM370" s="1">
        <f>IFERROR(__xludf.DUMMYFUNCTION("""COMPUTED_VALUE"""),3.0)</f>
        <v>3</v>
      </c>
      <c r="BN370" s="2">
        <f>IFERROR(__xludf.DUMMYFUNCTION("""COMPUTED_VALUE"""),45670.0)</f>
        <v>45670</v>
      </c>
      <c r="BO370" s="1">
        <f>IFERROR(__xludf.DUMMYFUNCTION("""COMPUTED_VALUE"""),1.0)</f>
        <v>1</v>
      </c>
      <c r="BP370" s="1">
        <f>IFERROR(__xludf.DUMMYFUNCTION("""COMPUTED_VALUE"""),2025.0)</f>
        <v>2025</v>
      </c>
    </row>
    <row r="371">
      <c r="A371" s="1">
        <f>IFERROR(__xludf.DUMMYFUNCTION("""COMPUTED_VALUE"""),370.0)</f>
        <v>370</v>
      </c>
      <c r="B371" s="1">
        <f>IFERROR(__xludf.DUMMYFUNCTION("""COMPUTED_VALUE"""),4957234.0)</f>
        <v>4957234</v>
      </c>
      <c r="C371" s="1" t="str">
        <f>IFERROR(__xludf.DUMMYFUNCTION("""COMPUTED_VALUE"""),"2025-1")</f>
        <v>2025-1</v>
      </c>
      <c r="D371" s="1" t="str">
        <f>IFERROR(__xludf.DUMMYFUNCTION("""COMPUTED_VALUE"""),"Admisión de Alto Rendimiento")</f>
        <v>Admisión de Alto Rendimiento</v>
      </c>
      <c r="E371" s="2">
        <f>IFERROR(__xludf.DUMMYFUNCTION("""COMPUTED_VALUE"""),45675.0)</f>
        <v>45675</v>
      </c>
      <c r="F371" s="1" t="str">
        <f>IFERROR(__xludf.DUMMYFUNCTION("""COMPUTED_VALUE"""),"STHIF BRANDON ")</f>
        <v>STHIF BRANDON </v>
      </c>
      <c r="G371" s="1" t="str">
        <f>IFERROR(__xludf.DUMMYFUNCTION("""COMPUTED_VALUE"""),"GARCIA SANDOVAL")</f>
        <v>GARCIA SANDOVAL</v>
      </c>
      <c r="H371" s="1" t="str">
        <f>IFERROR(__xludf.DUMMYFUNCTION("""COMPUTED_VALUE"""),"Administración y Negocios Internacionales")</f>
        <v>Administración y Negocios Internacionales</v>
      </c>
      <c r="I371" s="1" t="str">
        <f>IFERROR(__xludf.DUMMYFUNCTION("""COMPUTED_VALUE"""),"POS")</f>
        <v>POS</v>
      </c>
      <c r="J371" s="1" t="str">
        <f>IFERROR(__xludf.DUMMYFUNCTION("""COMPUTED_VALUE"""),"Diurno")</f>
        <v>Diurno</v>
      </c>
      <c r="K371" s="1" t="str">
        <f>IFERROR(__xludf.DUMMYFUNCTION("""COMPUTED_VALUE"""),"NUEVO")</f>
        <v>NUEVO</v>
      </c>
      <c r="L371" s="1">
        <f>IFERROR(__xludf.DUMMYFUNCTION("""COMPUTED_VALUE"""),0.0)</f>
        <v>0</v>
      </c>
      <c r="M371" s="1">
        <f>IFERROR(__xludf.DUMMYFUNCTION("""COMPUTED_VALUE"""),0.0)</f>
        <v>0</v>
      </c>
      <c r="N371" s="1" t="str">
        <f>IFERROR(__xludf.DUMMYFUNCTION("""COMPUTED_VALUE"""),"BECA")</f>
        <v>BECA</v>
      </c>
      <c r="O371" s="1" t="str">
        <f>IFERROR(__xludf.DUMMYFUNCTION("""COMPUTED_VALUE"""),"BECA CARRERAS NUEVAS")</f>
        <v>BECA CARRERAS NUEVAS</v>
      </c>
      <c r="P371" s="4">
        <f>IFERROR(__xludf.DUMMYFUNCTION("""COMPUTED_VALUE"""),0.0)</f>
        <v>0</v>
      </c>
      <c r="Q371" s="4">
        <f>IFERROR(__xludf.DUMMYFUNCTION("""COMPUTED_VALUE"""),0.0)</f>
        <v>0</v>
      </c>
      <c r="R371" s="4">
        <f>IFERROR(__xludf.DUMMYFUNCTION("""COMPUTED_VALUE"""),1000.0)</f>
        <v>1000</v>
      </c>
      <c r="S371" s="4">
        <f>IFERROR(__xludf.DUMMYFUNCTION("""COMPUTED_VALUE"""),850.0)</f>
        <v>850</v>
      </c>
      <c r="T371" s="1" t="str">
        <f>IFERROR(__xludf.DUMMYFUNCTION("""COMPUTED_VALUE"""),"Visita Guiada")</f>
        <v>Visita Guiada</v>
      </c>
      <c r="U371" s="1"/>
      <c r="V371" s="1" t="str">
        <f>IFERROR(__xludf.DUMMYFUNCTION("""COMPUTED_VALUE"""),"Ninguno")</f>
        <v>Ninguno</v>
      </c>
      <c r="W371" s="1" t="str">
        <f>IFERROR(__xludf.DUMMYFUNCTION("""COMPUTED_VALUE"""),"Metodología de enseñanza")</f>
        <v>Metodología de enseñanza</v>
      </c>
      <c r="X371" s="1"/>
      <c r="Y371" s="1" t="str">
        <f>IFERROR(__xludf.DUMMYFUNCTION("""COMPUTED_VALUE"""),"PAGO COMPLETO")</f>
        <v>PAGO COMPLETO</v>
      </c>
      <c r="Z371" s="1"/>
      <c r="AA371" s="1"/>
      <c r="AB371" s="1">
        <f>IFERROR(__xludf.DUMMYFUNCTION("""COMPUTED_VALUE"""),0.0)</f>
        <v>0</v>
      </c>
      <c r="AC371" s="1">
        <f>IFERROR(__xludf.DUMMYFUNCTION("""COMPUTED_VALUE"""),0.0)</f>
        <v>0</v>
      </c>
      <c r="AD371" s="1" t="str">
        <f>IFERROR(__xludf.DUMMYFUNCTION("""COMPUTED_VALUE"""),"Ingrid Guillermo Rivera")</f>
        <v>Ingrid Guillermo Rivera</v>
      </c>
      <c r="AE371" s="1" t="str">
        <f>IFERROR(__xludf.DUMMYFUNCTION("""COMPUTED_VALUE"""),"0")</f>
        <v>0</v>
      </c>
      <c r="AF371" s="1">
        <f>IFERROR(__xludf.DUMMYFUNCTION("""COMPUTED_VALUE"""),2024.0)</f>
        <v>2024</v>
      </c>
      <c r="AG371" s="1">
        <f>IFERROR(__xludf.DUMMYFUNCTION("""COMPUTED_VALUE"""),1241595.0)</f>
        <v>1241595</v>
      </c>
      <c r="AH371" s="1">
        <f>IFERROR(__xludf.DUMMYFUNCTION("""COMPUTED_VALUE"""),18.0)</f>
        <v>18</v>
      </c>
      <c r="AI371" s="1" t="str">
        <f>IFERROR(__xludf.DUMMYFUNCTION("""COMPUTED_VALUE"""),"0000410264")</f>
        <v>0000410264</v>
      </c>
      <c r="AJ371" s="1">
        <f>IFERROR(__xludf.DUMMYFUNCTION("""COMPUTED_VALUE"""),6.0071401E7)</f>
        <v>60071401</v>
      </c>
      <c r="AK371" s="1">
        <f>IFERROR(__xludf.DUMMYFUNCTION("""COMPUTED_VALUE"""),9.34386032E8)</f>
        <v>934386032</v>
      </c>
      <c r="AL371" s="1" t="str">
        <f>IFERROR(__xludf.DUMMYFUNCTION("""COMPUTED_VALUE"""),"sthifgarciasandoval@gmail.com")</f>
        <v>sthifgarciasandoval@gmail.com</v>
      </c>
      <c r="AM371" s="1" t="str">
        <f>IFERROR(__xludf.DUMMYFUNCTION("""COMPUTED_VALUE"""),"MASCULINO")</f>
        <v>MASCULINO</v>
      </c>
      <c r="AN371" s="1">
        <f>IFERROR(__xludf.DUMMYFUNCTION("""COMPUTED_VALUE"""),0.0)</f>
        <v>0</v>
      </c>
      <c r="AO371" s="1">
        <f>IFERROR(__xludf.DUMMYFUNCTION("""COMPUTED_VALUE"""),0.0)</f>
        <v>0</v>
      </c>
      <c r="AP371" s="1" t="str">
        <f>IFERROR(__xludf.DUMMYFUNCTION("""COMPUTED_VALUE"""),"INBOUND")</f>
        <v>INBOUND</v>
      </c>
      <c r="AQ371" s="1" t="str">
        <f>IFERROR(__xludf.DUMMYFUNCTION("""COMPUTED_VALUE"""),"INBOUND")</f>
        <v>INBOUND</v>
      </c>
      <c r="AR371" s="1" t="str">
        <f>IFERROR(__xludf.DUMMYFUNCTION("""COMPUTED_VALUE"""),"NUEVO")</f>
        <v>NUEVO</v>
      </c>
      <c r="AS371" s="1"/>
      <c r="AT371" s="2">
        <f>IFERROR(__xludf.DUMMYFUNCTION("""COMPUTED_VALUE"""),45675.0)</f>
        <v>45675</v>
      </c>
      <c r="AU371" s="1">
        <f>IFERROR(__xludf.DUMMYFUNCTION("""COMPUTED_VALUE"""),1.0)</f>
        <v>1</v>
      </c>
      <c r="AV371" s="1" t="str">
        <f>IFERROR(__xludf.DUMMYFUNCTION("""COMPUTED_VALUE"""),"NUEVO")</f>
        <v>NUEVO</v>
      </c>
      <c r="AW371" s="1" t="str">
        <f>IFERROR(__xludf.DUMMYFUNCTION("""COMPUTED_VALUE"""),"SI")</f>
        <v>SI</v>
      </c>
      <c r="AX371" s="1"/>
      <c r="AY371" s="1" t="str">
        <f>IFERROR(__xludf.DUMMYFUNCTION("""COMPUTED_VALUE"""),"PAGO COMPLETO")</f>
        <v>PAGO COMPLETO</v>
      </c>
      <c r="AZ371" s="5">
        <f>IFERROR(__xludf.DUMMYFUNCTION("""COMPUTED_VALUE"""),45675.0)</f>
        <v>45675</v>
      </c>
      <c r="BA371" s="1">
        <f>IFERROR(__xludf.DUMMYFUNCTION("""COMPUTED_VALUE"""),0.0)</f>
        <v>0</v>
      </c>
      <c r="BB371" s="1">
        <f>IFERROR(__xludf.DUMMYFUNCTION("""COMPUTED_VALUE"""),0.0)</f>
        <v>0</v>
      </c>
      <c r="BC371" s="4">
        <f>IFERROR(__xludf.DUMMYFUNCTION("""COMPUTED_VALUE"""),0.0)</f>
        <v>0</v>
      </c>
      <c r="BD371" s="4">
        <f>IFERROR(__xludf.DUMMYFUNCTION("""COMPUTED_VALUE"""),100.0)</f>
        <v>100</v>
      </c>
      <c r="BE371" s="1">
        <f>IFERROR(__xludf.DUMMYFUNCTION("""COMPUTED_VALUE"""),1.0)</f>
        <v>1</v>
      </c>
      <c r="BF371" s="6">
        <f>IFERROR(__xludf.DUMMYFUNCTION("""COMPUTED_VALUE"""),1.0)</f>
        <v>1</v>
      </c>
      <c r="BG371" s="1">
        <f>IFERROR(__xludf.DUMMYFUNCTION("""COMPUTED_VALUE"""),1.0)</f>
        <v>1</v>
      </c>
      <c r="BH371" s="1" t="str">
        <f>IFERROR(__xludf.DUMMYFUNCTION("""COMPUTED_VALUE"""),"0")</f>
        <v>0</v>
      </c>
      <c r="BI371" s="4">
        <f>IFERROR(__xludf.DUMMYFUNCTION("""COMPUTED_VALUE"""),100.0)</f>
        <v>100</v>
      </c>
      <c r="BJ371" s="1">
        <f>IFERROR(__xludf.DUMMYFUNCTION("""COMPUTED_VALUE"""),0.0)</f>
        <v>0</v>
      </c>
      <c r="BK371" s="4">
        <f>IFERROR(__xludf.DUMMYFUNCTION("""COMPUTED_VALUE"""),100.0)</f>
        <v>100</v>
      </c>
      <c r="BL371" s="1">
        <f>IFERROR(__xludf.DUMMYFUNCTION("""COMPUTED_VALUE"""),830.0)</f>
        <v>830</v>
      </c>
      <c r="BM371" s="1">
        <f>IFERROR(__xludf.DUMMYFUNCTION("""COMPUTED_VALUE"""),3.0)</f>
        <v>3</v>
      </c>
      <c r="BN371" s="2">
        <f>IFERROR(__xludf.DUMMYFUNCTION("""COMPUTED_VALUE"""),45670.0)</f>
        <v>45670</v>
      </c>
      <c r="BO371" s="1">
        <f>IFERROR(__xludf.DUMMYFUNCTION("""COMPUTED_VALUE"""),1.0)</f>
        <v>1</v>
      </c>
      <c r="BP371" s="1">
        <f>IFERROR(__xludf.DUMMYFUNCTION("""COMPUTED_VALUE"""),2025.0)</f>
        <v>2025</v>
      </c>
    </row>
    <row r="372">
      <c r="A372" s="1">
        <f>IFERROR(__xludf.DUMMYFUNCTION("""COMPUTED_VALUE"""),371.0)</f>
        <v>371</v>
      </c>
      <c r="B372" s="1">
        <f>IFERROR(__xludf.DUMMYFUNCTION("""COMPUTED_VALUE"""),2868735.0)</f>
        <v>2868735</v>
      </c>
      <c r="C372" s="1" t="str">
        <f>IFERROR(__xludf.DUMMYFUNCTION("""COMPUTED_VALUE"""),"2025-1")</f>
        <v>2025-1</v>
      </c>
      <c r="D372" s="1" t="str">
        <f>IFERROR(__xludf.DUMMYFUNCTION("""COMPUTED_VALUE"""),"Admisión Ordinaria")</f>
        <v>Admisión Ordinaria</v>
      </c>
      <c r="E372" s="2">
        <f>IFERROR(__xludf.DUMMYFUNCTION("""COMPUTED_VALUE"""),45675.0)</f>
        <v>45675</v>
      </c>
      <c r="F372" s="1" t="str">
        <f>IFERROR(__xludf.DUMMYFUNCTION("""COMPUTED_VALUE"""),"SHERYL YADHIRA")</f>
        <v>SHERYL YADHIRA</v>
      </c>
      <c r="G372" s="1" t="str">
        <f>IFERROR(__xludf.DUMMYFUNCTION("""COMPUTED_VALUE"""),"BERECHE VENANCIO")</f>
        <v>BERECHE VENANCIO</v>
      </c>
      <c r="H372" s="1" t="str">
        <f>IFERROR(__xludf.DUMMYFUNCTION("""COMPUTED_VALUE"""),"Comunicación Audiovisual y Cine")</f>
        <v>Comunicación Audiovisual y Cine</v>
      </c>
      <c r="I372" s="1" t="str">
        <f>IFERROR(__xludf.DUMMYFUNCTION("""COMPUTED_VALUE"""),"CARGO")</f>
        <v>CARGO</v>
      </c>
      <c r="J372" s="1" t="str">
        <f>IFERROR(__xludf.DUMMYFUNCTION("""COMPUTED_VALUE"""),"Diurno")</f>
        <v>Diurno</v>
      </c>
      <c r="K372" s="1" t="str">
        <f>IFERROR(__xludf.DUMMYFUNCTION("""COMPUTED_VALUE"""),"NUEVO")</f>
        <v>NUEVO</v>
      </c>
      <c r="L372" s="1">
        <f>IFERROR(__xludf.DUMMYFUNCTION("""COMPUTED_VALUE"""),0.0)</f>
        <v>0</v>
      </c>
      <c r="M372" s="1">
        <f>IFERROR(__xludf.DUMMYFUNCTION("""COMPUTED_VALUE"""),0.0)</f>
        <v>0</v>
      </c>
      <c r="N372" s="1" t="str">
        <f>IFERROR(__xludf.DUMMYFUNCTION("""COMPUTED_VALUE"""),"BECA")</f>
        <v>BECA</v>
      </c>
      <c r="O372" s="1" t="str">
        <f>IFERROR(__xludf.DUMMYFUNCTION("""COMPUTED_VALUE"""),"BECA CONGELADA DE 2 AÑOS")</f>
        <v>BECA CONGELADA DE 2 AÑOS</v>
      </c>
      <c r="P372" s="4">
        <f>IFERROR(__xludf.DUMMYFUNCTION("""COMPUTED_VALUE"""),0.0)</f>
        <v>0</v>
      </c>
      <c r="Q372" s="4">
        <f>IFERROR(__xludf.DUMMYFUNCTION("""COMPUTED_VALUE"""),0.0)</f>
        <v>0</v>
      </c>
      <c r="R372" s="4">
        <f>IFERROR(__xludf.DUMMYFUNCTION("""COMPUTED_VALUE"""),1050.0)</f>
        <v>1050</v>
      </c>
      <c r="S372" s="4">
        <f>IFERROR(__xludf.DUMMYFUNCTION("""COMPUTED_VALUE"""),950.0)</f>
        <v>950</v>
      </c>
      <c r="T372" s="1" t="str">
        <f>IFERROR(__xludf.DUMMYFUNCTION("""COMPUTED_VALUE"""),"NINGUNO")</f>
        <v>NINGUNO</v>
      </c>
      <c r="U372" s="1" t="str">
        <f>IFERROR(__xludf.DUMMYFUNCTION("""COMPUTED_VALUE"""),"FABIOLA")</f>
        <v>FABIOLA</v>
      </c>
      <c r="V372" s="1" t="str">
        <f>IFERROR(__xludf.DUMMYFUNCTION("""COMPUTED_VALUE"""),"Angelica Iparraguirre")</f>
        <v>Angelica Iparraguirre</v>
      </c>
      <c r="W372" s="1" t="str">
        <f>IFERROR(__xludf.DUMMYFUNCTION("""COMPUTED_VALUE"""),"Malla curricular")</f>
        <v>Malla curricular</v>
      </c>
      <c r="X372" s="1"/>
      <c r="Y372" s="1" t="str">
        <f>IFERROR(__xludf.DUMMYFUNCTION("""COMPUTED_VALUE"""),"PAGO COMPLETO")</f>
        <v>PAGO COMPLETO</v>
      </c>
      <c r="Z372" s="1"/>
      <c r="AA372" s="1"/>
      <c r="AB372" s="1">
        <f>IFERROR(__xludf.DUMMYFUNCTION("""COMPUTED_VALUE"""),1.0)</f>
        <v>1</v>
      </c>
      <c r="AC372" s="1">
        <f>IFERROR(__xludf.DUMMYFUNCTION("""COMPUTED_VALUE"""),0.0)</f>
        <v>0</v>
      </c>
      <c r="AD372" s="1" t="str">
        <f>IFERROR(__xludf.DUMMYFUNCTION("""COMPUTED_VALUE"""),"Angelica Iparraguirre")</f>
        <v>Angelica Iparraguirre</v>
      </c>
      <c r="AE372" s="1" t="str">
        <f>IFERROR(__xludf.DUMMYFUNCTION("""COMPUTED_VALUE"""),"0")</f>
        <v>0</v>
      </c>
      <c r="AF372" s="1">
        <f>IFERROR(__xludf.DUMMYFUNCTION("""COMPUTED_VALUE"""),2021.0)</f>
        <v>2021</v>
      </c>
      <c r="AG372" s="1">
        <f>IFERROR(__xludf.DUMMYFUNCTION("""COMPUTED_VALUE"""),325464.0)</f>
        <v>325464</v>
      </c>
      <c r="AH372" s="1">
        <f>IFERROR(__xludf.DUMMYFUNCTION("""COMPUTED_VALUE"""),21.0)</f>
        <v>21</v>
      </c>
      <c r="AI372" s="1" t="str">
        <f>IFERROR(__xludf.DUMMYFUNCTION("""COMPUTED_VALUE"""),"0000410257")</f>
        <v>0000410257</v>
      </c>
      <c r="AJ372" s="1">
        <f>IFERROR(__xludf.DUMMYFUNCTION("""COMPUTED_VALUE"""),7.1972746E7)</f>
        <v>71972746</v>
      </c>
      <c r="AK372" s="1">
        <f>IFERROR(__xludf.DUMMYFUNCTION("""COMPUTED_VALUE"""),9.53722233E8)</f>
        <v>953722233</v>
      </c>
      <c r="AL372" s="1" t="str">
        <f>IFERROR(__xludf.DUMMYFUNCTION("""COMPUTED_VALUE"""),"sherylbereche@gmail.com")</f>
        <v>sherylbereche@gmail.com</v>
      </c>
      <c r="AM372" s="1" t="str">
        <f>IFERROR(__xludf.DUMMYFUNCTION("""COMPUTED_VALUE"""),"FEMENINO")</f>
        <v>FEMENINO</v>
      </c>
      <c r="AN372" s="1">
        <f>IFERROR(__xludf.DUMMYFUNCTION("""COMPUTED_VALUE"""),1350.0)</f>
        <v>1350</v>
      </c>
      <c r="AO372" s="1">
        <f>IFERROR(__xludf.DUMMYFUNCTION("""COMPUTED_VALUE"""),0.0)</f>
        <v>0</v>
      </c>
      <c r="AP372" s="1" t="str">
        <f>IFERROR(__xludf.DUMMYFUNCTION("""COMPUTED_VALUE"""),"FORMULARIO")</f>
        <v>FORMULARIO</v>
      </c>
      <c r="AQ372" s="1" t="str">
        <f>IFERROR(__xludf.DUMMYFUNCTION("""COMPUTED_VALUE"""),"SEARCH CARRERA")</f>
        <v>SEARCH CARRERA</v>
      </c>
      <c r="AR372" s="1" t="str">
        <f>IFERROR(__xludf.DUMMYFUNCTION("""COMPUTED_VALUE"""),"HEREDADO")</f>
        <v>HEREDADO</v>
      </c>
      <c r="AS372" s="1" t="str">
        <f>IFERROR(__xludf.DUMMYFUNCTION("""COMPUTED_VALUE"""),"ucal-pg-performance-sedes-abierta-cpl-search_conversion_mundo_comunicaciones_reactivacion-20241105")</f>
        <v>ucal-pg-performance-sedes-abierta-cpl-search_conversion_mundo_comunicaciones_reactivacion-20241105</v>
      </c>
      <c r="AT372" s="2">
        <f>IFERROR(__xludf.DUMMYFUNCTION("""COMPUTED_VALUE"""),45671.0)</f>
        <v>45671</v>
      </c>
      <c r="AU372" s="1">
        <f>IFERROR(__xludf.DUMMYFUNCTION("""COMPUTED_VALUE"""),1.0)</f>
        <v>1</v>
      </c>
      <c r="AV372" s="1" t="str">
        <f>IFERROR(__xludf.DUMMYFUNCTION("""COMPUTED_VALUE"""),"NUEVO")</f>
        <v>NUEVO</v>
      </c>
      <c r="AW372" s="1"/>
      <c r="AX372" s="1"/>
      <c r="AY372" s="1" t="str">
        <f>IFERROR(__xludf.DUMMYFUNCTION("""COMPUTED_VALUE"""),"PAGO COMPLETO")</f>
        <v>PAGO COMPLETO</v>
      </c>
      <c r="AZ372" s="5">
        <f>IFERROR(__xludf.DUMMYFUNCTION("""COMPUTED_VALUE"""),45675.0)</f>
        <v>45675</v>
      </c>
      <c r="BA372" s="1">
        <f>IFERROR(__xludf.DUMMYFUNCTION("""COMPUTED_VALUE"""),0.0)</f>
        <v>0</v>
      </c>
      <c r="BB372" s="1">
        <f>IFERROR(__xludf.DUMMYFUNCTION("""COMPUTED_VALUE"""),0.0)</f>
        <v>0</v>
      </c>
      <c r="BC372" s="4">
        <f>IFERROR(__xludf.DUMMYFUNCTION("""COMPUTED_VALUE"""),0.0)</f>
        <v>0</v>
      </c>
      <c r="BD372" s="4">
        <f>IFERROR(__xludf.DUMMYFUNCTION("""COMPUTED_VALUE"""),0.0)</f>
        <v>0</v>
      </c>
      <c r="BE372" s="1">
        <f>IFERROR(__xludf.DUMMYFUNCTION("""COMPUTED_VALUE"""),1.0)</f>
        <v>1</v>
      </c>
      <c r="BF372" s="6">
        <f>IFERROR(__xludf.DUMMYFUNCTION("""COMPUTED_VALUE"""),1.0)</f>
        <v>1</v>
      </c>
      <c r="BG372" s="1">
        <f>IFERROR(__xludf.DUMMYFUNCTION("""COMPUTED_VALUE"""),1.0)</f>
        <v>1</v>
      </c>
      <c r="BH372" s="1" t="str">
        <f>IFERROR(__xludf.DUMMYFUNCTION("""COMPUTED_VALUE"""),"0")</f>
        <v>0</v>
      </c>
      <c r="BI372" s="4">
        <f>IFERROR(__xludf.DUMMYFUNCTION("""COMPUTED_VALUE"""),0.0)</f>
        <v>0</v>
      </c>
      <c r="BJ372" s="1">
        <f>IFERROR(__xludf.DUMMYFUNCTION("""COMPUTED_VALUE"""),0.0)</f>
        <v>0</v>
      </c>
      <c r="BK372" s="4">
        <f>IFERROR(__xludf.DUMMYFUNCTION("""COMPUTED_VALUE"""),0.0)</f>
        <v>0</v>
      </c>
      <c r="BL372" s="1">
        <f>IFERROR(__xludf.DUMMYFUNCTION("""COMPUTED_VALUE"""),950.0)</f>
        <v>950</v>
      </c>
      <c r="BM372" s="1">
        <f>IFERROR(__xludf.DUMMYFUNCTION("""COMPUTED_VALUE"""),3.0)</f>
        <v>3</v>
      </c>
      <c r="BN372" s="2">
        <f>IFERROR(__xludf.DUMMYFUNCTION("""COMPUTED_VALUE"""),45670.0)</f>
        <v>45670</v>
      </c>
      <c r="BO372" s="1">
        <f>IFERROR(__xludf.DUMMYFUNCTION("""COMPUTED_VALUE"""),1.0)</f>
        <v>1</v>
      </c>
      <c r="BP372" s="1">
        <f>IFERROR(__xludf.DUMMYFUNCTION("""COMPUTED_VALUE"""),2025.0)</f>
        <v>2025</v>
      </c>
    </row>
    <row r="373">
      <c r="A373" s="1">
        <f>IFERROR(__xludf.DUMMYFUNCTION("""COMPUTED_VALUE"""),372.0)</f>
        <v>372</v>
      </c>
      <c r="B373" s="1">
        <f>IFERROR(__xludf.DUMMYFUNCTION("""COMPUTED_VALUE"""),4947844.0)</f>
        <v>4947844</v>
      </c>
      <c r="C373" s="1" t="str">
        <f>IFERROR(__xludf.DUMMYFUNCTION("""COMPUTED_VALUE"""),"2025-1")</f>
        <v>2025-1</v>
      </c>
      <c r="D373" s="1" t="str">
        <f>IFERROR(__xludf.DUMMYFUNCTION("""COMPUTED_VALUE"""),"Admisión Extraordinaria (Traslados)")</f>
        <v>Admisión Extraordinaria (Traslados)</v>
      </c>
      <c r="E373" s="2">
        <f>IFERROR(__xludf.DUMMYFUNCTION("""COMPUTED_VALUE"""),45675.0)</f>
        <v>45675</v>
      </c>
      <c r="F373" s="1" t="str">
        <f>IFERROR(__xludf.DUMMYFUNCTION("""COMPUTED_VALUE"""),"SADDY ADHEMIR")</f>
        <v>SADDY ADHEMIR</v>
      </c>
      <c r="G373" s="1" t="str">
        <f>IFERROR(__xludf.DUMMYFUNCTION("""COMPUTED_VALUE"""),"OLARTE GARCIA")</f>
        <v>OLARTE GARCIA</v>
      </c>
      <c r="H373" s="1" t="str">
        <f>IFERROR(__xludf.DUMMYFUNCTION("""COMPUTED_VALUE"""),"Comunicación Audiovisual y Cine")</f>
        <v>Comunicación Audiovisual y Cine</v>
      </c>
      <c r="I373" s="1" t="str">
        <f>IFERROR(__xludf.DUMMYFUNCTION("""COMPUTED_VALUE"""),"Pago Link")</f>
        <v>Pago Link</v>
      </c>
      <c r="J373" s="1" t="str">
        <f>IFERROR(__xludf.DUMMYFUNCTION("""COMPUTED_VALUE"""),"Diurno")</f>
        <v>Diurno</v>
      </c>
      <c r="K373" s="1" t="str">
        <f>IFERROR(__xludf.DUMMYFUNCTION("""COMPUTED_VALUE"""),"TRASLADO")</f>
        <v>TRASLADO</v>
      </c>
      <c r="L373" s="1">
        <f>IFERROR(__xludf.DUMMYFUNCTION("""COMPUTED_VALUE"""),1.0)</f>
        <v>1</v>
      </c>
      <c r="M373" s="1">
        <f>IFERROR(__xludf.DUMMYFUNCTION("""COMPUTED_VALUE"""),0.0)</f>
        <v>0</v>
      </c>
      <c r="N373" s="1" t="str">
        <f>IFERROR(__xludf.DUMMYFUNCTION("""COMPUTED_VALUE"""),"RECA")</f>
        <v>RECA</v>
      </c>
      <c r="O373" s="1" t="str">
        <f>IFERROR(__xludf.DUMMYFUNCTION("""COMPUTED_VALUE"""),"RECA TRASLADO CON CONVA")</f>
        <v>RECA TRASLADO CON CONVA</v>
      </c>
      <c r="P373" s="4">
        <f>IFERROR(__xludf.DUMMYFUNCTION("""COMPUTED_VALUE"""),0.0)</f>
        <v>0</v>
      </c>
      <c r="Q373" s="4">
        <f>IFERROR(__xludf.DUMMYFUNCTION("""COMPUTED_VALUE"""),0.0)</f>
        <v>0</v>
      </c>
      <c r="R373" s="4">
        <f>IFERROR(__xludf.DUMMYFUNCTION("""COMPUTED_VALUE"""),1050.0)</f>
        <v>1050</v>
      </c>
      <c r="S373" s="4">
        <f>IFERROR(__xludf.DUMMYFUNCTION("""COMPUTED_VALUE"""),700.0)</f>
        <v>700</v>
      </c>
      <c r="T373" s="1" t="str">
        <f>IFERROR(__xludf.DUMMYFUNCTION("""COMPUTED_VALUE"""),"NINGUNO")</f>
        <v>NINGUNO</v>
      </c>
      <c r="U373" s="1" t="str">
        <f>IFERROR(__xludf.DUMMYFUNCTION("""COMPUTED_VALUE"""),"FABIOLA")</f>
        <v>FABIOLA</v>
      </c>
      <c r="V373" s="1" t="str">
        <f>IFERROR(__xludf.DUMMYFUNCTION("""COMPUTED_VALUE"""),"Ninguno")</f>
        <v>Ninguno</v>
      </c>
      <c r="W373" s="1" t="str">
        <f>IFERROR(__xludf.DUMMYFUNCTION("""COMPUTED_VALUE"""),"Egresados")</f>
        <v>Egresados</v>
      </c>
      <c r="X373" s="1"/>
      <c r="Y373" s="1" t="str">
        <f>IFERROR(__xludf.DUMMYFUNCTION("""COMPUTED_VALUE"""),"PAGO COMPLETO")</f>
        <v>PAGO COMPLETO</v>
      </c>
      <c r="Z373" s="1"/>
      <c r="AA373" s="1"/>
      <c r="AB373" s="1">
        <f>IFERROR(__xludf.DUMMYFUNCTION("""COMPUTED_VALUE"""),1.0)</f>
        <v>1</v>
      </c>
      <c r="AC373" s="1">
        <f>IFERROR(__xludf.DUMMYFUNCTION("""COMPUTED_VALUE"""),0.0)</f>
        <v>0</v>
      </c>
      <c r="AD373" s="1" t="str">
        <f>IFERROR(__xludf.DUMMYFUNCTION("""COMPUTED_VALUE"""),"Angelica Iparraguirre")</f>
        <v>Angelica Iparraguirre</v>
      </c>
      <c r="AE373" s="1" t="str">
        <f>IFERROR(__xludf.DUMMYFUNCTION("""COMPUTED_VALUE"""),"Cibertec")</f>
        <v>Cibertec</v>
      </c>
      <c r="AF373" s="1">
        <f>IFERROR(__xludf.DUMMYFUNCTION("""COMPUTED_VALUE"""),2020.0)</f>
        <v>2020</v>
      </c>
      <c r="AG373" s="1">
        <f>IFERROR(__xludf.DUMMYFUNCTION("""COMPUTED_VALUE"""),325464.0)</f>
        <v>325464</v>
      </c>
      <c r="AH373" s="1">
        <f>IFERROR(__xludf.DUMMYFUNCTION("""COMPUTED_VALUE"""),22.0)</f>
        <v>22</v>
      </c>
      <c r="AI373" s="1" t="str">
        <f>IFERROR(__xludf.DUMMYFUNCTION("""COMPUTED_VALUE"""),"0000409769")</f>
        <v>0000409769</v>
      </c>
      <c r="AJ373" s="1">
        <f>IFERROR(__xludf.DUMMYFUNCTION("""COMPUTED_VALUE"""),7.7793728E7)</f>
        <v>77793728</v>
      </c>
      <c r="AK373" s="1">
        <f>IFERROR(__xludf.DUMMYFUNCTION("""COMPUTED_VALUE"""),9.58032782E8)</f>
        <v>958032782</v>
      </c>
      <c r="AL373" s="1" t="str">
        <f>IFERROR(__xludf.DUMMYFUNCTION("""COMPUTED_VALUE"""),"saddyolartegarcia30@gmail.com")</f>
        <v>saddyolartegarcia30@gmail.com</v>
      </c>
      <c r="AM373" s="1" t="str">
        <f>IFERROR(__xludf.DUMMYFUNCTION("""COMPUTED_VALUE"""),"MASCULINO")</f>
        <v>MASCULINO</v>
      </c>
      <c r="AN373" s="1">
        <f>IFERROR(__xludf.DUMMYFUNCTION("""COMPUTED_VALUE"""),1350.0)</f>
        <v>1350</v>
      </c>
      <c r="AO373" s="1">
        <f>IFERROR(__xludf.DUMMYFUNCTION("""COMPUTED_VALUE"""),0.0)</f>
        <v>0</v>
      </c>
      <c r="AP373" s="1" t="str">
        <f>IFERROR(__xludf.DUMMYFUNCTION("""COMPUTED_VALUE"""),"FORMULARIO")</f>
        <v>FORMULARIO</v>
      </c>
      <c r="AQ373" s="1" t="str">
        <f>IFERROR(__xludf.DUMMYFUNCTION("""COMPUTED_VALUE"""),"ORGANICO")</f>
        <v>ORGANICO</v>
      </c>
      <c r="AR373" s="1" t="str">
        <f>IFERROR(__xludf.DUMMYFUNCTION("""COMPUTED_VALUE"""),"NUEVO")</f>
        <v>NUEVO</v>
      </c>
      <c r="AS373" s="1"/>
      <c r="AT373" s="2">
        <f>IFERROR(__xludf.DUMMYFUNCTION("""COMPUTED_VALUE"""),45666.0)</f>
        <v>45666</v>
      </c>
      <c r="AU373" s="1">
        <f>IFERROR(__xludf.DUMMYFUNCTION("""COMPUTED_VALUE"""),1.0)</f>
        <v>1</v>
      </c>
      <c r="AV373" s="1" t="str">
        <f>IFERROR(__xludf.DUMMYFUNCTION("""COMPUTED_VALUE"""),"TRASLADO")</f>
        <v>TRASLADO</v>
      </c>
      <c r="AW373" s="1"/>
      <c r="AX373" s="1"/>
      <c r="AY373" s="1" t="str">
        <f>IFERROR(__xludf.DUMMYFUNCTION("""COMPUTED_VALUE"""),"PAGO COMPLETO")</f>
        <v>PAGO COMPLETO</v>
      </c>
      <c r="AZ373" s="5">
        <f>IFERROR(__xludf.DUMMYFUNCTION("""COMPUTED_VALUE"""),45675.0)</f>
        <v>45675</v>
      </c>
      <c r="BA373" s="1">
        <f>IFERROR(__xludf.DUMMYFUNCTION("""COMPUTED_VALUE"""),0.0)</f>
        <v>0</v>
      </c>
      <c r="BB373" s="1">
        <f>IFERROR(__xludf.DUMMYFUNCTION("""COMPUTED_VALUE"""),0.0)</f>
        <v>0</v>
      </c>
      <c r="BC373" s="4">
        <f>IFERROR(__xludf.DUMMYFUNCTION("""COMPUTED_VALUE"""),0.0)</f>
        <v>0</v>
      </c>
      <c r="BD373" s="4">
        <f>IFERROR(__xludf.DUMMYFUNCTION("""COMPUTED_VALUE"""),0.0)</f>
        <v>0</v>
      </c>
      <c r="BE373" s="1">
        <f>IFERROR(__xludf.DUMMYFUNCTION("""COMPUTED_VALUE"""),1.0)</f>
        <v>1</v>
      </c>
      <c r="BF373" s="6">
        <f>IFERROR(__xludf.DUMMYFUNCTION("""COMPUTED_VALUE"""),1.0)</f>
        <v>1</v>
      </c>
      <c r="BG373" s="1">
        <f>IFERROR(__xludf.DUMMYFUNCTION("""COMPUTED_VALUE"""),1.0)</f>
        <v>1</v>
      </c>
      <c r="BH373" s="1" t="str">
        <f>IFERROR(__xludf.DUMMYFUNCTION("""COMPUTED_VALUE"""),"1")</f>
        <v>1</v>
      </c>
      <c r="BI373" s="4">
        <f>IFERROR(__xludf.DUMMYFUNCTION("""COMPUTED_VALUE"""),0.0)</f>
        <v>0</v>
      </c>
      <c r="BJ373" s="1">
        <f>IFERROR(__xludf.DUMMYFUNCTION("""COMPUTED_VALUE"""),0.0)</f>
        <v>0</v>
      </c>
      <c r="BK373" s="4">
        <f>IFERROR(__xludf.DUMMYFUNCTION("""COMPUTED_VALUE"""),0.0)</f>
        <v>0</v>
      </c>
      <c r="BL373" s="1">
        <f>IFERROR(__xludf.DUMMYFUNCTION("""COMPUTED_VALUE"""),700.0)</f>
        <v>700</v>
      </c>
      <c r="BM373" s="1">
        <f>IFERROR(__xludf.DUMMYFUNCTION("""COMPUTED_VALUE"""),3.0)</f>
        <v>3</v>
      </c>
      <c r="BN373" s="2">
        <f>IFERROR(__xludf.DUMMYFUNCTION("""COMPUTED_VALUE"""),45670.0)</f>
        <v>45670</v>
      </c>
      <c r="BO373" s="1">
        <f>IFERROR(__xludf.DUMMYFUNCTION("""COMPUTED_VALUE"""),1.0)</f>
        <v>1</v>
      </c>
      <c r="BP373" s="1">
        <f>IFERROR(__xludf.DUMMYFUNCTION("""COMPUTED_VALUE"""),2025.0)</f>
        <v>2025</v>
      </c>
    </row>
    <row r="374">
      <c r="A374" s="1">
        <f>IFERROR(__xludf.DUMMYFUNCTION("""COMPUTED_VALUE"""),373.0)</f>
        <v>373</v>
      </c>
      <c r="B374" s="1">
        <f>IFERROR(__xludf.DUMMYFUNCTION("""COMPUTED_VALUE"""),4961222.0)</f>
        <v>4961222</v>
      </c>
      <c r="C374" s="1" t="str">
        <f>IFERROR(__xludf.DUMMYFUNCTION("""COMPUTED_VALUE"""),"2025-1")</f>
        <v>2025-1</v>
      </c>
      <c r="D374" s="1" t="str">
        <f>IFERROR(__xludf.DUMMYFUNCTION("""COMPUTED_VALUE"""),"Admisión de Alto Rendimiento")</f>
        <v>Admisión de Alto Rendimiento</v>
      </c>
      <c r="E374" s="2">
        <f>IFERROR(__xludf.DUMMYFUNCTION("""COMPUTED_VALUE"""),45677.0)</f>
        <v>45677</v>
      </c>
      <c r="F374" s="1" t="str">
        <f>IFERROR(__xludf.DUMMYFUNCTION("""COMPUTED_VALUE"""),"JOSHUA FERNANDO ")</f>
        <v>JOSHUA FERNANDO </v>
      </c>
      <c r="G374" s="1" t="str">
        <f>IFERROR(__xludf.DUMMYFUNCTION("""COMPUTED_VALUE"""),"ELGUERA SANCHEZ")</f>
        <v>ELGUERA SANCHEZ</v>
      </c>
      <c r="H374" s="1" t="str">
        <f>IFERROR(__xludf.DUMMYFUNCTION("""COMPUTED_VALUE"""),"Arquitectura")</f>
        <v>Arquitectura</v>
      </c>
      <c r="I374" s="1" t="str">
        <f>IFERROR(__xludf.DUMMYFUNCTION("""COMPUTED_VALUE"""),"POS")</f>
        <v>POS</v>
      </c>
      <c r="J374" s="1" t="str">
        <f>IFERROR(__xludf.DUMMYFUNCTION("""COMPUTED_VALUE"""),"Diurno")</f>
        <v>Diurno</v>
      </c>
      <c r="K374" s="1" t="str">
        <f>IFERROR(__xludf.DUMMYFUNCTION("""COMPUTED_VALUE"""),"NUEVO")</f>
        <v>NUEVO</v>
      </c>
      <c r="L374" s="1">
        <f>IFERROR(__xludf.DUMMYFUNCTION("""COMPUTED_VALUE"""),0.0)</f>
        <v>0</v>
      </c>
      <c r="M374" s="1">
        <f>IFERROR(__xludf.DUMMYFUNCTION("""COMPUTED_VALUE"""),0.0)</f>
        <v>0</v>
      </c>
      <c r="N374" s="1" t="str">
        <f>IFERROR(__xludf.DUMMYFUNCTION("""COMPUTED_VALUE"""),"BECA")</f>
        <v>BECA</v>
      </c>
      <c r="O374" s="1" t="str">
        <f>IFERROR(__xludf.DUMMYFUNCTION("""COMPUTED_VALUE"""),"BECA CARRERAS CORE")</f>
        <v>BECA CARRERAS CORE</v>
      </c>
      <c r="P374" s="4">
        <f>IFERROR(__xludf.DUMMYFUNCTION("""COMPUTED_VALUE"""),0.0)</f>
        <v>0</v>
      </c>
      <c r="Q374" s="4">
        <f>IFERROR(__xludf.DUMMYFUNCTION("""COMPUTED_VALUE"""),0.0)</f>
        <v>0</v>
      </c>
      <c r="R374" s="4">
        <f>IFERROR(__xludf.DUMMYFUNCTION("""COMPUTED_VALUE"""),1050.0)</f>
        <v>1050</v>
      </c>
      <c r="S374" s="4">
        <f>IFERROR(__xludf.DUMMYFUNCTION("""COMPUTED_VALUE"""),900.0)</f>
        <v>900</v>
      </c>
      <c r="T374" s="1" t="str">
        <f>IFERROR(__xludf.DUMMYFUNCTION("""COMPUTED_VALUE"""),"Referido")</f>
        <v>Referido</v>
      </c>
      <c r="U374" s="1"/>
      <c r="V374" s="1" t="str">
        <f>IFERROR(__xludf.DUMMYFUNCTION("""COMPUTED_VALUE"""),"Ninguno")</f>
        <v>Ninguno</v>
      </c>
      <c r="W374" s="1" t="str">
        <f>IFERROR(__xludf.DUMMYFUNCTION("""COMPUTED_VALUE"""),"Metodología de enseñanza")</f>
        <v>Metodología de enseñanza</v>
      </c>
      <c r="X374" s="1" t="str">
        <f>IFERROR(__xludf.DUMMYFUNCTION("""COMPUTED_VALUE"""),"SU HERMANA REFIRIO 71818851 - YURIKA JOAQUINA ELGUERA SANCHEZ ")</f>
        <v>SU HERMANA REFIRIO 71818851 - YURIKA JOAQUINA ELGUERA SANCHEZ </v>
      </c>
      <c r="Y374" s="1" t="str">
        <f>IFERROR(__xludf.DUMMYFUNCTION("""COMPUTED_VALUE"""),"PAGO COMPLETO")</f>
        <v>PAGO COMPLETO</v>
      </c>
      <c r="Z374" s="1"/>
      <c r="AA374" s="1"/>
      <c r="AB374" s="1">
        <f>IFERROR(__xludf.DUMMYFUNCTION("""COMPUTED_VALUE"""),0.0)</f>
        <v>0</v>
      </c>
      <c r="AC374" s="1">
        <f>IFERROR(__xludf.DUMMYFUNCTION("""COMPUTED_VALUE"""),0.0)</f>
        <v>0</v>
      </c>
      <c r="AD374" s="1" t="str">
        <f>IFERROR(__xludf.DUMMYFUNCTION("""COMPUTED_VALUE"""),"Ingrid Guillermo Rivera")</f>
        <v>Ingrid Guillermo Rivera</v>
      </c>
      <c r="AE374" s="1" t="str">
        <f>IFERROR(__xludf.DUMMYFUNCTION("""COMPUTED_VALUE"""),"0")</f>
        <v>0</v>
      </c>
      <c r="AF374" s="1">
        <f>IFERROR(__xludf.DUMMYFUNCTION("""COMPUTED_VALUE"""),2024.0)</f>
        <v>2024</v>
      </c>
      <c r="AG374" s="1">
        <f>IFERROR(__xludf.DUMMYFUNCTION("""COMPUTED_VALUE"""),724815.0)</f>
        <v>724815</v>
      </c>
      <c r="AH374" s="1">
        <f>IFERROR(__xludf.DUMMYFUNCTION("""COMPUTED_VALUE"""),17.0)</f>
        <v>17</v>
      </c>
      <c r="AI374" s="1" t="str">
        <f>IFERROR(__xludf.DUMMYFUNCTION("""COMPUTED_VALUE"""),"0000410463")</f>
        <v>0000410463</v>
      </c>
      <c r="AJ374" s="1">
        <f>IFERROR(__xludf.DUMMYFUNCTION("""COMPUTED_VALUE"""),6.1356499E7)</f>
        <v>61356499</v>
      </c>
      <c r="AK374" s="1">
        <f>IFERROR(__xludf.DUMMYFUNCTION("""COMPUTED_VALUE"""),9.64393572E8)</f>
        <v>964393572</v>
      </c>
      <c r="AL374" s="1" t="str">
        <f>IFERROR(__xludf.DUMMYFUNCTION("""COMPUTED_VALUE"""),"ELGUERASANCHEZJ@gmail.com")</f>
        <v>ELGUERASANCHEZJ@gmail.com</v>
      </c>
      <c r="AM374" s="1" t="str">
        <f>IFERROR(__xludf.DUMMYFUNCTION("""COMPUTED_VALUE"""),"MASCULINO")</f>
        <v>MASCULINO</v>
      </c>
      <c r="AN374" s="1">
        <f>IFERROR(__xludf.DUMMYFUNCTION("""COMPUTED_VALUE"""),0.0)</f>
        <v>0</v>
      </c>
      <c r="AO374" s="1">
        <f>IFERROR(__xludf.DUMMYFUNCTION("""COMPUTED_VALUE"""),0.0)</f>
        <v>0</v>
      </c>
      <c r="AP374" s="1" t="str">
        <f>IFERROR(__xludf.DUMMYFUNCTION("""COMPUTED_VALUE"""),"VISITA")</f>
        <v>VISITA</v>
      </c>
      <c r="AQ374" s="1" t="str">
        <f>IFERROR(__xludf.DUMMYFUNCTION("""COMPUTED_VALUE"""),"VISITA")</f>
        <v>VISITA</v>
      </c>
      <c r="AR374" s="1" t="str">
        <f>IFERROR(__xludf.DUMMYFUNCTION("""COMPUTED_VALUE"""),"NUEVO")</f>
        <v>NUEVO</v>
      </c>
      <c r="AS374" s="1"/>
      <c r="AT374" s="2">
        <f>IFERROR(__xludf.DUMMYFUNCTION("""COMPUTED_VALUE"""),45677.0)</f>
        <v>45677</v>
      </c>
      <c r="AU374" s="1">
        <f>IFERROR(__xludf.DUMMYFUNCTION("""COMPUTED_VALUE"""),1.0)</f>
        <v>1</v>
      </c>
      <c r="AV374" s="1" t="str">
        <f>IFERROR(__xludf.DUMMYFUNCTION("""COMPUTED_VALUE"""),"NUEVO")</f>
        <v>NUEVO</v>
      </c>
      <c r="AW374" s="1" t="str">
        <f>IFERROR(__xludf.DUMMYFUNCTION("""COMPUTED_VALUE"""),"SI")</f>
        <v>SI</v>
      </c>
      <c r="AX374" s="1"/>
      <c r="AY374" s="1" t="str">
        <f>IFERROR(__xludf.DUMMYFUNCTION("""COMPUTED_VALUE"""),"PAGO COMPLETO")</f>
        <v>PAGO COMPLETO</v>
      </c>
      <c r="AZ374" s="5">
        <f>IFERROR(__xludf.DUMMYFUNCTION("""COMPUTED_VALUE"""),45677.0)</f>
        <v>45677</v>
      </c>
      <c r="BA374" s="1">
        <f>IFERROR(__xludf.DUMMYFUNCTION("""COMPUTED_VALUE"""),0.0)</f>
        <v>0</v>
      </c>
      <c r="BB374" s="1">
        <f>IFERROR(__xludf.DUMMYFUNCTION("""COMPUTED_VALUE"""),0.0)</f>
        <v>0</v>
      </c>
      <c r="BC374" s="4">
        <f>IFERROR(__xludf.DUMMYFUNCTION("""COMPUTED_VALUE"""),0.0)</f>
        <v>0</v>
      </c>
      <c r="BD374" s="4">
        <f>IFERROR(__xludf.DUMMYFUNCTION("""COMPUTED_VALUE"""),0.0)</f>
        <v>0</v>
      </c>
      <c r="BE374" s="1">
        <f>IFERROR(__xludf.DUMMYFUNCTION("""COMPUTED_VALUE"""),1.0)</f>
        <v>1</v>
      </c>
      <c r="BF374" s="6">
        <f>IFERROR(__xludf.DUMMYFUNCTION("""COMPUTED_VALUE"""),1.0)</f>
        <v>1</v>
      </c>
      <c r="BG374" s="1">
        <f>IFERROR(__xludf.DUMMYFUNCTION("""COMPUTED_VALUE"""),1.0)</f>
        <v>1</v>
      </c>
      <c r="BH374" s="1" t="str">
        <f>IFERROR(__xludf.DUMMYFUNCTION("""COMPUTED_VALUE"""),"0")</f>
        <v>0</v>
      </c>
      <c r="BI374" s="4">
        <f>IFERROR(__xludf.DUMMYFUNCTION("""COMPUTED_VALUE"""),0.0)</f>
        <v>0</v>
      </c>
      <c r="BJ374" s="1">
        <f>IFERROR(__xludf.DUMMYFUNCTION("""COMPUTED_VALUE"""),0.0)</f>
        <v>0</v>
      </c>
      <c r="BK374" s="4">
        <f>IFERROR(__xludf.DUMMYFUNCTION("""COMPUTED_VALUE"""),450.0)</f>
        <v>450</v>
      </c>
      <c r="BL374" s="1">
        <f>IFERROR(__xludf.DUMMYFUNCTION("""COMPUTED_VALUE"""),810.0)</f>
        <v>810</v>
      </c>
      <c r="BM374" s="1">
        <f>IFERROR(__xludf.DUMMYFUNCTION("""COMPUTED_VALUE"""),4.0)</f>
        <v>4</v>
      </c>
      <c r="BN374" s="2">
        <f>IFERROR(__xludf.DUMMYFUNCTION("""COMPUTED_VALUE"""),45677.0)</f>
        <v>45677</v>
      </c>
      <c r="BO374" s="1">
        <f>IFERROR(__xludf.DUMMYFUNCTION("""COMPUTED_VALUE"""),1.0)</f>
        <v>1</v>
      </c>
      <c r="BP374" s="1">
        <f>IFERROR(__xludf.DUMMYFUNCTION("""COMPUTED_VALUE"""),2025.0)</f>
        <v>2025</v>
      </c>
    </row>
    <row r="375">
      <c r="A375" s="1">
        <f>IFERROR(__xludf.DUMMYFUNCTION("""COMPUTED_VALUE"""),374.0)</f>
        <v>374</v>
      </c>
      <c r="B375" s="1">
        <f>IFERROR(__xludf.DUMMYFUNCTION("""COMPUTED_VALUE"""),2020792.0)</f>
        <v>2020792</v>
      </c>
      <c r="C375" s="1" t="str">
        <f>IFERROR(__xludf.DUMMYFUNCTION("""COMPUTED_VALUE"""),"2025-1")</f>
        <v>2025-1</v>
      </c>
      <c r="D375" s="1" t="str">
        <f>IFERROR(__xludf.DUMMYFUNCTION("""COMPUTED_VALUE"""),"Admisión Extraordinaria (Traslados)")</f>
        <v>Admisión Extraordinaria (Traslados)</v>
      </c>
      <c r="E375" s="2">
        <f>IFERROR(__xludf.DUMMYFUNCTION("""COMPUTED_VALUE"""),45677.0)</f>
        <v>45677</v>
      </c>
      <c r="F375" s="1" t="str">
        <f>IFERROR(__xludf.DUMMYFUNCTION("""COMPUTED_VALUE"""),"JOSE MARÍA ")</f>
        <v>JOSE MARÍA </v>
      </c>
      <c r="G375" s="1" t="str">
        <f>IFERROR(__xludf.DUMMYFUNCTION("""COMPUTED_VALUE"""),"MILLONES MARTINEZ")</f>
        <v>MILLONES MARTINEZ</v>
      </c>
      <c r="H375" s="1" t="str">
        <f>IFERROR(__xludf.DUMMYFUNCTION("""COMPUTED_VALUE"""),"Comunicación Audiovisual y Cine")</f>
        <v>Comunicación Audiovisual y Cine</v>
      </c>
      <c r="I375" s="1" t="str">
        <f>IFERROR(__xludf.DUMMYFUNCTION("""COMPUTED_VALUE"""),"CARGO")</f>
        <v>CARGO</v>
      </c>
      <c r="J375" s="1" t="str">
        <f>IFERROR(__xludf.DUMMYFUNCTION("""COMPUTED_VALUE"""),"Diurno")</f>
        <v>Diurno</v>
      </c>
      <c r="K375" s="1" t="str">
        <f>IFERROR(__xludf.DUMMYFUNCTION("""COMPUTED_VALUE"""),"TRASLADO")</f>
        <v>TRASLADO</v>
      </c>
      <c r="L375" s="1">
        <f>IFERROR(__xludf.DUMMYFUNCTION("""COMPUTED_VALUE"""),0.0)</f>
        <v>0</v>
      </c>
      <c r="M375" s="1">
        <f>IFERROR(__xludf.DUMMYFUNCTION("""COMPUTED_VALUE"""),1.0)</f>
        <v>1</v>
      </c>
      <c r="N375" s="1" t="str">
        <f>IFERROR(__xludf.DUMMYFUNCTION("""COMPUTED_VALUE"""),"BECA")</f>
        <v>BECA</v>
      </c>
      <c r="O375" s="1" t="str">
        <f>IFERROR(__xludf.DUMMYFUNCTION("""COMPUTED_VALUE"""),"BECA CONGELADA DE 2 AÑOS")</f>
        <v>BECA CONGELADA DE 2 AÑOS</v>
      </c>
      <c r="P375" s="4">
        <f>IFERROR(__xludf.DUMMYFUNCTION("""COMPUTED_VALUE"""),0.0)</f>
        <v>0</v>
      </c>
      <c r="Q375" s="4">
        <f>IFERROR(__xludf.DUMMYFUNCTION("""COMPUTED_VALUE"""),0.0)</f>
        <v>0</v>
      </c>
      <c r="R375" s="4">
        <f>IFERROR(__xludf.DUMMYFUNCTION("""COMPUTED_VALUE"""),1000.0)</f>
        <v>1000</v>
      </c>
      <c r="S375" s="4">
        <f>IFERROR(__xludf.DUMMYFUNCTION("""COMPUTED_VALUE"""),900.0)</f>
        <v>900</v>
      </c>
      <c r="T375" s="1" t="str">
        <f>IFERROR(__xludf.DUMMYFUNCTION("""COMPUTED_VALUE"""),"NINGUNO")</f>
        <v>NINGUNO</v>
      </c>
      <c r="U375" s="1" t="str">
        <f>IFERROR(__xludf.DUMMYFUNCTION("""COMPUTED_VALUE"""),"FABIOLA")</f>
        <v>FABIOLA</v>
      </c>
      <c r="V375" s="1" t="str">
        <f>IFERROR(__xludf.DUMMYFUNCTION("""COMPUTED_VALUE"""),"Ninguno")</f>
        <v>Ninguno</v>
      </c>
      <c r="W375" s="1" t="str">
        <f>IFERROR(__xludf.DUMMYFUNCTION("""COMPUTED_VALUE"""),"Malla curricular")</f>
        <v>Malla curricular</v>
      </c>
      <c r="X375" s="1" t="str">
        <f>IFERROR(__xludf.DUMMYFUNCTION("""COMPUTED_VALUE"""),"beca traslado sin convalidación congelada por2 años")</f>
        <v>beca traslado sin convalidación congelada por2 años</v>
      </c>
      <c r="Y375" s="1" t="str">
        <f>IFERROR(__xludf.DUMMYFUNCTION("""COMPUTED_VALUE"""),"PAGO COMPLETO")</f>
        <v>PAGO COMPLETO</v>
      </c>
      <c r="Z375" s="1"/>
      <c r="AA375" s="1"/>
      <c r="AB375" s="1">
        <f>IFERROR(__xludf.DUMMYFUNCTION("""COMPUTED_VALUE"""),0.0)</f>
        <v>0</v>
      </c>
      <c r="AC375" s="1">
        <f>IFERROR(__xludf.DUMMYFUNCTION("""COMPUTED_VALUE"""),0.0)</f>
        <v>0</v>
      </c>
      <c r="AD375" s="1" t="str">
        <f>IFERROR(__xludf.DUMMYFUNCTION("""COMPUTED_VALUE"""),"Fiorella Lanegra")</f>
        <v>Fiorella Lanegra</v>
      </c>
      <c r="AE375" s="1" t="str">
        <f>IFERROR(__xludf.DUMMYFUNCTION("""COMPUTED_VALUE"""),"ISIL")</f>
        <v>ISIL</v>
      </c>
      <c r="AF375" s="1">
        <f>IFERROR(__xludf.DUMMYFUNCTION("""COMPUTED_VALUE"""),2023.0)</f>
        <v>2023</v>
      </c>
      <c r="AG375" s="1">
        <f>IFERROR(__xludf.DUMMYFUNCTION("""COMPUTED_VALUE"""),582965.0)</f>
        <v>582965</v>
      </c>
      <c r="AH375" s="1">
        <f>IFERROR(__xludf.DUMMYFUNCTION("""COMPUTED_VALUE"""),18.0)</f>
        <v>18</v>
      </c>
      <c r="AI375" s="1" t="str">
        <f>IFERROR(__xludf.DUMMYFUNCTION("""COMPUTED_VALUE"""),"0000410487")</f>
        <v>0000410487</v>
      </c>
      <c r="AJ375" s="1">
        <f>IFERROR(__xludf.DUMMYFUNCTION("""COMPUTED_VALUE"""),6.0946691E7)</f>
        <v>60946691</v>
      </c>
      <c r="AK375" s="1">
        <f>IFERROR(__xludf.DUMMYFUNCTION("""COMPUTED_VALUE"""),9.82144386E8)</f>
        <v>982144386</v>
      </c>
      <c r="AL375" s="1" t="str">
        <f>IFERROR(__xludf.DUMMYFUNCTION("""COMPUTED_VALUE"""),"millonesmartinezjosemaria@gmail.com")</f>
        <v>millonesmartinezjosemaria@gmail.com</v>
      </c>
      <c r="AM375" s="1" t="str">
        <f>IFERROR(__xludf.DUMMYFUNCTION("""COMPUTED_VALUE"""),"MASCULINO")</f>
        <v>MASCULINO</v>
      </c>
      <c r="AN375" s="1">
        <f>IFERROR(__xludf.DUMMYFUNCTION("""COMPUTED_VALUE"""),0.0)</f>
        <v>0</v>
      </c>
      <c r="AO375" s="1">
        <f>IFERROR(__xludf.DUMMYFUNCTION("""COMPUTED_VALUE"""),240.0)</f>
        <v>240</v>
      </c>
      <c r="AP375" s="1" t="str">
        <f>IFERROR(__xludf.DUMMYFUNCTION("""COMPUTED_VALUE"""),"INBOUND")</f>
        <v>INBOUND</v>
      </c>
      <c r="AQ375" s="1" t="str">
        <f>IFERROR(__xludf.DUMMYFUNCTION("""COMPUTED_VALUE"""),"INBOUND")</f>
        <v>INBOUND</v>
      </c>
      <c r="AR375" s="1" t="str">
        <f>IFERROR(__xludf.DUMMYFUNCTION("""COMPUTED_VALUE"""),"HEREDADO")</f>
        <v>HEREDADO</v>
      </c>
      <c r="AS375" s="1"/>
      <c r="AT375" s="2">
        <f>IFERROR(__xludf.DUMMYFUNCTION("""COMPUTED_VALUE"""),45677.0)</f>
        <v>45677</v>
      </c>
      <c r="AU375" s="1">
        <f>IFERROR(__xludf.DUMMYFUNCTION("""COMPUTED_VALUE"""),1.0)</f>
        <v>1</v>
      </c>
      <c r="AV375" s="1" t="str">
        <f>IFERROR(__xludf.DUMMYFUNCTION("""COMPUTED_VALUE"""),"NUEVO")</f>
        <v>NUEVO</v>
      </c>
      <c r="AW375" s="1"/>
      <c r="AX375" s="1"/>
      <c r="AY375" s="1" t="str">
        <f>IFERROR(__xludf.DUMMYFUNCTION("""COMPUTED_VALUE"""),"PAGO COMPLETO")</f>
        <v>PAGO COMPLETO</v>
      </c>
      <c r="AZ375" s="5">
        <f>IFERROR(__xludf.DUMMYFUNCTION("""COMPUTED_VALUE"""),45677.0)</f>
        <v>45677</v>
      </c>
      <c r="BA375" s="1">
        <f>IFERROR(__xludf.DUMMYFUNCTION("""COMPUTED_VALUE"""),0.0)</f>
        <v>0</v>
      </c>
      <c r="BB375" s="1">
        <f>IFERROR(__xludf.DUMMYFUNCTION("""COMPUTED_VALUE"""),0.0)</f>
        <v>0</v>
      </c>
      <c r="BC375" s="4">
        <f>IFERROR(__xludf.DUMMYFUNCTION("""COMPUTED_VALUE"""),0.0)</f>
        <v>0</v>
      </c>
      <c r="BD375" s="4">
        <f>IFERROR(__xludf.DUMMYFUNCTION("""COMPUTED_VALUE"""),0.0)</f>
        <v>0</v>
      </c>
      <c r="BE375" s="1">
        <f>IFERROR(__xludf.DUMMYFUNCTION("""COMPUTED_VALUE"""),1.0)</f>
        <v>1</v>
      </c>
      <c r="BF375" s="6">
        <f>IFERROR(__xludf.DUMMYFUNCTION("""COMPUTED_VALUE"""),1.0)</f>
        <v>1</v>
      </c>
      <c r="BG375" s="1">
        <f>IFERROR(__xludf.DUMMYFUNCTION("""COMPUTED_VALUE"""),1.0)</f>
        <v>1</v>
      </c>
      <c r="BH375" s="1" t="str">
        <f>IFERROR(__xludf.DUMMYFUNCTION("""COMPUTED_VALUE"""),"0")</f>
        <v>0</v>
      </c>
      <c r="BI375" s="4">
        <f>IFERROR(__xludf.DUMMYFUNCTION("""COMPUTED_VALUE"""),0.0)</f>
        <v>0</v>
      </c>
      <c r="BJ375" s="1">
        <f>IFERROR(__xludf.DUMMYFUNCTION("""COMPUTED_VALUE"""),0.0)</f>
        <v>0</v>
      </c>
      <c r="BK375" s="4">
        <f>IFERROR(__xludf.DUMMYFUNCTION("""COMPUTED_VALUE"""),0.0)</f>
        <v>0</v>
      </c>
      <c r="BL375" s="1">
        <f>IFERROR(__xludf.DUMMYFUNCTION("""COMPUTED_VALUE"""),900.0)</f>
        <v>900</v>
      </c>
      <c r="BM375" s="1">
        <f>IFERROR(__xludf.DUMMYFUNCTION("""COMPUTED_VALUE"""),4.0)</f>
        <v>4</v>
      </c>
      <c r="BN375" s="2">
        <f>IFERROR(__xludf.DUMMYFUNCTION("""COMPUTED_VALUE"""),45677.0)</f>
        <v>45677</v>
      </c>
      <c r="BO375" s="1">
        <f>IFERROR(__xludf.DUMMYFUNCTION("""COMPUTED_VALUE"""),1.0)</f>
        <v>1</v>
      </c>
      <c r="BP375" s="1">
        <f>IFERROR(__xludf.DUMMYFUNCTION("""COMPUTED_VALUE"""),2025.0)</f>
        <v>2025</v>
      </c>
    </row>
    <row r="376">
      <c r="A376" s="1">
        <f>IFERROR(__xludf.DUMMYFUNCTION("""COMPUTED_VALUE"""),375.0)</f>
        <v>375</v>
      </c>
      <c r="B376" s="1">
        <f>IFERROR(__xludf.DUMMYFUNCTION("""COMPUTED_VALUE"""),412903.0)</f>
        <v>412903</v>
      </c>
      <c r="C376" s="1" t="str">
        <f>IFERROR(__xludf.DUMMYFUNCTION("""COMPUTED_VALUE"""),"2025-1")</f>
        <v>2025-1</v>
      </c>
      <c r="D376" s="1" t="str">
        <f>IFERROR(__xludf.DUMMYFUNCTION("""COMPUTED_VALUE"""),"Admisión de Alto Rendimiento")</f>
        <v>Admisión de Alto Rendimiento</v>
      </c>
      <c r="E376" s="2">
        <f>IFERROR(__xludf.DUMMYFUNCTION("""COMPUTED_VALUE"""),45677.0)</f>
        <v>45677</v>
      </c>
      <c r="F376" s="1" t="str">
        <f>IFERROR(__xludf.DUMMYFUNCTION("""COMPUTED_VALUE"""),"MITZY ALEJANDRA ")</f>
        <v>MITZY ALEJANDRA </v>
      </c>
      <c r="G376" s="1" t="str">
        <f>IFERROR(__xludf.DUMMYFUNCTION("""COMPUTED_VALUE"""),"GARCÍA CUADROS")</f>
        <v>GARCÍA CUADROS</v>
      </c>
      <c r="H376" s="1" t="str">
        <f>IFERROR(__xludf.DUMMYFUNCTION("""COMPUTED_VALUE"""),"Comunicación Audiovisual y Cine")</f>
        <v>Comunicación Audiovisual y Cine</v>
      </c>
      <c r="I376" s="1" t="str">
        <f>IFERROR(__xludf.DUMMYFUNCTION("""COMPUTED_VALUE"""),"CARGO")</f>
        <v>CARGO</v>
      </c>
      <c r="J376" s="1" t="str">
        <f>IFERROR(__xludf.DUMMYFUNCTION("""COMPUTED_VALUE"""),"Diurno")</f>
        <v>Diurno</v>
      </c>
      <c r="K376" s="1" t="str">
        <f>IFERROR(__xludf.DUMMYFUNCTION("""COMPUTED_VALUE"""),"NUEVO")</f>
        <v>NUEVO</v>
      </c>
      <c r="L376" s="1">
        <f>IFERROR(__xludf.DUMMYFUNCTION("""COMPUTED_VALUE"""),0.0)</f>
        <v>0</v>
      </c>
      <c r="M376" s="1">
        <f>IFERROR(__xludf.DUMMYFUNCTION("""COMPUTED_VALUE"""),0.0)</f>
        <v>0</v>
      </c>
      <c r="N376" s="1" t="str">
        <f>IFERROR(__xludf.DUMMYFUNCTION("""COMPUTED_VALUE"""),"BECA")</f>
        <v>BECA</v>
      </c>
      <c r="O376" s="1" t="str">
        <f>IFERROR(__xludf.DUMMYFUNCTION("""COMPUTED_VALUE"""),"BECA CARRERAS CORE")</f>
        <v>BECA CARRERAS CORE</v>
      </c>
      <c r="P376" s="4">
        <f>IFERROR(__xludf.DUMMYFUNCTION("""COMPUTED_VALUE"""),0.0)</f>
        <v>0</v>
      </c>
      <c r="Q376" s="4">
        <f>IFERROR(__xludf.DUMMYFUNCTION("""COMPUTED_VALUE"""),0.0)</f>
        <v>0</v>
      </c>
      <c r="R376" s="4">
        <f>IFERROR(__xludf.DUMMYFUNCTION("""COMPUTED_VALUE"""),1250.0)</f>
        <v>1250</v>
      </c>
      <c r="S376" s="4">
        <f>IFERROR(__xludf.DUMMYFUNCTION("""COMPUTED_VALUE"""),1050.0)</f>
        <v>1050</v>
      </c>
      <c r="T376" s="1" t="str">
        <f>IFERROR(__xludf.DUMMYFUNCTION("""COMPUTED_VALUE"""),"NINGUNO")</f>
        <v>NINGUNO</v>
      </c>
      <c r="U376" s="1" t="str">
        <f>IFERROR(__xludf.DUMMYFUNCTION("""COMPUTED_VALUE"""),"FABIOLA")</f>
        <v>FABIOLA</v>
      </c>
      <c r="V376" s="1" t="str">
        <f>IFERROR(__xludf.DUMMYFUNCTION("""COMPUTED_VALUE"""),"Ninguno")</f>
        <v>Ninguno</v>
      </c>
      <c r="W376" s="1" t="str">
        <f>IFERROR(__xludf.DUMMYFUNCTION("""COMPUTED_VALUE"""),"Equipos e instalaciones")</f>
        <v>Equipos e instalaciones</v>
      </c>
      <c r="X376" s="1"/>
      <c r="Y376" s="1" t="str">
        <f>IFERROR(__xludf.DUMMYFUNCTION("""COMPUTED_VALUE"""),"PAGO COMPLETO")</f>
        <v>PAGO COMPLETO</v>
      </c>
      <c r="Z376" s="1"/>
      <c r="AA376" s="1"/>
      <c r="AB376" s="1">
        <f>IFERROR(__xludf.DUMMYFUNCTION("""COMPUTED_VALUE"""),0.0)</f>
        <v>0</v>
      </c>
      <c r="AC376" s="1">
        <f>IFERROR(__xludf.DUMMYFUNCTION("""COMPUTED_VALUE"""),0.0)</f>
        <v>0</v>
      </c>
      <c r="AD376" s="1" t="str">
        <f>IFERROR(__xludf.DUMMYFUNCTION("""COMPUTED_VALUE"""),"Fiorella Lanegra")</f>
        <v>Fiorella Lanegra</v>
      </c>
      <c r="AE376" s="1" t="str">
        <f>IFERROR(__xludf.DUMMYFUNCTION("""COMPUTED_VALUE"""),"0")</f>
        <v>0</v>
      </c>
      <c r="AF376" s="1">
        <f>IFERROR(__xludf.DUMMYFUNCTION("""COMPUTED_VALUE"""),2024.0)</f>
        <v>2024</v>
      </c>
      <c r="AG376" s="1">
        <f>IFERROR(__xludf.DUMMYFUNCTION("""COMPUTED_VALUE"""),0.0)</f>
        <v>0</v>
      </c>
      <c r="AH376" s="1">
        <f>IFERROR(__xludf.DUMMYFUNCTION("""COMPUTED_VALUE"""),17.0)</f>
        <v>17</v>
      </c>
      <c r="AI376" s="1" t="str">
        <f>IFERROR(__xludf.DUMMYFUNCTION("""COMPUTED_VALUE"""),"0000410543")</f>
        <v>0000410543</v>
      </c>
      <c r="AJ376" s="1">
        <f>IFERROR(__xludf.DUMMYFUNCTION("""COMPUTED_VALUE"""),7.1366021E7)</f>
        <v>71366021</v>
      </c>
      <c r="AK376" s="1">
        <f>IFERROR(__xludf.DUMMYFUNCTION("""COMPUTED_VALUE"""),9.24561097E8)</f>
        <v>924561097</v>
      </c>
      <c r="AL376" s="1" t="str">
        <f>IFERROR(__xludf.DUMMYFUNCTION("""COMPUTED_VALUE"""),"mitzyalejandragarciacuadros4@gmail.com")</f>
        <v>mitzyalejandragarciacuadros4@gmail.com</v>
      </c>
      <c r="AM376" s="1" t="str">
        <f>IFERROR(__xludf.DUMMYFUNCTION("""COMPUTED_VALUE"""),"FEMENINO")</f>
        <v>FEMENINO</v>
      </c>
      <c r="AN376" s="1">
        <f>IFERROR(__xludf.DUMMYFUNCTION("""COMPUTED_VALUE"""),1350.0)</f>
        <v>1350</v>
      </c>
      <c r="AO376" s="1">
        <f>IFERROR(__xludf.DUMMYFUNCTION("""COMPUTED_VALUE"""),0.0)</f>
        <v>0</v>
      </c>
      <c r="AP376" s="1" t="str">
        <f>IFERROR(__xludf.DUMMYFUNCTION("""COMPUTED_VALUE"""),"BIDIRECCIONAL")</f>
        <v>BIDIRECCIONAL</v>
      </c>
      <c r="AQ376" s="1" t="str">
        <f>IFERROR(__xludf.DUMMYFUNCTION("""COMPUTED_VALUE"""),"ORGANICO")</f>
        <v>ORGANICO</v>
      </c>
      <c r="AR376" s="1" t="str">
        <f>IFERROR(__xludf.DUMMYFUNCTION("""COMPUTED_VALUE"""),"HEREDADO")</f>
        <v>HEREDADO</v>
      </c>
      <c r="AS376" s="1"/>
      <c r="AT376" s="2">
        <f>IFERROR(__xludf.DUMMYFUNCTION("""COMPUTED_VALUE"""),45466.0)</f>
        <v>45466</v>
      </c>
      <c r="AU376" s="1">
        <f>IFERROR(__xludf.DUMMYFUNCTION("""COMPUTED_VALUE"""),1.0)</f>
        <v>1</v>
      </c>
      <c r="AV376" s="1" t="str">
        <f>IFERROR(__xludf.DUMMYFUNCTION("""COMPUTED_VALUE"""),"NUEVO")</f>
        <v>NUEVO</v>
      </c>
      <c r="AW376" s="1"/>
      <c r="AX376" s="1"/>
      <c r="AY376" s="1" t="str">
        <f>IFERROR(__xludf.DUMMYFUNCTION("""COMPUTED_VALUE"""),"PAGO COMPLETO")</f>
        <v>PAGO COMPLETO</v>
      </c>
      <c r="AZ376" s="5">
        <f>IFERROR(__xludf.DUMMYFUNCTION("""COMPUTED_VALUE"""),45677.0)</f>
        <v>45677</v>
      </c>
      <c r="BA376" s="1">
        <f>IFERROR(__xludf.DUMMYFUNCTION("""COMPUTED_VALUE"""),0.0)</f>
        <v>0</v>
      </c>
      <c r="BB376" s="1">
        <f>IFERROR(__xludf.DUMMYFUNCTION("""COMPUTED_VALUE"""),0.0)</f>
        <v>0</v>
      </c>
      <c r="BC376" s="4">
        <f>IFERROR(__xludf.DUMMYFUNCTION("""COMPUTED_VALUE"""),0.0)</f>
        <v>0</v>
      </c>
      <c r="BD376" s="4">
        <f>IFERROR(__xludf.DUMMYFUNCTION("""COMPUTED_VALUE"""),0.0)</f>
        <v>0</v>
      </c>
      <c r="BE376" s="1">
        <f>IFERROR(__xludf.DUMMYFUNCTION("""COMPUTED_VALUE"""),1.0)</f>
        <v>1</v>
      </c>
      <c r="BF376" s="6">
        <f>IFERROR(__xludf.DUMMYFUNCTION("""COMPUTED_VALUE"""),1.0)</f>
        <v>1</v>
      </c>
      <c r="BG376" s="1">
        <f>IFERROR(__xludf.DUMMYFUNCTION("""COMPUTED_VALUE"""),1.0)</f>
        <v>1</v>
      </c>
      <c r="BH376" s="1" t="str">
        <f>IFERROR(__xludf.DUMMYFUNCTION("""COMPUTED_VALUE"""),"0")</f>
        <v>0</v>
      </c>
      <c r="BI376" s="4">
        <f>IFERROR(__xludf.DUMMYFUNCTION("""COMPUTED_VALUE"""),0.0)</f>
        <v>0</v>
      </c>
      <c r="BJ376" s="1">
        <f>IFERROR(__xludf.DUMMYFUNCTION("""COMPUTED_VALUE"""),0.0)</f>
        <v>0</v>
      </c>
      <c r="BK376" s="4">
        <f>IFERROR(__xludf.DUMMYFUNCTION("""COMPUTED_VALUE"""),0.0)</f>
        <v>0</v>
      </c>
      <c r="BL376" s="1">
        <f>IFERROR(__xludf.DUMMYFUNCTION("""COMPUTED_VALUE"""),1050.0)</f>
        <v>1050</v>
      </c>
      <c r="BM376" s="1">
        <f>IFERROR(__xludf.DUMMYFUNCTION("""COMPUTED_VALUE"""),4.0)</f>
        <v>4</v>
      </c>
      <c r="BN376" s="2">
        <f>IFERROR(__xludf.DUMMYFUNCTION("""COMPUTED_VALUE"""),45677.0)</f>
        <v>45677</v>
      </c>
      <c r="BO376" s="1">
        <f>IFERROR(__xludf.DUMMYFUNCTION("""COMPUTED_VALUE"""),1.0)</f>
        <v>1</v>
      </c>
      <c r="BP376" s="1">
        <f>IFERROR(__xludf.DUMMYFUNCTION("""COMPUTED_VALUE"""),2025.0)</f>
        <v>2025</v>
      </c>
    </row>
    <row r="377">
      <c r="A377" s="1">
        <f>IFERROR(__xludf.DUMMYFUNCTION("""COMPUTED_VALUE"""),376.0)</f>
        <v>376</v>
      </c>
      <c r="B377" s="1">
        <f>IFERROR(__xludf.DUMMYFUNCTION("""COMPUTED_VALUE"""),4961372.0)</f>
        <v>4961372</v>
      </c>
      <c r="C377" s="1" t="str">
        <f>IFERROR(__xludf.DUMMYFUNCTION("""COMPUTED_VALUE"""),"2025-1")</f>
        <v>2025-1</v>
      </c>
      <c r="D377" s="1" t="str">
        <f>IFERROR(__xludf.DUMMYFUNCTION("""COMPUTED_VALUE"""),"Admisión de Alto Rendimiento")</f>
        <v>Admisión de Alto Rendimiento</v>
      </c>
      <c r="E377" s="2">
        <f>IFERROR(__xludf.DUMMYFUNCTION("""COMPUTED_VALUE"""),45677.0)</f>
        <v>45677</v>
      </c>
      <c r="F377" s="1" t="str">
        <f>IFERROR(__xludf.DUMMYFUNCTION("""COMPUTED_VALUE"""),"JOSE MARIA ")</f>
        <v>JOSE MARIA </v>
      </c>
      <c r="G377" s="1" t="str">
        <f>IFERROR(__xludf.DUMMYFUNCTION("""COMPUTED_VALUE"""),"ORTIZ DE FORONDA GALLO")</f>
        <v>ORTIZ DE FORONDA GALLO</v>
      </c>
      <c r="H377" s="1" t="str">
        <f>IFERROR(__xludf.DUMMYFUNCTION("""COMPUTED_VALUE"""),"Marketing e Innovación")</f>
        <v>Marketing e Innovación</v>
      </c>
      <c r="I377" s="1" t="str">
        <f>IFERROR(__xludf.DUMMYFUNCTION("""COMPUTED_VALUE"""),"CARGO")</f>
        <v>CARGO</v>
      </c>
      <c r="J377" s="1" t="str">
        <f>IFERROR(__xludf.DUMMYFUNCTION("""COMPUTED_VALUE"""),"Diurno")</f>
        <v>Diurno</v>
      </c>
      <c r="K377" s="1" t="str">
        <f>IFERROR(__xludf.DUMMYFUNCTION("""COMPUTED_VALUE"""),"NUEVO")</f>
        <v>NUEVO</v>
      </c>
      <c r="L377" s="1">
        <f>IFERROR(__xludf.DUMMYFUNCTION("""COMPUTED_VALUE"""),0.0)</f>
        <v>0</v>
      </c>
      <c r="M377" s="1">
        <f>IFERROR(__xludf.DUMMYFUNCTION("""COMPUTED_VALUE"""),0.0)</f>
        <v>0</v>
      </c>
      <c r="N377" s="1" t="str">
        <f>IFERROR(__xludf.DUMMYFUNCTION("""COMPUTED_VALUE"""),"RECA-BECA")</f>
        <v>RECA-BECA</v>
      </c>
      <c r="O377" s="1" t="str">
        <f>IFERROR(__xludf.DUMMYFUNCTION("""COMPUTED_VALUE"""),"BECA CARRERAS NUEVAS")</f>
        <v>BECA CARRERAS NUEVAS</v>
      </c>
      <c r="P377" s="4">
        <f>IFERROR(__xludf.DUMMYFUNCTION("""COMPUTED_VALUE"""),0.0)</f>
        <v>0</v>
      </c>
      <c r="Q377" s="4">
        <f>IFERROR(__xludf.DUMMYFUNCTION("""COMPUTED_VALUE"""),0.0)</f>
        <v>0</v>
      </c>
      <c r="R377" s="4">
        <f>IFERROR(__xludf.DUMMYFUNCTION("""COMPUTED_VALUE"""),1150.0)</f>
        <v>1150</v>
      </c>
      <c r="S377" s="4">
        <f>IFERROR(__xludf.DUMMYFUNCTION("""COMPUTED_VALUE"""),950.0)</f>
        <v>950</v>
      </c>
      <c r="T377" s="1" t="str">
        <f>IFERROR(__xludf.DUMMYFUNCTION("""COMPUTED_VALUE"""),"NINGUNO")</f>
        <v>NINGUNO</v>
      </c>
      <c r="U377" s="1"/>
      <c r="V377" s="1" t="str">
        <f>IFERROR(__xludf.DUMMYFUNCTION("""COMPUTED_VALUE"""),"Ninguno")</f>
        <v>Ninguno</v>
      </c>
      <c r="W377" s="1" t="str">
        <f>IFERROR(__xludf.DUMMYFUNCTION("""COMPUTED_VALUE"""),"Metodología de enseñanza")</f>
        <v>Metodología de enseñanza</v>
      </c>
      <c r="X377" s="1"/>
      <c r="Y377" s="1" t="str">
        <f>IFERROR(__xludf.DUMMYFUNCTION("""COMPUTED_VALUE"""),"PAGO COMPLETO")</f>
        <v>PAGO COMPLETO</v>
      </c>
      <c r="Z377" s="1"/>
      <c r="AA377" s="1"/>
      <c r="AB377" s="1">
        <f>IFERROR(__xludf.DUMMYFUNCTION("""COMPUTED_VALUE"""),0.0)</f>
        <v>0</v>
      </c>
      <c r="AC377" s="1">
        <f>IFERROR(__xludf.DUMMYFUNCTION("""COMPUTED_VALUE"""),0.0)</f>
        <v>0</v>
      </c>
      <c r="AD377" s="1" t="str">
        <f>IFERROR(__xludf.DUMMYFUNCTION("""COMPUTED_VALUE"""),"Ingrid Guillermo Rivera")</f>
        <v>Ingrid Guillermo Rivera</v>
      </c>
      <c r="AE377" s="1" t="str">
        <f>IFERROR(__xludf.DUMMYFUNCTION("""COMPUTED_VALUE"""),"0")</f>
        <v>0</v>
      </c>
      <c r="AF377" s="1">
        <f>IFERROR(__xludf.DUMMYFUNCTION("""COMPUTED_VALUE"""),0.0)</f>
        <v>0</v>
      </c>
      <c r="AG377" s="1">
        <f>IFERROR(__xludf.DUMMYFUNCTION("""COMPUTED_VALUE"""),1008614.0)</f>
        <v>1008614</v>
      </c>
      <c r="AH377" s="1">
        <f>IFERROR(__xludf.DUMMYFUNCTION("""COMPUTED_VALUE"""),18.0)</f>
        <v>18</v>
      </c>
      <c r="AI377" s="1" t="str">
        <f>IFERROR(__xludf.DUMMYFUNCTION("""COMPUTED_VALUE"""),"0000410455")</f>
        <v>0000410455</v>
      </c>
      <c r="AJ377" s="1">
        <f>IFERROR(__xludf.DUMMYFUNCTION("""COMPUTED_VALUE"""),7.115386E7)</f>
        <v>71153860</v>
      </c>
      <c r="AK377" s="1">
        <f>IFERROR(__xludf.DUMMYFUNCTION("""COMPUTED_VALUE"""),9.85471998E8)</f>
        <v>985471998</v>
      </c>
      <c r="AL377" s="1" t="str">
        <f>IFERROR(__xludf.DUMMYFUNCTION("""COMPUTED_VALUE"""),"anakharinaofs@gmail.com")</f>
        <v>anakharinaofs@gmail.com</v>
      </c>
      <c r="AM377" s="1" t="str">
        <f>IFERROR(__xludf.DUMMYFUNCTION("""COMPUTED_VALUE"""),"MASCULINO")</f>
        <v>MASCULINO</v>
      </c>
      <c r="AN377" s="1">
        <f>IFERROR(__xludf.DUMMYFUNCTION("""COMPUTED_VALUE"""),1775.0)</f>
        <v>1775</v>
      </c>
      <c r="AO377" s="1">
        <f>IFERROR(__xludf.DUMMYFUNCTION("""COMPUTED_VALUE"""),550.0)</f>
        <v>550</v>
      </c>
      <c r="AP377" s="1" t="str">
        <f>IFERROR(__xludf.DUMMYFUNCTION("""COMPUTED_VALUE"""),"COLEGIOS")</f>
        <v>COLEGIOS</v>
      </c>
      <c r="AQ377" s="1" t="str">
        <f>IFERROR(__xludf.DUMMYFUNCTION("""COMPUTED_VALUE"""),"COLEGIOS")</f>
        <v>COLEGIOS</v>
      </c>
      <c r="AR377" s="1" t="str">
        <f>IFERROR(__xludf.DUMMYFUNCTION("""COMPUTED_VALUE"""),"HEREDADO")</f>
        <v>HEREDADO</v>
      </c>
      <c r="AS377" s="1"/>
      <c r="AT377" s="2">
        <f>IFERROR(__xludf.DUMMYFUNCTION("""COMPUTED_VALUE"""),45387.0)</f>
        <v>45387</v>
      </c>
      <c r="AU377" s="1">
        <f>IFERROR(__xludf.DUMMYFUNCTION("""COMPUTED_VALUE"""),1.0)</f>
        <v>1</v>
      </c>
      <c r="AV377" s="1" t="str">
        <f>IFERROR(__xludf.DUMMYFUNCTION("""COMPUTED_VALUE"""),"NUEVO")</f>
        <v>NUEVO</v>
      </c>
      <c r="AW377" s="1"/>
      <c r="AX377" s="1"/>
      <c r="AY377" s="1" t="str">
        <f>IFERROR(__xludf.DUMMYFUNCTION("""COMPUTED_VALUE"""),"PAGO COMPLETO")</f>
        <v>PAGO COMPLETO</v>
      </c>
      <c r="AZ377" s="5">
        <f>IFERROR(__xludf.DUMMYFUNCTION("""COMPUTED_VALUE"""),45677.0)</f>
        <v>45677</v>
      </c>
      <c r="BA377" s="1">
        <f>IFERROR(__xludf.DUMMYFUNCTION("""COMPUTED_VALUE"""),0.0)</f>
        <v>0</v>
      </c>
      <c r="BB377" s="1">
        <f>IFERROR(__xludf.DUMMYFUNCTION("""COMPUTED_VALUE"""),0.0)</f>
        <v>0</v>
      </c>
      <c r="BC377" s="4">
        <f>IFERROR(__xludf.DUMMYFUNCTION("""COMPUTED_VALUE"""),0.0)</f>
        <v>0</v>
      </c>
      <c r="BD377" s="4">
        <f>IFERROR(__xludf.DUMMYFUNCTION("""COMPUTED_VALUE"""),0.0)</f>
        <v>0</v>
      </c>
      <c r="BE377" s="1">
        <f>IFERROR(__xludf.DUMMYFUNCTION("""COMPUTED_VALUE"""),1.0)</f>
        <v>1</v>
      </c>
      <c r="BF377" s="6">
        <f>IFERROR(__xludf.DUMMYFUNCTION("""COMPUTED_VALUE"""),1.0)</f>
        <v>1</v>
      </c>
      <c r="BG377" s="1">
        <f>IFERROR(__xludf.DUMMYFUNCTION("""COMPUTED_VALUE"""),1.0)</f>
        <v>1</v>
      </c>
      <c r="BH377" s="1" t="str">
        <f>IFERROR(__xludf.DUMMYFUNCTION("""COMPUTED_VALUE"""),"0")</f>
        <v>0</v>
      </c>
      <c r="BI377" s="4">
        <f>IFERROR(__xludf.DUMMYFUNCTION("""COMPUTED_VALUE"""),0.0)</f>
        <v>0</v>
      </c>
      <c r="BJ377" s="1">
        <f>IFERROR(__xludf.DUMMYFUNCTION("""COMPUTED_VALUE"""),0.0)</f>
        <v>0</v>
      </c>
      <c r="BK377" s="4">
        <f>IFERROR(__xludf.DUMMYFUNCTION("""COMPUTED_VALUE"""),0.0)</f>
        <v>0</v>
      </c>
      <c r="BL377" s="1">
        <f>IFERROR(__xludf.DUMMYFUNCTION("""COMPUTED_VALUE"""),950.0)</f>
        <v>950</v>
      </c>
      <c r="BM377" s="1">
        <f>IFERROR(__xludf.DUMMYFUNCTION("""COMPUTED_VALUE"""),4.0)</f>
        <v>4</v>
      </c>
      <c r="BN377" s="2">
        <f>IFERROR(__xludf.DUMMYFUNCTION("""COMPUTED_VALUE"""),45677.0)</f>
        <v>45677</v>
      </c>
      <c r="BO377" s="1">
        <f>IFERROR(__xludf.DUMMYFUNCTION("""COMPUTED_VALUE"""),1.0)</f>
        <v>1</v>
      </c>
      <c r="BP377" s="1">
        <f>IFERROR(__xludf.DUMMYFUNCTION("""COMPUTED_VALUE"""),2025.0)</f>
        <v>2025</v>
      </c>
    </row>
    <row r="378">
      <c r="A378" s="1">
        <f>IFERROR(__xludf.DUMMYFUNCTION("""COMPUTED_VALUE"""),377.0)</f>
        <v>377</v>
      </c>
      <c r="B378" s="1">
        <f>IFERROR(__xludf.DUMMYFUNCTION("""COMPUTED_VALUE"""),4738566.0)</f>
        <v>4738566</v>
      </c>
      <c r="C378" s="1" t="str">
        <f>IFERROR(__xludf.DUMMYFUNCTION("""COMPUTED_VALUE"""),"2025-1")</f>
        <v>2025-1</v>
      </c>
      <c r="D378" s="1" t="str">
        <f>IFERROR(__xludf.DUMMYFUNCTION("""COMPUTED_VALUE"""),"Admisión de Alto Rendimiento")</f>
        <v>Admisión de Alto Rendimiento</v>
      </c>
      <c r="E378" s="2">
        <f>IFERROR(__xludf.DUMMYFUNCTION("""COMPUTED_VALUE"""),45677.0)</f>
        <v>45677</v>
      </c>
      <c r="F378" s="1" t="str">
        <f>IFERROR(__xludf.DUMMYFUNCTION("""COMPUTED_VALUE"""),"ANYELI ESTRELLA")</f>
        <v>ANYELI ESTRELLA</v>
      </c>
      <c r="G378" s="1" t="str">
        <f>IFERROR(__xludf.DUMMYFUNCTION("""COMPUTED_VALUE"""),"MAMANI VELASQUEZ")</f>
        <v>MAMANI VELASQUEZ</v>
      </c>
      <c r="H378" s="1" t="str">
        <f>IFERROR(__xludf.DUMMYFUNCTION("""COMPUTED_VALUE"""),"Comunicación y Publicidad Transmedia")</f>
        <v>Comunicación y Publicidad Transmedia</v>
      </c>
      <c r="I378" s="1" t="str">
        <f>IFERROR(__xludf.DUMMYFUNCTION("""COMPUTED_VALUE"""),"CARGO")</f>
        <v>CARGO</v>
      </c>
      <c r="J378" s="1" t="str">
        <f>IFERROR(__xludf.DUMMYFUNCTION("""COMPUTED_VALUE"""),"Diurno")</f>
        <v>Diurno</v>
      </c>
      <c r="K378" s="1" t="str">
        <f>IFERROR(__xludf.DUMMYFUNCTION("""COMPUTED_VALUE"""),"NUEVO")</f>
        <v>NUEVO</v>
      </c>
      <c r="L378" s="1">
        <f>IFERROR(__xludf.DUMMYFUNCTION("""COMPUTED_VALUE"""),0.0)</f>
        <v>0</v>
      </c>
      <c r="M378" s="1">
        <f>IFERROR(__xludf.DUMMYFUNCTION("""COMPUTED_VALUE"""),0.0)</f>
        <v>0</v>
      </c>
      <c r="N378" s="1" t="str">
        <f>IFERROR(__xludf.DUMMYFUNCTION("""COMPUTED_VALUE"""),"BECA")</f>
        <v>BECA</v>
      </c>
      <c r="O378" s="1" t="str">
        <f>IFERROR(__xludf.DUMMYFUNCTION("""COMPUTED_VALUE"""),"BECA CONGELADA DE 2 AÑOS")</f>
        <v>BECA CONGELADA DE 2 AÑOS</v>
      </c>
      <c r="P378" s="4">
        <f>IFERROR(__xludf.DUMMYFUNCTION("""COMPUTED_VALUE"""),0.0)</f>
        <v>0</v>
      </c>
      <c r="Q378" s="4">
        <f>IFERROR(__xludf.DUMMYFUNCTION("""COMPUTED_VALUE"""),0.0)</f>
        <v>0</v>
      </c>
      <c r="R378" s="4">
        <f>IFERROR(__xludf.DUMMYFUNCTION("""COMPUTED_VALUE"""),1050.0)</f>
        <v>1050</v>
      </c>
      <c r="S378" s="4">
        <f>IFERROR(__xludf.DUMMYFUNCTION("""COMPUTED_VALUE"""),950.0)</f>
        <v>950</v>
      </c>
      <c r="T378" s="1" t="str">
        <f>IFERROR(__xludf.DUMMYFUNCTION("""COMPUTED_VALUE"""),"Visita Guiada")</f>
        <v>Visita Guiada</v>
      </c>
      <c r="U378" s="1" t="str">
        <f>IFERROR(__xludf.DUMMYFUNCTION("""COMPUTED_VALUE"""),"RODRIGO")</f>
        <v>RODRIGO</v>
      </c>
      <c r="V378" s="1" t="str">
        <f>IFERROR(__xludf.DUMMYFUNCTION("""COMPUTED_VALUE"""),"Ninguno")</f>
        <v>Ninguno</v>
      </c>
      <c r="W378" s="1" t="str">
        <f>IFERROR(__xludf.DUMMYFUNCTION("""COMPUTED_VALUE"""),"Beca")</f>
        <v>Beca</v>
      </c>
      <c r="X378" s="1"/>
      <c r="Y378" s="1" t="str">
        <f>IFERROR(__xludf.DUMMYFUNCTION("""COMPUTED_VALUE"""),"PAGO COMPLETO")</f>
        <v>PAGO COMPLETO</v>
      </c>
      <c r="Z378" s="1"/>
      <c r="AA378" s="1"/>
      <c r="AB378" s="1">
        <f>IFERROR(__xludf.DUMMYFUNCTION("""COMPUTED_VALUE"""),0.0)</f>
        <v>0</v>
      </c>
      <c r="AC378" s="1">
        <f>IFERROR(__xludf.DUMMYFUNCTION("""COMPUTED_VALUE"""),0.0)</f>
        <v>0</v>
      </c>
      <c r="AD378" s="1" t="str">
        <f>IFERROR(__xludf.DUMMYFUNCTION("""COMPUTED_VALUE"""),"Erwyn Terie Vital Avila")</f>
        <v>Erwyn Terie Vital Avila</v>
      </c>
      <c r="AE378" s="1" t="str">
        <f>IFERROR(__xludf.DUMMYFUNCTION("""COMPUTED_VALUE"""),"0")</f>
        <v>0</v>
      </c>
      <c r="AF378" s="1">
        <f>IFERROR(__xludf.DUMMYFUNCTION("""COMPUTED_VALUE"""),2024.0)</f>
        <v>2024</v>
      </c>
      <c r="AG378" s="1">
        <f>IFERROR(__xludf.DUMMYFUNCTION("""COMPUTED_VALUE"""),336545.0)</f>
        <v>336545</v>
      </c>
      <c r="AH378" s="1">
        <f>IFERROR(__xludf.DUMMYFUNCTION("""COMPUTED_VALUE"""),17.0)</f>
        <v>17</v>
      </c>
      <c r="AI378" s="1" t="str">
        <f>IFERROR(__xludf.DUMMYFUNCTION("""COMPUTED_VALUE"""),"0000409398")</f>
        <v>0000409398</v>
      </c>
      <c r="AJ378" s="1">
        <f>IFERROR(__xludf.DUMMYFUNCTION("""COMPUTED_VALUE"""),6.1395138E7)</f>
        <v>61395138</v>
      </c>
      <c r="AK378" s="1">
        <f>IFERROR(__xludf.DUMMYFUNCTION("""COMPUTED_VALUE"""),9.87769583E8)</f>
        <v>987769583</v>
      </c>
      <c r="AL378" s="1" t="str">
        <f>IFERROR(__xludf.DUMMYFUNCTION("""COMPUTED_VALUE"""),"anyeelmv@gmail.com")</f>
        <v>anyeelmv@gmail.com</v>
      </c>
      <c r="AM378" s="1" t="str">
        <f>IFERROR(__xludf.DUMMYFUNCTION("""COMPUTED_VALUE"""),"FEMENINO")</f>
        <v>FEMENINO</v>
      </c>
      <c r="AN378" s="1">
        <f>IFERROR(__xludf.DUMMYFUNCTION("""COMPUTED_VALUE"""),1350.0)</f>
        <v>1350</v>
      </c>
      <c r="AO378" s="1">
        <f>IFERROR(__xludf.DUMMYFUNCTION("""COMPUTED_VALUE"""),0.0)</f>
        <v>0</v>
      </c>
      <c r="AP378" s="1" t="str">
        <f>IFERROR(__xludf.DUMMYFUNCTION("""COMPUTED_VALUE"""),"COLEGIOS")</f>
        <v>COLEGIOS</v>
      </c>
      <c r="AQ378" s="1" t="str">
        <f>IFERROR(__xludf.DUMMYFUNCTION("""COMPUTED_VALUE"""),"COLEGIOS")</f>
        <v>COLEGIOS</v>
      </c>
      <c r="AR378" s="1" t="str">
        <f>IFERROR(__xludf.DUMMYFUNCTION("""COMPUTED_VALUE"""),"NUEVO")</f>
        <v>NUEVO</v>
      </c>
      <c r="AS378" s="1"/>
      <c r="AT378" s="2">
        <f>IFERROR(__xludf.DUMMYFUNCTION("""COMPUTED_VALUE"""),45505.0)</f>
        <v>45505</v>
      </c>
      <c r="AU378" s="1">
        <f>IFERROR(__xludf.DUMMYFUNCTION("""COMPUTED_VALUE"""),1.0)</f>
        <v>1</v>
      </c>
      <c r="AV378" s="1" t="str">
        <f>IFERROR(__xludf.DUMMYFUNCTION("""COMPUTED_VALUE"""),"NUEVO")</f>
        <v>NUEVO</v>
      </c>
      <c r="AW378" s="1" t="str">
        <f>IFERROR(__xludf.DUMMYFUNCTION("""COMPUTED_VALUE"""),"SI")</f>
        <v>SI</v>
      </c>
      <c r="AX378" s="1"/>
      <c r="AY378" s="1" t="str">
        <f>IFERROR(__xludf.DUMMYFUNCTION("""COMPUTED_VALUE"""),"PAGO COMPLETO")</f>
        <v>PAGO COMPLETO</v>
      </c>
      <c r="AZ378" s="5">
        <f>IFERROR(__xludf.DUMMYFUNCTION("""COMPUTED_VALUE"""),45677.0)</f>
        <v>45677</v>
      </c>
      <c r="BA378" s="1">
        <f>IFERROR(__xludf.DUMMYFUNCTION("""COMPUTED_VALUE"""),0.0)</f>
        <v>0</v>
      </c>
      <c r="BB378" s="1">
        <f>IFERROR(__xludf.DUMMYFUNCTION("""COMPUTED_VALUE"""),0.0)</f>
        <v>0</v>
      </c>
      <c r="BC378" s="4">
        <f>IFERROR(__xludf.DUMMYFUNCTION("""COMPUTED_VALUE"""),0.0)</f>
        <v>0</v>
      </c>
      <c r="BD378" s="4">
        <f>IFERROR(__xludf.DUMMYFUNCTION("""COMPUTED_VALUE"""),100.0)</f>
        <v>100</v>
      </c>
      <c r="BE378" s="1">
        <f>IFERROR(__xludf.DUMMYFUNCTION("""COMPUTED_VALUE"""),1.0)</f>
        <v>1</v>
      </c>
      <c r="BF378" s="6">
        <f>IFERROR(__xludf.DUMMYFUNCTION("""COMPUTED_VALUE"""),1.0)</f>
        <v>1</v>
      </c>
      <c r="BG378" s="1">
        <f>IFERROR(__xludf.DUMMYFUNCTION("""COMPUTED_VALUE"""),1.0)</f>
        <v>1</v>
      </c>
      <c r="BH378" s="1" t="str">
        <f>IFERROR(__xludf.DUMMYFUNCTION("""COMPUTED_VALUE"""),"0")</f>
        <v>0</v>
      </c>
      <c r="BI378" s="4">
        <f>IFERROR(__xludf.DUMMYFUNCTION("""COMPUTED_VALUE"""),100.0)</f>
        <v>100</v>
      </c>
      <c r="BJ378" s="1">
        <f>IFERROR(__xludf.DUMMYFUNCTION("""COMPUTED_VALUE"""),0.0)</f>
        <v>0</v>
      </c>
      <c r="BK378" s="4">
        <f>IFERROR(__xludf.DUMMYFUNCTION("""COMPUTED_VALUE"""),100.0)</f>
        <v>100</v>
      </c>
      <c r="BL378" s="1">
        <f>IFERROR(__xludf.DUMMYFUNCTION("""COMPUTED_VALUE"""),930.0)</f>
        <v>930</v>
      </c>
      <c r="BM378" s="1">
        <f>IFERROR(__xludf.DUMMYFUNCTION("""COMPUTED_VALUE"""),4.0)</f>
        <v>4</v>
      </c>
      <c r="BN378" s="2">
        <f>IFERROR(__xludf.DUMMYFUNCTION("""COMPUTED_VALUE"""),45677.0)</f>
        <v>45677</v>
      </c>
      <c r="BO378" s="1">
        <f>IFERROR(__xludf.DUMMYFUNCTION("""COMPUTED_VALUE"""),1.0)</f>
        <v>1</v>
      </c>
      <c r="BP378" s="1">
        <f>IFERROR(__xludf.DUMMYFUNCTION("""COMPUTED_VALUE"""),2025.0)</f>
        <v>2025</v>
      </c>
    </row>
    <row r="379">
      <c r="A379" s="1">
        <f>IFERROR(__xludf.DUMMYFUNCTION("""COMPUTED_VALUE"""),378.0)</f>
        <v>378</v>
      </c>
      <c r="B379" s="1">
        <f>IFERROR(__xludf.DUMMYFUNCTION("""COMPUTED_VALUE"""),2903897.0)</f>
        <v>2903897</v>
      </c>
      <c r="C379" s="1" t="str">
        <f>IFERROR(__xludf.DUMMYFUNCTION("""COMPUTED_VALUE"""),"2025-1")</f>
        <v>2025-1</v>
      </c>
      <c r="D379" s="1" t="str">
        <f>IFERROR(__xludf.DUMMYFUNCTION("""COMPUTED_VALUE"""),"Admisión Extraordinaria (Traslados)")</f>
        <v>Admisión Extraordinaria (Traslados)</v>
      </c>
      <c r="E379" s="2">
        <f>IFERROR(__xludf.DUMMYFUNCTION("""COMPUTED_VALUE"""),45677.0)</f>
        <v>45677</v>
      </c>
      <c r="F379" s="1" t="str">
        <f>IFERROR(__xludf.DUMMYFUNCTION("""COMPUTED_VALUE"""),"ENICA ")</f>
        <v>ENICA </v>
      </c>
      <c r="G379" s="1" t="str">
        <f>IFERROR(__xludf.DUMMYFUNCTION("""COMPUTED_VALUE"""),"HERRERA MAZA")</f>
        <v>HERRERA MAZA</v>
      </c>
      <c r="H379" s="1" t="str">
        <f>IFERROR(__xludf.DUMMYFUNCTION("""COMPUTED_VALUE"""),"Administración y Negocios Internacionales")</f>
        <v>Administración y Negocios Internacionales</v>
      </c>
      <c r="I379" s="1" t="str">
        <f>IFERROR(__xludf.DUMMYFUNCTION("""COMPUTED_VALUE"""),"Pago Link")</f>
        <v>Pago Link</v>
      </c>
      <c r="J379" s="1" t="str">
        <f>IFERROR(__xludf.DUMMYFUNCTION("""COMPUTED_VALUE"""),"Nocturno - A distancia")</f>
        <v>Nocturno - A distancia</v>
      </c>
      <c r="K379" s="1" t="str">
        <f>IFERROR(__xludf.DUMMYFUNCTION("""COMPUTED_VALUE"""),"TRASLADO")</f>
        <v>TRASLADO</v>
      </c>
      <c r="L379" s="1">
        <f>IFERROR(__xludf.DUMMYFUNCTION("""COMPUTED_VALUE"""),1.0)</f>
        <v>1</v>
      </c>
      <c r="M379" s="1">
        <f>IFERROR(__xludf.DUMMYFUNCTION("""COMPUTED_VALUE"""),0.0)</f>
        <v>0</v>
      </c>
      <c r="N379" s="1" t="str">
        <f>IFERROR(__xludf.DUMMYFUNCTION("""COMPUTED_VALUE"""),"ESCALA DISTANCIA")</f>
        <v>ESCALA DISTANCIA</v>
      </c>
      <c r="O379" s="1" t="str">
        <f>IFERROR(__xludf.DUMMYFUNCTION("""COMPUTED_VALUE"""),"ESCALA DISTANCIA TRASLADO")</f>
        <v>ESCALA DISTANCIA TRASLADO</v>
      </c>
      <c r="P379" s="4">
        <f>IFERROR(__xludf.DUMMYFUNCTION("""COMPUTED_VALUE"""),0.0)</f>
        <v>0</v>
      </c>
      <c r="Q379" s="4">
        <f>IFERROR(__xludf.DUMMYFUNCTION("""COMPUTED_VALUE"""),0.0)</f>
        <v>0</v>
      </c>
      <c r="R379" s="4">
        <f>IFERROR(__xludf.DUMMYFUNCTION("""COMPUTED_VALUE"""),950.0)</f>
        <v>950</v>
      </c>
      <c r="S379" s="4">
        <f>IFERROR(__xludf.DUMMYFUNCTION("""COMPUTED_VALUE"""),600.0)</f>
        <v>600</v>
      </c>
      <c r="T379" s="1" t="str">
        <f>IFERROR(__xludf.DUMMYFUNCTION("""COMPUTED_VALUE"""),"NINGUNO")</f>
        <v>NINGUNO</v>
      </c>
      <c r="U379" s="1" t="str">
        <f>IFERROR(__xludf.DUMMYFUNCTION("""COMPUTED_VALUE"""),"FABIOLA")</f>
        <v>FABIOLA</v>
      </c>
      <c r="V379" s="1" t="str">
        <f>IFERROR(__xludf.DUMMYFUNCTION("""COMPUTED_VALUE"""),"Ninguno")</f>
        <v>Ninguno</v>
      </c>
      <c r="W379" s="1" t="str">
        <f>IFERROR(__xludf.DUMMYFUNCTION("""COMPUTED_VALUE"""),"Malla curricular")</f>
        <v>Malla curricular</v>
      </c>
      <c r="X379" s="1" t="str">
        <f>IFERROR(__xludf.DUMMYFUNCTION("""COMPUTED_VALUE"""),"malla curricular")</f>
        <v>malla curricular</v>
      </c>
      <c r="Y379" s="1" t="str">
        <f>IFERROR(__xludf.DUMMYFUNCTION("""COMPUTED_VALUE"""),"PAGO COMPLETO")</f>
        <v>PAGO COMPLETO</v>
      </c>
      <c r="Z379" s="1"/>
      <c r="AA379" s="1"/>
      <c r="AB379" s="1">
        <f>IFERROR(__xludf.DUMMYFUNCTION("""COMPUTED_VALUE"""),1.0)</f>
        <v>1</v>
      </c>
      <c r="AC379" s="1">
        <f>IFERROR(__xludf.DUMMYFUNCTION("""COMPUTED_VALUE"""),0.0)</f>
        <v>0</v>
      </c>
      <c r="AD379" s="1" t="str">
        <f>IFERROR(__xludf.DUMMYFUNCTION("""COMPUTED_VALUE"""),"Cinthia Mariella Orosco")</f>
        <v>Cinthia Mariella Orosco</v>
      </c>
      <c r="AE379" s="1" t="str">
        <f>IFERROR(__xludf.DUMMYFUNCTION("""COMPUTED_VALUE"""),"Certus")</f>
        <v>Certus</v>
      </c>
      <c r="AF379" s="1">
        <f>IFERROR(__xludf.DUMMYFUNCTION("""COMPUTED_VALUE"""),0.0)</f>
        <v>0</v>
      </c>
      <c r="AG379" s="1">
        <f>IFERROR(__xludf.DUMMYFUNCTION("""COMPUTED_VALUE"""),500611.0)</f>
        <v>500611</v>
      </c>
      <c r="AH379" s="1">
        <f>IFERROR(__xludf.DUMMYFUNCTION("""COMPUTED_VALUE"""),25.0)</f>
        <v>25</v>
      </c>
      <c r="AI379" s="1" t="str">
        <f>IFERROR(__xludf.DUMMYFUNCTION("""COMPUTED_VALUE"""),"0000408859")</f>
        <v>0000408859</v>
      </c>
      <c r="AJ379" s="1">
        <f>IFERROR(__xludf.DUMMYFUNCTION("""COMPUTED_VALUE"""),7.5419662E7)</f>
        <v>75419662</v>
      </c>
      <c r="AK379" s="1">
        <f>IFERROR(__xludf.DUMMYFUNCTION("""COMPUTED_VALUE"""),9.23671441E8)</f>
        <v>923671441</v>
      </c>
      <c r="AL379" s="1" t="str">
        <f>IFERROR(__xludf.DUMMYFUNCTION("""COMPUTED_VALUE"""),"enicaherreraa18@gmail.com")</f>
        <v>enicaherreraa18@gmail.com</v>
      </c>
      <c r="AM379" s="1" t="str">
        <f>IFERROR(__xludf.DUMMYFUNCTION("""COMPUTED_VALUE"""),"FEMENINO")</f>
        <v>FEMENINO</v>
      </c>
      <c r="AN379" s="1">
        <f>IFERROR(__xludf.DUMMYFUNCTION("""COMPUTED_VALUE"""),0.0)</f>
        <v>0</v>
      </c>
      <c r="AO379" s="1">
        <f>IFERROR(__xludf.DUMMYFUNCTION("""COMPUTED_VALUE"""),0.0)</f>
        <v>0</v>
      </c>
      <c r="AP379" s="1" t="str">
        <f>IFERROR(__xludf.DUMMYFUNCTION("""COMPUTED_VALUE"""),"OUTBOUND")</f>
        <v>OUTBOUND</v>
      </c>
      <c r="AQ379" s="1" t="str">
        <f>IFERROR(__xludf.DUMMYFUNCTION("""COMPUTED_VALUE"""),"OUTBOUND")</f>
        <v>OUTBOUND</v>
      </c>
      <c r="AR379" s="1" t="str">
        <f>IFERROR(__xludf.DUMMYFUNCTION("""COMPUTED_VALUE"""),"NUEVO")</f>
        <v>NUEVO</v>
      </c>
      <c r="AS379" s="1"/>
      <c r="AT379" s="2">
        <f>IFERROR(__xludf.DUMMYFUNCTION("""COMPUTED_VALUE"""),45669.0)</f>
        <v>45669</v>
      </c>
      <c r="AU379" s="1">
        <f>IFERROR(__xludf.DUMMYFUNCTION("""COMPUTED_VALUE"""),1.0)</f>
        <v>1</v>
      </c>
      <c r="AV379" s="1" t="str">
        <f>IFERROR(__xludf.DUMMYFUNCTION("""COMPUTED_VALUE"""),"TRASLADO")</f>
        <v>TRASLADO</v>
      </c>
      <c r="AW379" s="1"/>
      <c r="AX379" s="1"/>
      <c r="AY379" s="1" t="str">
        <f>IFERROR(__xludf.DUMMYFUNCTION("""COMPUTED_VALUE"""),"PAGO COMPLETO")</f>
        <v>PAGO COMPLETO</v>
      </c>
      <c r="AZ379" s="5">
        <f>IFERROR(__xludf.DUMMYFUNCTION("""COMPUTED_VALUE"""),45677.0)</f>
        <v>45677</v>
      </c>
      <c r="BA379" s="1">
        <f>IFERROR(__xludf.DUMMYFUNCTION("""COMPUTED_VALUE"""),0.0)</f>
        <v>0</v>
      </c>
      <c r="BB379" s="1">
        <f>IFERROR(__xludf.DUMMYFUNCTION("""COMPUTED_VALUE"""),0.0)</f>
        <v>0</v>
      </c>
      <c r="BC379" s="4">
        <f>IFERROR(__xludf.DUMMYFUNCTION("""COMPUTED_VALUE"""),0.0)</f>
        <v>0</v>
      </c>
      <c r="BD379" s="4">
        <f>IFERROR(__xludf.DUMMYFUNCTION("""COMPUTED_VALUE"""),0.0)</f>
        <v>0</v>
      </c>
      <c r="BE379" s="1">
        <f>IFERROR(__xludf.DUMMYFUNCTION("""COMPUTED_VALUE"""),1.0)</f>
        <v>1</v>
      </c>
      <c r="BF379" s="6">
        <f>IFERROR(__xludf.DUMMYFUNCTION("""COMPUTED_VALUE"""),1.0)</f>
        <v>1</v>
      </c>
      <c r="BG379" s="1">
        <f>IFERROR(__xludf.DUMMYFUNCTION("""COMPUTED_VALUE"""),1.0)</f>
        <v>1</v>
      </c>
      <c r="BH379" s="1" t="str">
        <f>IFERROR(__xludf.DUMMYFUNCTION("""COMPUTED_VALUE"""),"0")</f>
        <v>0</v>
      </c>
      <c r="BI379" s="4">
        <f>IFERROR(__xludf.DUMMYFUNCTION("""COMPUTED_VALUE"""),0.0)</f>
        <v>0</v>
      </c>
      <c r="BJ379" s="1">
        <f>IFERROR(__xludf.DUMMYFUNCTION("""COMPUTED_VALUE"""),0.0)</f>
        <v>0</v>
      </c>
      <c r="BK379" s="4">
        <f>IFERROR(__xludf.DUMMYFUNCTION("""COMPUTED_VALUE"""),0.0)</f>
        <v>0</v>
      </c>
      <c r="BL379" s="1">
        <f>IFERROR(__xludf.DUMMYFUNCTION("""COMPUTED_VALUE"""),600.0)</f>
        <v>600</v>
      </c>
      <c r="BM379" s="1">
        <f>IFERROR(__xludf.DUMMYFUNCTION("""COMPUTED_VALUE"""),4.0)</f>
        <v>4</v>
      </c>
      <c r="BN379" s="2">
        <f>IFERROR(__xludf.DUMMYFUNCTION("""COMPUTED_VALUE"""),45677.0)</f>
        <v>45677</v>
      </c>
      <c r="BO379" s="1">
        <f>IFERROR(__xludf.DUMMYFUNCTION("""COMPUTED_VALUE"""),1.0)</f>
        <v>1</v>
      </c>
      <c r="BP379" s="1">
        <f>IFERROR(__xludf.DUMMYFUNCTION("""COMPUTED_VALUE"""),2025.0)</f>
        <v>2025</v>
      </c>
    </row>
    <row r="380">
      <c r="A380" s="1">
        <f>IFERROR(__xludf.DUMMYFUNCTION("""COMPUTED_VALUE"""),379.0)</f>
        <v>379</v>
      </c>
      <c r="B380" s="1">
        <f>IFERROR(__xludf.DUMMYFUNCTION("""COMPUTED_VALUE"""),4957612.0)</f>
        <v>4957612</v>
      </c>
      <c r="C380" s="1" t="str">
        <f>IFERROR(__xludf.DUMMYFUNCTION("""COMPUTED_VALUE"""),"2025-1")</f>
        <v>2025-1</v>
      </c>
      <c r="D380" s="1" t="str">
        <f>IFERROR(__xludf.DUMMYFUNCTION("""COMPUTED_VALUE"""),"Admisión Extraordinaria (Traslados)")</f>
        <v>Admisión Extraordinaria (Traslados)</v>
      </c>
      <c r="E380" s="2">
        <f>IFERROR(__xludf.DUMMYFUNCTION("""COMPUTED_VALUE"""),45677.0)</f>
        <v>45677</v>
      </c>
      <c r="F380" s="1" t="str">
        <f>IFERROR(__xludf.DUMMYFUNCTION("""COMPUTED_VALUE"""),"ADRIÁN JOSÉ CARLOS ")</f>
        <v>ADRIÁN JOSÉ CARLOS </v>
      </c>
      <c r="G380" s="1" t="str">
        <f>IFERROR(__xludf.DUMMYFUNCTION("""COMPUTED_VALUE"""),"MALDONADO PISCO")</f>
        <v>MALDONADO PISCO</v>
      </c>
      <c r="H380" s="1" t="str">
        <f>IFERROR(__xludf.DUMMYFUNCTION("""COMPUTED_VALUE"""),"Arquitectura")</f>
        <v>Arquitectura</v>
      </c>
      <c r="I380" s="1" t="str">
        <f>IFERROR(__xludf.DUMMYFUNCTION("""COMPUTED_VALUE"""),"POS")</f>
        <v>POS</v>
      </c>
      <c r="J380" s="1" t="str">
        <f>IFERROR(__xludf.DUMMYFUNCTION("""COMPUTED_VALUE"""),"Diurno")</f>
        <v>Diurno</v>
      </c>
      <c r="K380" s="1" t="str">
        <f>IFERROR(__xludf.DUMMYFUNCTION("""COMPUTED_VALUE"""),"TRASLADO")</f>
        <v>TRASLADO</v>
      </c>
      <c r="L380" s="1">
        <f>IFERROR(__xludf.DUMMYFUNCTION("""COMPUTED_VALUE"""),0.0)</f>
        <v>0</v>
      </c>
      <c r="M380" s="1">
        <f>IFERROR(__xludf.DUMMYFUNCTION("""COMPUTED_VALUE"""),0.0)</f>
        <v>0</v>
      </c>
      <c r="N380" s="1" t="str">
        <f>IFERROR(__xludf.DUMMYFUNCTION("""COMPUTED_VALUE"""),"RECA")</f>
        <v>RECA</v>
      </c>
      <c r="O380" s="1" t="str">
        <f>IFERROR(__xludf.DUMMYFUNCTION("""COMPUTED_VALUE"""),"RECA TRASLADO SIN CONVA")</f>
        <v>RECA TRASLADO SIN CONVA</v>
      </c>
      <c r="P380" s="4">
        <f>IFERROR(__xludf.DUMMYFUNCTION("""COMPUTED_VALUE"""),0.0)</f>
        <v>0</v>
      </c>
      <c r="Q380" s="4">
        <f>IFERROR(__xludf.DUMMYFUNCTION("""COMPUTED_VALUE"""),0.0)</f>
        <v>0</v>
      </c>
      <c r="R380" s="4">
        <f>IFERROR(__xludf.DUMMYFUNCTION("""COMPUTED_VALUE"""),1000.0)</f>
        <v>1000</v>
      </c>
      <c r="S380" s="4">
        <f>IFERROR(__xludf.DUMMYFUNCTION("""COMPUTED_VALUE"""),950.0)</f>
        <v>950</v>
      </c>
      <c r="T380" s="1" t="str">
        <f>IFERROR(__xludf.DUMMYFUNCTION("""COMPUTED_VALUE"""),"NINGUNO")</f>
        <v>NINGUNO</v>
      </c>
      <c r="U380" s="1" t="str">
        <f>IFERROR(__xludf.DUMMYFUNCTION("""COMPUTED_VALUE"""),"FABIOLA")</f>
        <v>FABIOLA</v>
      </c>
      <c r="V380" s="1" t="str">
        <f>IFERROR(__xludf.DUMMYFUNCTION("""COMPUTED_VALUE"""),"Ninguno")</f>
        <v>Ninguno</v>
      </c>
      <c r="W380" s="1" t="str">
        <f>IFERROR(__xludf.DUMMYFUNCTION("""COMPUTED_VALUE"""),"Metodología de enseñanza")</f>
        <v>Metodología de enseñanza</v>
      </c>
      <c r="X380" s="1" t="str">
        <f>IFERROR(__xludf.DUMMYFUNCTION("""COMPUTED_VALUE"""),"metodologia")</f>
        <v>metodologia</v>
      </c>
      <c r="Y380" s="1" t="str">
        <f>IFERROR(__xludf.DUMMYFUNCTION("""COMPUTED_VALUE"""),"PAGO COMPLETO")</f>
        <v>PAGO COMPLETO</v>
      </c>
      <c r="Z380" s="1"/>
      <c r="AA380" s="1"/>
      <c r="AB380" s="1">
        <f>IFERROR(__xludf.DUMMYFUNCTION("""COMPUTED_VALUE"""),0.0)</f>
        <v>0</v>
      </c>
      <c r="AC380" s="1">
        <f>IFERROR(__xludf.DUMMYFUNCTION("""COMPUTED_VALUE"""),0.0)</f>
        <v>0</v>
      </c>
      <c r="AD380" s="1" t="str">
        <f>IFERROR(__xludf.DUMMYFUNCTION("""COMPUTED_VALUE"""),"Cinthia Mariella Orosco")</f>
        <v>Cinthia Mariella Orosco</v>
      </c>
      <c r="AE380" s="1" t="str">
        <f>IFERROR(__xludf.DUMMYFUNCTION("""COMPUTED_VALUE"""),"Universidad Tecnologica Del Peru - Utp")</f>
        <v>Universidad Tecnologica Del Peru - Utp</v>
      </c>
      <c r="AF380" s="1">
        <f>IFERROR(__xludf.DUMMYFUNCTION("""COMPUTED_VALUE"""),2021.0)</f>
        <v>2021</v>
      </c>
      <c r="AG380" s="1">
        <f>IFERROR(__xludf.DUMMYFUNCTION("""COMPUTED_VALUE"""),692434.0)</f>
        <v>692434</v>
      </c>
      <c r="AH380" s="1">
        <f>IFERROR(__xludf.DUMMYFUNCTION("""COMPUTED_VALUE"""),20.0)</f>
        <v>20</v>
      </c>
      <c r="AI380" s="1" t="str">
        <f>IFERROR(__xludf.DUMMYFUNCTION("""COMPUTED_VALUE"""),"0000410566")</f>
        <v>0000410566</v>
      </c>
      <c r="AJ380" s="1">
        <f>IFERROR(__xludf.DUMMYFUNCTION("""COMPUTED_VALUE"""),7.4688967E7)</f>
        <v>74688967</v>
      </c>
      <c r="AK380" s="1">
        <f>IFERROR(__xludf.DUMMYFUNCTION("""COMPUTED_VALUE"""),9.89560171E8)</f>
        <v>989560171</v>
      </c>
      <c r="AL380" s="1" t="str">
        <f>IFERROR(__xludf.DUMMYFUNCTION("""COMPUTED_VALUE"""),"apiscom12@gmail.com")</f>
        <v>apiscom12@gmail.com</v>
      </c>
      <c r="AM380" s="1" t="str">
        <f>IFERROR(__xludf.DUMMYFUNCTION("""COMPUTED_VALUE"""),"MASCULINO")</f>
        <v>MASCULINO</v>
      </c>
      <c r="AN380" s="1">
        <f>IFERROR(__xludf.DUMMYFUNCTION("""COMPUTED_VALUE"""),1350.0)</f>
        <v>1350</v>
      </c>
      <c r="AO380" s="1">
        <f>IFERROR(__xludf.DUMMYFUNCTION("""COMPUTED_VALUE"""),0.0)</f>
        <v>0</v>
      </c>
      <c r="AP380" s="1" t="str">
        <f>IFERROR(__xludf.DUMMYFUNCTION("""COMPUTED_VALUE"""),"FORMULARIO")</f>
        <v>FORMULARIO</v>
      </c>
      <c r="AQ380" s="1" t="str">
        <f>IFERROR(__xludf.DUMMYFUNCTION("""COMPUTED_VALUE"""),"ORGANICO")</f>
        <v>ORGANICO</v>
      </c>
      <c r="AR380" s="1" t="str">
        <f>IFERROR(__xludf.DUMMYFUNCTION("""COMPUTED_VALUE"""),"HEREDADO")</f>
        <v>HEREDADO</v>
      </c>
      <c r="AS380" s="1"/>
      <c r="AT380" s="2">
        <f>IFERROR(__xludf.DUMMYFUNCTION("""COMPUTED_VALUE"""),45675.0)</f>
        <v>45675</v>
      </c>
      <c r="AU380" s="1">
        <f>IFERROR(__xludf.DUMMYFUNCTION("""COMPUTED_VALUE"""),1.0)</f>
        <v>1</v>
      </c>
      <c r="AV380" s="1" t="str">
        <f>IFERROR(__xludf.DUMMYFUNCTION("""COMPUTED_VALUE"""),"NUEVO")</f>
        <v>NUEVO</v>
      </c>
      <c r="AW380" s="1" t="str">
        <f>IFERROR(__xludf.DUMMYFUNCTION("""COMPUTED_VALUE"""),"SI")</f>
        <v>SI</v>
      </c>
      <c r="AX380" s="1"/>
      <c r="AY380" s="1" t="str">
        <f>IFERROR(__xludf.DUMMYFUNCTION("""COMPUTED_VALUE"""),"PAGO COMPLETO")</f>
        <v>PAGO COMPLETO</v>
      </c>
      <c r="AZ380" s="5">
        <f>IFERROR(__xludf.DUMMYFUNCTION("""COMPUTED_VALUE"""),45677.0)</f>
        <v>45677</v>
      </c>
      <c r="BA380" s="1">
        <f>IFERROR(__xludf.DUMMYFUNCTION("""COMPUTED_VALUE"""),0.0)</f>
        <v>0</v>
      </c>
      <c r="BB380" s="1">
        <f>IFERROR(__xludf.DUMMYFUNCTION("""COMPUTED_VALUE"""),0.0)</f>
        <v>0</v>
      </c>
      <c r="BC380" s="4">
        <f>IFERROR(__xludf.DUMMYFUNCTION("""COMPUTED_VALUE"""),0.0)</f>
        <v>0</v>
      </c>
      <c r="BD380" s="4">
        <f>IFERROR(__xludf.DUMMYFUNCTION("""COMPUTED_VALUE"""),0.0)</f>
        <v>0</v>
      </c>
      <c r="BE380" s="1">
        <f>IFERROR(__xludf.DUMMYFUNCTION("""COMPUTED_VALUE"""),1.0)</f>
        <v>1</v>
      </c>
      <c r="BF380" s="6">
        <f>IFERROR(__xludf.DUMMYFUNCTION("""COMPUTED_VALUE"""),1.0)</f>
        <v>1</v>
      </c>
      <c r="BG380" s="1">
        <f>IFERROR(__xludf.DUMMYFUNCTION("""COMPUTED_VALUE"""),1.0)</f>
        <v>1</v>
      </c>
      <c r="BH380" s="1" t="str">
        <f>IFERROR(__xludf.DUMMYFUNCTION("""COMPUTED_VALUE"""),"0")</f>
        <v>0</v>
      </c>
      <c r="BI380" s="4">
        <f>IFERROR(__xludf.DUMMYFUNCTION("""COMPUTED_VALUE"""),0.0)</f>
        <v>0</v>
      </c>
      <c r="BJ380" s="1">
        <f>IFERROR(__xludf.DUMMYFUNCTION("""COMPUTED_VALUE"""),0.0)</f>
        <v>0</v>
      </c>
      <c r="BK380" s="4">
        <f>IFERROR(__xludf.DUMMYFUNCTION("""COMPUTED_VALUE"""),0.0)</f>
        <v>0</v>
      </c>
      <c r="BL380" s="1">
        <f>IFERROR(__xludf.DUMMYFUNCTION("""COMPUTED_VALUE"""),950.0)</f>
        <v>950</v>
      </c>
      <c r="BM380" s="1">
        <f>IFERROR(__xludf.DUMMYFUNCTION("""COMPUTED_VALUE"""),4.0)</f>
        <v>4</v>
      </c>
      <c r="BN380" s="2">
        <f>IFERROR(__xludf.DUMMYFUNCTION("""COMPUTED_VALUE"""),45677.0)</f>
        <v>45677</v>
      </c>
      <c r="BO380" s="1">
        <f>IFERROR(__xludf.DUMMYFUNCTION("""COMPUTED_VALUE"""),1.0)</f>
        <v>1</v>
      </c>
      <c r="BP380" s="1">
        <f>IFERROR(__xludf.DUMMYFUNCTION("""COMPUTED_VALUE"""),2025.0)</f>
        <v>2025</v>
      </c>
    </row>
    <row r="381">
      <c r="A381" s="1">
        <f>IFERROR(__xludf.DUMMYFUNCTION("""COMPUTED_VALUE"""),380.0)</f>
        <v>380</v>
      </c>
      <c r="B381" s="1">
        <f>IFERROR(__xludf.DUMMYFUNCTION("""COMPUTED_VALUE"""),2845184.0)</f>
        <v>2845184</v>
      </c>
      <c r="C381" s="1" t="str">
        <f>IFERROR(__xludf.DUMMYFUNCTION("""COMPUTED_VALUE"""),"2025-1")</f>
        <v>2025-1</v>
      </c>
      <c r="D381" s="1" t="str">
        <f>IFERROR(__xludf.DUMMYFUNCTION("""COMPUTED_VALUE"""),"Admisión Extraordinaria (Traslados)")</f>
        <v>Admisión Extraordinaria (Traslados)</v>
      </c>
      <c r="E381" s="2">
        <f>IFERROR(__xludf.DUMMYFUNCTION("""COMPUTED_VALUE"""),45678.0)</f>
        <v>45678</v>
      </c>
      <c r="F381" s="1" t="str">
        <f>IFERROR(__xludf.DUMMYFUNCTION("""COMPUTED_VALUE"""),"REBECA MARIELA")</f>
        <v>REBECA MARIELA</v>
      </c>
      <c r="G381" s="1" t="str">
        <f>IFERROR(__xludf.DUMMYFUNCTION("""COMPUTED_VALUE"""),"JUY QUISPE")</f>
        <v>JUY QUISPE</v>
      </c>
      <c r="H381" s="1" t="str">
        <f>IFERROR(__xludf.DUMMYFUNCTION("""COMPUTED_VALUE"""),"Marketing e Innovación")</f>
        <v>Marketing e Innovación</v>
      </c>
      <c r="I381" s="1" t="str">
        <f>IFERROR(__xludf.DUMMYFUNCTION("""COMPUTED_VALUE"""),"CARGO")</f>
        <v>CARGO</v>
      </c>
      <c r="J381" s="1" t="str">
        <f>IFERROR(__xludf.DUMMYFUNCTION("""COMPUTED_VALUE"""),"Nocturno - A distancia")</f>
        <v>Nocturno - A distancia</v>
      </c>
      <c r="K381" s="1" t="str">
        <f>IFERROR(__xludf.DUMMYFUNCTION("""COMPUTED_VALUE"""),"TRASLADO")</f>
        <v>TRASLADO</v>
      </c>
      <c r="L381" s="1">
        <f>IFERROR(__xludf.DUMMYFUNCTION("""COMPUTED_VALUE"""),1.0)</f>
        <v>1</v>
      </c>
      <c r="M381" s="1">
        <f>IFERROR(__xludf.DUMMYFUNCTION("""COMPUTED_VALUE"""),0.0)</f>
        <v>0</v>
      </c>
      <c r="N381" s="1" t="str">
        <f>IFERROR(__xludf.DUMMYFUNCTION("""COMPUTED_VALUE"""),"ESCALA DISTANCIA")</f>
        <v>ESCALA DISTANCIA</v>
      </c>
      <c r="O381" s="1" t="str">
        <f>IFERROR(__xludf.DUMMYFUNCTION("""COMPUTED_VALUE"""),"ESCALA DISTANCIA TRASLADO")</f>
        <v>ESCALA DISTANCIA TRASLADO</v>
      </c>
      <c r="P381" s="4">
        <f>IFERROR(__xludf.DUMMYFUNCTION("""COMPUTED_VALUE"""),0.0)</f>
        <v>0</v>
      </c>
      <c r="Q381" s="4">
        <f>IFERROR(__xludf.DUMMYFUNCTION("""COMPUTED_VALUE"""),0.0)</f>
        <v>0</v>
      </c>
      <c r="R381" s="4">
        <f>IFERROR(__xludf.DUMMYFUNCTION("""COMPUTED_VALUE"""),700.0)</f>
        <v>700</v>
      </c>
      <c r="S381" s="4">
        <f>IFERROR(__xludf.DUMMYFUNCTION("""COMPUTED_VALUE"""),600.0)</f>
        <v>600</v>
      </c>
      <c r="T381" s="1" t="str">
        <f>IFERROR(__xludf.DUMMYFUNCTION("""COMPUTED_VALUE"""),"NINGUNO")</f>
        <v>NINGUNO</v>
      </c>
      <c r="U381" s="1" t="str">
        <f>IFERROR(__xludf.DUMMYFUNCTION("""COMPUTED_VALUE"""),"RODRIGO")</f>
        <v>RODRIGO</v>
      </c>
      <c r="V381" s="1" t="str">
        <f>IFERROR(__xludf.DUMMYFUNCTION("""COMPUTED_VALUE"""),"Ninguno")</f>
        <v>Ninguno</v>
      </c>
      <c r="W381" s="1" t="str">
        <f>IFERROR(__xludf.DUMMYFUNCTION("""COMPUTED_VALUE"""),"Metodología de enseñanza")</f>
        <v>Metodología de enseñanza</v>
      </c>
      <c r="X381" s="1" t="str">
        <f>IFERROR(__xludf.DUMMYFUNCTION("""COMPUTED_VALUE"""),"convalida")</f>
        <v>convalida</v>
      </c>
      <c r="Y381" s="1" t="str">
        <f>IFERROR(__xludf.DUMMYFUNCTION("""COMPUTED_VALUE"""),"PAGO COMPLETO")</f>
        <v>PAGO COMPLETO</v>
      </c>
      <c r="Z381" s="1"/>
      <c r="AA381" s="1"/>
      <c r="AB381" s="1">
        <f>IFERROR(__xludf.DUMMYFUNCTION("""COMPUTED_VALUE"""),1.0)</f>
        <v>1</v>
      </c>
      <c r="AC381" s="1">
        <f>IFERROR(__xludf.DUMMYFUNCTION("""COMPUTED_VALUE"""),0.0)</f>
        <v>0</v>
      </c>
      <c r="AD381" s="1" t="str">
        <f>IFERROR(__xludf.DUMMYFUNCTION("""COMPUTED_VALUE"""),"Rosa Ugarte")</f>
        <v>Rosa Ugarte</v>
      </c>
      <c r="AE381" s="1" t="str">
        <f>IFERROR(__xludf.DUMMYFUNCTION("""COMPUTED_VALUE"""),"Certus")</f>
        <v>Certus</v>
      </c>
      <c r="AF381" s="1">
        <f>IFERROR(__xludf.DUMMYFUNCTION("""COMPUTED_VALUE"""),2021.0)</f>
        <v>2021</v>
      </c>
      <c r="AG381" s="1">
        <f>IFERROR(__xludf.DUMMYFUNCTION("""COMPUTED_VALUE"""),1334523.0)</f>
        <v>1334523</v>
      </c>
      <c r="AH381" s="1">
        <f>IFERROR(__xludf.DUMMYFUNCTION("""COMPUTED_VALUE"""),5.0)</f>
        <v>5</v>
      </c>
      <c r="AI381" s="1" t="str">
        <f>IFERROR(__xludf.DUMMYFUNCTION("""COMPUTED_VALUE"""),"0000140832")</f>
        <v>0000140832</v>
      </c>
      <c r="AJ381" s="1">
        <f>IFERROR(__xludf.DUMMYFUNCTION("""COMPUTED_VALUE"""),7.0651877E7)</f>
        <v>70651877</v>
      </c>
      <c r="AK381" s="1">
        <f>IFERROR(__xludf.DUMMYFUNCTION("""COMPUTED_VALUE"""),9.6940072E8)</f>
        <v>969400720</v>
      </c>
      <c r="AL381" s="1" t="str">
        <f>IFERROR(__xludf.DUMMYFUNCTION("""COMPUTED_VALUE"""),"rjuyquispe@gmail.com")</f>
        <v>rjuyquispe@gmail.com</v>
      </c>
      <c r="AM381" s="1" t="str">
        <f>IFERROR(__xludf.DUMMYFUNCTION("""COMPUTED_VALUE"""),"FEMENINO")</f>
        <v>FEMENINO</v>
      </c>
      <c r="AN381" s="1">
        <f>IFERROR(__xludf.DUMMYFUNCTION("""COMPUTED_VALUE"""),1775.0)</f>
        <v>1775</v>
      </c>
      <c r="AO381" s="1">
        <f>IFERROR(__xludf.DUMMYFUNCTION("""COMPUTED_VALUE"""),485.0)</f>
        <v>485</v>
      </c>
      <c r="AP381" s="1" t="str">
        <f>IFERROR(__xludf.DUMMYFUNCTION("""COMPUTED_VALUE"""),"BIDIRECCIONAL")</f>
        <v>BIDIRECCIONAL</v>
      </c>
      <c r="AQ381" s="1" t="str">
        <f>IFERROR(__xludf.DUMMYFUNCTION("""COMPUTED_VALUE"""),"ORGANICO")</f>
        <v>ORGANICO</v>
      </c>
      <c r="AR381" s="1" t="str">
        <f>IFERROR(__xludf.DUMMYFUNCTION("""COMPUTED_VALUE"""),"HEREDADO")</f>
        <v>HEREDADO</v>
      </c>
      <c r="AS381" s="1"/>
      <c r="AT381" s="2">
        <f>IFERROR(__xludf.DUMMYFUNCTION("""COMPUTED_VALUE"""),45677.0)</f>
        <v>45677</v>
      </c>
      <c r="AU381" s="1">
        <f>IFERROR(__xludf.DUMMYFUNCTION("""COMPUTED_VALUE"""),1.0)</f>
        <v>1</v>
      </c>
      <c r="AV381" s="1" t="str">
        <f>IFERROR(__xludf.DUMMYFUNCTION("""COMPUTED_VALUE"""),"TRASLADO")</f>
        <v>TRASLADO</v>
      </c>
      <c r="AW381" s="1" t="str">
        <f>IFERROR(__xludf.DUMMYFUNCTION("""COMPUTED_VALUE"""),"SI")</f>
        <v>SI</v>
      </c>
      <c r="AX381" s="1"/>
      <c r="AY381" s="1" t="str">
        <f>IFERROR(__xludf.DUMMYFUNCTION("""COMPUTED_VALUE"""),"PAGO COMPLETO")</f>
        <v>PAGO COMPLETO</v>
      </c>
      <c r="AZ381" s="5">
        <f>IFERROR(__xludf.DUMMYFUNCTION("""COMPUTED_VALUE"""),45678.0)</f>
        <v>45678</v>
      </c>
      <c r="BA381" s="1">
        <f>IFERROR(__xludf.DUMMYFUNCTION("""COMPUTED_VALUE"""),0.0)</f>
        <v>0</v>
      </c>
      <c r="BB381" s="1">
        <f>IFERROR(__xludf.DUMMYFUNCTION("""COMPUTED_VALUE"""),0.0)</f>
        <v>0</v>
      </c>
      <c r="BC381" s="4">
        <f>IFERROR(__xludf.DUMMYFUNCTION("""COMPUTED_VALUE"""),0.0)</f>
        <v>0</v>
      </c>
      <c r="BD381" s="4">
        <f>IFERROR(__xludf.DUMMYFUNCTION("""COMPUTED_VALUE"""),0.0)</f>
        <v>0</v>
      </c>
      <c r="BE381" s="1">
        <f>IFERROR(__xludf.DUMMYFUNCTION("""COMPUTED_VALUE"""),1.0)</f>
        <v>1</v>
      </c>
      <c r="BF381" s="6">
        <f>IFERROR(__xludf.DUMMYFUNCTION("""COMPUTED_VALUE"""),1.0)</f>
        <v>1</v>
      </c>
      <c r="BG381" s="1">
        <f>IFERROR(__xludf.DUMMYFUNCTION("""COMPUTED_VALUE"""),1.0)</f>
        <v>1</v>
      </c>
      <c r="BH381" s="1" t="str">
        <f>IFERROR(__xludf.DUMMYFUNCTION("""COMPUTED_VALUE"""),"0")</f>
        <v>0</v>
      </c>
      <c r="BI381" s="4">
        <f>IFERROR(__xludf.DUMMYFUNCTION("""COMPUTED_VALUE"""),0.0)</f>
        <v>0</v>
      </c>
      <c r="BJ381" s="1">
        <f>IFERROR(__xludf.DUMMYFUNCTION("""COMPUTED_VALUE"""),0.0)</f>
        <v>0</v>
      </c>
      <c r="BK381" s="4">
        <f>IFERROR(__xludf.DUMMYFUNCTION("""COMPUTED_VALUE"""),0.0)</f>
        <v>0</v>
      </c>
      <c r="BL381" s="1">
        <f>IFERROR(__xludf.DUMMYFUNCTION("""COMPUTED_VALUE"""),600.0)</f>
        <v>600</v>
      </c>
      <c r="BM381" s="1">
        <f>IFERROR(__xludf.DUMMYFUNCTION("""COMPUTED_VALUE"""),4.0)</f>
        <v>4</v>
      </c>
      <c r="BN381" s="2">
        <f>IFERROR(__xludf.DUMMYFUNCTION("""COMPUTED_VALUE"""),45677.0)</f>
        <v>45677</v>
      </c>
      <c r="BO381" s="1">
        <f>IFERROR(__xludf.DUMMYFUNCTION("""COMPUTED_VALUE"""),1.0)</f>
        <v>1</v>
      </c>
      <c r="BP381" s="1">
        <f>IFERROR(__xludf.DUMMYFUNCTION("""COMPUTED_VALUE"""),2025.0)</f>
        <v>2025</v>
      </c>
    </row>
    <row r="382">
      <c r="A382" s="1">
        <f>IFERROR(__xludf.DUMMYFUNCTION("""COMPUTED_VALUE"""),381.0)</f>
        <v>381</v>
      </c>
      <c r="B382" s="1">
        <f>IFERROR(__xludf.DUMMYFUNCTION("""COMPUTED_VALUE"""),1858030.0)</f>
        <v>1858030</v>
      </c>
      <c r="C382" s="1" t="str">
        <f>IFERROR(__xludf.DUMMYFUNCTION("""COMPUTED_VALUE"""),"2025-1")</f>
        <v>2025-1</v>
      </c>
      <c r="D382" s="1" t="str">
        <f>IFERROR(__xludf.DUMMYFUNCTION("""COMPUTED_VALUE"""),"Admisión Extraordinaria (Traslados)")</f>
        <v>Admisión Extraordinaria (Traslados)</v>
      </c>
      <c r="E382" s="2">
        <f>IFERROR(__xludf.DUMMYFUNCTION("""COMPUTED_VALUE"""),45678.0)</f>
        <v>45678</v>
      </c>
      <c r="F382" s="1" t="str">
        <f>IFERROR(__xludf.DUMMYFUNCTION("""COMPUTED_VALUE"""),"FABRICIO ")</f>
        <v>FABRICIO </v>
      </c>
      <c r="G382" s="1" t="str">
        <f>IFERROR(__xludf.DUMMYFUNCTION("""COMPUTED_VALUE"""),"VALDIVIESO VASQUEZ")</f>
        <v>VALDIVIESO VASQUEZ</v>
      </c>
      <c r="H382" s="1" t="str">
        <f>IFERROR(__xludf.DUMMYFUNCTION("""COMPUTED_VALUE"""),"Arquitectura")</f>
        <v>Arquitectura</v>
      </c>
      <c r="I382" s="1" t="str">
        <f>IFERROR(__xludf.DUMMYFUNCTION("""COMPUTED_VALUE"""),"CARGO")</f>
        <v>CARGO</v>
      </c>
      <c r="J382" s="1" t="str">
        <f>IFERROR(__xludf.DUMMYFUNCTION("""COMPUTED_VALUE"""),"Diurno")</f>
        <v>Diurno</v>
      </c>
      <c r="K382" s="1" t="str">
        <f>IFERROR(__xludf.DUMMYFUNCTION("""COMPUTED_VALUE"""),"TRASLADO")</f>
        <v>TRASLADO</v>
      </c>
      <c r="L382" s="1">
        <f>IFERROR(__xludf.DUMMYFUNCTION("""COMPUTED_VALUE"""),1.0)</f>
        <v>1</v>
      </c>
      <c r="M382" s="1">
        <f>IFERROR(__xludf.DUMMYFUNCTION("""COMPUTED_VALUE"""),0.0)</f>
        <v>0</v>
      </c>
      <c r="N382" s="1" t="str">
        <f>IFERROR(__xludf.DUMMYFUNCTION("""COMPUTED_VALUE"""),"RECA")</f>
        <v>RECA</v>
      </c>
      <c r="O382" s="1" t="str">
        <f>IFERROR(__xludf.DUMMYFUNCTION("""COMPUTED_VALUE"""),"RECA TRASLADO CON CONVA")</f>
        <v>RECA TRASLADO CON CONVA</v>
      </c>
      <c r="P382" s="4">
        <f>IFERROR(__xludf.DUMMYFUNCTION("""COMPUTED_VALUE"""),0.0)</f>
        <v>0</v>
      </c>
      <c r="Q382" s="4">
        <f>IFERROR(__xludf.DUMMYFUNCTION("""COMPUTED_VALUE"""),0.0)</f>
        <v>0</v>
      </c>
      <c r="R382" s="4">
        <f>IFERROR(__xludf.DUMMYFUNCTION("""COMPUTED_VALUE"""),1650.0)</f>
        <v>1650</v>
      </c>
      <c r="S382" s="4">
        <f>IFERROR(__xludf.DUMMYFUNCTION("""COMPUTED_VALUE"""),1650.0)</f>
        <v>1650</v>
      </c>
      <c r="T382" s="1" t="str">
        <f>IFERROR(__xludf.DUMMYFUNCTION("""COMPUTED_VALUE"""),"NINGUNO")</f>
        <v>NINGUNO</v>
      </c>
      <c r="U382" s="1" t="str">
        <f>IFERROR(__xludf.DUMMYFUNCTION("""COMPUTED_VALUE"""),"SEBASTIAN")</f>
        <v>SEBASTIAN</v>
      </c>
      <c r="V382" s="1" t="str">
        <f>IFERROR(__xludf.DUMMYFUNCTION("""COMPUTED_VALUE"""),"Ninguno")</f>
        <v>Ninguno</v>
      </c>
      <c r="W382" s="1" t="str">
        <f>IFERROR(__xludf.DUMMYFUNCTION("""COMPUTED_VALUE"""),"Prestigio de la institución")</f>
        <v>Prestigio de la institución</v>
      </c>
      <c r="X382" s="1" t="str">
        <f>IFERROR(__xludf.DUMMYFUNCTION("""COMPUTED_VALUE"""),"0")</f>
        <v>0</v>
      </c>
      <c r="Y382" s="1" t="str">
        <f>IFERROR(__xludf.DUMMYFUNCTION("""COMPUTED_VALUE"""),"PAGO COMPLETO")</f>
        <v>PAGO COMPLETO</v>
      </c>
      <c r="Z382" s="1"/>
      <c r="AA382" s="1"/>
      <c r="AB382" s="1">
        <f>IFERROR(__xludf.DUMMYFUNCTION("""COMPUTED_VALUE"""),0.0)</f>
        <v>0</v>
      </c>
      <c r="AC382" s="1">
        <f>IFERROR(__xludf.DUMMYFUNCTION("""COMPUTED_VALUE"""),0.0)</f>
        <v>0</v>
      </c>
      <c r="AD382" s="1" t="str">
        <f>IFERROR(__xludf.DUMMYFUNCTION("""COMPUTED_VALUE"""),"Andrea Araujo Antara")</f>
        <v>Andrea Araujo Antara</v>
      </c>
      <c r="AE382" s="1" t="str">
        <f>IFERROR(__xludf.DUMMYFUNCTION("""COMPUTED_VALUE"""),"Universidad Peruana De Ciencias Aplicadas(UPC)")</f>
        <v>Universidad Peruana De Ciencias Aplicadas(UPC)</v>
      </c>
      <c r="AF382" s="1">
        <f>IFERROR(__xludf.DUMMYFUNCTION("""COMPUTED_VALUE"""),2020.0)</f>
        <v>2020</v>
      </c>
      <c r="AG382" s="1">
        <f>IFERROR(__xludf.DUMMYFUNCTION("""COMPUTED_VALUE"""),0.0)</f>
        <v>0</v>
      </c>
      <c r="AH382" s="1">
        <f>IFERROR(__xludf.DUMMYFUNCTION("""COMPUTED_VALUE"""),27.0)</f>
        <v>27</v>
      </c>
      <c r="AI382" s="1" t="str">
        <f>IFERROR(__xludf.DUMMYFUNCTION("""COMPUTED_VALUE"""),"0000410660")</f>
        <v>0000410660</v>
      </c>
      <c r="AJ382" s="1">
        <f>IFERROR(__xludf.DUMMYFUNCTION("""COMPUTED_VALUE"""),7.5906127E7)</f>
        <v>75906127</v>
      </c>
      <c r="AK382" s="1">
        <f>IFERROR(__xludf.DUMMYFUNCTION("""COMPUTED_VALUE"""),9.16489623E8)</f>
        <v>916489623</v>
      </c>
      <c r="AL382" s="1" t="str">
        <f>IFERROR(__xludf.DUMMYFUNCTION("""COMPUTED_VALUE"""),"ffava3344@gmail.com")</f>
        <v>ffava3344@gmail.com</v>
      </c>
      <c r="AM382" s="1" t="str">
        <f>IFERROR(__xludf.DUMMYFUNCTION("""COMPUTED_VALUE"""),"MASCULINO")</f>
        <v>MASCULINO</v>
      </c>
      <c r="AN382" s="1">
        <f>IFERROR(__xludf.DUMMYFUNCTION("""COMPUTED_VALUE"""),1350.0)</f>
        <v>1350</v>
      </c>
      <c r="AO382" s="1">
        <f>IFERROR(__xludf.DUMMYFUNCTION("""COMPUTED_VALUE"""),0.0)</f>
        <v>0</v>
      </c>
      <c r="AP382" s="1" t="str">
        <f>IFERROR(__xludf.DUMMYFUNCTION("""COMPUTED_VALUE"""),"FORMULARIO")</f>
        <v>FORMULARIO</v>
      </c>
      <c r="AQ382" s="1" t="str">
        <f>IFERROR(__xludf.DUMMYFUNCTION("""COMPUTED_VALUE"""),"ORGANICO")</f>
        <v>ORGANICO</v>
      </c>
      <c r="AR382" s="1" t="str">
        <f>IFERROR(__xludf.DUMMYFUNCTION("""COMPUTED_VALUE"""),"HEREDADO")</f>
        <v>HEREDADO</v>
      </c>
      <c r="AS382" s="1"/>
      <c r="AT382" s="2">
        <f>IFERROR(__xludf.DUMMYFUNCTION("""COMPUTED_VALUE"""),45678.0)</f>
        <v>45678</v>
      </c>
      <c r="AU382" s="1">
        <f>IFERROR(__xludf.DUMMYFUNCTION("""COMPUTED_VALUE"""),1.0)</f>
        <v>1</v>
      </c>
      <c r="AV382" s="1" t="str">
        <f>IFERROR(__xludf.DUMMYFUNCTION("""COMPUTED_VALUE"""),"TRASLADO")</f>
        <v>TRASLADO</v>
      </c>
      <c r="AW382" s="1" t="str">
        <f>IFERROR(__xludf.DUMMYFUNCTION("""COMPUTED_VALUE"""),"SI")</f>
        <v>SI</v>
      </c>
      <c r="AX382" s="1"/>
      <c r="AY382" s="1" t="str">
        <f>IFERROR(__xludf.DUMMYFUNCTION("""COMPUTED_VALUE"""),"PAGO COMPLETO")</f>
        <v>PAGO COMPLETO</v>
      </c>
      <c r="AZ382" s="5">
        <f>IFERROR(__xludf.DUMMYFUNCTION("""COMPUTED_VALUE"""),45678.0)</f>
        <v>45678</v>
      </c>
      <c r="BA382" s="1">
        <f>IFERROR(__xludf.DUMMYFUNCTION("""COMPUTED_VALUE"""),0.0)</f>
        <v>0</v>
      </c>
      <c r="BB382" s="1">
        <f>IFERROR(__xludf.DUMMYFUNCTION("""COMPUTED_VALUE"""),0.0)</f>
        <v>0</v>
      </c>
      <c r="BC382" s="4">
        <f>IFERROR(__xludf.DUMMYFUNCTION("""COMPUTED_VALUE"""),0.0)</f>
        <v>0</v>
      </c>
      <c r="BD382" s="4">
        <f>IFERROR(__xludf.DUMMYFUNCTION("""COMPUTED_VALUE"""),0.0)</f>
        <v>0</v>
      </c>
      <c r="BE382" s="1">
        <f>IFERROR(__xludf.DUMMYFUNCTION("""COMPUTED_VALUE"""),1.0)</f>
        <v>1</v>
      </c>
      <c r="BF382" s="6">
        <f>IFERROR(__xludf.DUMMYFUNCTION("""COMPUTED_VALUE"""),1.0)</f>
        <v>1</v>
      </c>
      <c r="BG382" s="1">
        <f>IFERROR(__xludf.DUMMYFUNCTION("""COMPUTED_VALUE"""),1.0)</f>
        <v>1</v>
      </c>
      <c r="BH382" s="1" t="str">
        <f>IFERROR(__xludf.DUMMYFUNCTION("""COMPUTED_VALUE"""),"1")</f>
        <v>1</v>
      </c>
      <c r="BI382" s="4">
        <f>IFERROR(__xludf.DUMMYFUNCTION("""COMPUTED_VALUE"""),0.0)</f>
        <v>0</v>
      </c>
      <c r="BJ382" s="1">
        <f>IFERROR(__xludf.DUMMYFUNCTION("""COMPUTED_VALUE"""),0.0)</f>
        <v>0</v>
      </c>
      <c r="BK382" s="4">
        <f>IFERROR(__xludf.DUMMYFUNCTION("""COMPUTED_VALUE"""),0.0)</f>
        <v>0</v>
      </c>
      <c r="BL382" s="1">
        <f>IFERROR(__xludf.DUMMYFUNCTION("""COMPUTED_VALUE"""),1650.0)</f>
        <v>1650</v>
      </c>
      <c r="BM382" s="1">
        <f>IFERROR(__xludf.DUMMYFUNCTION("""COMPUTED_VALUE"""),4.0)</f>
        <v>4</v>
      </c>
      <c r="BN382" s="2">
        <f>IFERROR(__xludf.DUMMYFUNCTION("""COMPUTED_VALUE"""),45677.0)</f>
        <v>45677</v>
      </c>
      <c r="BO382" s="1">
        <f>IFERROR(__xludf.DUMMYFUNCTION("""COMPUTED_VALUE"""),1.0)</f>
        <v>1</v>
      </c>
      <c r="BP382" s="1">
        <f>IFERROR(__xludf.DUMMYFUNCTION("""COMPUTED_VALUE"""),2025.0)</f>
        <v>2025</v>
      </c>
    </row>
    <row r="383">
      <c r="A383" s="1">
        <f>IFERROR(__xludf.DUMMYFUNCTION("""COMPUTED_VALUE"""),382.0)</f>
        <v>382</v>
      </c>
      <c r="B383" s="1">
        <f>IFERROR(__xludf.DUMMYFUNCTION("""COMPUTED_VALUE"""),4963512.0)</f>
        <v>4963512</v>
      </c>
      <c r="C383" s="1" t="str">
        <f>IFERROR(__xludf.DUMMYFUNCTION("""COMPUTED_VALUE"""),"2025-1")</f>
        <v>2025-1</v>
      </c>
      <c r="D383" s="1" t="str">
        <f>IFERROR(__xludf.DUMMYFUNCTION("""COMPUTED_VALUE"""),"Admisión Ordinaria")</f>
        <v>Admisión Ordinaria</v>
      </c>
      <c r="E383" s="2">
        <f>IFERROR(__xludf.DUMMYFUNCTION("""COMPUTED_VALUE"""),45678.0)</f>
        <v>45678</v>
      </c>
      <c r="F383" s="1" t="str">
        <f>IFERROR(__xludf.DUMMYFUNCTION("""COMPUTED_VALUE"""),"ROSA ESTHER ")</f>
        <v>ROSA ESTHER </v>
      </c>
      <c r="G383" s="1" t="str">
        <f>IFERROR(__xludf.DUMMYFUNCTION("""COMPUTED_VALUE"""),"SILVA CHAVEZ")</f>
        <v>SILVA CHAVEZ</v>
      </c>
      <c r="H383" s="1" t="str">
        <f>IFERROR(__xludf.DUMMYFUNCTION("""COMPUTED_VALUE"""),"Administración y Negocios Internacionales")</f>
        <v>Administración y Negocios Internacionales</v>
      </c>
      <c r="I383" s="1" t="str">
        <f>IFERROR(__xludf.DUMMYFUNCTION("""COMPUTED_VALUE"""),"CARGO")</f>
        <v>CARGO</v>
      </c>
      <c r="J383" s="1" t="str">
        <f>IFERROR(__xludf.DUMMYFUNCTION("""COMPUTED_VALUE"""),"Nocturno - A distancia")</f>
        <v>Nocturno - A distancia</v>
      </c>
      <c r="K383" s="1" t="str">
        <f>IFERROR(__xludf.DUMMYFUNCTION("""COMPUTED_VALUE"""),"NUEVO")</f>
        <v>NUEVO</v>
      </c>
      <c r="L383" s="1">
        <f>IFERROR(__xludf.DUMMYFUNCTION("""COMPUTED_VALUE"""),0.0)</f>
        <v>0</v>
      </c>
      <c r="M383" s="1">
        <f>IFERROR(__xludf.DUMMYFUNCTION("""COMPUTED_VALUE"""),0.0)</f>
        <v>0</v>
      </c>
      <c r="N383" s="1" t="str">
        <f>IFERROR(__xludf.DUMMYFUNCTION("""COMPUTED_VALUE"""),"ESCALA DISTANCIA")</f>
        <v>ESCALA DISTANCIA</v>
      </c>
      <c r="O383" s="1" t="str">
        <f>IFERROR(__xludf.DUMMYFUNCTION("""COMPUTED_VALUE"""),"ESCALA DISTANCIA REGULAR")</f>
        <v>ESCALA DISTANCIA REGULAR</v>
      </c>
      <c r="P383" s="4">
        <f>IFERROR(__xludf.DUMMYFUNCTION("""COMPUTED_VALUE"""),0.0)</f>
        <v>0</v>
      </c>
      <c r="Q383" s="4">
        <f>IFERROR(__xludf.DUMMYFUNCTION("""COMPUTED_VALUE"""),0.0)</f>
        <v>0</v>
      </c>
      <c r="R383" s="4">
        <f>IFERROR(__xludf.DUMMYFUNCTION("""COMPUTED_VALUE"""),1150.0)</f>
        <v>1150</v>
      </c>
      <c r="S383" s="4">
        <f>IFERROR(__xludf.DUMMYFUNCTION("""COMPUTED_VALUE"""),700.0)</f>
        <v>700</v>
      </c>
      <c r="T383" s="1" t="str">
        <f>IFERROR(__xludf.DUMMYFUNCTION("""COMPUTED_VALUE"""),"NINGUNO")</f>
        <v>NINGUNO</v>
      </c>
      <c r="U383" s="1"/>
      <c r="V383" s="1" t="str">
        <f>IFERROR(__xludf.DUMMYFUNCTION("""COMPUTED_VALUE"""),"Ninguno")</f>
        <v>Ninguno</v>
      </c>
      <c r="W383" s="1" t="str">
        <f>IFERROR(__xludf.DUMMYFUNCTION("""COMPUTED_VALUE"""),"Otros")</f>
        <v>Otros</v>
      </c>
      <c r="X383" s="1"/>
      <c r="Y383" s="1" t="str">
        <f>IFERROR(__xludf.DUMMYFUNCTION("""COMPUTED_VALUE"""),"PAGO COMPLETO")</f>
        <v>PAGO COMPLETO</v>
      </c>
      <c r="Z383" s="1"/>
      <c r="AA383" s="1"/>
      <c r="AB383" s="1">
        <f>IFERROR(__xludf.DUMMYFUNCTION("""COMPUTED_VALUE"""),0.0)</f>
        <v>0</v>
      </c>
      <c r="AC383" s="1">
        <f>IFERROR(__xludf.DUMMYFUNCTION("""COMPUTED_VALUE"""),0.0)</f>
        <v>0</v>
      </c>
      <c r="AD383" s="1" t="str">
        <f>IFERROR(__xludf.DUMMYFUNCTION("""COMPUTED_VALUE"""),"César Alberto Loayza Gutiérrez")</f>
        <v>César Alberto Loayza Gutiérrez</v>
      </c>
      <c r="AE383" s="1" t="str">
        <f>IFERROR(__xludf.DUMMYFUNCTION("""COMPUTED_VALUE"""),"0")</f>
        <v>0</v>
      </c>
      <c r="AF383" s="1">
        <f>IFERROR(__xludf.DUMMYFUNCTION("""COMPUTED_VALUE"""),2018.0)</f>
        <v>2018</v>
      </c>
      <c r="AG383" s="1">
        <f>IFERROR(__xludf.DUMMYFUNCTION("""COMPUTED_VALUE"""),1193739.0)</f>
        <v>1193739</v>
      </c>
      <c r="AH383" s="1">
        <f>IFERROR(__xludf.DUMMYFUNCTION("""COMPUTED_VALUE"""),35.0)</f>
        <v>35</v>
      </c>
      <c r="AI383" s="1" t="str">
        <f>IFERROR(__xludf.DUMMYFUNCTION("""COMPUTED_VALUE"""),"0000410667")</f>
        <v>0000410667</v>
      </c>
      <c r="AJ383" s="1">
        <f>IFERROR(__xludf.DUMMYFUNCTION("""COMPUTED_VALUE"""),4.6622479E7)</f>
        <v>46622479</v>
      </c>
      <c r="AK383" s="1">
        <f>IFERROR(__xludf.DUMMYFUNCTION("""COMPUTED_VALUE"""),9.31130192E8)</f>
        <v>931130192</v>
      </c>
      <c r="AL383" s="1" t="str">
        <f>IFERROR(__xludf.DUMMYFUNCTION("""COMPUTED_VALUE"""),"rosatel19901@gmail.com")</f>
        <v>rosatel19901@gmail.com</v>
      </c>
      <c r="AM383" s="1" t="str">
        <f>IFERROR(__xludf.DUMMYFUNCTION("""COMPUTED_VALUE"""),"FEMENINO")</f>
        <v>FEMENINO</v>
      </c>
      <c r="AN383" s="1">
        <f>IFERROR(__xludf.DUMMYFUNCTION("""COMPUTED_VALUE"""),0.0)</f>
        <v>0</v>
      </c>
      <c r="AO383" s="1">
        <f>IFERROR(__xludf.DUMMYFUNCTION("""COMPUTED_VALUE"""),280.0)</f>
        <v>280</v>
      </c>
      <c r="AP383" s="1" t="str">
        <f>IFERROR(__xludf.DUMMYFUNCTION("""COMPUTED_VALUE"""),"FORMULARIO")</f>
        <v>FORMULARIO</v>
      </c>
      <c r="AQ383" s="1" t="str">
        <f>IFERROR(__xludf.DUMMYFUNCTION("""COMPUTED_VALUE"""),"ORGANICO")</f>
        <v>ORGANICO</v>
      </c>
      <c r="AR383" s="1" t="str">
        <f>IFERROR(__xludf.DUMMYFUNCTION("""COMPUTED_VALUE"""),"NUEVO")</f>
        <v>NUEVO</v>
      </c>
      <c r="AS383" s="1"/>
      <c r="AT383" s="2">
        <f>IFERROR(__xludf.DUMMYFUNCTION("""COMPUTED_VALUE"""),45678.0)</f>
        <v>45678</v>
      </c>
      <c r="AU383" s="1">
        <f>IFERROR(__xludf.DUMMYFUNCTION("""COMPUTED_VALUE"""),1.0)</f>
        <v>1</v>
      </c>
      <c r="AV383" s="1" t="str">
        <f>IFERROR(__xludf.DUMMYFUNCTION("""COMPUTED_VALUE"""),"NUEVO")</f>
        <v>NUEVO</v>
      </c>
      <c r="AW383" s="1" t="str">
        <f>IFERROR(__xludf.DUMMYFUNCTION("""COMPUTED_VALUE"""),"SI")</f>
        <v>SI</v>
      </c>
      <c r="AX383" s="1"/>
      <c r="AY383" s="1" t="str">
        <f>IFERROR(__xludf.DUMMYFUNCTION("""COMPUTED_VALUE"""),"PAGO COMPLETO")</f>
        <v>PAGO COMPLETO</v>
      </c>
      <c r="AZ383" s="5">
        <f>IFERROR(__xludf.DUMMYFUNCTION("""COMPUTED_VALUE"""),45678.0)</f>
        <v>45678</v>
      </c>
      <c r="BA383" s="1">
        <f>IFERROR(__xludf.DUMMYFUNCTION("""COMPUTED_VALUE"""),0.0)</f>
        <v>0</v>
      </c>
      <c r="BB383" s="1">
        <f>IFERROR(__xludf.DUMMYFUNCTION("""COMPUTED_VALUE"""),0.0)</f>
        <v>0</v>
      </c>
      <c r="BC383" s="4">
        <f>IFERROR(__xludf.DUMMYFUNCTION("""COMPUTED_VALUE"""),0.0)</f>
        <v>0</v>
      </c>
      <c r="BD383" s="4">
        <f>IFERROR(__xludf.DUMMYFUNCTION("""COMPUTED_VALUE"""),0.0)</f>
        <v>0</v>
      </c>
      <c r="BE383" s="1">
        <f>IFERROR(__xludf.DUMMYFUNCTION("""COMPUTED_VALUE"""),1.0)</f>
        <v>1</v>
      </c>
      <c r="BF383" s="6">
        <f>IFERROR(__xludf.DUMMYFUNCTION("""COMPUTED_VALUE"""),1.0)</f>
        <v>1</v>
      </c>
      <c r="BG383" s="1">
        <f>IFERROR(__xludf.DUMMYFUNCTION("""COMPUTED_VALUE"""),1.0)</f>
        <v>1</v>
      </c>
      <c r="BH383" s="1" t="str">
        <f>IFERROR(__xludf.DUMMYFUNCTION("""COMPUTED_VALUE"""),"0")</f>
        <v>0</v>
      </c>
      <c r="BI383" s="4">
        <f>IFERROR(__xludf.DUMMYFUNCTION("""COMPUTED_VALUE"""),0.0)</f>
        <v>0</v>
      </c>
      <c r="BJ383" s="1">
        <f>IFERROR(__xludf.DUMMYFUNCTION("""COMPUTED_VALUE"""),0.0)</f>
        <v>0</v>
      </c>
      <c r="BK383" s="4">
        <f>IFERROR(__xludf.DUMMYFUNCTION("""COMPUTED_VALUE"""),0.0)</f>
        <v>0</v>
      </c>
      <c r="BL383" s="1">
        <f>IFERROR(__xludf.DUMMYFUNCTION("""COMPUTED_VALUE"""),700.0)</f>
        <v>700</v>
      </c>
      <c r="BM383" s="1">
        <f>IFERROR(__xludf.DUMMYFUNCTION("""COMPUTED_VALUE"""),4.0)</f>
        <v>4</v>
      </c>
      <c r="BN383" s="2">
        <f>IFERROR(__xludf.DUMMYFUNCTION("""COMPUTED_VALUE"""),45677.0)</f>
        <v>45677</v>
      </c>
      <c r="BO383" s="1">
        <f>IFERROR(__xludf.DUMMYFUNCTION("""COMPUTED_VALUE"""),1.0)</f>
        <v>1</v>
      </c>
      <c r="BP383" s="1">
        <f>IFERROR(__xludf.DUMMYFUNCTION("""COMPUTED_VALUE"""),2025.0)</f>
        <v>2025</v>
      </c>
    </row>
    <row r="384">
      <c r="A384" s="1">
        <f>IFERROR(__xludf.DUMMYFUNCTION("""COMPUTED_VALUE"""),383.0)</f>
        <v>383</v>
      </c>
      <c r="B384" s="1">
        <f>IFERROR(__xludf.DUMMYFUNCTION("""COMPUTED_VALUE"""),4917717.0)</f>
        <v>4917717</v>
      </c>
      <c r="C384" s="1" t="str">
        <f>IFERROR(__xludf.DUMMYFUNCTION("""COMPUTED_VALUE"""),"2025-1")</f>
        <v>2025-1</v>
      </c>
      <c r="D384" s="1" t="str">
        <f>IFERROR(__xludf.DUMMYFUNCTION("""COMPUTED_VALUE"""),"Admisión de Alto Rendimiento")</f>
        <v>Admisión de Alto Rendimiento</v>
      </c>
      <c r="E384" s="2">
        <f>IFERROR(__xludf.DUMMYFUNCTION("""COMPUTED_VALUE"""),45678.0)</f>
        <v>45678</v>
      </c>
      <c r="F384" s="1" t="str">
        <f>IFERROR(__xludf.DUMMYFUNCTION("""COMPUTED_VALUE"""),"NATSUMI AIKO ")</f>
        <v>NATSUMI AIKO </v>
      </c>
      <c r="G384" s="1" t="str">
        <f>IFERROR(__xludf.DUMMYFUNCTION("""COMPUTED_VALUE"""),"TOCTO ZAPATA")</f>
        <v>TOCTO ZAPATA</v>
      </c>
      <c r="H384" s="1" t="str">
        <f>IFERROR(__xludf.DUMMYFUNCTION("""COMPUTED_VALUE"""),"Comunicación Audiovisual y Cine")</f>
        <v>Comunicación Audiovisual y Cine</v>
      </c>
      <c r="I384" s="1" t="str">
        <f>IFERROR(__xludf.DUMMYFUNCTION("""COMPUTED_VALUE"""),"POS")</f>
        <v>POS</v>
      </c>
      <c r="J384" s="1" t="str">
        <f>IFERROR(__xludf.DUMMYFUNCTION("""COMPUTED_VALUE"""),"Diurno")</f>
        <v>Diurno</v>
      </c>
      <c r="K384" s="1" t="str">
        <f>IFERROR(__xludf.DUMMYFUNCTION("""COMPUTED_VALUE"""),"NUEVO")</f>
        <v>NUEVO</v>
      </c>
      <c r="L384" s="1">
        <f>IFERROR(__xludf.DUMMYFUNCTION("""COMPUTED_VALUE"""),0.0)</f>
        <v>0</v>
      </c>
      <c r="M384" s="1">
        <f>IFERROR(__xludf.DUMMYFUNCTION("""COMPUTED_VALUE"""),0.0)</f>
        <v>0</v>
      </c>
      <c r="N384" s="1" t="str">
        <f>IFERROR(__xludf.DUMMYFUNCTION("""COMPUTED_VALUE"""),"BECA")</f>
        <v>BECA</v>
      </c>
      <c r="O384" s="1" t="str">
        <f>IFERROR(__xludf.DUMMYFUNCTION("""COMPUTED_VALUE"""),"BECA CONGELADA DE 2 AÑOS")</f>
        <v>BECA CONGELADA DE 2 AÑOS</v>
      </c>
      <c r="P384" s="4">
        <f>IFERROR(__xludf.DUMMYFUNCTION("""COMPUTED_VALUE"""),0.0)</f>
        <v>0</v>
      </c>
      <c r="Q384" s="4">
        <f>IFERROR(__xludf.DUMMYFUNCTION("""COMPUTED_VALUE"""),0.0)</f>
        <v>0</v>
      </c>
      <c r="R384" s="4">
        <f>IFERROR(__xludf.DUMMYFUNCTION("""COMPUTED_VALUE"""),1250.0)</f>
        <v>1250</v>
      </c>
      <c r="S384" s="4">
        <f>IFERROR(__xludf.DUMMYFUNCTION("""COMPUTED_VALUE"""),950.0)</f>
        <v>950</v>
      </c>
      <c r="T384" s="1" t="str">
        <f>IFERROR(__xludf.DUMMYFUNCTION("""COMPUTED_VALUE"""),"NINGUNO")</f>
        <v>NINGUNO</v>
      </c>
      <c r="U384" s="1" t="str">
        <f>IFERROR(__xludf.DUMMYFUNCTION("""COMPUTED_VALUE"""),"RODRIGO")</f>
        <v>RODRIGO</v>
      </c>
      <c r="V384" s="1" t="str">
        <f>IFERROR(__xludf.DUMMYFUNCTION("""COMPUTED_VALUE"""),"Ninguno")</f>
        <v>Ninguno</v>
      </c>
      <c r="W384" s="1" t="str">
        <f>IFERROR(__xludf.DUMMYFUNCTION("""COMPUTED_VALUE"""),"Beca")</f>
        <v>Beca</v>
      </c>
      <c r="X384" s="1"/>
      <c r="Y384" s="1" t="str">
        <f>IFERROR(__xludf.DUMMYFUNCTION("""COMPUTED_VALUE"""),"PAGO FRACCIONADO")</f>
        <v>PAGO FRACCIONADO</v>
      </c>
      <c r="Z384" s="1">
        <f>IFERROR(__xludf.DUMMYFUNCTION("""COMPUTED_VALUE"""),500.0)</f>
        <v>500</v>
      </c>
      <c r="AA384" s="1" t="str">
        <f>IFERROR(__xludf.DUMMYFUNCTION("""COMPUTED_VALUE"""),"21/01/2025")</f>
        <v>21/01/2025</v>
      </c>
      <c r="AB384" s="1">
        <f>IFERROR(__xludf.DUMMYFUNCTION("""COMPUTED_VALUE"""),0.0)</f>
        <v>0</v>
      </c>
      <c r="AC384" s="1">
        <f>IFERROR(__xludf.DUMMYFUNCTION("""COMPUTED_VALUE"""),0.0)</f>
        <v>0</v>
      </c>
      <c r="AD384" s="1" t="str">
        <f>IFERROR(__xludf.DUMMYFUNCTION("""COMPUTED_VALUE"""),"Erwyn Terie Vital Avila")</f>
        <v>Erwyn Terie Vital Avila</v>
      </c>
      <c r="AE384" s="1" t="str">
        <f>IFERROR(__xludf.DUMMYFUNCTION("""COMPUTED_VALUE"""),"0")</f>
        <v>0</v>
      </c>
      <c r="AF384" s="1">
        <f>IFERROR(__xludf.DUMMYFUNCTION("""COMPUTED_VALUE"""),2024.0)</f>
        <v>2024</v>
      </c>
      <c r="AG384" s="1">
        <f>IFERROR(__xludf.DUMMYFUNCTION("""COMPUTED_VALUE"""),1670645.0)</f>
        <v>1670645</v>
      </c>
      <c r="AH384" s="1">
        <f>IFERROR(__xludf.DUMMYFUNCTION("""COMPUTED_VALUE"""),17.0)</f>
        <v>17</v>
      </c>
      <c r="AI384" s="1" t="str">
        <f>IFERROR(__xludf.DUMMYFUNCTION("""COMPUTED_VALUE"""),"0000410674")</f>
        <v>0000410674</v>
      </c>
      <c r="AJ384" s="1">
        <f>IFERROR(__xludf.DUMMYFUNCTION("""COMPUTED_VALUE"""),7.1187828E7)</f>
        <v>71187828</v>
      </c>
      <c r="AK384" s="1">
        <f>IFERROR(__xludf.DUMMYFUNCTION("""COMPUTED_VALUE"""),9.82106957E8)</f>
        <v>982106957</v>
      </c>
      <c r="AL384" s="1" t="str">
        <f>IFERROR(__xludf.DUMMYFUNCTION("""COMPUTED_VALUE"""),"Jtocto@corpmontana.com")</f>
        <v>Jtocto@corpmontana.com</v>
      </c>
      <c r="AM384" s="1" t="str">
        <f>IFERROR(__xludf.DUMMYFUNCTION("""COMPUTED_VALUE"""),"FEMENINO")</f>
        <v>FEMENINO</v>
      </c>
      <c r="AN384" s="1">
        <f>IFERROR(__xludf.DUMMYFUNCTION("""COMPUTED_VALUE"""),1600.0)</f>
        <v>1600</v>
      </c>
      <c r="AO384" s="1">
        <f>IFERROR(__xludf.DUMMYFUNCTION("""COMPUTED_VALUE"""),250.0)</f>
        <v>250</v>
      </c>
      <c r="AP384" s="1" t="str">
        <f>IFERROR(__xludf.DUMMYFUNCTION("""COMPUTED_VALUE"""),"BIDIRECCIONAL")</f>
        <v>BIDIRECCIONAL</v>
      </c>
      <c r="AQ384" s="1" t="str">
        <f>IFERROR(__xludf.DUMMYFUNCTION("""COMPUTED_VALUE"""),"ORGANICO")</f>
        <v>ORGANICO</v>
      </c>
      <c r="AR384" s="1" t="str">
        <f>IFERROR(__xludf.DUMMYFUNCTION("""COMPUTED_VALUE"""),"NUEVO")</f>
        <v>NUEVO</v>
      </c>
      <c r="AS384" s="1"/>
      <c r="AT384" s="2">
        <f>IFERROR(__xludf.DUMMYFUNCTION("""COMPUTED_VALUE"""),45660.0)</f>
        <v>45660</v>
      </c>
      <c r="AU384" s="1">
        <f>IFERROR(__xludf.DUMMYFUNCTION("""COMPUTED_VALUE"""),1.0)</f>
        <v>1</v>
      </c>
      <c r="AV384" s="1" t="str">
        <f>IFERROR(__xludf.DUMMYFUNCTION("""COMPUTED_VALUE"""),"NUEVO")</f>
        <v>NUEVO</v>
      </c>
      <c r="AW384" s="1" t="str">
        <f>IFERROR(__xludf.DUMMYFUNCTION("""COMPUTED_VALUE"""),"SI")</f>
        <v>SI</v>
      </c>
      <c r="AX384" s="1"/>
      <c r="AY384" s="1" t="str">
        <f>IFERROR(__xludf.DUMMYFUNCTION("""COMPUTED_VALUE"""),"PAGO COMPLETO")</f>
        <v>PAGO COMPLETO</v>
      </c>
      <c r="AZ384" s="5">
        <f>IFERROR(__xludf.DUMMYFUNCTION("""COMPUTED_VALUE"""),45687.0)</f>
        <v>45687</v>
      </c>
      <c r="BA384" s="1">
        <f>IFERROR(__xludf.DUMMYFUNCTION("""COMPUTED_VALUE"""),450.0)</f>
        <v>450</v>
      </c>
      <c r="BB384" s="1">
        <f>IFERROR(__xludf.DUMMYFUNCTION("""COMPUTED_VALUE"""),0.0)</f>
        <v>0</v>
      </c>
      <c r="BC384" s="4">
        <f>IFERROR(__xludf.DUMMYFUNCTION("""COMPUTED_VALUE"""),0.0)</f>
        <v>0</v>
      </c>
      <c r="BD384" s="4">
        <f>IFERROR(__xludf.DUMMYFUNCTION("""COMPUTED_VALUE"""),0.0)</f>
        <v>0</v>
      </c>
      <c r="BE384" s="1">
        <f>IFERROR(__xludf.DUMMYFUNCTION("""COMPUTED_VALUE"""),1.0)</f>
        <v>1</v>
      </c>
      <c r="BF384" s="6">
        <f>IFERROR(__xludf.DUMMYFUNCTION("""COMPUTED_VALUE"""),1.0)</f>
        <v>1</v>
      </c>
      <c r="BG384" s="1">
        <f>IFERROR(__xludf.DUMMYFUNCTION("""COMPUTED_VALUE"""),1.0)</f>
        <v>1</v>
      </c>
      <c r="BH384" s="1" t="str">
        <f>IFERROR(__xludf.DUMMYFUNCTION("""COMPUTED_VALUE"""),"0")</f>
        <v>0</v>
      </c>
      <c r="BI384" s="4">
        <f>IFERROR(__xludf.DUMMYFUNCTION("""COMPUTED_VALUE"""),950.0)</f>
        <v>950</v>
      </c>
      <c r="BJ384" s="1">
        <f>IFERROR(__xludf.DUMMYFUNCTION("""COMPUTED_VALUE"""),0.0)</f>
        <v>0</v>
      </c>
      <c r="BK384" s="4">
        <f>IFERROR(__xludf.DUMMYFUNCTION("""COMPUTED_VALUE"""),0.0)</f>
        <v>0</v>
      </c>
      <c r="BL384" s="1">
        <f>IFERROR(__xludf.DUMMYFUNCTION("""COMPUTED_VALUE"""),950.0)</f>
        <v>950</v>
      </c>
      <c r="BM384" s="1">
        <f>IFERROR(__xludf.DUMMYFUNCTION("""COMPUTED_VALUE"""),4.0)</f>
        <v>4</v>
      </c>
      <c r="BN384" s="2">
        <f>IFERROR(__xludf.DUMMYFUNCTION("""COMPUTED_VALUE"""),45677.0)</f>
        <v>45677</v>
      </c>
      <c r="BO384" s="1">
        <f>IFERROR(__xludf.DUMMYFUNCTION("""COMPUTED_VALUE"""),1.0)</f>
        <v>1</v>
      </c>
      <c r="BP384" s="1">
        <f>IFERROR(__xludf.DUMMYFUNCTION("""COMPUTED_VALUE"""),2025.0)</f>
        <v>2025</v>
      </c>
    </row>
    <row r="385">
      <c r="A385" s="1">
        <f>IFERROR(__xludf.DUMMYFUNCTION("""COMPUTED_VALUE"""),384.0)</f>
        <v>384</v>
      </c>
      <c r="B385" s="1">
        <f>IFERROR(__xludf.DUMMYFUNCTION("""COMPUTED_VALUE"""),408574.0)</f>
        <v>408574</v>
      </c>
      <c r="C385" s="1" t="str">
        <f>IFERROR(__xludf.DUMMYFUNCTION("""COMPUTED_VALUE"""),"2025-1")</f>
        <v>2025-1</v>
      </c>
      <c r="D385" s="1" t="str">
        <f>IFERROR(__xludf.DUMMYFUNCTION("""COMPUTED_VALUE"""),"Admisión Extraordinaria (Traslados)")</f>
        <v>Admisión Extraordinaria (Traslados)</v>
      </c>
      <c r="E385" s="2">
        <f>IFERROR(__xludf.DUMMYFUNCTION("""COMPUTED_VALUE"""),45678.0)</f>
        <v>45678</v>
      </c>
      <c r="F385" s="1" t="str">
        <f>IFERROR(__xludf.DUMMYFUNCTION("""COMPUTED_VALUE"""),"WINSTON ANTONIO ")</f>
        <v>WINSTON ANTONIO </v>
      </c>
      <c r="G385" s="1" t="str">
        <f>IFERROR(__xludf.DUMMYFUNCTION("""COMPUTED_VALUE"""),"ARCOS ARANIBAR")</f>
        <v>ARCOS ARANIBAR</v>
      </c>
      <c r="H385" s="1" t="str">
        <f>IFERROR(__xludf.DUMMYFUNCTION("""COMPUTED_VALUE"""),"Diseño Gráfico Publicitario")</f>
        <v>Diseño Gráfico Publicitario</v>
      </c>
      <c r="I385" s="1" t="str">
        <f>IFERROR(__xludf.DUMMYFUNCTION("""COMPUTED_VALUE"""),"CARGO")</f>
        <v>CARGO</v>
      </c>
      <c r="J385" s="1" t="str">
        <f>IFERROR(__xludf.DUMMYFUNCTION("""COMPUTED_VALUE"""),"Diurno")</f>
        <v>Diurno</v>
      </c>
      <c r="K385" s="1" t="str">
        <f>IFERROR(__xludf.DUMMYFUNCTION("""COMPUTED_VALUE"""),"TRASLADO")</f>
        <v>TRASLADO</v>
      </c>
      <c r="L385" s="1">
        <f>IFERROR(__xludf.DUMMYFUNCTION("""COMPUTED_VALUE"""),1.0)</f>
        <v>1</v>
      </c>
      <c r="M385" s="1">
        <f>IFERROR(__xludf.DUMMYFUNCTION("""COMPUTED_VALUE"""),0.0)</f>
        <v>0</v>
      </c>
      <c r="N385" s="1" t="str">
        <f>IFERROR(__xludf.DUMMYFUNCTION("""COMPUTED_VALUE"""),"RECA")</f>
        <v>RECA</v>
      </c>
      <c r="O385" s="1" t="str">
        <f>IFERROR(__xludf.DUMMYFUNCTION("""COMPUTED_VALUE"""),"RECA TRASLADO CON CONVA")</f>
        <v>RECA TRASLADO CON CONVA</v>
      </c>
      <c r="P385" s="4">
        <f>IFERROR(__xludf.DUMMYFUNCTION("""COMPUTED_VALUE"""),0.0)</f>
        <v>0</v>
      </c>
      <c r="Q385" s="4">
        <f>IFERROR(__xludf.DUMMYFUNCTION("""COMPUTED_VALUE"""),0.0)</f>
        <v>0</v>
      </c>
      <c r="R385" s="4">
        <f>IFERROR(__xludf.DUMMYFUNCTION("""COMPUTED_VALUE"""),900.0)</f>
        <v>900</v>
      </c>
      <c r="S385" s="4">
        <f>IFERROR(__xludf.DUMMYFUNCTION("""COMPUTED_VALUE"""),900.0)</f>
        <v>900</v>
      </c>
      <c r="T385" s="1" t="str">
        <f>IFERROR(__xludf.DUMMYFUNCTION("""COMPUTED_VALUE"""),"Visita Guiada")</f>
        <v>Visita Guiada</v>
      </c>
      <c r="U385" s="1" t="str">
        <f>IFERROR(__xludf.DUMMYFUNCTION("""COMPUTED_VALUE"""),"FABIOLA")</f>
        <v>FABIOLA</v>
      </c>
      <c r="V385" s="1" t="str">
        <f>IFERROR(__xludf.DUMMYFUNCTION("""COMPUTED_VALUE"""),"Ninguno")</f>
        <v>Ninguno</v>
      </c>
      <c r="W385" s="1" t="str">
        <f>IFERROR(__xludf.DUMMYFUNCTION("""COMPUTED_VALUE"""),"Prestigio de la institución")</f>
        <v>Prestigio de la institución</v>
      </c>
      <c r="X385" s="1" t="str">
        <f>IFERROR(__xludf.DUMMYFUNCTION("""COMPUTED_VALUE"""),"0")</f>
        <v>0</v>
      </c>
      <c r="Y385" s="1" t="str">
        <f>IFERROR(__xludf.DUMMYFUNCTION("""COMPUTED_VALUE"""),"PAGO COMPLETO")</f>
        <v>PAGO COMPLETO</v>
      </c>
      <c r="Z385" s="1"/>
      <c r="AA385" s="1"/>
      <c r="AB385" s="1">
        <f>IFERROR(__xludf.DUMMYFUNCTION("""COMPUTED_VALUE"""),0.0)</f>
        <v>0</v>
      </c>
      <c r="AC385" s="1">
        <f>IFERROR(__xludf.DUMMYFUNCTION("""COMPUTED_VALUE"""),0.0)</f>
        <v>0</v>
      </c>
      <c r="AD385" s="1" t="str">
        <f>IFERROR(__xludf.DUMMYFUNCTION("""COMPUTED_VALUE"""),"Andrea Araujo Antara")</f>
        <v>Andrea Araujo Antara</v>
      </c>
      <c r="AE385" s="1" t="str">
        <f>IFERROR(__xludf.DUMMYFUNCTION("""COMPUTED_VALUE"""),"Instituto de Educación Superior Tecnológico Privado Toulouse Lautrec")</f>
        <v>Instituto de Educación Superior Tecnológico Privado Toulouse Lautrec</v>
      </c>
      <c r="AF385" s="1">
        <f>IFERROR(__xludf.DUMMYFUNCTION("""COMPUTED_VALUE"""),2020.0)</f>
        <v>2020</v>
      </c>
      <c r="AG385" s="1">
        <f>IFERROR(__xludf.DUMMYFUNCTION("""COMPUTED_VALUE"""),643171.0)</f>
        <v>643171</v>
      </c>
      <c r="AH385" s="1">
        <f>IFERROR(__xludf.DUMMYFUNCTION("""COMPUTED_VALUE"""),40.0)</f>
        <v>40</v>
      </c>
      <c r="AI385" s="1" t="str">
        <f>IFERROR(__xludf.DUMMYFUNCTION("""COMPUTED_VALUE"""),"2013016903")</f>
        <v>2013016903</v>
      </c>
      <c r="AJ385" s="1">
        <f>IFERROR(__xludf.DUMMYFUNCTION("""COMPUTED_VALUE"""),4.3299681E7)</f>
        <v>43299681</v>
      </c>
      <c r="AK385" s="1">
        <f>IFERROR(__xludf.DUMMYFUNCTION("""COMPUTED_VALUE"""),9.80785047E8)</f>
        <v>980785047</v>
      </c>
      <c r="AL385" s="1" t="str">
        <f>IFERROR(__xludf.DUMMYFUNCTION("""COMPUTED_VALUE"""),"arcoswa@gmail.com")</f>
        <v>arcoswa@gmail.com</v>
      </c>
      <c r="AM385" s="1" t="str">
        <f>IFERROR(__xludf.DUMMYFUNCTION("""COMPUTED_VALUE"""),"MASCULINO")</f>
        <v>MASCULINO</v>
      </c>
      <c r="AN385" s="1">
        <f>IFERROR(__xludf.DUMMYFUNCTION("""COMPUTED_VALUE"""),1350.0)</f>
        <v>1350</v>
      </c>
      <c r="AO385" s="1">
        <f>IFERROR(__xludf.DUMMYFUNCTION("""COMPUTED_VALUE"""),0.0)</f>
        <v>0</v>
      </c>
      <c r="AP385" s="1" t="str">
        <f>IFERROR(__xludf.DUMMYFUNCTION("""COMPUTED_VALUE"""),"FORMULARIO")</f>
        <v>FORMULARIO</v>
      </c>
      <c r="AQ385" s="1" t="str">
        <f>IFERROR(__xludf.DUMMYFUNCTION("""COMPUTED_VALUE"""),"ORGANICO")</f>
        <v>ORGANICO</v>
      </c>
      <c r="AR385" s="1" t="str">
        <f>IFERROR(__xludf.DUMMYFUNCTION("""COMPUTED_VALUE"""),"HEREDADO")</f>
        <v>HEREDADO</v>
      </c>
      <c r="AS385" s="1"/>
      <c r="AT385" s="2">
        <f>IFERROR(__xludf.DUMMYFUNCTION("""COMPUTED_VALUE"""),45675.0)</f>
        <v>45675</v>
      </c>
      <c r="AU385" s="1">
        <f>IFERROR(__xludf.DUMMYFUNCTION("""COMPUTED_VALUE"""),1.0)</f>
        <v>1</v>
      </c>
      <c r="AV385" s="1" t="str">
        <f>IFERROR(__xludf.DUMMYFUNCTION("""COMPUTED_VALUE"""),"TRASLADO")</f>
        <v>TRASLADO</v>
      </c>
      <c r="AW385" s="1" t="str">
        <f>IFERROR(__xludf.DUMMYFUNCTION("""COMPUTED_VALUE"""),"SI")</f>
        <v>SI</v>
      </c>
      <c r="AX385" s="1"/>
      <c r="AY385" s="1" t="str">
        <f>IFERROR(__xludf.DUMMYFUNCTION("""COMPUTED_VALUE"""),"PAGO COMPLETO")</f>
        <v>PAGO COMPLETO</v>
      </c>
      <c r="AZ385" s="5">
        <f>IFERROR(__xludf.DUMMYFUNCTION("""COMPUTED_VALUE"""),45678.0)</f>
        <v>45678</v>
      </c>
      <c r="BA385" s="1">
        <f>IFERROR(__xludf.DUMMYFUNCTION("""COMPUTED_VALUE"""),0.0)</f>
        <v>0</v>
      </c>
      <c r="BB385" s="1">
        <f>IFERROR(__xludf.DUMMYFUNCTION("""COMPUTED_VALUE"""),0.0)</f>
        <v>0</v>
      </c>
      <c r="BC385" s="4">
        <f>IFERROR(__xludf.DUMMYFUNCTION("""COMPUTED_VALUE"""),0.0)</f>
        <v>0</v>
      </c>
      <c r="BD385" s="4">
        <f>IFERROR(__xludf.DUMMYFUNCTION("""COMPUTED_VALUE"""),100.0)</f>
        <v>100</v>
      </c>
      <c r="BE385" s="1">
        <f>IFERROR(__xludf.DUMMYFUNCTION("""COMPUTED_VALUE"""),1.0)</f>
        <v>1</v>
      </c>
      <c r="BF385" s="6">
        <f>IFERROR(__xludf.DUMMYFUNCTION("""COMPUTED_VALUE"""),1.0)</f>
        <v>1</v>
      </c>
      <c r="BG385" s="1">
        <f>IFERROR(__xludf.DUMMYFUNCTION("""COMPUTED_VALUE"""),1.0)</f>
        <v>1</v>
      </c>
      <c r="BH385" s="1" t="str">
        <f>IFERROR(__xludf.DUMMYFUNCTION("""COMPUTED_VALUE"""),"1")</f>
        <v>1</v>
      </c>
      <c r="BI385" s="4">
        <f>IFERROR(__xludf.DUMMYFUNCTION("""COMPUTED_VALUE"""),100.0)</f>
        <v>100</v>
      </c>
      <c r="BJ385" s="1">
        <f>IFERROR(__xludf.DUMMYFUNCTION("""COMPUTED_VALUE"""),0.0)</f>
        <v>0</v>
      </c>
      <c r="BK385" s="4">
        <f>IFERROR(__xludf.DUMMYFUNCTION("""COMPUTED_VALUE"""),100.0)</f>
        <v>100</v>
      </c>
      <c r="BL385" s="1">
        <f>IFERROR(__xludf.DUMMYFUNCTION("""COMPUTED_VALUE"""),880.0)</f>
        <v>880</v>
      </c>
      <c r="BM385" s="1">
        <f>IFERROR(__xludf.DUMMYFUNCTION("""COMPUTED_VALUE"""),4.0)</f>
        <v>4</v>
      </c>
      <c r="BN385" s="2">
        <f>IFERROR(__xludf.DUMMYFUNCTION("""COMPUTED_VALUE"""),45677.0)</f>
        <v>45677</v>
      </c>
      <c r="BO385" s="1">
        <f>IFERROR(__xludf.DUMMYFUNCTION("""COMPUTED_VALUE"""),1.0)</f>
        <v>1</v>
      </c>
      <c r="BP385" s="1">
        <f>IFERROR(__xludf.DUMMYFUNCTION("""COMPUTED_VALUE"""),2025.0)</f>
        <v>2025</v>
      </c>
    </row>
    <row r="386">
      <c r="A386" s="1">
        <f>IFERROR(__xludf.DUMMYFUNCTION("""COMPUTED_VALUE"""),385.0)</f>
        <v>385</v>
      </c>
      <c r="B386" s="1">
        <f>IFERROR(__xludf.DUMMYFUNCTION("""COMPUTED_VALUE"""),1969463.0)</f>
        <v>1969463</v>
      </c>
      <c r="C386" s="1" t="str">
        <f>IFERROR(__xludf.DUMMYFUNCTION("""COMPUTED_VALUE"""),"2025-1")</f>
        <v>2025-1</v>
      </c>
      <c r="D386" s="1" t="str">
        <f>IFERROR(__xludf.DUMMYFUNCTION("""COMPUTED_VALUE"""),"Admisión de Alto Rendimiento")</f>
        <v>Admisión de Alto Rendimiento</v>
      </c>
      <c r="E386" s="2">
        <f>IFERROR(__xludf.DUMMYFUNCTION("""COMPUTED_VALUE"""),45678.0)</f>
        <v>45678</v>
      </c>
      <c r="F386" s="1" t="str">
        <f>IFERROR(__xludf.DUMMYFUNCTION("""COMPUTED_VALUE"""),"LUANA FERNANDA ")</f>
        <v>LUANA FERNANDA </v>
      </c>
      <c r="G386" s="1" t="str">
        <f>IFERROR(__xludf.DUMMYFUNCTION("""COMPUTED_VALUE"""),"CORNEJO ALCALDE")</f>
        <v>CORNEJO ALCALDE</v>
      </c>
      <c r="H386" s="1" t="str">
        <f>IFERROR(__xludf.DUMMYFUNCTION("""COMPUTED_VALUE"""),"Diseño Gráfico Publicitario")</f>
        <v>Diseño Gráfico Publicitario</v>
      </c>
      <c r="I386" s="1" t="str">
        <f>IFERROR(__xludf.DUMMYFUNCTION("""COMPUTED_VALUE"""),"CARGO")</f>
        <v>CARGO</v>
      </c>
      <c r="J386" s="1" t="str">
        <f>IFERROR(__xludf.DUMMYFUNCTION("""COMPUTED_VALUE"""),"Diurno")</f>
        <v>Diurno</v>
      </c>
      <c r="K386" s="1" t="str">
        <f>IFERROR(__xludf.DUMMYFUNCTION("""COMPUTED_VALUE"""),"NUEVO")</f>
        <v>NUEVO</v>
      </c>
      <c r="L386" s="1">
        <f>IFERROR(__xludf.DUMMYFUNCTION("""COMPUTED_VALUE"""),0.0)</f>
        <v>0</v>
      </c>
      <c r="M386" s="1">
        <f>IFERROR(__xludf.DUMMYFUNCTION("""COMPUTED_VALUE"""),0.0)</f>
        <v>0</v>
      </c>
      <c r="N386" s="1" t="str">
        <f>IFERROR(__xludf.DUMMYFUNCTION("""COMPUTED_VALUE"""),"BECA")</f>
        <v>BECA</v>
      </c>
      <c r="O386" s="1" t="str">
        <f>IFERROR(__xludf.DUMMYFUNCTION("""COMPUTED_VALUE"""),"BECA CARRERAS CORE")</f>
        <v>BECA CARRERAS CORE</v>
      </c>
      <c r="P386" s="4">
        <f>IFERROR(__xludf.DUMMYFUNCTION("""COMPUTED_VALUE"""),0.0)</f>
        <v>0</v>
      </c>
      <c r="Q386" s="4">
        <f>IFERROR(__xludf.DUMMYFUNCTION("""COMPUTED_VALUE"""),237.5)</f>
        <v>237.5</v>
      </c>
      <c r="R386" s="4">
        <f>IFERROR(__xludf.DUMMYFUNCTION("""COMPUTED_VALUE"""),1500.0)</f>
        <v>1500</v>
      </c>
      <c r="S386" s="4">
        <f>IFERROR(__xludf.DUMMYFUNCTION("""COMPUTED_VALUE"""),1200.0)</f>
        <v>1200</v>
      </c>
      <c r="T386" s="1" t="str">
        <f>IFERROR(__xludf.DUMMYFUNCTION("""COMPUTED_VALUE"""),"Referido")</f>
        <v>Referido</v>
      </c>
      <c r="U386" s="1" t="str">
        <f>IFERROR(__xludf.DUMMYFUNCTION("""COMPUTED_VALUE"""),"FABIOLA")</f>
        <v>FABIOLA</v>
      </c>
      <c r="V386" s="1" t="str">
        <f>IFERROR(__xludf.DUMMYFUNCTION("""COMPUTED_VALUE"""),"Ninguno")</f>
        <v>Ninguno</v>
      </c>
      <c r="W386" s="1" t="str">
        <f>IFERROR(__xludf.DUMMYFUNCTION("""COMPUTED_VALUE"""),"Malla curricular")</f>
        <v>Malla curricular</v>
      </c>
      <c r="X386" s="1" t="str">
        <f>IFERROR(__xludf.DUMMYFUNCTION("""COMPUTED_VALUE"""),"REF.ALMENDRA YAÑEZ - 60816209 - 0000059245")</f>
        <v>REF.ALMENDRA YAÑEZ - 60816209 - 0000059245</v>
      </c>
      <c r="Y386" s="1" t="str">
        <f>IFERROR(__xludf.DUMMYFUNCTION("""COMPUTED_VALUE"""),"PAGO COMPLETO")</f>
        <v>PAGO COMPLETO</v>
      </c>
      <c r="Z386" s="1"/>
      <c r="AA386" s="1"/>
      <c r="AB386" s="1">
        <f>IFERROR(__xludf.DUMMYFUNCTION("""COMPUTED_VALUE"""),0.0)</f>
        <v>0</v>
      </c>
      <c r="AC386" s="1">
        <f>IFERROR(__xludf.DUMMYFUNCTION("""COMPUTED_VALUE"""),0.0)</f>
        <v>0</v>
      </c>
      <c r="AD386" s="1" t="str">
        <f>IFERROR(__xludf.DUMMYFUNCTION("""COMPUTED_VALUE"""),"Fiorella Lanegra")</f>
        <v>Fiorella Lanegra</v>
      </c>
      <c r="AE386" s="1" t="str">
        <f>IFERROR(__xludf.DUMMYFUNCTION("""COMPUTED_VALUE"""),"0")</f>
        <v>0</v>
      </c>
      <c r="AF386" s="1">
        <f>IFERROR(__xludf.DUMMYFUNCTION("""COMPUTED_VALUE"""),2023.0)</f>
        <v>2023</v>
      </c>
      <c r="AG386" s="1">
        <f>IFERROR(__xludf.DUMMYFUNCTION("""COMPUTED_VALUE"""),704585.0)</f>
        <v>704585</v>
      </c>
      <c r="AH386" s="1">
        <f>IFERROR(__xludf.DUMMYFUNCTION("""COMPUTED_VALUE"""),19.0)</f>
        <v>19</v>
      </c>
      <c r="AI386" s="1" t="str">
        <f>IFERROR(__xludf.DUMMYFUNCTION("""COMPUTED_VALUE"""),"0000410746")</f>
        <v>0000410746</v>
      </c>
      <c r="AJ386" s="1">
        <f>IFERROR(__xludf.DUMMYFUNCTION("""COMPUTED_VALUE"""),7.0520888E7)</f>
        <v>70520888</v>
      </c>
      <c r="AK386" s="1">
        <f>IFERROR(__xludf.DUMMYFUNCTION("""COMPUTED_VALUE"""),9.91611441E8)</f>
        <v>991611441</v>
      </c>
      <c r="AL386" s="1" t="str">
        <f>IFERROR(__xludf.DUMMYFUNCTION("""COMPUTED_VALUE"""),"luanacornejo08@gmail.com")</f>
        <v>luanacornejo08@gmail.com</v>
      </c>
      <c r="AM386" s="1" t="str">
        <f>IFERROR(__xludf.DUMMYFUNCTION("""COMPUTED_VALUE"""),"FEMENINO")</f>
        <v>FEMENINO</v>
      </c>
      <c r="AN386" s="1">
        <f>IFERROR(__xludf.DUMMYFUNCTION("""COMPUTED_VALUE"""),2425.0)</f>
        <v>2425</v>
      </c>
      <c r="AO386" s="1">
        <f>IFERROR(__xludf.DUMMYFUNCTION("""COMPUTED_VALUE"""),1290.0)</f>
        <v>1290</v>
      </c>
      <c r="AP386" s="1" t="str">
        <f>IFERROR(__xludf.DUMMYFUNCTION("""COMPUTED_VALUE"""),"FORMULARIO")</f>
        <v>FORMULARIO</v>
      </c>
      <c r="AQ386" s="1" t="str">
        <f>IFERROR(__xludf.DUMMYFUNCTION("""COMPUTED_VALUE"""),"ORGANICO")</f>
        <v>ORGANICO</v>
      </c>
      <c r="AR386" s="1" t="str">
        <f>IFERROR(__xludf.DUMMYFUNCTION("""COMPUTED_VALUE"""),"HEREDADO")</f>
        <v>HEREDADO</v>
      </c>
      <c r="AS386" s="1"/>
      <c r="AT386" s="2">
        <f>IFERROR(__xludf.DUMMYFUNCTION("""COMPUTED_VALUE"""),45594.0)</f>
        <v>45594</v>
      </c>
      <c r="AU386" s="1">
        <f>IFERROR(__xludf.DUMMYFUNCTION("""COMPUTED_VALUE"""),1.0)</f>
        <v>1</v>
      </c>
      <c r="AV386" s="1" t="str">
        <f>IFERROR(__xludf.DUMMYFUNCTION("""COMPUTED_VALUE"""),"NUEVO")</f>
        <v>NUEVO</v>
      </c>
      <c r="AW386" s="1" t="str">
        <f>IFERROR(__xludf.DUMMYFUNCTION("""COMPUTED_VALUE"""),"SI")</f>
        <v>SI</v>
      </c>
      <c r="AX386" s="1"/>
      <c r="AY386" s="1" t="str">
        <f>IFERROR(__xludf.DUMMYFUNCTION("""COMPUTED_VALUE"""),"PAGO COMPLETO")</f>
        <v>PAGO COMPLETO</v>
      </c>
      <c r="AZ386" s="5">
        <f>IFERROR(__xludf.DUMMYFUNCTION("""COMPUTED_VALUE"""),45678.0)</f>
        <v>45678</v>
      </c>
      <c r="BA386" s="1">
        <f>IFERROR(__xludf.DUMMYFUNCTION("""COMPUTED_VALUE"""),0.0)</f>
        <v>0</v>
      </c>
      <c r="BB386" s="1">
        <f>IFERROR(__xludf.DUMMYFUNCTION("""COMPUTED_VALUE"""),0.0)</f>
        <v>0</v>
      </c>
      <c r="BC386" s="4">
        <f>IFERROR(__xludf.DUMMYFUNCTION("""COMPUTED_VALUE"""),0.0)</f>
        <v>0</v>
      </c>
      <c r="BD386" s="4">
        <f>IFERROR(__xludf.DUMMYFUNCTION("""COMPUTED_VALUE"""),0.0)</f>
        <v>0</v>
      </c>
      <c r="BE386" s="1">
        <f>IFERROR(__xludf.DUMMYFUNCTION("""COMPUTED_VALUE"""),1.0)</f>
        <v>1</v>
      </c>
      <c r="BF386" s="6">
        <f>IFERROR(__xludf.DUMMYFUNCTION("""COMPUTED_VALUE"""),1.0)</f>
        <v>1</v>
      </c>
      <c r="BG386" s="1">
        <f>IFERROR(__xludf.DUMMYFUNCTION("""COMPUTED_VALUE"""),1.0)</f>
        <v>1</v>
      </c>
      <c r="BH386" s="1" t="str">
        <f>IFERROR(__xludf.DUMMYFUNCTION("""COMPUTED_VALUE"""),"0")</f>
        <v>0</v>
      </c>
      <c r="BI386" s="4">
        <f>IFERROR(__xludf.DUMMYFUNCTION("""COMPUTED_VALUE"""),0.0)</f>
        <v>0</v>
      </c>
      <c r="BJ386" s="1">
        <f>IFERROR(__xludf.DUMMYFUNCTION("""COMPUTED_VALUE"""),0.0)</f>
        <v>0</v>
      </c>
      <c r="BK386" s="4">
        <f>IFERROR(__xludf.DUMMYFUNCTION("""COMPUTED_VALUE"""),600.0)</f>
        <v>600</v>
      </c>
      <c r="BL386" s="1">
        <f>IFERROR(__xludf.DUMMYFUNCTION("""COMPUTED_VALUE"""),1080.0)</f>
        <v>1080</v>
      </c>
      <c r="BM386" s="1">
        <f>IFERROR(__xludf.DUMMYFUNCTION("""COMPUTED_VALUE"""),4.0)</f>
        <v>4</v>
      </c>
      <c r="BN386" s="2">
        <f>IFERROR(__xludf.DUMMYFUNCTION("""COMPUTED_VALUE"""),45677.0)</f>
        <v>45677</v>
      </c>
      <c r="BO386" s="1">
        <f>IFERROR(__xludf.DUMMYFUNCTION("""COMPUTED_VALUE"""),1.0)</f>
        <v>1</v>
      </c>
      <c r="BP386" s="1">
        <f>IFERROR(__xludf.DUMMYFUNCTION("""COMPUTED_VALUE"""),2025.0)</f>
        <v>2025</v>
      </c>
    </row>
    <row r="387">
      <c r="A387" s="1">
        <f>IFERROR(__xludf.DUMMYFUNCTION("""COMPUTED_VALUE"""),386.0)</f>
        <v>386</v>
      </c>
      <c r="B387" s="1">
        <f>IFERROR(__xludf.DUMMYFUNCTION("""COMPUTED_VALUE"""),4796638.0)</f>
        <v>4796638</v>
      </c>
      <c r="C387" s="1" t="str">
        <f>IFERROR(__xludf.DUMMYFUNCTION("""COMPUTED_VALUE"""),"2025-1")</f>
        <v>2025-1</v>
      </c>
      <c r="D387" s="1" t="str">
        <f>IFERROR(__xludf.DUMMYFUNCTION("""COMPUTED_VALUE"""),"Admisión de Alto Rendimiento")</f>
        <v>Admisión de Alto Rendimiento</v>
      </c>
      <c r="E387" s="2">
        <f>IFERROR(__xludf.DUMMYFUNCTION("""COMPUTED_VALUE"""),45679.0)</f>
        <v>45679</v>
      </c>
      <c r="F387" s="1" t="str">
        <f>IFERROR(__xludf.DUMMYFUNCTION("""COMPUTED_VALUE"""),"MARIA DEL CARMEN ")</f>
        <v>MARIA DEL CARMEN </v>
      </c>
      <c r="G387" s="1" t="str">
        <f>IFERROR(__xludf.DUMMYFUNCTION("""COMPUTED_VALUE"""),"AFÁN CHAVEZ")</f>
        <v>AFÁN CHAVEZ</v>
      </c>
      <c r="H387" s="1" t="str">
        <f>IFERROR(__xludf.DUMMYFUNCTION("""COMPUTED_VALUE"""),"Diseño Gráfico Publicitario")</f>
        <v>Diseño Gráfico Publicitario</v>
      </c>
      <c r="I387" s="1" t="str">
        <f>IFERROR(__xludf.DUMMYFUNCTION("""COMPUTED_VALUE"""),"POS")</f>
        <v>POS</v>
      </c>
      <c r="J387" s="1" t="str">
        <f>IFERROR(__xludf.DUMMYFUNCTION("""COMPUTED_VALUE"""),"Diurno")</f>
        <v>Diurno</v>
      </c>
      <c r="K387" s="1" t="str">
        <f>IFERROR(__xludf.DUMMYFUNCTION("""COMPUTED_VALUE"""),"NUEVO")</f>
        <v>NUEVO</v>
      </c>
      <c r="L387" s="1">
        <f>IFERROR(__xludf.DUMMYFUNCTION("""COMPUTED_VALUE"""),0.0)</f>
        <v>0</v>
      </c>
      <c r="M387" s="1">
        <f>IFERROR(__xludf.DUMMYFUNCTION("""COMPUTED_VALUE"""),0.0)</f>
        <v>0</v>
      </c>
      <c r="N387" s="1" t="str">
        <f>IFERROR(__xludf.DUMMYFUNCTION("""COMPUTED_VALUE"""),"BECA")</f>
        <v>BECA</v>
      </c>
      <c r="O387" s="1" t="str">
        <f>IFERROR(__xludf.DUMMYFUNCTION("""COMPUTED_VALUE"""),"BECA CONGELADA DE 2 AÑOS")</f>
        <v>BECA CONGELADA DE 2 AÑOS</v>
      </c>
      <c r="P387" s="4">
        <f>IFERROR(__xludf.DUMMYFUNCTION("""COMPUTED_VALUE"""),100.0)</f>
        <v>100</v>
      </c>
      <c r="Q387" s="4">
        <f>IFERROR(__xludf.DUMMYFUNCTION("""COMPUTED_VALUE"""),237.5)</f>
        <v>237.5</v>
      </c>
      <c r="R387" s="4">
        <f>IFERROR(__xludf.DUMMYFUNCTION("""COMPUTED_VALUE"""),1300.0)</f>
        <v>1300</v>
      </c>
      <c r="S387" s="4">
        <f>IFERROR(__xludf.DUMMYFUNCTION("""COMPUTED_VALUE"""),1050.0)</f>
        <v>1050</v>
      </c>
      <c r="T387" s="1" t="str">
        <f>IFERROR(__xludf.DUMMYFUNCTION("""COMPUTED_VALUE"""),"Visita Guiada")</f>
        <v>Visita Guiada</v>
      </c>
      <c r="U387" s="1" t="str">
        <f>IFERROR(__xludf.DUMMYFUNCTION("""COMPUTED_VALUE"""),"FABIOLA")</f>
        <v>FABIOLA</v>
      </c>
      <c r="V387" s="1" t="str">
        <f>IFERROR(__xludf.DUMMYFUNCTION("""COMPUTED_VALUE"""),"Ninguno")</f>
        <v>Ninguno</v>
      </c>
      <c r="W387" s="1" t="str">
        <f>IFERROR(__xludf.DUMMYFUNCTION("""COMPUTED_VALUE"""),"Metodología de enseñanza")</f>
        <v>Metodología de enseñanza</v>
      </c>
      <c r="X387" s="1" t="str">
        <f>IFERROR(__xludf.DUMMYFUNCTION("""COMPUTED_VALUE"""),"beca congelada por 2 años")</f>
        <v>beca congelada por 2 años</v>
      </c>
      <c r="Y387" s="1" t="str">
        <f>IFERROR(__xludf.DUMMYFUNCTION("""COMPUTED_VALUE"""),"PAGO FRACCIONADO")</f>
        <v>PAGO FRACCIONADO</v>
      </c>
      <c r="Z387" s="1">
        <f>IFERROR(__xludf.DUMMYFUNCTION("""COMPUTED_VALUE"""),644.0)</f>
        <v>644</v>
      </c>
      <c r="AA387" s="1" t="str">
        <f>IFERROR(__xludf.DUMMYFUNCTION("""COMPUTED_VALUE"""),"31/01/2025")</f>
        <v>31/01/2025</v>
      </c>
      <c r="AB387" s="1">
        <f>IFERROR(__xludf.DUMMYFUNCTION("""COMPUTED_VALUE"""),0.0)</f>
        <v>0</v>
      </c>
      <c r="AC387" s="1">
        <f>IFERROR(__xludf.DUMMYFUNCTION("""COMPUTED_VALUE"""),0.0)</f>
        <v>0</v>
      </c>
      <c r="AD387" s="1" t="str">
        <f>IFERROR(__xludf.DUMMYFUNCTION("""COMPUTED_VALUE"""),"Fiorella Lanegra")</f>
        <v>Fiorella Lanegra</v>
      </c>
      <c r="AE387" s="1" t="str">
        <f>IFERROR(__xludf.DUMMYFUNCTION("""COMPUTED_VALUE"""),"0")</f>
        <v>0</v>
      </c>
      <c r="AF387" s="1">
        <f>IFERROR(__xludf.DUMMYFUNCTION("""COMPUTED_VALUE"""),2023.0)</f>
        <v>2023</v>
      </c>
      <c r="AG387" s="1">
        <f>IFERROR(__xludf.DUMMYFUNCTION("""COMPUTED_VALUE"""),1509751.0)</f>
        <v>1509751</v>
      </c>
      <c r="AH387" s="1">
        <f>IFERROR(__xludf.DUMMYFUNCTION("""COMPUTED_VALUE"""),18.0)</f>
        <v>18</v>
      </c>
      <c r="AI387" s="1" t="str">
        <f>IFERROR(__xludf.DUMMYFUNCTION("""COMPUTED_VALUE"""),"0000410805")</f>
        <v>0000410805</v>
      </c>
      <c r="AJ387" s="1">
        <f>IFERROR(__xludf.DUMMYFUNCTION("""COMPUTED_VALUE"""),6.1459921E7)</f>
        <v>61459921</v>
      </c>
      <c r="AK387" s="1">
        <f>IFERROR(__xludf.DUMMYFUNCTION("""COMPUTED_VALUE"""),9.13071324E8)</f>
        <v>913071324</v>
      </c>
      <c r="AL387" s="1" t="str">
        <f>IFERROR(__xludf.DUMMYFUNCTION("""COMPUTED_VALUE"""),"otamyafan@gmail.com")</f>
        <v>otamyafan@gmail.com</v>
      </c>
      <c r="AM387" s="1" t="str">
        <f>IFERROR(__xludf.DUMMYFUNCTION("""COMPUTED_VALUE"""),"FEMENINO")</f>
        <v>FEMENINO</v>
      </c>
      <c r="AN387" s="1">
        <f>IFERROR(__xludf.DUMMYFUNCTION("""COMPUTED_VALUE"""),1850.0)</f>
        <v>1850</v>
      </c>
      <c r="AO387" s="1">
        <f>IFERROR(__xludf.DUMMYFUNCTION("""COMPUTED_VALUE"""),665.0)</f>
        <v>665</v>
      </c>
      <c r="AP387" s="1" t="str">
        <f>IFERROR(__xludf.DUMMYFUNCTION("""COMPUTED_VALUE"""),"FORMULARIO")</f>
        <v>FORMULARIO</v>
      </c>
      <c r="AQ387" s="1" t="str">
        <f>IFERROR(__xludf.DUMMYFUNCTION("""COMPUTED_VALUE"""),"SEARCH MARCA")</f>
        <v>SEARCH MARCA</v>
      </c>
      <c r="AR387" s="1" t="str">
        <f>IFERROR(__xludf.DUMMYFUNCTION("""COMPUTED_VALUE"""),"NUEVO")</f>
        <v>NUEVO</v>
      </c>
      <c r="AS387" s="1" t="str">
        <f>IFERROR(__xludf.DUMMYFUNCTION("""COMPUTED_VALUE"""),"ucal-pg-performance-sedes-abierta-cpl-search_conversion_marca-20240401")</f>
        <v>ucal-pg-performance-sedes-abierta-cpl-search_conversion_marca-20240401</v>
      </c>
      <c r="AT387" s="2">
        <f>IFERROR(__xludf.DUMMYFUNCTION("""COMPUTED_VALUE"""),45604.0)</f>
        <v>45604</v>
      </c>
      <c r="AU387" s="1">
        <f>IFERROR(__xludf.DUMMYFUNCTION("""COMPUTED_VALUE"""),1.0)</f>
        <v>1</v>
      </c>
      <c r="AV387" s="1" t="str">
        <f>IFERROR(__xludf.DUMMYFUNCTION("""COMPUTED_VALUE"""),"NUEVO")</f>
        <v>NUEVO</v>
      </c>
      <c r="AW387" s="1" t="str">
        <f>IFERROR(__xludf.DUMMYFUNCTION("""COMPUTED_VALUE"""),"SI")</f>
        <v>SI</v>
      </c>
      <c r="AX387" s="1"/>
      <c r="AY387" s="1" t="str">
        <f>IFERROR(__xludf.DUMMYFUNCTION("""COMPUTED_VALUE"""),"PAGO COMPLETO")</f>
        <v>PAGO COMPLETO</v>
      </c>
      <c r="AZ387" s="5">
        <f>IFERROR(__xludf.DUMMYFUNCTION("""COMPUTED_VALUE"""),45688.0)</f>
        <v>45688</v>
      </c>
      <c r="BA387" s="1">
        <f>IFERROR(__xludf.DUMMYFUNCTION("""COMPUTED_VALUE"""),643.5)</f>
        <v>643.5</v>
      </c>
      <c r="BB387" s="1">
        <f>IFERROR(__xludf.DUMMYFUNCTION("""COMPUTED_VALUE"""),0.0)</f>
        <v>0</v>
      </c>
      <c r="BC387" s="4">
        <f>IFERROR(__xludf.DUMMYFUNCTION("""COMPUTED_VALUE"""),0.0)</f>
        <v>0</v>
      </c>
      <c r="BD387" s="4">
        <f>IFERROR(__xludf.DUMMYFUNCTION("""COMPUTED_VALUE"""),100.0)</f>
        <v>100</v>
      </c>
      <c r="BE387" s="1">
        <f>IFERROR(__xludf.DUMMYFUNCTION("""COMPUTED_VALUE"""),1.0)</f>
        <v>1</v>
      </c>
      <c r="BF387" s="6">
        <f>IFERROR(__xludf.DUMMYFUNCTION("""COMPUTED_VALUE"""),1.0)</f>
        <v>1</v>
      </c>
      <c r="BG387" s="1">
        <f>IFERROR(__xludf.DUMMYFUNCTION("""COMPUTED_VALUE"""),1.0)</f>
        <v>1</v>
      </c>
      <c r="BH387" s="1" t="str">
        <f>IFERROR(__xludf.DUMMYFUNCTION("""COMPUTED_VALUE"""),"0")</f>
        <v>0</v>
      </c>
      <c r="BI387" s="4">
        <f>IFERROR(__xludf.DUMMYFUNCTION("""COMPUTED_VALUE"""),1387.5)</f>
        <v>1387.5</v>
      </c>
      <c r="BJ387" s="1">
        <f>IFERROR(__xludf.DUMMYFUNCTION("""COMPUTED_VALUE"""),0.0)</f>
        <v>0</v>
      </c>
      <c r="BK387" s="4">
        <f>IFERROR(__xludf.DUMMYFUNCTION("""COMPUTED_VALUE"""),100.0)</f>
        <v>100</v>
      </c>
      <c r="BL387" s="1">
        <f>IFERROR(__xludf.DUMMYFUNCTION("""COMPUTED_VALUE"""),1030.0)</f>
        <v>1030</v>
      </c>
      <c r="BM387" s="1">
        <f>IFERROR(__xludf.DUMMYFUNCTION("""COMPUTED_VALUE"""),4.0)</f>
        <v>4</v>
      </c>
      <c r="BN387" s="2">
        <f>IFERROR(__xludf.DUMMYFUNCTION("""COMPUTED_VALUE"""),45677.0)</f>
        <v>45677</v>
      </c>
      <c r="BO387" s="1">
        <f>IFERROR(__xludf.DUMMYFUNCTION("""COMPUTED_VALUE"""),1.0)</f>
        <v>1</v>
      </c>
      <c r="BP387" s="1">
        <f>IFERROR(__xludf.DUMMYFUNCTION("""COMPUTED_VALUE"""),2025.0)</f>
        <v>2025</v>
      </c>
    </row>
    <row r="388">
      <c r="A388" s="1">
        <f>IFERROR(__xludf.DUMMYFUNCTION("""COMPUTED_VALUE"""),387.0)</f>
        <v>387</v>
      </c>
      <c r="B388" s="1">
        <f>IFERROR(__xludf.DUMMYFUNCTION("""COMPUTED_VALUE"""),2049752.0)</f>
        <v>2049752</v>
      </c>
      <c r="C388" s="1" t="str">
        <f>IFERROR(__xludf.DUMMYFUNCTION("""COMPUTED_VALUE"""),"2025-1")</f>
        <v>2025-1</v>
      </c>
      <c r="D388" s="1" t="str">
        <f>IFERROR(__xludf.DUMMYFUNCTION("""COMPUTED_VALUE"""),"Admisión de Alto Rendimiento")</f>
        <v>Admisión de Alto Rendimiento</v>
      </c>
      <c r="E388" s="2">
        <f>IFERROR(__xludf.DUMMYFUNCTION("""COMPUTED_VALUE"""),45679.0)</f>
        <v>45679</v>
      </c>
      <c r="F388" s="1" t="str">
        <f>IFERROR(__xludf.DUMMYFUNCTION("""COMPUTED_VALUE"""),"ROSA ISABEL")</f>
        <v>ROSA ISABEL</v>
      </c>
      <c r="G388" s="1" t="str">
        <f>IFERROR(__xludf.DUMMYFUNCTION("""COMPUTED_VALUE"""),"ZANABRIA CANCHASTO")</f>
        <v>ZANABRIA CANCHASTO</v>
      </c>
      <c r="H388" s="1" t="str">
        <f>IFERROR(__xludf.DUMMYFUNCTION("""COMPUTED_VALUE"""),"Diseño Gráfico Publicitario")</f>
        <v>Diseño Gráfico Publicitario</v>
      </c>
      <c r="I388" s="1" t="str">
        <f>IFERROR(__xludf.DUMMYFUNCTION("""COMPUTED_VALUE"""),"POS")</f>
        <v>POS</v>
      </c>
      <c r="J388" s="1" t="str">
        <f>IFERROR(__xludf.DUMMYFUNCTION("""COMPUTED_VALUE"""),"Diurno")</f>
        <v>Diurno</v>
      </c>
      <c r="K388" s="1" t="str">
        <f>IFERROR(__xludf.DUMMYFUNCTION("""COMPUTED_VALUE"""),"NUEVO")</f>
        <v>NUEVO</v>
      </c>
      <c r="L388" s="1">
        <f>IFERROR(__xludf.DUMMYFUNCTION("""COMPUTED_VALUE"""),0.0)</f>
        <v>0</v>
      </c>
      <c r="M388" s="1">
        <f>IFERROR(__xludf.DUMMYFUNCTION("""COMPUTED_VALUE"""),0.0)</f>
        <v>0</v>
      </c>
      <c r="N388" s="1" t="str">
        <f>IFERROR(__xludf.DUMMYFUNCTION("""COMPUTED_VALUE"""),"BECA")</f>
        <v>BECA</v>
      </c>
      <c r="O388" s="1" t="str">
        <f>IFERROR(__xludf.DUMMYFUNCTION("""COMPUTED_VALUE"""),"BECA CONGELADA DE 2 AÑOS")</f>
        <v>BECA CONGELADA DE 2 AÑOS</v>
      </c>
      <c r="P388" s="4">
        <f>IFERROR(__xludf.DUMMYFUNCTION("""COMPUTED_VALUE"""),0.0)</f>
        <v>0</v>
      </c>
      <c r="Q388" s="4">
        <f>IFERROR(__xludf.DUMMYFUNCTION("""COMPUTED_VALUE"""),0.0)</f>
        <v>0</v>
      </c>
      <c r="R388" s="4">
        <f>IFERROR(__xludf.DUMMYFUNCTION("""COMPUTED_VALUE"""),1300.0)</f>
        <v>1300</v>
      </c>
      <c r="S388" s="4">
        <f>IFERROR(__xludf.DUMMYFUNCTION("""COMPUTED_VALUE"""),1050.0)</f>
        <v>1050</v>
      </c>
      <c r="T388" s="1" t="str">
        <f>IFERROR(__xludf.DUMMYFUNCTION("""COMPUTED_VALUE"""),"Visita Guiada")</f>
        <v>Visita Guiada</v>
      </c>
      <c r="U388" s="1" t="str">
        <f>IFERROR(__xludf.DUMMYFUNCTION("""COMPUTED_VALUE"""),"RODRIGO")</f>
        <v>RODRIGO</v>
      </c>
      <c r="V388" s="1" t="str">
        <f>IFERROR(__xludf.DUMMYFUNCTION("""COMPUTED_VALUE"""),"Ninguno")</f>
        <v>Ninguno</v>
      </c>
      <c r="W388" s="1" t="str">
        <f>IFERROR(__xludf.DUMMYFUNCTION("""COMPUTED_VALUE"""),"Malla curricular")</f>
        <v>Malla curricular</v>
      </c>
      <c r="X388" s="1"/>
      <c r="Y388" s="1" t="str">
        <f>IFERROR(__xludf.DUMMYFUNCTION("""COMPUTED_VALUE"""),"PAGO COMPLETO")</f>
        <v>PAGO COMPLETO</v>
      </c>
      <c r="Z388" s="1"/>
      <c r="AA388" s="1"/>
      <c r="AB388" s="1">
        <f>IFERROR(__xludf.DUMMYFUNCTION("""COMPUTED_VALUE"""),0.0)</f>
        <v>0</v>
      </c>
      <c r="AC388" s="1">
        <f>IFERROR(__xludf.DUMMYFUNCTION("""COMPUTED_VALUE"""),0.0)</f>
        <v>0</v>
      </c>
      <c r="AD388" s="1" t="str">
        <f>IFERROR(__xludf.DUMMYFUNCTION("""COMPUTED_VALUE"""),"Angelica Iparraguirre")</f>
        <v>Angelica Iparraguirre</v>
      </c>
      <c r="AE388" s="1" t="str">
        <f>IFERROR(__xludf.DUMMYFUNCTION("""COMPUTED_VALUE"""),"0")</f>
        <v>0</v>
      </c>
      <c r="AF388" s="1">
        <f>IFERROR(__xludf.DUMMYFUNCTION("""COMPUTED_VALUE"""),2024.0)</f>
        <v>2024</v>
      </c>
      <c r="AG388" s="1">
        <f>IFERROR(__xludf.DUMMYFUNCTION("""COMPUTED_VALUE"""),1664044.0)</f>
        <v>1664044</v>
      </c>
      <c r="AH388" s="1">
        <f>IFERROR(__xludf.DUMMYFUNCTION("""COMPUTED_VALUE"""),17.0)</f>
        <v>17</v>
      </c>
      <c r="AI388" s="1" t="str">
        <f>IFERROR(__xludf.DUMMYFUNCTION("""COMPUTED_VALUE"""),"0000410979")</f>
        <v>0000410979</v>
      </c>
      <c r="AJ388" s="1">
        <f>IFERROR(__xludf.DUMMYFUNCTION("""COMPUTED_VALUE"""),7.1157341E7)</f>
        <v>71157341</v>
      </c>
      <c r="AK388" s="1">
        <f>IFERROR(__xludf.DUMMYFUNCTION("""COMPUTED_VALUE"""),9.55159084E8)</f>
        <v>955159084</v>
      </c>
      <c r="AL388" s="1" t="str">
        <f>IFERROR(__xludf.DUMMYFUNCTION("""COMPUTED_VALUE"""),"zanabriarosa04@gmail.com")</f>
        <v>zanabriarosa04@gmail.com</v>
      </c>
      <c r="AM388" s="1" t="str">
        <f>IFERROR(__xludf.DUMMYFUNCTION("""COMPUTED_VALUE"""),"FEMENINO")</f>
        <v>FEMENINO</v>
      </c>
      <c r="AN388" s="1">
        <f>IFERROR(__xludf.DUMMYFUNCTION("""COMPUTED_VALUE"""),1350.0)</f>
        <v>1350</v>
      </c>
      <c r="AO388" s="1">
        <f>IFERROR(__xludf.DUMMYFUNCTION("""COMPUTED_VALUE"""),0.0)</f>
        <v>0</v>
      </c>
      <c r="AP388" s="1" t="str">
        <f>IFERROR(__xludf.DUMMYFUNCTION("""COMPUTED_VALUE"""),"COLEGIOS")</f>
        <v>COLEGIOS</v>
      </c>
      <c r="AQ388" s="1" t="str">
        <f>IFERROR(__xludf.DUMMYFUNCTION("""COMPUTED_VALUE"""),"COLEGIOS")</f>
        <v>COLEGIOS</v>
      </c>
      <c r="AR388" s="1" t="str">
        <f>IFERROR(__xludf.DUMMYFUNCTION("""COMPUTED_VALUE"""),"HEREDADO")</f>
        <v>HEREDADO</v>
      </c>
      <c r="AS388" s="1"/>
      <c r="AT388" s="2">
        <f>IFERROR(__xludf.DUMMYFUNCTION("""COMPUTED_VALUE"""),45488.0)</f>
        <v>45488</v>
      </c>
      <c r="AU388" s="1">
        <f>IFERROR(__xludf.DUMMYFUNCTION("""COMPUTED_VALUE"""),1.0)</f>
        <v>1</v>
      </c>
      <c r="AV388" s="1" t="str">
        <f>IFERROR(__xludf.DUMMYFUNCTION("""COMPUTED_VALUE"""),"NUEVO")</f>
        <v>NUEVO</v>
      </c>
      <c r="AW388" s="1" t="str">
        <f>IFERROR(__xludf.DUMMYFUNCTION("""COMPUTED_VALUE"""),"SI")</f>
        <v>SI</v>
      </c>
      <c r="AX388" s="1"/>
      <c r="AY388" s="1" t="str">
        <f>IFERROR(__xludf.DUMMYFUNCTION("""COMPUTED_VALUE"""),"PAGO COMPLETO")</f>
        <v>PAGO COMPLETO</v>
      </c>
      <c r="AZ388" s="5">
        <f>IFERROR(__xludf.DUMMYFUNCTION("""COMPUTED_VALUE"""),45679.0)</f>
        <v>45679</v>
      </c>
      <c r="BA388" s="1">
        <f>IFERROR(__xludf.DUMMYFUNCTION("""COMPUTED_VALUE"""),0.0)</f>
        <v>0</v>
      </c>
      <c r="BB388" s="1">
        <f>IFERROR(__xludf.DUMMYFUNCTION("""COMPUTED_VALUE"""),0.0)</f>
        <v>0</v>
      </c>
      <c r="BC388" s="4">
        <f>IFERROR(__xludf.DUMMYFUNCTION("""COMPUTED_VALUE"""),0.0)</f>
        <v>0</v>
      </c>
      <c r="BD388" s="4">
        <f>IFERROR(__xludf.DUMMYFUNCTION("""COMPUTED_VALUE"""),100.0)</f>
        <v>100</v>
      </c>
      <c r="BE388" s="1">
        <f>IFERROR(__xludf.DUMMYFUNCTION("""COMPUTED_VALUE"""),1.0)</f>
        <v>1</v>
      </c>
      <c r="BF388" s="6">
        <f>IFERROR(__xludf.DUMMYFUNCTION("""COMPUTED_VALUE"""),1.0)</f>
        <v>1</v>
      </c>
      <c r="BG388" s="1">
        <f>IFERROR(__xludf.DUMMYFUNCTION("""COMPUTED_VALUE"""),1.0)</f>
        <v>1</v>
      </c>
      <c r="BH388" s="1" t="str">
        <f>IFERROR(__xludf.DUMMYFUNCTION("""COMPUTED_VALUE"""),"0")</f>
        <v>0</v>
      </c>
      <c r="BI388" s="4">
        <f>IFERROR(__xludf.DUMMYFUNCTION("""COMPUTED_VALUE"""),100.0)</f>
        <v>100</v>
      </c>
      <c r="BJ388" s="1">
        <f>IFERROR(__xludf.DUMMYFUNCTION("""COMPUTED_VALUE"""),0.0)</f>
        <v>0</v>
      </c>
      <c r="BK388" s="4">
        <f>IFERROR(__xludf.DUMMYFUNCTION("""COMPUTED_VALUE"""),100.0)</f>
        <v>100</v>
      </c>
      <c r="BL388" s="1">
        <f>IFERROR(__xludf.DUMMYFUNCTION("""COMPUTED_VALUE"""),1030.0)</f>
        <v>1030</v>
      </c>
      <c r="BM388" s="1">
        <f>IFERROR(__xludf.DUMMYFUNCTION("""COMPUTED_VALUE"""),4.0)</f>
        <v>4</v>
      </c>
      <c r="BN388" s="2">
        <f>IFERROR(__xludf.DUMMYFUNCTION("""COMPUTED_VALUE"""),45677.0)</f>
        <v>45677</v>
      </c>
      <c r="BO388" s="1">
        <f>IFERROR(__xludf.DUMMYFUNCTION("""COMPUTED_VALUE"""),1.0)</f>
        <v>1</v>
      </c>
      <c r="BP388" s="1">
        <f>IFERROR(__xludf.DUMMYFUNCTION("""COMPUTED_VALUE"""),2025.0)</f>
        <v>2025</v>
      </c>
    </row>
    <row r="389">
      <c r="A389" s="1">
        <f>IFERROR(__xludf.DUMMYFUNCTION("""COMPUTED_VALUE"""),388.0)</f>
        <v>388</v>
      </c>
      <c r="B389" s="1">
        <f>IFERROR(__xludf.DUMMYFUNCTION("""COMPUTED_VALUE"""),2626305.0)</f>
        <v>2626305</v>
      </c>
      <c r="C389" s="1" t="str">
        <f>IFERROR(__xludf.DUMMYFUNCTION("""COMPUTED_VALUE"""),"2025-1")</f>
        <v>2025-1</v>
      </c>
      <c r="D389" s="1" t="str">
        <f>IFERROR(__xludf.DUMMYFUNCTION("""COMPUTED_VALUE"""),"Admisión Ordinaria")</f>
        <v>Admisión Ordinaria</v>
      </c>
      <c r="E389" s="2">
        <f>IFERROR(__xludf.DUMMYFUNCTION("""COMPUTED_VALUE"""),45679.0)</f>
        <v>45679</v>
      </c>
      <c r="F389" s="1" t="str">
        <f>IFERROR(__xludf.DUMMYFUNCTION("""COMPUTED_VALUE"""),"JHONY  ALEJANDRO")</f>
        <v>JHONY  ALEJANDRO</v>
      </c>
      <c r="G389" s="1" t="str">
        <f>IFERROR(__xludf.DUMMYFUNCTION("""COMPUTED_VALUE"""),"CRIOLLO CACERES")</f>
        <v>CRIOLLO CACERES</v>
      </c>
      <c r="H389" s="1" t="str">
        <f>IFERROR(__xludf.DUMMYFUNCTION("""COMPUTED_VALUE"""),"Comunicación Audiovisual y Cine")</f>
        <v>Comunicación Audiovisual y Cine</v>
      </c>
      <c r="I389" s="1" t="str">
        <f>IFERROR(__xludf.DUMMYFUNCTION("""COMPUTED_VALUE"""),"POS")</f>
        <v>POS</v>
      </c>
      <c r="J389" s="1" t="str">
        <f>IFERROR(__xludf.DUMMYFUNCTION("""COMPUTED_VALUE"""),"Diurno")</f>
        <v>Diurno</v>
      </c>
      <c r="K389" s="1" t="str">
        <f>IFERROR(__xludf.DUMMYFUNCTION("""COMPUTED_VALUE"""),"NUEVO")</f>
        <v>NUEVO</v>
      </c>
      <c r="L389" s="1">
        <f>IFERROR(__xludf.DUMMYFUNCTION("""COMPUTED_VALUE"""),0.0)</f>
        <v>0</v>
      </c>
      <c r="M389" s="1">
        <f>IFERROR(__xludf.DUMMYFUNCTION("""COMPUTED_VALUE"""),0.0)</f>
        <v>0</v>
      </c>
      <c r="N389" s="1" t="str">
        <f>IFERROR(__xludf.DUMMYFUNCTION("""COMPUTED_VALUE"""),"BECA")</f>
        <v>BECA</v>
      </c>
      <c r="O389" s="1" t="str">
        <f>IFERROR(__xludf.DUMMYFUNCTION("""COMPUTED_VALUE"""),"BECA CARRERAS CORE")</f>
        <v>BECA CARRERAS CORE</v>
      </c>
      <c r="P389" s="4">
        <f>IFERROR(__xludf.DUMMYFUNCTION("""COMPUTED_VALUE"""),0.0)</f>
        <v>0</v>
      </c>
      <c r="Q389" s="4">
        <f>IFERROR(__xludf.DUMMYFUNCTION("""COMPUTED_VALUE"""),0.0)</f>
        <v>0</v>
      </c>
      <c r="R389" s="4">
        <f>IFERROR(__xludf.DUMMYFUNCTION("""COMPUTED_VALUE"""),1150.0)</f>
        <v>1150</v>
      </c>
      <c r="S389" s="4">
        <f>IFERROR(__xludf.DUMMYFUNCTION("""COMPUTED_VALUE"""),800.0)</f>
        <v>800</v>
      </c>
      <c r="T389" s="1" t="str">
        <f>IFERROR(__xludf.DUMMYFUNCTION("""COMPUTED_VALUE"""),"NINGUNO")</f>
        <v>NINGUNO</v>
      </c>
      <c r="U389" s="1" t="str">
        <f>IFERROR(__xludf.DUMMYFUNCTION("""COMPUTED_VALUE"""),"RODRIGO")</f>
        <v>RODRIGO</v>
      </c>
      <c r="V389" s="1" t="str">
        <f>IFERROR(__xludf.DUMMYFUNCTION("""COMPUTED_VALUE"""),"Leandro Urbina")</f>
        <v>Leandro Urbina</v>
      </c>
      <c r="W389" s="1" t="str">
        <f>IFERROR(__xludf.DUMMYFUNCTION("""COMPUTED_VALUE"""),"Beca")</f>
        <v>Beca</v>
      </c>
      <c r="X389" s="1" t="str">
        <f>IFERROR(__xludf.DUMMYFUNCTION("""COMPUTED_VALUE"""),"LE GUSTA LA UNIVERSIDAD ")</f>
        <v>LE GUSTA LA UNIVERSIDAD </v>
      </c>
      <c r="Y389" s="1" t="str">
        <f>IFERROR(__xludf.DUMMYFUNCTION("""COMPUTED_VALUE"""),"PAGO COMPLETO")</f>
        <v>PAGO COMPLETO</v>
      </c>
      <c r="Z389" s="1"/>
      <c r="AA389" s="1"/>
      <c r="AB389" s="1">
        <f>IFERROR(__xludf.DUMMYFUNCTION("""COMPUTED_VALUE"""),1.0)</f>
        <v>1</v>
      </c>
      <c r="AC389" s="1">
        <f>IFERROR(__xludf.DUMMYFUNCTION("""COMPUTED_VALUE"""),0.0)</f>
        <v>0</v>
      </c>
      <c r="AD389" s="1" t="str">
        <f>IFERROR(__xludf.DUMMYFUNCTION("""COMPUTED_VALUE"""),"Daniel Zapata")</f>
        <v>Daniel Zapata</v>
      </c>
      <c r="AE389" s="1" t="str">
        <f>IFERROR(__xludf.DUMMYFUNCTION("""COMPUTED_VALUE"""),"0")</f>
        <v>0</v>
      </c>
      <c r="AF389" s="1">
        <f>IFERROR(__xludf.DUMMYFUNCTION("""COMPUTED_VALUE"""),2022.0)</f>
        <v>2022</v>
      </c>
      <c r="AG389" s="1">
        <f>IFERROR(__xludf.DUMMYFUNCTION("""COMPUTED_VALUE"""),832824.0)</f>
        <v>832824</v>
      </c>
      <c r="AH389" s="1">
        <f>IFERROR(__xludf.DUMMYFUNCTION("""COMPUTED_VALUE"""),20.0)</f>
        <v>20</v>
      </c>
      <c r="AI389" s="1" t="str">
        <f>IFERROR(__xludf.DUMMYFUNCTION("""COMPUTED_VALUE"""),"0000410960")</f>
        <v>0000410960</v>
      </c>
      <c r="AJ389" s="1">
        <f>IFERROR(__xludf.DUMMYFUNCTION("""COMPUTED_VALUE"""),5747583.0)</f>
        <v>5747583</v>
      </c>
      <c r="AK389" s="1">
        <f>IFERROR(__xludf.DUMMYFUNCTION("""COMPUTED_VALUE"""),9.27376514E8)</f>
        <v>927376514</v>
      </c>
      <c r="AL389" s="1" t="str">
        <f>IFERROR(__xludf.DUMMYFUNCTION("""COMPUTED_VALUE"""),"jhonycriollo2005@gmail.com")</f>
        <v>jhonycriollo2005@gmail.com</v>
      </c>
      <c r="AM389" s="1" t="str">
        <f>IFERROR(__xludf.DUMMYFUNCTION("""COMPUTED_VALUE"""),"MASCULINO")</f>
        <v>MASCULINO</v>
      </c>
      <c r="AN389" s="1">
        <f>IFERROR(__xludf.DUMMYFUNCTION("""COMPUTED_VALUE"""),1600.0)</f>
        <v>1600</v>
      </c>
      <c r="AO389" s="1">
        <f>IFERROR(__xludf.DUMMYFUNCTION("""COMPUTED_VALUE"""),280.0)</f>
        <v>280</v>
      </c>
      <c r="AP389" s="1" t="str">
        <f>IFERROR(__xludf.DUMMYFUNCTION("""COMPUTED_VALUE"""),"BIDIRECCIONAL")</f>
        <v>BIDIRECCIONAL</v>
      </c>
      <c r="AQ389" s="1" t="str">
        <f>IFERROR(__xludf.DUMMYFUNCTION("""COMPUTED_VALUE"""),"ORGANICO")</f>
        <v>ORGANICO</v>
      </c>
      <c r="AR389" s="1" t="str">
        <f>IFERROR(__xludf.DUMMYFUNCTION("""COMPUTED_VALUE"""),"NUEVO")</f>
        <v>NUEVO</v>
      </c>
      <c r="AS389" s="1"/>
      <c r="AT389" s="2">
        <f>IFERROR(__xludf.DUMMYFUNCTION("""COMPUTED_VALUE"""),45677.0)</f>
        <v>45677</v>
      </c>
      <c r="AU389" s="1">
        <f>IFERROR(__xludf.DUMMYFUNCTION("""COMPUTED_VALUE"""),1.0)</f>
        <v>1</v>
      </c>
      <c r="AV389" s="1" t="str">
        <f>IFERROR(__xludf.DUMMYFUNCTION("""COMPUTED_VALUE"""),"NUEVO")</f>
        <v>NUEVO</v>
      </c>
      <c r="AW389" s="1" t="str">
        <f>IFERROR(__xludf.DUMMYFUNCTION("""COMPUTED_VALUE"""),"SI")</f>
        <v>SI</v>
      </c>
      <c r="AX389" s="1"/>
      <c r="AY389" s="1" t="str">
        <f>IFERROR(__xludf.DUMMYFUNCTION("""COMPUTED_VALUE"""),"PAGO COMPLETO")</f>
        <v>PAGO COMPLETO</v>
      </c>
      <c r="AZ389" s="5">
        <f>IFERROR(__xludf.DUMMYFUNCTION("""COMPUTED_VALUE"""),45679.0)</f>
        <v>45679</v>
      </c>
      <c r="BA389" s="1">
        <f>IFERROR(__xludf.DUMMYFUNCTION("""COMPUTED_VALUE"""),0.0)</f>
        <v>0</v>
      </c>
      <c r="BB389" s="1">
        <f>IFERROR(__xludf.DUMMYFUNCTION("""COMPUTED_VALUE"""),0.0)</f>
        <v>0</v>
      </c>
      <c r="BC389" s="4">
        <f>IFERROR(__xludf.DUMMYFUNCTION("""COMPUTED_VALUE"""),0.0)</f>
        <v>0</v>
      </c>
      <c r="BD389" s="4">
        <f>IFERROR(__xludf.DUMMYFUNCTION("""COMPUTED_VALUE"""),0.0)</f>
        <v>0</v>
      </c>
      <c r="BE389" s="1">
        <f>IFERROR(__xludf.DUMMYFUNCTION("""COMPUTED_VALUE"""),1.0)</f>
        <v>1</v>
      </c>
      <c r="BF389" s="6">
        <f>IFERROR(__xludf.DUMMYFUNCTION("""COMPUTED_VALUE"""),1.0)</f>
        <v>1</v>
      </c>
      <c r="BG389" s="1">
        <f>IFERROR(__xludf.DUMMYFUNCTION("""COMPUTED_VALUE"""),1.0)</f>
        <v>1</v>
      </c>
      <c r="BH389" s="1" t="str">
        <f>IFERROR(__xludf.DUMMYFUNCTION("""COMPUTED_VALUE"""),"0")</f>
        <v>0</v>
      </c>
      <c r="BI389" s="4">
        <f>IFERROR(__xludf.DUMMYFUNCTION("""COMPUTED_VALUE"""),0.0)</f>
        <v>0</v>
      </c>
      <c r="BJ389" s="1">
        <f>IFERROR(__xludf.DUMMYFUNCTION("""COMPUTED_VALUE"""),0.0)</f>
        <v>0</v>
      </c>
      <c r="BK389" s="4">
        <f>IFERROR(__xludf.DUMMYFUNCTION("""COMPUTED_VALUE"""),0.0)</f>
        <v>0</v>
      </c>
      <c r="BL389" s="1">
        <f>IFERROR(__xludf.DUMMYFUNCTION("""COMPUTED_VALUE"""),800.0)</f>
        <v>800</v>
      </c>
      <c r="BM389" s="1">
        <f>IFERROR(__xludf.DUMMYFUNCTION("""COMPUTED_VALUE"""),4.0)</f>
        <v>4</v>
      </c>
      <c r="BN389" s="2">
        <f>IFERROR(__xludf.DUMMYFUNCTION("""COMPUTED_VALUE"""),45677.0)</f>
        <v>45677</v>
      </c>
      <c r="BO389" s="1">
        <f>IFERROR(__xludf.DUMMYFUNCTION("""COMPUTED_VALUE"""),1.0)</f>
        <v>1</v>
      </c>
      <c r="BP389" s="1">
        <f>IFERROR(__xludf.DUMMYFUNCTION("""COMPUTED_VALUE"""),2025.0)</f>
        <v>2025</v>
      </c>
    </row>
    <row r="390">
      <c r="A390" s="1">
        <f>IFERROR(__xludf.DUMMYFUNCTION("""COMPUTED_VALUE"""),389.0)</f>
        <v>389</v>
      </c>
      <c r="B390" s="1">
        <f>IFERROR(__xludf.DUMMYFUNCTION("""COMPUTED_VALUE"""),2026076.0)</f>
        <v>2026076</v>
      </c>
      <c r="C390" s="1" t="str">
        <f>IFERROR(__xludf.DUMMYFUNCTION("""COMPUTED_VALUE"""),"2025-1")</f>
        <v>2025-1</v>
      </c>
      <c r="D390" s="1" t="str">
        <f>IFERROR(__xludf.DUMMYFUNCTION("""COMPUTED_VALUE"""),"Admisión Ordinaria")</f>
        <v>Admisión Ordinaria</v>
      </c>
      <c r="E390" s="2">
        <f>IFERROR(__xludf.DUMMYFUNCTION("""COMPUTED_VALUE"""),45679.0)</f>
        <v>45679</v>
      </c>
      <c r="F390" s="1" t="str">
        <f>IFERROR(__xludf.DUMMYFUNCTION("""COMPUTED_VALUE"""),"MARIAFE CARLA ")</f>
        <v>MARIAFE CARLA </v>
      </c>
      <c r="G390" s="1" t="str">
        <f>IFERROR(__xludf.DUMMYFUNCTION("""COMPUTED_VALUE"""),"GUARDA VELASQUEZ")</f>
        <v>GUARDA VELASQUEZ</v>
      </c>
      <c r="H390" s="1" t="str">
        <f>IFERROR(__xludf.DUMMYFUNCTION("""COMPUTED_VALUE"""),"Diseño Gráfico Publicitario")</f>
        <v>Diseño Gráfico Publicitario</v>
      </c>
      <c r="I390" s="1" t="str">
        <f>IFERROR(__xludf.DUMMYFUNCTION("""COMPUTED_VALUE"""),"POS")</f>
        <v>POS</v>
      </c>
      <c r="J390" s="1" t="str">
        <f>IFERROR(__xludf.DUMMYFUNCTION("""COMPUTED_VALUE"""),"Diurno")</f>
        <v>Diurno</v>
      </c>
      <c r="K390" s="1" t="str">
        <f>IFERROR(__xludf.DUMMYFUNCTION("""COMPUTED_VALUE"""),"NUEVO")</f>
        <v>NUEVO</v>
      </c>
      <c r="L390" s="1">
        <f>IFERROR(__xludf.DUMMYFUNCTION("""COMPUTED_VALUE"""),0.0)</f>
        <v>0</v>
      </c>
      <c r="M390" s="1">
        <f>IFERROR(__xludf.DUMMYFUNCTION("""COMPUTED_VALUE"""),0.0)</f>
        <v>0</v>
      </c>
      <c r="N390" s="1" t="str">
        <f>IFERROR(__xludf.DUMMYFUNCTION("""COMPUTED_VALUE"""),"BECA")</f>
        <v>BECA</v>
      </c>
      <c r="O390" s="1" t="str">
        <f>IFERROR(__xludf.DUMMYFUNCTION("""COMPUTED_VALUE"""),"BECA DGP")</f>
        <v>BECA DGP</v>
      </c>
      <c r="P390" s="4">
        <f>IFERROR(__xludf.DUMMYFUNCTION("""COMPUTED_VALUE"""),0.0)</f>
        <v>0</v>
      </c>
      <c r="Q390" s="4">
        <f>IFERROR(__xludf.DUMMYFUNCTION("""COMPUTED_VALUE"""),0.0)</f>
        <v>0</v>
      </c>
      <c r="R390" s="4">
        <f>IFERROR(__xludf.DUMMYFUNCTION("""COMPUTED_VALUE"""),1000.0)</f>
        <v>1000</v>
      </c>
      <c r="S390" s="4">
        <f>IFERROR(__xludf.DUMMYFUNCTION("""COMPUTED_VALUE"""),850.0)</f>
        <v>850</v>
      </c>
      <c r="T390" s="1" t="str">
        <f>IFERROR(__xludf.DUMMYFUNCTION("""COMPUTED_VALUE"""),"Refirio")</f>
        <v>Refirio</v>
      </c>
      <c r="U390" s="1"/>
      <c r="V390" s="1" t="str">
        <f>IFERROR(__xludf.DUMMYFUNCTION("""COMPUTED_VALUE"""),"Leandro Urbina")</f>
        <v>Leandro Urbina</v>
      </c>
      <c r="W390" s="1" t="str">
        <f>IFERROR(__xludf.DUMMYFUNCTION("""COMPUTED_VALUE"""),"Beca")</f>
        <v>Beca</v>
      </c>
      <c r="X390" s="1" t="str">
        <f>IFERROR(__xludf.DUMMYFUNCTION("""COMPUTED_VALUE"""),"Le gusta la universidad y le queda cerca")</f>
        <v>Le gusta la universidad y le queda cerca</v>
      </c>
      <c r="Y390" s="1" t="str">
        <f>IFERROR(__xludf.DUMMYFUNCTION("""COMPUTED_VALUE"""),"PAGO COMPLETO")</f>
        <v>PAGO COMPLETO</v>
      </c>
      <c r="Z390" s="1"/>
      <c r="AA390" s="1"/>
      <c r="AB390" s="1">
        <f>IFERROR(__xludf.DUMMYFUNCTION("""COMPUTED_VALUE"""),0.0)</f>
        <v>0</v>
      </c>
      <c r="AC390" s="1">
        <f>IFERROR(__xludf.DUMMYFUNCTION("""COMPUTED_VALUE"""),0.0)</f>
        <v>0</v>
      </c>
      <c r="AD390" s="1" t="str">
        <f>IFERROR(__xludf.DUMMYFUNCTION("""COMPUTED_VALUE"""),"César Alberto Loayza Gutiérrez")</f>
        <v>César Alberto Loayza Gutiérrez</v>
      </c>
      <c r="AE390" s="1" t="str">
        <f>IFERROR(__xludf.DUMMYFUNCTION("""COMPUTED_VALUE"""),"0")</f>
        <v>0</v>
      </c>
      <c r="AF390" s="1">
        <f>IFERROR(__xludf.DUMMYFUNCTION("""COMPUTED_VALUE"""),2023.0)</f>
        <v>2023</v>
      </c>
      <c r="AG390" s="1">
        <f>IFERROR(__xludf.DUMMYFUNCTION("""COMPUTED_VALUE"""),692434.0)</f>
        <v>692434</v>
      </c>
      <c r="AH390" s="1">
        <f>IFERROR(__xludf.DUMMYFUNCTION("""COMPUTED_VALUE"""),19.0)</f>
        <v>19</v>
      </c>
      <c r="AI390" s="1" t="str">
        <f>IFERROR(__xludf.DUMMYFUNCTION("""COMPUTED_VALUE"""),"0000410992")</f>
        <v>0000410992</v>
      </c>
      <c r="AJ390" s="1">
        <f>IFERROR(__xludf.DUMMYFUNCTION("""COMPUTED_VALUE"""),7.0508791E7)</f>
        <v>70508791</v>
      </c>
      <c r="AK390" s="1">
        <f>IFERROR(__xludf.DUMMYFUNCTION("""COMPUTED_VALUE"""),9.52635121E8)</f>
        <v>952635121</v>
      </c>
      <c r="AL390" s="1" t="str">
        <f>IFERROR(__xludf.DUMMYFUNCTION("""COMPUTED_VALUE"""),"mafeguarda24@gmail.com")</f>
        <v>mafeguarda24@gmail.com</v>
      </c>
      <c r="AM390" s="1" t="str">
        <f>IFERROR(__xludf.DUMMYFUNCTION("""COMPUTED_VALUE"""),"FEMENINO")</f>
        <v>FEMENINO</v>
      </c>
      <c r="AN390" s="1">
        <f>IFERROR(__xludf.DUMMYFUNCTION("""COMPUTED_VALUE"""),1350.0)</f>
        <v>1350</v>
      </c>
      <c r="AO390" s="1">
        <f>IFERROR(__xludf.DUMMYFUNCTION("""COMPUTED_VALUE"""),0.0)</f>
        <v>0</v>
      </c>
      <c r="AP390" s="1" t="str">
        <f>IFERROR(__xludf.DUMMYFUNCTION("""COMPUTED_VALUE"""),"OUTBOUND")</f>
        <v>OUTBOUND</v>
      </c>
      <c r="AQ390" s="1" t="str">
        <f>IFERROR(__xludf.DUMMYFUNCTION("""COMPUTED_VALUE"""),"OUTBOUND")</f>
        <v>OUTBOUND</v>
      </c>
      <c r="AR390" s="1" t="str">
        <f>IFERROR(__xludf.DUMMYFUNCTION("""COMPUTED_VALUE"""),"HEREDADO")</f>
        <v>HEREDADO</v>
      </c>
      <c r="AS390" s="1"/>
      <c r="AT390" s="2">
        <f>IFERROR(__xludf.DUMMYFUNCTION("""COMPUTED_VALUE"""),45679.0)</f>
        <v>45679</v>
      </c>
      <c r="AU390" s="1">
        <f>IFERROR(__xludf.DUMMYFUNCTION("""COMPUTED_VALUE"""),1.0)</f>
        <v>1</v>
      </c>
      <c r="AV390" s="1" t="str">
        <f>IFERROR(__xludf.DUMMYFUNCTION("""COMPUTED_VALUE"""),"NUEVO")</f>
        <v>NUEVO</v>
      </c>
      <c r="AW390" s="1" t="str">
        <f>IFERROR(__xludf.DUMMYFUNCTION("""COMPUTED_VALUE"""),"SI")</f>
        <v>SI</v>
      </c>
      <c r="AX390" s="1"/>
      <c r="AY390" s="1" t="str">
        <f>IFERROR(__xludf.DUMMYFUNCTION("""COMPUTED_VALUE"""),"PAGO COMPLETO")</f>
        <v>PAGO COMPLETO</v>
      </c>
      <c r="AZ390" s="5">
        <f>IFERROR(__xludf.DUMMYFUNCTION("""COMPUTED_VALUE"""),45679.0)</f>
        <v>45679</v>
      </c>
      <c r="BA390" s="1">
        <f>IFERROR(__xludf.DUMMYFUNCTION("""COMPUTED_VALUE"""),0.0)</f>
        <v>0</v>
      </c>
      <c r="BB390" s="1">
        <f>IFERROR(__xludf.DUMMYFUNCTION("""COMPUTED_VALUE"""),0.0)</f>
        <v>0</v>
      </c>
      <c r="BC390" s="4">
        <f>IFERROR(__xludf.DUMMYFUNCTION("""COMPUTED_VALUE"""),0.0)</f>
        <v>0</v>
      </c>
      <c r="BD390" s="4">
        <f>IFERROR(__xludf.DUMMYFUNCTION("""COMPUTED_VALUE"""),0.0)</f>
        <v>0</v>
      </c>
      <c r="BE390" s="1">
        <f>IFERROR(__xludf.DUMMYFUNCTION("""COMPUTED_VALUE"""),1.0)</f>
        <v>1</v>
      </c>
      <c r="BF390" s="6">
        <f>IFERROR(__xludf.DUMMYFUNCTION("""COMPUTED_VALUE"""),1.0)</f>
        <v>1</v>
      </c>
      <c r="BG390" s="1">
        <f>IFERROR(__xludf.DUMMYFUNCTION("""COMPUTED_VALUE"""),1.0)</f>
        <v>1</v>
      </c>
      <c r="BH390" s="1" t="str">
        <f>IFERROR(__xludf.DUMMYFUNCTION("""COMPUTED_VALUE"""),"0")</f>
        <v>0</v>
      </c>
      <c r="BI390" s="4">
        <f>IFERROR(__xludf.DUMMYFUNCTION("""COMPUTED_VALUE"""),0.0)</f>
        <v>0</v>
      </c>
      <c r="BJ390" s="1">
        <f>IFERROR(__xludf.DUMMYFUNCTION("""COMPUTED_VALUE"""),0.0)</f>
        <v>0</v>
      </c>
      <c r="BK390" s="4">
        <f>IFERROR(__xludf.DUMMYFUNCTION("""COMPUTED_VALUE"""),850.0)</f>
        <v>850</v>
      </c>
      <c r="BL390" s="1">
        <f>IFERROR(__xludf.DUMMYFUNCTION("""COMPUTED_VALUE"""),680.0)</f>
        <v>680</v>
      </c>
      <c r="BM390" s="1">
        <f>IFERROR(__xludf.DUMMYFUNCTION("""COMPUTED_VALUE"""),4.0)</f>
        <v>4</v>
      </c>
      <c r="BN390" s="2">
        <f>IFERROR(__xludf.DUMMYFUNCTION("""COMPUTED_VALUE"""),45677.0)</f>
        <v>45677</v>
      </c>
      <c r="BO390" s="1">
        <f>IFERROR(__xludf.DUMMYFUNCTION("""COMPUTED_VALUE"""),1.0)</f>
        <v>1</v>
      </c>
      <c r="BP390" s="1">
        <f>IFERROR(__xludf.DUMMYFUNCTION("""COMPUTED_VALUE"""),2025.0)</f>
        <v>2025</v>
      </c>
    </row>
    <row r="391">
      <c r="A391" s="1">
        <f>IFERROR(__xludf.DUMMYFUNCTION("""COMPUTED_VALUE"""),390.0)</f>
        <v>390</v>
      </c>
      <c r="B391" s="1">
        <f>IFERROR(__xludf.DUMMYFUNCTION("""COMPUTED_VALUE"""),4965431.0)</f>
        <v>4965431</v>
      </c>
      <c r="C391" s="1" t="str">
        <f>IFERROR(__xludf.DUMMYFUNCTION("""COMPUTED_VALUE"""),"2025-1")</f>
        <v>2025-1</v>
      </c>
      <c r="D391" s="1" t="str">
        <f>IFERROR(__xludf.DUMMYFUNCTION("""COMPUTED_VALUE"""),"Admisión Ordinaria")</f>
        <v>Admisión Ordinaria</v>
      </c>
      <c r="E391" s="2">
        <f>IFERROR(__xludf.DUMMYFUNCTION("""COMPUTED_VALUE"""),45679.0)</f>
        <v>45679</v>
      </c>
      <c r="F391" s="1" t="str">
        <f>IFERROR(__xludf.DUMMYFUNCTION("""COMPUTED_VALUE"""),"ROSSMERY ZENAIDA ")</f>
        <v>ROSSMERY ZENAIDA </v>
      </c>
      <c r="G391" s="1" t="str">
        <f>IFERROR(__xludf.DUMMYFUNCTION("""COMPUTED_VALUE"""),"GASPAR RAMOS")</f>
        <v>GASPAR RAMOS</v>
      </c>
      <c r="H391" s="1" t="str">
        <f>IFERROR(__xludf.DUMMYFUNCTION("""COMPUTED_VALUE"""),"Psicología")</f>
        <v>Psicología</v>
      </c>
      <c r="I391" s="1" t="str">
        <f>IFERROR(__xludf.DUMMYFUNCTION("""COMPUTED_VALUE"""),"CARGO")</f>
        <v>CARGO</v>
      </c>
      <c r="J391" s="1" t="str">
        <f>IFERROR(__xludf.DUMMYFUNCTION("""COMPUTED_VALUE"""),"Diurno")</f>
        <v>Diurno</v>
      </c>
      <c r="K391" s="1" t="str">
        <f>IFERROR(__xludf.DUMMYFUNCTION("""COMPUTED_VALUE"""),"NUEVO")</f>
        <v>NUEVO</v>
      </c>
      <c r="L391" s="1">
        <f>IFERROR(__xludf.DUMMYFUNCTION("""COMPUTED_VALUE"""),0.0)</f>
        <v>0</v>
      </c>
      <c r="M391" s="1">
        <f>IFERROR(__xludf.DUMMYFUNCTION("""COMPUTED_VALUE"""),0.0)</f>
        <v>0</v>
      </c>
      <c r="N391" s="1" t="str">
        <f>IFERROR(__xludf.DUMMYFUNCTION("""COMPUTED_VALUE"""),"BECA")</f>
        <v>BECA</v>
      </c>
      <c r="O391" s="1" t="str">
        <f>IFERROR(__xludf.DUMMYFUNCTION("""COMPUTED_VALUE"""),"BECA CARRERAS NUEVAS")</f>
        <v>BECA CARRERAS NUEVAS</v>
      </c>
      <c r="P391" s="4">
        <f>IFERROR(__xludf.DUMMYFUNCTION("""COMPUTED_VALUE"""),0.0)</f>
        <v>0</v>
      </c>
      <c r="Q391" s="4">
        <f>IFERROR(__xludf.DUMMYFUNCTION("""COMPUTED_VALUE"""),0.0)</f>
        <v>0</v>
      </c>
      <c r="R391" s="4">
        <f>IFERROR(__xludf.DUMMYFUNCTION("""COMPUTED_VALUE"""),1000.0)</f>
        <v>1000</v>
      </c>
      <c r="S391" s="4">
        <f>IFERROR(__xludf.DUMMYFUNCTION("""COMPUTED_VALUE"""),850.0)</f>
        <v>850</v>
      </c>
      <c r="T391" s="1" t="str">
        <f>IFERROR(__xludf.DUMMYFUNCTION("""COMPUTED_VALUE"""),"NINGUNO")</f>
        <v>NINGUNO</v>
      </c>
      <c r="U391" s="1"/>
      <c r="V391" s="1" t="str">
        <f>IFERROR(__xludf.DUMMYFUNCTION("""COMPUTED_VALUE"""),"Ninguno")</f>
        <v>Ninguno</v>
      </c>
      <c r="W391" s="1" t="str">
        <f>IFERROR(__xludf.DUMMYFUNCTION("""COMPUTED_VALUE"""),"Beca")</f>
        <v>Beca</v>
      </c>
      <c r="X391" s="1" t="str">
        <f>IFERROR(__xludf.DUMMYFUNCTION("""COMPUTED_VALUE"""),"le gusta la malla curricular ")</f>
        <v>le gusta la malla curricular </v>
      </c>
      <c r="Y391" s="1" t="str">
        <f>IFERROR(__xludf.DUMMYFUNCTION("""COMPUTED_VALUE"""),"PAGO COMPLETO")</f>
        <v>PAGO COMPLETO</v>
      </c>
      <c r="Z391" s="1"/>
      <c r="AA391" s="1"/>
      <c r="AB391" s="1">
        <f>IFERROR(__xludf.DUMMYFUNCTION("""COMPUTED_VALUE"""),1.0)</f>
        <v>1</v>
      </c>
      <c r="AC391" s="1">
        <f>IFERROR(__xludf.DUMMYFUNCTION("""COMPUTED_VALUE"""),0.0)</f>
        <v>0</v>
      </c>
      <c r="AD391" s="1" t="str">
        <f>IFERROR(__xludf.DUMMYFUNCTION("""COMPUTED_VALUE"""),"Daniel Zapata")</f>
        <v>Daniel Zapata</v>
      </c>
      <c r="AE391" s="1" t="str">
        <f>IFERROR(__xludf.DUMMYFUNCTION("""COMPUTED_VALUE"""),"0")</f>
        <v>0</v>
      </c>
      <c r="AF391" s="1">
        <f>IFERROR(__xludf.DUMMYFUNCTION("""COMPUTED_VALUE"""),2020.0)</f>
        <v>2020</v>
      </c>
      <c r="AG391" s="1">
        <f>IFERROR(__xludf.DUMMYFUNCTION("""COMPUTED_VALUE"""),1063262.0)</f>
        <v>1063262</v>
      </c>
      <c r="AH391" s="1">
        <f>IFERROR(__xludf.DUMMYFUNCTION("""COMPUTED_VALUE"""),36.0)</f>
        <v>36</v>
      </c>
      <c r="AI391" s="1" t="str">
        <f>IFERROR(__xludf.DUMMYFUNCTION("""COMPUTED_VALUE"""),"0000410940")</f>
        <v>0000410940</v>
      </c>
      <c r="AJ391" s="1">
        <f>IFERROR(__xludf.DUMMYFUNCTION("""COMPUTED_VALUE"""),4.5898263E7)</f>
        <v>45898263</v>
      </c>
      <c r="AK391" s="1">
        <f>IFERROR(__xludf.DUMMYFUNCTION("""COMPUTED_VALUE"""),9.74857903E8)</f>
        <v>974857903</v>
      </c>
      <c r="AL391" s="1" t="str">
        <f>IFERROR(__xludf.DUMMYFUNCTION("""COMPUTED_VALUE"""),"rousgasparzr@gmail.com")</f>
        <v>rousgasparzr@gmail.com</v>
      </c>
      <c r="AM391" s="1" t="str">
        <f>IFERROR(__xludf.DUMMYFUNCTION("""COMPUTED_VALUE"""),"FEMENINO")</f>
        <v>FEMENINO</v>
      </c>
      <c r="AN391" s="1">
        <f>IFERROR(__xludf.DUMMYFUNCTION("""COMPUTED_VALUE"""),1350.0)</f>
        <v>1350</v>
      </c>
      <c r="AO391" s="1">
        <f>IFERROR(__xludf.DUMMYFUNCTION("""COMPUTED_VALUE"""),0.0)</f>
        <v>0</v>
      </c>
      <c r="AP391" s="1" t="str">
        <f>IFERROR(__xludf.DUMMYFUNCTION("""COMPUTED_VALUE"""),"FORMULARIO")</f>
        <v>FORMULARIO</v>
      </c>
      <c r="AQ391" s="1" t="str">
        <f>IFERROR(__xludf.DUMMYFUNCTION("""COMPUTED_VALUE"""),"SEARCH CARRERA")</f>
        <v>SEARCH CARRERA</v>
      </c>
      <c r="AR391" s="1" t="str">
        <f>IFERROR(__xludf.DUMMYFUNCTION("""COMPUTED_VALUE"""),"NUEVO")</f>
        <v>NUEVO</v>
      </c>
      <c r="AS391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391" s="2">
        <f>IFERROR(__xludf.DUMMYFUNCTION("""COMPUTED_VALUE"""),45679.0)</f>
        <v>45679</v>
      </c>
      <c r="AU391" s="1">
        <f>IFERROR(__xludf.DUMMYFUNCTION("""COMPUTED_VALUE"""),1.0)</f>
        <v>1</v>
      </c>
      <c r="AV391" s="1" t="str">
        <f>IFERROR(__xludf.DUMMYFUNCTION("""COMPUTED_VALUE"""),"NUEVO")</f>
        <v>NUEVO</v>
      </c>
      <c r="AW391" s="1" t="str">
        <f>IFERROR(__xludf.DUMMYFUNCTION("""COMPUTED_VALUE"""),"SI")</f>
        <v>SI</v>
      </c>
      <c r="AX391" s="1"/>
      <c r="AY391" s="1" t="str">
        <f>IFERROR(__xludf.DUMMYFUNCTION("""COMPUTED_VALUE"""),"PAGO COMPLETO")</f>
        <v>PAGO COMPLETO</v>
      </c>
      <c r="AZ391" s="5">
        <f>IFERROR(__xludf.DUMMYFUNCTION("""COMPUTED_VALUE"""),45679.0)</f>
        <v>45679</v>
      </c>
      <c r="BA391" s="1">
        <f>IFERROR(__xludf.DUMMYFUNCTION("""COMPUTED_VALUE"""),0.0)</f>
        <v>0</v>
      </c>
      <c r="BB391" s="1">
        <f>IFERROR(__xludf.DUMMYFUNCTION("""COMPUTED_VALUE"""),0.0)</f>
        <v>0</v>
      </c>
      <c r="BC391" s="4">
        <f>IFERROR(__xludf.DUMMYFUNCTION("""COMPUTED_VALUE"""),0.0)</f>
        <v>0</v>
      </c>
      <c r="BD391" s="4">
        <f>IFERROR(__xludf.DUMMYFUNCTION("""COMPUTED_VALUE"""),0.0)</f>
        <v>0</v>
      </c>
      <c r="BE391" s="1">
        <f>IFERROR(__xludf.DUMMYFUNCTION("""COMPUTED_VALUE"""),1.0)</f>
        <v>1</v>
      </c>
      <c r="BF391" s="6">
        <f>IFERROR(__xludf.DUMMYFUNCTION("""COMPUTED_VALUE"""),1.0)</f>
        <v>1</v>
      </c>
      <c r="BG391" s="1">
        <f>IFERROR(__xludf.DUMMYFUNCTION("""COMPUTED_VALUE"""),1.0)</f>
        <v>1</v>
      </c>
      <c r="BH391" s="1" t="str">
        <f>IFERROR(__xludf.DUMMYFUNCTION("""COMPUTED_VALUE"""),"0")</f>
        <v>0</v>
      </c>
      <c r="BI391" s="4">
        <f>IFERROR(__xludf.DUMMYFUNCTION("""COMPUTED_VALUE"""),0.0)</f>
        <v>0</v>
      </c>
      <c r="BJ391" s="1">
        <f>IFERROR(__xludf.DUMMYFUNCTION("""COMPUTED_VALUE"""),0.0)</f>
        <v>0</v>
      </c>
      <c r="BK391" s="4">
        <f>IFERROR(__xludf.DUMMYFUNCTION("""COMPUTED_VALUE"""),0.0)</f>
        <v>0</v>
      </c>
      <c r="BL391" s="1">
        <f>IFERROR(__xludf.DUMMYFUNCTION("""COMPUTED_VALUE"""),850.0)</f>
        <v>850</v>
      </c>
      <c r="BM391" s="1">
        <f>IFERROR(__xludf.DUMMYFUNCTION("""COMPUTED_VALUE"""),4.0)</f>
        <v>4</v>
      </c>
      <c r="BN391" s="2">
        <f>IFERROR(__xludf.DUMMYFUNCTION("""COMPUTED_VALUE"""),45677.0)</f>
        <v>45677</v>
      </c>
      <c r="BO391" s="1">
        <f>IFERROR(__xludf.DUMMYFUNCTION("""COMPUTED_VALUE"""),1.0)</f>
        <v>1</v>
      </c>
      <c r="BP391" s="1">
        <f>IFERROR(__xludf.DUMMYFUNCTION("""COMPUTED_VALUE"""),2025.0)</f>
        <v>2025</v>
      </c>
    </row>
    <row r="392">
      <c r="A392" s="1">
        <f>IFERROR(__xludf.DUMMYFUNCTION("""COMPUTED_VALUE"""),391.0)</f>
        <v>391</v>
      </c>
      <c r="B392" s="1">
        <f>IFERROR(__xludf.DUMMYFUNCTION("""COMPUTED_VALUE"""),2115357.0)</f>
        <v>2115357</v>
      </c>
      <c r="C392" s="1" t="str">
        <f>IFERROR(__xludf.DUMMYFUNCTION("""COMPUTED_VALUE"""),"2025-1")</f>
        <v>2025-1</v>
      </c>
      <c r="D392" s="1" t="str">
        <f>IFERROR(__xludf.DUMMYFUNCTION("""COMPUTED_VALUE"""),"Admisión Ordinaria")</f>
        <v>Admisión Ordinaria</v>
      </c>
      <c r="E392" s="2">
        <f>IFERROR(__xludf.DUMMYFUNCTION("""COMPUTED_VALUE"""),45679.0)</f>
        <v>45679</v>
      </c>
      <c r="F392" s="1" t="str">
        <f>IFERROR(__xludf.DUMMYFUNCTION("""COMPUTED_VALUE"""),"PAMELA ARACELY")</f>
        <v>PAMELA ARACELY</v>
      </c>
      <c r="G392" s="1" t="str">
        <f>IFERROR(__xludf.DUMMYFUNCTION("""COMPUTED_VALUE"""),"GRANDEZ ZELAYA")</f>
        <v>GRANDEZ ZELAYA</v>
      </c>
      <c r="H392" s="1" t="str">
        <f>IFERROR(__xludf.DUMMYFUNCTION("""COMPUTED_VALUE"""),"Comunicación Audiovisual y Cine")</f>
        <v>Comunicación Audiovisual y Cine</v>
      </c>
      <c r="I392" s="1" t="str">
        <f>IFERROR(__xludf.DUMMYFUNCTION("""COMPUTED_VALUE"""),"CARGO")</f>
        <v>CARGO</v>
      </c>
      <c r="J392" s="1" t="str">
        <f>IFERROR(__xludf.DUMMYFUNCTION("""COMPUTED_VALUE"""),"Diurno")</f>
        <v>Diurno</v>
      </c>
      <c r="K392" s="1" t="str">
        <f>IFERROR(__xludf.DUMMYFUNCTION("""COMPUTED_VALUE"""),"TRASLADO")</f>
        <v>TRASLADO</v>
      </c>
      <c r="L392" s="1">
        <f>IFERROR(__xludf.DUMMYFUNCTION("""COMPUTED_VALUE"""),0.0)</f>
        <v>0</v>
      </c>
      <c r="M392" s="1">
        <f>IFERROR(__xludf.DUMMYFUNCTION("""COMPUTED_VALUE"""),0.0)</f>
        <v>0</v>
      </c>
      <c r="N392" s="1" t="str">
        <f>IFERROR(__xludf.DUMMYFUNCTION("""COMPUTED_VALUE"""),"BECA")</f>
        <v>BECA</v>
      </c>
      <c r="O392" s="1" t="str">
        <f>IFERROR(__xludf.DUMMYFUNCTION("""COMPUTED_VALUE"""),"BECA CONGELADA DE 2 AÑOS")</f>
        <v>BECA CONGELADA DE 2 AÑOS</v>
      </c>
      <c r="P392" s="4">
        <f>IFERROR(__xludf.DUMMYFUNCTION("""COMPUTED_VALUE"""),0.0)</f>
        <v>0</v>
      </c>
      <c r="Q392" s="4">
        <f>IFERROR(__xludf.DUMMYFUNCTION("""COMPUTED_VALUE"""),0.0)</f>
        <v>0</v>
      </c>
      <c r="R392" s="4">
        <f>IFERROR(__xludf.DUMMYFUNCTION("""COMPUTED_VALUE"""),1000.0)</f>
        <v>1000</v>
      </c>
      <c r="S392" s="4">
        <f>IFERROR(__xludf.DUMMYFUNCTION("""COMPUTED_VALUE"""),900.0)</f>
        <v>900</v>
      </c>
      <c r="T392" s="1" t="str">
        <f>IFERROR(__xludf.DUMMYFUNCTION("""COMPUTED_VALUE"""),"NINGUNO")</f>
        <v>NINGUNO</v>
      </c>
      <c r="U392" s="1" t="str">
        <f>IFERROR(__xludf.DUMMYFUNCTION("""COMPUTED_VALUE"""),"FABIOLA")</f>
        <v>FABIOLA</v>
      </c>
      <c r="V392" s="1" t="str">
        <f>IFERROR(__xludf.DUMMYFUNCTION("""COMPUTED_VALUE"""),"Ninguno")</f>
        <v>Ninguno</v>
      </c>
      <c r="W392" s="1" t="str">
        <f>IFERROR(__xludf.DUMMYFUNCTION("""COMPUTED_VALUE"""),"Malla curricular")</f>
        <v>Malla curricular</v>
      </c>
      <c r="X392" s="1"/>
      <c r="Y392" s="1" t="str">
        <f>IFERROR(__xludf.DUMMYFUNCTION("""COMPUTED_VALUE"""),"PAGO COMPLETO")</f>
        <v>PAGO COMPLETO</v>
      </c>
      <c r="Z392" s="1"/>
      <c r="AA392" s="1"/>
      <c r="AB392" s="1">
        <f>IFERROR(__xludf.DUMMYFUNCTION("""COMPUTED_VALUE"""),0.0)</f>
        <v>0</v>
      </c>
      <c r="AC392" s="1">
        <f>IFERROR(__xludf.DUMMYFUNCTION("""COMPUTED_VALUE"""),0.0)</f>
        <v>0</v>
      </c>
      <c r="AD392" s="1" t="str">
        <f>IFERROR(__xludf.DUMMYFUNCTION("""COMPUTED_VALUE"""),"Angelica Iparraguirre")</f>
        <v>Angelica Iparraguirre</v>
      </c>
      <c r="AE392" s="1" t="str">
        <f>IFERROR(__xludf.DUMMYFUNCTION("""COMPUTED_VALUE"""),"Universidad Tecnologica Del Peru - Utp")</f>
        <v>Universidad Tecnologica Del Peru - Utp</v>
      </c>
      <c r="AF392" s="1">
        <f>IFERROR(__xludf.DUMMYFUNCTION("""COMPUTED_VALUE"""),2023.0)</f>
        <v>2023</v>
      </c>
      <c r="AG392" s="1">
        <f>IFERROR(__xludf.DUMMYFUNCTION("""COMPUTED_VALUE"""),1508845.0)</f>
        <v>1508845</v>
      </c>
      <c r="AH392" s="1">
        <f>IFERROR(__xludf.DUMMYFUNCTION("""COMPUTED_VALUE"""),19.0)</f>
        <v>19</v>
      </c>
      <c r="AI392" s="1" t="str">
        <f>IFERROR(__xludf.DUMMYFUNCTION("""COMPUTED_VALUE"""),"0000067127")</f>
        <v>0000067127</v>
      </c>
      <c r="AJ392" s="1">
        <f>IFERROR(__xludf.DUMMYFUNCTION("""COMPUTED_VALUE"""),7.0590658E7)</f>
        <v>70590658</v>
      </c>
      <c r="AK392" s="1">
        <f>IFERROR(__xludf.DUMMYFUNCTION("""COMPUTED_VALUE"""),9.70532035E8)</f>
        <v>970532035</v>
      </c>
      <c r="AL392" s="1" t="str">
        <f>IFERROR(__xludf.DUMMYFUNCTION("""COMPUTED_VALUE"""),"grandezpamela45@gmail.com")</f>
        <v>grandezpamela45@gmail.com</v>
      </c>
      <c r="AM392" s="1" t="str">
        <f>IFERROR(__xludf.DUMMYFUNCTION("""COMPUTED_VALUE"""),"FEMENINO")</f>
        <v>FEMENINO</v>
      </c>
      <c r="AN392" s="1">
        <f>IFERROR(__xludf.DUMMYFUNCTION("""COMPUTED_VALUE"""),1775.0)</f>
        <v>1775</v>
      </c>
      <c r="AO392" s="1">
        <f>IFERROR(__xludf.DUMMYFUNCTION("""COMPUTED_VALUE"""),340.0)</f>
        <v>340</v>
      </c>
      <c r="AP392" s="1" t="str">
        <f>IFERROR(__xludf.DUMMYFUNCTION("""COMPUTED_VALUE"""),"BIDIRECCIONAL")</f>
        <v>BIDIRECCIONAL</v>
      </c>
      <c r="AQ392" s="1" t="str">
        <f>IFERROR(__xludf.DUMMYFUNCTION("""COMPUTED_VALUE"""),"ORGANICO")</f>
        <v>ORGANICO</v>
      </c>
      <c r="AR392" s="1" t="str">
        <f>IFERROR(__xludf.DUMMYFUNCTION("""COMPUTED_VALUE"""),"HEREDADO")</f>
        <v>HEREDADO</v>
      </c>
      <c r="AS392" s="1"/>
      <c r="AT392" s="2">
        <f>IFERROR(__xludf.DUMMYFUNCTION("""COMPUTED_VALUE"""),45679.0)</f>
        <v>45679</v>
      </c>
      <c r="AU392" s="1">
        <f>IFERROR(__xludf.DUMMYFUNCTION("""COMPUTED_VALUE"""),1.0)</f>
        <v>1</v>
      </c>
      <c r="AV392" s="1" t="str">
        <f>IFERROR(__xludf.DUMMYFUNCTION("""COMPUTED_VALUE"""),"NUEVO")</f>
        <v>NUEVO</v>
      </c>
      <c r="AW392" s="1" t="str">
        <f>IFERROR(__xludf.DUMMYFUNCTION("""COMPUTED_VALUE"""),"SI")</f>
        <v>SI</v>
      </c>
      <c r="AX392" s="1"/>
      <c r="AY392" s="1" t="str">
        <f>IFERROR(__xludf.DUMMYFUNCTION("""COMPUTED_VALUE"""),"PAGO COMPLETO")</f>
        <v>PAGO COMPLETO</v>
      </c>
      <c r="AZ392" s="5">
        <f>IFERROR(__xludf.DUMMYFUNCTION("""COMPUTED_VALUE"""),45679.0)</f>
        <v>45679</v>
      </c>
      <c r="BA392" s="1">
        <f>IFERROR(__xludf.DUMMYFUNCTION("""COMPUTED_VALUE"""),0.0)</f>
        <v>0</v>
      </c>
      <c r="BB392" s="1">
        <f>IFERROR(__xludf.DUMMYFUNCTION("""COMPUTED_VALUE"""),0.0)</f>
        <v>0</v>
      </c>
      <c r="BC392" s="4">
        <f>IFERROR(__xludf.DUMMYFUNCTION("""COMPUTED_VALUE"""),0.0)</f>
        <v>0</v>
      </c>
      <c r="BD392" s="4">
        <f>IFERROR(__xludf.DUMMYFUNCTION("""COMPUTED_VALUE"""),0.0)</f>
        <v>0</v>
      </c>
      <c r="BE392" s="1">
        <f>IFERROR(__xludf.DUMMYFUNCTION("""COMPUTED_VALUE"""),1.0)</f>
        <v>1</v>
      </c>
      <c r="BF392" s="6">
        <f>IFERROR(__xludf.DUMMYFUNCTION("""COMPUTED_VALUE"""),1.0)</f>
        <v>1</v>
      </c>
      <c r="BG392" s="1">
        <f>IFERROR(__xludf.DUMMYFUNCTION("""COMPUTED_VALUE"""),1.0)</f>
        <v>1</v>
      </c>
      <c r="BH392" s="1" t="str">
        <f>IFERROR(__xludf.DUMMYFUNCTION("""COMPUTED_VALUE"""),"0")</f>
        <v>0</v>
      </c>
      <c r="BI392" s="4">
        <f>IFERROR(__xludf.DUMMYFUNCTION("""COMPUTED_VALUE"""),0.0)</f>
        <v>0</v>
      </c>
      <c r="BJ392" s="1">
        <f>IFERROR(__xludf.DUMMYFUNCTION("""COMPUTED_VALUE"""),0.0)</f>
        <v>0</v>
      </c>
      <c r="BK392" s="4">
        <f>IFERROR(__xludf.DUMMYFUNCTION("""COMPUTED_VALUE"""),0.0)</f>
        <v>0</v>
      </c>
      <c r="BL392" s="1">
        <f>IFERROR(__xludf.DUMMYFUNCTION("""COMPUTED_VALUE"""),900.0)</f>
        <v>900</v>
      </c>
      <c r="BM392" s="1">
        <f>IFERROR(__xludf.DUMMYFUNCTION("""COMPUTED_VALUE"""),4.0)</f>
        <v>4</v>
      </c>
      <c r="BN392" s="2">
        <f>IFERROR(__xludf.DUMMYFUNCTION("""COMPUTED_VALUE"""),45677.0)</f>
        <v>45677</v>
      </c>
      <c r="BO392" s="1">
        <f>IFERROR(__xludf.DUMMYFUNCTION("""COMPUTED_VALUE"""),1.0)</f>
        <v>1</v>
      </c>
      <c r="BP392" s="1">
        <f>IFERROR(__xludf.DUMMYFUNCTION("""COMPUTED_VALUE"""),2025.0)</f>
        <v>2025</v>
      </c>
    </row>
    <row r="393">
      <c r="A393" s="1">
        <f>IFERROR(__xludf.DUMMYFUNCTION("""COMPUTED_VALUE"""),392.0)</f>
        <v>392</v>
      </c>
      <c r="B393" s="1">
        <f>IFERROR(__xludf.DUMMYFUNCTION("""COMPUTED_VALUE"""),2019485.0)</f>
        <v>2019485</v>
      </c>
      <c r="C393" s="1" t="str">
        <f>IFERROR(__xludf.DUMMYFUNCTION("""COMPUTED_VALUE"""),"2025-1")</f>
        <v>2025-1</v>
      </c>
      <c r="D393" s="1" t="str">
        <f>IFERROR(__xludf.DUMMYFUNCTION("""COMPUTED_VALUE"""),"Admisión de Alto Rendimiento")</f>
        <v>Admisión de Alto Rendimiento</v>
      </c>
      <c r="E393" s="2">
        <f>IFERROR(__xludf.DUMMYFUNCTION("""COMPUTED_VALUE"""),45679.0)</f>
        <v>45679</v>
      </c>
      <c r="F393" s="1" t="str">
        <f>IFERROR(__xludf.DUMMYFUNCTION("""COMPUTED_VALUE"""),"ARIANA MICALI ")</f>
        <v>ARIANA MICALI </v>
      </c>
      <c r="G393" s="1" t="str">
        <f>IFERROR(__xludf.DUMMYFUNCTION("""COMPUTED_VALUE"""),"CABEZAS JAIME")</f>
        <v>CABEZAS JAIME</v>
      </c>
      <c r="H393" s="1" t="str">
        <f>IFERROR(__xludf.DUMMYFUNCTION("""COMPUTED_VALUE"""),"Arquitectura de Interiores")</f>
        <v>Arquitectura de Interiores</v>
      </c>
      <c r="I393" s="1" t="str">
        <f>IFERROR(__xludf.DUMMYFUNCTION("""COMPUTED_VALUE"""),"CARGO")</f>
        <v>CARGO</v>
      </c>
      <c r="J393" s="1" t="str">
        <f>IFERROR(__xludf.DUMMYFUNCTION("""COMPUTED_VALUE"""),"Diurno")</f>
        <v>Diurno</v>
      </c>
      <c r="K393" s="1" t="str">
        <f>IFERROR(__xludf.DUMMYFUNCTION("""COMPUTED_VALUE"""),"NUEVO")</f>
        <v>NUEVO</v>
      </c>
      <c r="L393" s="1">
        <f>IFERROR(__xludf.DUMMYFUNCTION("""COMPUTED_VALUE"""),0.0)</f>
        <v>0</v>
      </c>
      <c r="M393" s="1">
        <f>IFERROR(__xludf.DUMMYFUNCTION("""COMPUTED_VALUE"""),0.0)</f>
        <v>0</v>
      </c>
      <c r="N393" s="1" t="str">
        <f>IFERROR(__xludf.DUMMYFUNCTION("""COMPUTED_VALUE"""),"BECA")</f>
        <v>BECA</v>
      </c>
      <c r="O393" s="1" t="str">
        <f>IFERROR(__xludf.DUMMYFUNCTION("""COMPUTED_VALUE"""),"BECA CONGELADA DE 2 AÑOS")</f>
        <v>BECA CONGELADA DE 2 AÑOS</v>
      </c>
      <c r="P393" s="4">
        <f>IFERROR(__xludf.DUMMYFUNCTION("""COMPUTED_VALUE"""),0.0)</f>
        <v>0</v>
      </c>
      <c r="Q393" s="4">
        <f>IFERROR(__xludf.DUMMYFUNCTION("""COMPUTED_VALUE"""),237.5)</f>
        <v>237.5</v>
      </c>
      <c r="R393" s="4">
        <f>IFERROR(__xludf.DUMMYFUNCTION("""COMPUTED_VALUE"""),1400.0)</f>
        <v>1400</v>
      </c>
      <c r="S393" s="4">
        <f>IFERROR(__xludf.DUMMYFUNCTION("""COMPUTED_VALUE"""),1100.0)</f>
        <v>1100</v>
      </c>
      <c r="T393" s="1" t="str">
        <f>IFERROR(__xludf.DUMMYFUNCTION("""COMPUTED_VALUE"""),"NINGUNO")</f>
        <v>NINGUNO</v>
      </c>
      <c r="U393" s="1" t="str">
        <f>IFERROR(__xludf.DUMMYFUNCTION("""COMPUTED_VALUE"""),"FABIOLA")</f>
        <v>FABIOLA</v>
      </c>
      <c r="V393" s="1" t="str">
        <f>IFERROR(__xludf.DUMMYFUNCTION("""COMPUTED_VALUE"""),"Ninguno")</f>
        <v>Ninguno</v>
      </c>
      <c r="W393" s="1" t="str">
        <f>IFERROR(__xludf.DUMMYFUNCTION("""COMPUTED_VALUE"""),"Equipos e instalaciones")</f>
        <v>Equipos e instalaciones</v>
      </c>
      <c r="X393" s="1" t="str">
        <f>IFERROR(__xludf.DUMMYFUNCTION("""COMPUTED_VALUE"""),"beca congelada por dos años")</f>
        <v>beca congelada por dos años</v>
      </c>
      <c r="Y393" s="1" t="str">
        <f>IFERROR(__xludf.DUMMYFUNCTION("""COMPUTED_VALUE"""),"PAGO COMPLETO")</f>
        <v>PAGO COMPLETO</v>
      </c>
      <c r="Z393" s="1"/>
      <c r="AA393" s="1"/>
      <c r="AB393" s="1">
        <f>IFERROR(__xludf.DUMMYFUNCTION("""COMPUTED_VALUE"""),0.0)</f>
        <v>0</v>
      </c>
      <c r="AC393" s="1">
        <f>IFERROR(__xludf.DUMMYFUNCTION("""COMPUTED_VALUE"""),0.0)</f>
        <v>0</v>
      </c>
      <c r="AD393" s="1" t="str">
        <f>IFERROR(__xludf.DUMMYFUNCTION("""COMPUTED_VALUE"""),"Fiorella Lanegra")</f>
        <v>Fiorella Lanegra</v>
      </c>
      <c r="AE393" s="1" t="str">
        <f>IFERROR(__xludf.DUMMYFUNCTION("""COMPUTED_VALUE"""),"0")</f>
        <v>0</v>
      </c>
      <c r="AF393" s="1">
        <f>IFERROR(__xludf.DUMMYFUNCTION("""COMPUTED_VALUE"""),2024.0)</f>
        <v>2024</v>
      </c>
      <c r="AG393" s="1">
        <f>IFERROR(__xludf.DUMMYFUNCTION("""COMPUTED_VALUE"""),1583541.0)</f>
        <v>1583541</v>
      </c>
      <c r="AH393" s="1">
        <f>IFERROR(__xludf.DUMMYFUNCTION("""COMPUTED_VALUE"""),17.0)</f>
        <v>17</v>
      </c>
      <c r="AI393" s="1" t="str">
        <f>IFERROR(__xludf.DUMMYFUNCTION("""COMPUTED_VALUE"""),"0000062057")</f>
        <v>0000062057</v>
      </c>
      <c r="AJ393" s="1">
        <f>IFERROR(__xludf.DUMMYFUNCTION("""COMPUTED_VALUE"""),6.1251098E7)</f>
        <v>61251098</v>
      </c>
      <c r="AK393" s="1">
        <f>IFERROR(__xludf.DUMMYFUNCTION("""COMPUTED_VALUE"""),9.0670386E8)</f>
        <v>906703860</v>
      </c>
      <c r="AL393" s="1" t="str">
        <f>IFERROR(__xludf.DUMMYFUNCTION("""COMPUTED_VALUE"""),"vmikali98@gmail.com")</f>
        <v>vmikali98@gmail.com</v>
      </c>
      <c r="AM393" s="1" t="str">
        <f>IFERROR(__xludf.DUMMYFUNCTION("""COMPUTED_VALUE"""),"FEMENINO")</f>
        <v>FEMENINO</v>
      </c>
      <c r="AN393" s="1">
        <f>IFERROR(__xludf.DUMMYFUNCTION("""COMPUTED_VALUE"""),1775.0)</f>
        <v>1775</v>
      </c>
      <c r="AO393" s="1">
        <f>IFERROR(__xludf.DUMMYFUNCTION("""COMPUTED_VALUE"""),540.0)</f>
        <v>540</v>
      </c>
      <c r="AP393" s="1" t="str">
        <f>IFERROR(__xludf.DUMMYFUNCTION("""COMPUTED_VALUE"""),"COLEGIOS")</f>
        <v>COLEGIOS</v>
      </c>
      <c r="AQ393" s="1" t="str">
        <f>IFERROR(__xludf.DUMMYFUNCTION("""COMPUTED_VALUE"""),"COLEGIOS")</f>
        <v>COLEGIOS</v>
      </c>
      <c r="AR393" s="1" t="str">
        <f>IFERROR(__xludf.DUMMYFUNCTION("""COMPUTED_VALUE"""),"HEREDADO")</f>
        <v>HEREDADO</v>
      </c>
      <c r="AS393" s="1"/>
      <c r="AT393" s="2">
        <f>IFERROR(__xludf.DUMMYFUNCTION("""COMPUTED_VALUE"""),45414.0)</f>
        <v>45414</v>
      </c>
      <c r="AU393" s="1">
        <f>IFERROR(__xludf.DUMMYFUNCTION("""COMPUTED_VALUE"""),1.0)</f>
        <v>1</v>
      </c>
      <c r="AV393" s="1" t="str">
        <f>IFERROR(__xludf.DUMMYFUNCTION("""COMPUTED_VALUE"""),"NUEVO")</f>
        <v>NUEVO</v>
      </c>
      <c r="AW393" s="1" t="str">
        <f>IFERROR(__xludf.DUMMYFUNCTION("""COMPUTED_VALUE"""),"SI")</f>
        <v>SI</v>
      </c>
      <c r="AX393" s="1"/>
      <c r="AY393" s="1" t="str">
        <f>IFERROR(__xludf.DUMMYFUNCTION("""COMPUTED_VALUE"""),"PAGO COMPLETO")</f>
        <v>PAGO COMPLETO</v>
      </c>
      <c r="AZ393" s="5">
        <f>IFERROR(__xludf.DUMMYFUNCTION("""COMPUTED_VALUE"""),45679.0)</f>
        <v>45679</v>
      </c>
      <c r="BA393" s="1">
        <f>IFERROR(__xludf.DUMMYFUNCTION("""COMPUTED_VALUE"""),0.0)</f>
        <v>0</v>
      </c>
      <c r="BB393" s="1">
        <f>IFERROR(__xludf.DUMMYFUNCTION("""COMPUTED_VALUE"""),0.0)</f>
        <v>0</v>
      </c>
      <c r="BC393" s="4">
        <f>IFERROR(__xludf.DUMMYFUNCTION("""COMPUTED_VALUE"""),0.0)</f>
        <v>0</v>
      </c>
      <c r="BD393" s="4">
        <f>IFERROR(__xludf.DUMMYFUNCTION("""COMPUTED_VALUE"""),0.0)</f>
        <v>0</v>
      </c>
      <c r="BE393" s="1">
        <f>IFERROR(__xludf.DUMMYFUNCTION("""COMPUTED_VALUE"""),1.0)</f>
        <v>1</v>
      </c>
      <c r="BF393" s="6">
        <f>IFERROR(__xludf.DUMMYFUNCTION("""COMPUTED_VALUE"""),1.0)</f>
        <v>1</v>
      </c>
      <c r="BG393" s="1">
        <f>IFERROR(__xludf.DUMMYFUNCTION("""COMPUTED_VALUE"""),1.0)</f>
        <v>1</v>
      </c>
      <c r="BH393" s="1" t="str">
        <f>IFERROR(__xludf.DUMMYFUNCTION("""COMPUTED_VALUE"""),"0")</f>
        <v>0</v>
      </c>
      <c r="BI393" s="4">
        <f>IFERROR(__xludf.DUMMYFUNCTION("""COMPUTED_VALUE"""),0.0)</f>
        <v>0</v>
      </c>
      <c r="BJ393" s="1">
        <f>IFERROR(__xludf.DUMMYFUNCTION("""COMPUTED_VALUE"""),0.0)</f>
        <v>0</v>
      </c>
      <c r="BK393" s="4">
        <f>IFERROR(__xludf.DUMMYFUNCTION("""COMPUTED_VALUE"""),0.0)</f>
        <v>0</v>
      </c>
      <c r="BL393" s="1">
        <f>IFERROR(__xludf.DUMMYFUNCTION("""COMPUTED_VALUE"""),1100.0)</f>
        <v>1100</v>
      </c>
      <c r="BM393" s="1">
        <f>IFERROR(__xludf.DUMMYFUNCTION("""COMPUTED_VALUE"""),4.0)</f>
        <v>4</v>
      </c>
      <c r="BN393" s="2">
        <f>IFERROR(__xludf.DUMMYFUNCTION("""COMPUTED_VALUE"""),45677.0)</f>
        <v>45677</v>
      </c>
      <c r="BO393" s="1">
        <f>IFERROR(__xludf.DUMMYFUNCTION("""COMPUTED_VALUE"""),1.0)</f>
        <v>1</v>
      </c>
      <c r="BP393" s="1">
        <f>IFERROR(__xludf.DUMMYFUNCTION("""COMPUTED_VALUE"""),2025.0)</f>
        <v>2025</v>
      </c>
    </row>
    <row r="394">
      <c r="A394" s="1">
        <f>IFERROR(__xludf.DUMMYFUNCTION("""COMPUTED_VALUE"""),393.0)</f>
        <v>393</v>
      </c>
      <c r="B394" s="1">
        <f>IFERROR(__xludf.DUMMYFUNCTION("""COMPUTED_VALUE"""),4388857.0)</f>
        <v>4388857</v>
      </c>
      <c r="C394" s="1" t="str">
        <f>IFERROR(__xludf.DUMMYFUNCTION("""COMPUTED_VALUE"""),"2025-1")</f>
        <v>2025-1</v>
      </c>
      <c r="D394" s="1" t="str">
        <f>IFERROR(__xludf.DUMMYFUNCTION("""COMPUTED_VALUE"""),"Admisión Extraordinaria (Traslados)")</f>
        <v>Admisión Extraordinaria (Traslados)</v>
      </c>
      <c r="E394" s="2">
        <f>IFERROR(__xludf.DUMMYFUNCTION("""COMPUTED_VALUE"""),45680.0)</f>
        <v>45680</v>
      </c>
      <c r="F394" s="1" t="str">
        <f>IFERROR(__xludf.DUMMYFUNCTION("""COMPUTED_VALUE"""),"DARLYN BARBARA")</f>
        <v>DARLYN BARBARA</v>
      </c>
      <c r="G394" s="1" t="str">
        <f>IFERROR(__xludf.DUMMYFUNCTION("""COMPUTED_VALUE""")," BIZARRO BENITES")</f>
        <v> BIZARRO BENITES</v>
      </c>
      <c r="H394" s="1" t="str">
        <f>IFERROR(__xludf.DUMMYFUNCTION("""COMPUTED_VALUE"""),"Diseño Gráfico Publicitario")</f>
        <v>Diseño Gráfico Publicitario</v>
      </c>
      <c r="I394" s="1" t="str">
        <f>IFERROR(__xludf.DUMMYFUNCTION("""COMPUTED_VALUE"""),"CARGO")</f>
        <v>CARGO</v>
      </c>
      <c r="J394" s="1" t="str">
        <f>IFERROR(__xludf.DUMMYFUNCTION("""COMPUTED_VALUE"""),"Diurno")</f>
        <v>Diurno</v>
      </c>
      <c r="K394" s="1" t="str">
        <f>IFERROR(__xludf.DUMMYFUNCTION("""COMPUTED_VALUE"""),"TRASLADO")</f>
        <v>TRASLADO</v>
      </c>
      <c r="L394" s="1">
        <f>IFERROR(__xludf.DUMMYFUNCTION("""COMPUTED_VALUE"""),1.0)</f>
        <v>1</v>
      </c>
      <c r="M394" s="1">
        <f>IFERROR(__xludf.DUMMYFUNCTION("""COMPUTED_VALUE"""),0.0)</f>
        <v>0</v>
      </c>
      <c r="N394" s="1" t="str">
        <f>IFERROR(__xludf.DUMMYFUNCTION("""COMPUTED_VALUE"""),"RECA")</f>
        <v>RECA</v>
      </c>
      <c r="O394" s="1" t="str">
        <f>IFERROR(__xludf.DUMMYFUNCTION("""COMPUTED_VALUE"""),"RECA TRASLADO CON CONVA")</f>
        <v>RECA TRASLADO CON CONVA</v>
      </c>
      <c r="P394" s="4">
        <f>IFERROR(__xludf.DUMMYFUNCTION("""COMPUTED_VALUE"""),0.0)</f>
        <v>0</v>
      </c>
      <c r="Q394" s="4">
        <f>IFERROR(__xludf.DUMMYFUNCTION("""COMPUTED_VALUE"""),0.0)</f>
        <v>0</v>
      </c>
      <c r="R394" s="4">
        <f>IFERROR(__xludf.DUMMYFUNCTION("""COMPUTED_VALUE"""),700.0)</f>
        <v>700</v>
      </c>
      <c r="S394" s="4">
        <f>IFERROR(__xludf.DUMMYFUNCTION("""COMPUTED_VALUE"""),700.0)</f>
        <v>700</v>
      </c>
      <c r="T394" s="1" t="str">
        <f>IFERROR(__xludf.DUMMYFUNCTION("""COMPUTED_VALUE"""),"NINGUNO")</f>
        <v>NINGUNO</v>
      </c>
      <c r="U394" s="1"/>
      <c r="V394" s="1" t="str">
        <f>IFERROR(__xludf.DUMMYFUNCTION("""COMPUTED_VALUE"""),"Ninguno")</f>
        <v>Ninguno</v>
      </c>
      <c r="W394" s="1" t="str">
        <f>IFERROR(__xludf.DUMMYFUNCTION("""COMPUTED_VALUE"""),"Metodología de enseñanza")</f>
        <v>Metodología de enseñanza</v>
      </c>
      <c r="X394" s="1"/>
      <c r="Y394" s="1" t="str">
        <f>IFERROR(__xludf.DUMMYFUNCTION("""COMPUTED_VALUE"""),"PAGO COMPLETO")</f>
        <v>PAGO COMPLETO</v>
      </c>
      <c r="Z394" s="1"/>
      <c r="AA394" s="1"/>
      <c r="AB394" s="1">
        <f>IFERROR(__xludf.DUMMYFUNCTION("""COMPUTED_VALUE"""),0.0)</f>
        <v>0</v>
      </c>
      <c r="AC394" s="1">
        <f>IFERROR(__xludf.DUMMYFUNCTION("""COMPUTED_VALUE"""),0.0)</f>
        <v>0</v>
      </c>
      <c r="AD394" s="1" t="str">
        <f>IFERROR(__xludf.DUMMYFUNCTION("""COMPUTED_VALUE"""),"Ingrid Guillermo Rivera")</f>
        <v>Ingrid Guillermo Rivera</v>
      </c>
      <c r="AE394" s="1" t="str">
        <f>IFERROR(__xludf.DUMMYFUNCTION("""COMPUTED_VALUE"""),"IDAT")</f>
        <v>IDAT</v>
      </c>
      <c r="AF394" s="1">
        <f>IFERROR(__xludf.DUMMYFUNCTION("""COMPUTED_VALUE"""),2016.0)</f>
        <v>2016</v>
      </c>
      <c r="AG394" s="1">
        <f>IFERROR(__xludf.DUMMYFUNCTION("""COMPUTED_VALUE"""),1789130.0)</f>
        <v>1789130</v>
      </c>
      <c r="AH394" s="1">
        <f>IFERROR(__xludf.DUMMYFUNCTION("""COMPUTED_VALUE"""),25.0)</f>
        <v>25</v>
      </c>
      <c r="AI394" s="1" t="str">
        <f>IFERROR(__xludf.DUMMYFUNCTION("""COMPUTED_VALUE"""),"0000411093")</f>
        <v>0000411093</v>
      </c>
      <c r="AJ394" s="1">
        <f>IFERROR(__xludf.DUMMYFUNCTION("""COMPUTED_VALUE"""),7.5088998E7)</f>
        <v>75088998</v>
      </c>
      <c r="AK394" s="1">
        <f>IFERROR(__xludf.DUMMYFUNCTION("""COMPUTED_VALUE"""),9.33728306E8)</f>
        <v>933728306</v>
      </c>
      <c r="AL394" s="1" t="str">
        <f>IFERROR(__xludf.DUMMYFUNCTION("""COMPUTED_VALUE"""),"dar.lyn29@outlook.com")</f>
        <v>dar.lyn29@outlook.com</v>
      </c>
      <c r="AM394" s="1" t="str">
        <f>IFERROR(__xludf.DUMMYFUNCTION("""COMPUTED_VALUE"""),"FEMENINO")</f>
        <v>FEMENINO</v>
      </c>
      <c r="AN394" s="1">
        <f>IFERROR(__xludf.DUMMYFUNCTION("""COMPUTED_VALUE"""),1525.0)</f>
        <v>1525</v>
      </c>
      <c r="AO394" s="1">
        <f>IFERROR(__xludf.DUMMYFUNCTION("""COMPUTED_VALUE"""),200.0)</f>
        <v>200</v>
      </c>
      <c r="AP394" s="1" t="str">
        <f>IFERROR(__xludf.DUMMYFUNCTION("""COMPUTED_VALUE"""),"VISITA")</f>
        <v>VISITA</v>
      </c>
      <c r="AQ394" s="1" t="str">
        <f>IFERROR(__xludf.DUMMYFUNCTION("""COMPUTED_VALUE"""),"VISITA")</f>
        <v>VISITA</v>
      </c>
      <c r="AR394" s="1" t="str">
        <f>IFERROR(__xludf.DUMMYFUNCTION("""COMPUTED_VALUE"""),"NUEVO")</f>
        <v>NUEVO</v>
      </c>
      <c r="AS394" s="1"/>
      <c r="AT394" s="2">
        <f>IFERROR(__xludf.DUMMYFUNCTION("""COMPUTED_VALUE"""),45678.0)</f>
        <v>45678</v>
      </c>
      <c r="AU394" s="1">
        <f>IFERROR(__xludf.DUMMYFUNCTION("""COMPUTED_VALUE"""),1.0)</f>
        <v>1</v>
      </c>
      <c r="AV394" s="1" t="str">
        <f>IFERROR(__xludf.DUMMYFUNCTION("""COMPUTED_VALUE"""),"TRASLADO")</f>
        <v>TRASLADO</v>
      </c>
      <c r="AW394" s="1" t="str">
        <f>IFERROR(__xludf.DUMMYFUNCTION("""COMPUTED_VALUE"""),"SI")</f>
        <v>SI</v>
      </c>
      <c r="AX394" s="1"/>
      <c r="AY394" s="1" t="str">
        <f>IFERROR(__xludf.DUMMYFUNCTION("""COMPUTED_VALUE"""),"PAGO COMPLETO")</f>
        <v>PAGO COMPLETO</v>
      </c>
      <c r="AZ394" s="5">
        <f>IFERROR(__xludf.DUMMYFUNCTION("""COMPUTED_VALUE"""),45680.0)</f>
        <v>45680</v>
      </c>
      <c r="BA394" s="1">
        <f>IFERROR(__xludf.DUMMYFUNCTION("""COMPUTED_VALUE"""),0.0)</f>
        <v>0</v>
      </c>
      <c r="BB394" s="1">
        <f>IFERROR(__xludf.DUMMYFUNCTION("""COMPUTED_VALUE"""),0.0)</f>
        <v>0</v>
      </c>
      <c r="BC394" s="4">
        <f>IFERROR(__xludf.DUMMYFUNCTION("""COMPUTED_VALUE"""),0.0)</f>
        <v>0</v>
      </c>
      <c r="BD394" s="4">
        <f>IFERROR(__xludf.DUMMYFUNCTION("""COMPUTED_VALUE"""),0.0)</f>
        <v>0</v>
      </c>
      <c r="BE394" s="1">
        <f>IFERROR(__xludf.DUMMYFUNCTION("""COMPUTED_VALUE"""),1.0)</f>
        <v>1</v>
      </c>
      <c r="BF394" s="6">
        <f>IFERROR(__xludf.DUMMYFUNCTION("""COMPUTED_VALUE"""),1.0)</f>
        <v>1</v>
      </c>
      <c r="BG394" s="1">
        <f>IFERROR(__xludf.DUMMYFUNCTION("""COMPUTED_VALUE"""),1.0)</f>
        <v>1</v>
      </c>
      <c r="BH394" s="1" t="str">
        <f>IFERROR(__xludf.DUMMYFUNCTION("""COMPUTED_VALUE"""),"1")</f>
        <v>1</v>
      </c>
      <c r="BI394" s="4">
        <f>IFERROR(__xludf.DUMMYFUNCTION("""COMPUTED_VALUE"""),0.0)</f>
        <v>0</v>
      </c>
      <c r="BJ394" s="1">
        <f>IFERROR(__xludf.DUMMYFUNCTION("""COMPUTED_VALUE"""),0.0)</f>
        <v>0</v>
      </c>
      <c r="BK394" s="4">
        <f>IFERROR(__xludf.DUMMYFUNCTION("""COMPUTED_VALUE"""),0.0)</f>
        <v>0</v>
      </c>
      <c r="BL394" s="1">
        <f>IFERROR(__xludf.DUMMYFUNCTION("""COMPUTED_VALUE"""),700.0)</f>
        <v>700</v>
      </c>
      <c r="BM394" s="1">
        <f>IFERROR(__xludf.DUMMYFUNCTION("""COMPUTED_VALUE"""),4.0)</f>
        <v>4</v>
      </c>
      <c r="BN394" s="2">
        <f>IFERROR(__xludf.DUMMYFUNCTION("""COMPUTED_VALUE"""),45677.0)</f>
        <v>45677</v>
      </c>
      <c r="BO394" s="1">
        <f>IFERROR(__xludf.DUMMYFUNCTION("""COMPUTED_VALUE"""),1.0)</f>
        <v>1</v>
      </c>
      <c r="BP394" s="1">
        <f>IFERROR(__xludf.DUMMYFUNCTION("""COMPUTED_VALUE"""),2025.0)</f>
        <v>2025</v>
      </c>
    </row>
    <row r="395">
      <c r="A395" s="1">
        <f>IFERROR(__xludf.DUMMYFUNCTION("""COMPUTED_VALUE"""),394.0)</f>
        <v>394</v>
      </c>
      <c r="B395" s="1">
        <f>IFERROR(__xludf.DUMMYFUNCTION("""COMPUTED_VALUE"""),309536.0)</f>
        <v>309536</v>
      </c>
      <c r="C395" s="1" t="str">
        <f>IFERROR(__xludf.DUMMYFUNCTION("""COMPUTED_VALUE"""),"2025-1")</f>
        <v>2025-1</v>
      </c>
      <c r="D395" s="1" t="str">
        <f>IFERROR(__xludf.DUMMYFUNCTION("""COMPUTED_VALUE"""),"Admisión Extraordinaria (Traslados)")</f>
        <v>Admisión Extraordinaria (Traslados)</v>
      </c>
      <c r="E395" s="2">
        <f>IFERROR(__xludf.DUMMYFUNCTION("""COMPUTED_VALUE"""),45680.0)</f>
        <v>45680</v>
      </c>
      <c r="F395" s="1" t="str">
        <f>IFERROR(__xludf.DUMMYFUNCTION("""COMPUTED_VALUE"""),"DIANA LIZ ")</f>
        <v>DIANA LIZ </v>
      </c>
      <c r="G395" s="1" t="str">
        <f>IFERROR(__xludf.DUMMYFUNCTION("""COMPUTED_VALUE"""),"TORRES ANDRADE")</f>
        <v>TORRES ANDRADE</v>
      </c>
      <c r="H395" s="1" t="str">
        <f>IFERROR(__xludf.DUMMYFUNCTION("""COMPUTED_VALUE"""),"Arquitectura")</f>
        <v>Arquitectura</v>
      </c>
      <c r="I395" s="1" t="str">
        <f>IFERROR(__xludf.DUMMYFUNCTION("""COMPUTED_VALUE"""),"Pago Link")</f>
        <v>Pago Link</v>
      </c>
      <c r="J395" s="1" t="str">
        <f>IFERROR(__xludf.DUMMYFUNCTION("""COMPUTED_VALUE"""),"Diurno")</f>
        <v>Diurno</v>
      </c>
      <c r="K395" s="1" t="str">
        <f>IFERROR(__xludf.DUMMYFUNCTION("""COMPUTED_VALUE"""),"TRASLADO")</f>
        <v>TRASLADO</v>
      </c>
      <c r="L395" s="1">
        <f>IFERROR(__xludf.DUMMYFUNCTION("""COMPUTED_VALUE"""),1.0)</f>
        <v>1</v>
      </c>
      <c r="M395" s="1">
        <f>IFERROR(__xludf.DUMMYFUNCTION("""COMPUTED_VALUE"""),0.0)</f>
        <v>0</v>
      </c>
      <c r="N395" s="1" t="str">
        <f>IFERROR(__xludf.DUMMYFUNCTION("""COMPUTED_VALUE"""),"RECA")</f>
        <v>RECA</v>
      </c>
      <c r="O395" s="1" t="str">
        <f>IFERROR(__xludf.DUMMYFUNCTION("""COMPUTED_VALUE"""),"RECA TRASLADO CON CONVA")</f>
        <v>RECA TRASLADO CON CONVA</v>
      </c>
      <c r="P395" s="4">
        <f>IFERROR(__xludf.DUMMYFUNCTION("""COMPUTED_VALUE"""),0.0)</f>
        <v>0</v>
      </c>
      <c r="Q395" s="4">
        <f>IFERROR(__xludf.DUMMYFUNCTION("""COMPUTED_VALUE"""),0.0)</f>
        <v>0</v>
      </c>
      <c r="R395" s="4">
        <f>IFERROR(__xludf.DUMMYFUNCTION("""COMPUTED_VALUE"""),800.0)</f>
        <v>800</v>
      </c>
      <c r="S395" s="4">
        <f>IFERROR(__xludf.DUMMYFUNCTION("""COMPUTED_VALUE"""),800.0)</f>
        <v>800</v>
      </c>
      <c r="T395" s="1" t="str">
        <f>IFERROR(__xludf.DUMMYFUNCTION("""COMPUTED_VALUE"""),"NINGUNO")</f>
        <v>NINGUNO</v>
      </c>
      <c r="U395" s="1" t="str">
        <f>IFERROR(__xludf.DUMMYFUNCTION("""COMPUTED_VALUE"""),"RODRIGO")</f>
        <v>RODRIGO</v>
      </c>
      <c r="V395" s="1" t="str">
        <f>IFERROR(__xludf.DUMMYFUNCTION("""COMPUTED_VALUE"""),"Ninguno")</f>
        <v>Ninguno</v>
      </c>
      <c r="W395" s="1" t="str">
        <f>IFERROR(__xludf.DUMMYFUNCTION("""COMPUTED_VALUE"""),"Descuentos en boletas de pago")</f>
        <v>Descuentos en boletas de pago</v>
      </c>
      <c r="X395" s="1"/>
      <c r="Y395" s="1" t="str">
        <f>IFERROR(__xludf.DUMMYFUNCTION("""COMPUTED_VALUE"""),"PAGO FRACCIONADO")</f>
        <v>PAGO FRACCIONADO</v>
      </c>
      <c r="Z395" s="1">
        <f>IFERROR(__xludf.DUMMYFUNCTION("""COMPUTED_VALUE"""),550.0)</f>
        <v>550</v>
      </c>
      <c r="AA395" s="1" t="str">
        <f>IFERROR(__xludf.DUMMYFUNCTION("""COMPUTED_VALUE"""),"30/01/2025")</f>
        <v>30/01/2025</v>
      </c>
      <c r="AB395" s="1">
        <f>IFERROR(__xludf.DUMMYFUNCTION("""COMPUTED_VALUE"""),1.0)</f>
        <v>1</v>
      </c>
      <c r="AC395" s="1">
        <f>IFERROR(__xludf.DUMMYFUNCTION("""COMPUTED_VALUE"""),0.0)</f>
        <v>0</v>
      </c>
      <c r="AD395" s="1" t="str">
        <f>IFERROR(__xludf.DUMMYFUNCTION("""COMPUTED_VALUE"""),"Ingrid Guillermo Rivera")</f>
        <v>Ingrid Guillermo Rivera</v>
      </c>
      <c r="AE395" s="1" t="str">
        <f>IFERROR(__xludf.DUMMYFUNCTION("""COMPUTED_VALUE"""),"Universidad de Ciencias y Artes de América Latina (UCAL)")</f>
        <v>Universidad de Ciencias y Artes de América Latina (UCAL)</v>
      </c>
      <c r="AF395" s="1">
        <f>IFERROR(__xludf.DUMMYFUNCTION("""COMPUTED_VALUE"""),0.0)</f>
        <v>0</v>
      </c>
      <c r="AG395" s="1">
        <f>IFERROR(__xludf.DUMMYFUNCTION("""COMPUTED_VALUE"""),1530401.0)</f>
        <v>1530401</v>
      </c>
      <c r="AH395" s="1">
        <f>IFERROR(__xludf.DUMMYFUNCTION("""COMPUTED_VALUE"""),30.0)</f>
        <v>30</v>
      </c>
      <c r="AI395" s="1" t="str">
        <f>IFERROR(__xludf.DUMMYFUNCTION("""COMPUTED_VALUE"""),"2014301003")</f>
        <v>2014301003</v>
      </c>
      <c r="AJ395" s="1">
        <f>IFERROR(__xludf.DUMMYFUNCTION("""COMPUTED_VALUE"""),7.2908263E7)</f>
        <v>72908263</v>
      </c>
      <c r="AK395" s="1">
        <f>IFERROR(__xludf.DUMMYFUNCTION("""COMPUTED_VALUE"""),9.66426663E8)</f>
        <v>966426663</v>
      </c>
      <c r="AL395" s="1" t="str">
        <f>IFERROR(__xludf.DUMMYFUNCTION("""COMPUTED_VALUE"""),"dianalta.1904@gmail.com")</f>
        <v>dianalta.1904@gmail.com</v>
      </c>
      <c r="AM395" s="1" t="str">
        <f>IFERROR(__xludf.DUMMYFUNCTION("""COMPUTED_VALUE"""),"FEMENINO")</f>
        <v>FEMENINO</v>
      </c>
      <c r="AN395" s="1">
        <f>IFERROR(__xludf.DUMMYFUNCTION("""COMPUTED_VALUE"""),0.0)</f>
        <v>0</v>
      </c>
      <c r="AO395" s="1">
        <f>IFERROR(__xludf.DUMMYFUNCTION("""COMPUTED_VALUE"""),180.0)</f>
        <v>180</v>
      </c>
      <c r="AP395" s="1" t="str">
        <f>IFERROR(__xludf.DUMMYFUNCTION("""COMPUTED_VALUE"""),"OUTBOUND")</f>
        <v>OUTBOUND</v>
      </c>
      <c r="AQ395" s="1" t="str">
        <f>IFERROR(__xludf.DUMMYFUNCTION("""COMPUTED_VALUE"""),"OUTBOUND")</f>
        <v>OUTBOUND</v>
      </c>
      <c r="AR395" s="1" t="str">
        <f>IFERROR(__xludf.DUMMYFUNCTION("""COMPUTED_VALUE"""),"HEREDADO")</f>
        <v>HEREDADO</v>
      </c>
      <c r="AS395" s="1"/>
      <c r="AT395" s="2">
        <f>IFERROR(__xludf.DUMMYFUNCTION("""COMPUTED_VALUE"""),45680.0)</f>
        <v>45680</v>
      </c>
      <c r="AU395" s="1">
        <f>IFERROR(__xludf.DUMMYFUNCTION("""COMPUTED_VALUE"""),1.0)</f>
        <v>1</v>
      </c>
      <c r="AV395" s="1" t="str">
        <f>IFERROR(__xludf.DUMMYFUNCTION("""COMPUTED_VALUE"""),"TRASLADO")</f>
        <v>TRASLADO</v>
      </c>
      <c r="AW395" s="1" t="str">
        <f>IFERROR(__xludf.DUMMYFUNCTION("""COMPUTED_VALUE"""),"SI")</f>
        <v>SI</v>
      </c>
      <c r="AX395" s="1"/>
      <c r="AY395" s="1" t="str">
        <f>IFERROR(__xludf.DUMMYFUNCTION("""COMPUTED_VALUE"""),"PAGO FRACCIONADO")</f>
        <v>PAGO FRACCIONADO</v>
      </c>
      <c r="AZ395" s="1"/>
      <c r="BA395" s="1">
        <f>IFERROR(__xludf.DUMMYFUNCTION("""COMPUTED_VALUE"""),0.0)</f>
        <v>0</v>
      </c>
      <c r="BB395" s="1">
        <f>IFERROR(__xludf.DUMMYFUNCTION("""COMPUTED_VALUE"""),0.0)</f>
        <v>0</v>
      </c>
      <c r="BC395" s="4">
        <f>IFERROR(__xludf.DUMMYFUNCTION("""COMPUTED_VALUE"""),250.0)</f>
        <v>250</v>
      </c>
      <c r="BD395" s="4">
        <f>IFERROR(__xludf.DUMMYFUNCTION("""COMPUTED_VALUE"""),0.0)</f>
        <v>0</v>
      </c>
      <c r="BE395" s="1">
        <f>IFERROR(__xludf.DUMMYFUNCTION("""COMPUTED_VALUE"""),1.0)</f>
        <v>1</v>
      </c>
      <c r="BF395" s="6">
        <f>IFERROR(__xludf.DUMMYFUNCTION("""COMPUTED_VALUE"""),0.6875)</f>
        <v>0.6875</v>
      </c>
      <c r="BG395" s="1">
        <f>IFERROR(__xludf.DUMMYFUNCTION("""COMPUTED_VALUE"""),1.0)</f>
        <v>1</v>
      </c>
      <c r="BH395" s="1" t="str">
        <f>IFERROR(__xludf.DUMMYFUNCTION("""COMPUTED_VALUE"""),"0")</f>
        <v>0</v>
      </c>
      <c r="BI395" s="4">
        <f>IFERROR(__xludf.DUMMYFUNCTION("""COMPUTED_VALUE"""),550.0)</f>
        <v>550</v>
      </c>
      <c r="BJ395" s="1">
        <f>IFERROR(__xludf.DUMMYFUNCTION("""COMPUTED_VALUE"""),0.0)</f>
        <v>0</v>
      </c>
      <c r="BK395" s="4">
        <f>IFERROR(__xludf.DUMMYFUNCTION("""COMPUTED_VALUE"""),0.0)</f>
        <v>0</v>
      </c>
      <c r="BL395" s="1">
        <f>IFERROR(__xludf.DUMMYFUNCTION("""COMPUTED_VALUE"""),800.0)</f>
        <v>800</v>
      </c>
      <c r="BM395" s="1">
        <f>IFERROR(__xludf.DUMMYFUNCTION("""COMPUTED_VALUE"""),4.0)</f>
        <v>4</v>
      </c>
      <c r="BN395" s="2">
        <f>IFERROR(__xludf.DUMMYFUNCTION("""COMPUTED_VALUE"""),45677.0)</f>
        <v>45677</v>
      </c>
      <c r="BO395" s="1">
        <f>IFERROR(__xludf.DUMMYFUNCTION("""COMPUTED_VALUE"""),1.0)</f>
        <v>1</v>
      </c>
      <c r="BP395" s="1">
        <f>IFERROR(__xludf.DUMMYFUNCTION("""COMPUTED_VALUE"""),2025.0)</f>
        <v>2025</v>
      </c>
    </row>
    <row r="396">
      <c r="A396" s="1">
        <f>IFERROR(__xludf.DUMMYFUNCTION("""COMPUTED_VALUE"""),395.0)</f>
        <v>395</v>
      </c>
      <c r="B396" s="1">
        <f>IFERROR(__xludf.DUMMYFUNCTION("""COMPUTED_VALUE"""),1520940.0)</f>
        <v>1520940</v>
      </c>
      <c r="C396" s="1" t="str">
        <f>IFERROR(__xludf.DUMMYFUNCTION("""COMPUTED_VALUE"""),"2025-1")</f>
        <v>2025-1</v>
      </c>
      <c r="D396" s="1" t="str">
        <f>IFERROR(__xludf.DUMMYFUNCTION("""COMPUTED_VALUE"""),"Admisión Extraordinaria (Traslados)")</f>
        <v>Admisión Extraordinaria (Traslados)</v>
      </c>
      <c r="E396" s="2">
        <f>IFERROR(__xludf.DUMMYFUNCTION("""COMPUTED_VALUE"""),45680.0)</f>
        <v>45680</v>
      </c>
      <c r="F396" s="1" t="str">
        <f>IFERROR(__xludf.DUMMYFUNCTION("""COMPUTED_VALUE"""),"JESSICA MARLENE ")</f>
        <v>JESSICA MARLENE </v>
      </c>
      <c r="G396" s="1" t="str">
        <f>IFERROR(__xludf.DUMMYFUNCTION("""COMPUTED_VALUE"""),"CHACON ESTEVES")</f>
        <v>CHACON ESTEVES</v>
      </c>
      <c r="H396" s="1" t="str">
        <f>IFERROR(__xludf.DUMMYFUNCTION("""COMPUTED_VALUE"""),"Diseño Gráfico Publicitario")</f>
        <v>Diseño Gráfico Publicitario</v>
      </c>
      <c r="I396" s="1" t="str">
        <f>IFERROR(__xludf.DUMMYFUNCTION("""COMPUTED_VALUE"""),"Pago Link")</f>
        <v>Pago Link</v>
      </c>
      <c r="J396" s="1" t="str">
        <f>IFERROR(__xludf.DUMMYFUNCTION("""COMPUTED_VALUE"""),"Diurno")</f>
        <v>Diurno</v>
      </c>
      <c r="K396" s="1" t="str">
        <f>IFERROR(__xludf.DUMMYFUNCTION("""COMPUTED_VALUE"""),"TRASLADO")</f>
        <v>TRASLADO</v>
      </c>
      <c r="L396" s="1">
        <f>IFERROR(__xludf.DUMMYFUNCTION("""COMPUTED_VALUE"""),1.0)</f>
        <v>1</v>
      </c>
      <c r="M396" s="1">
        <f>IFERROR(__xludf.DUMMYFUNCTION("""COMPUTED_VALUE"""),0.0)</f>
        <v>0</v>
      </c>
      <c r="N396" s="1" t="str">
        <f>IFERROR(__xludf.DUMMYFUNCTION("""COMPUTED_VALUE"""),"RECA")</f>
        <v>RECA</v>
      </c>
      <c r="O396" s="1" t="str">
        <f>IFERROR(__xludf.DUMMYFUNCTION("""COMPUTED_VALUE"""),"RECA TRASLADO CON CONVA")</f>
        <v>RECA TRASLADO CON CONVA</v>
      </c>
      <c r="P396" s="4">
        <f>IFERROR(__xludf.DUMMYFUNCTION("""COMPUTED_VALUE"""),0.0)</f>
        <v>0</v>
      </c>
      <c r="Q396" s="4">
        <f>IFERROR(__xludf.DUMMYFUNCTION("""COMPUTED_VALUE"""),0.0)</f>
        <v>0</v>
      </c>
      <c r="R396" s="4">
        <f>IFERROR(__xludf.DUMMYFUNCTION("""COMPUTED_VALUE"""),1250.0)</f>
        <v>1250</v>
      </c>
      <c r="S396" s="4">
        <f>IFERROR(__xludf.DUMMYFUNCTION("""COMPUTED_VALUE"""),700.0)</f>
        <v>700</v>
      </c>
      <c r="T396" s="1" t="str">
        <f>IFERROR(__xludf.DUMMYFUNCTION("""COMPUTED_VALUE"""),"NINGUNO")</f>
        <v>NINGUNO</v>
      </c>
      <c r="U396" s="1" t="str">
        <f>IFERROR(__xludf.DUMMYFUNCTION("""COMPUTED_VALUE"""),"FABIOLA")</f>
        <v>FABIOLA</v>
      </c>
      <c r="V396" s="1" t="str">
        <f>IFERROR(__xludf.DUMMYFUNCTION("""COMPUTED_VALUE"""),"Ninguno")</f>
        <v>Ninguno</v>
      </c>
      <c r="W396" s="1" t="str">
        <f>IFERROR(__xludf.DUMMYFUNCTION("""COMPUTED_VALUE"""),"Malla curricular")</f>
        <v>Malla curricular</v>
      </c>
      <c r="X396" s="1"/>
      <c r="Y396" s="1" t="str">
        <f>IFERROR(__xludf.DUMMYFUNCTION("""COMPUTED_VALUE"""),"PAGO FRACCIONADO")</f>
        <v>PAGO FRACCIONADO</v>
      </c>
      <c r="Z396" s="1">
        <f>IFERROR(__xludf.DUMMYFUNCTION("""COMPUTED_VALUE"""),350.0)</f>
        <v>350</v>
      </c>
      <c r="AA396" s="1" t="str">
        <f>IFERROR(__xludf.DUMMYFUNCTION("""COMPUTED_VALUE"""),"29/01/2025")</f>
        <v>29/01/2025</v>
      </c>
      <c r="AB396" s="1">
        <f>IFERROR(__xludf.DUMMYFUNCTION("""COMPUTED_VALUE"""),0.0)</f>
        <v>0</v>
      </c>
      <c r="AC396" s="1">
        <f>IFERROR(__xludf.DUMMYFUNCTION("""COMPUTED_VALUE"""),0.0)</f>
        <v>0</v>
      </c>
      <c r="AD396" s="1" t="str">
        <f>IFERROR(__xludf.DUMMYFUNCTION("""COMPUTED_VALUE"""),"César Alberto Loayza Gutiérrez")</f>
        <v>César Alberto Loayza Gutiérrez</v>
      </c>
      <c r="AE396" s="1" t="str">
        <f>IFERROR(__xludf.DUMMYFUNCTION("""COMPUTED_VALUE"""),"IDAT")</f>
        <v>IDAT</v>
      </c>
      <c r="AF396" s="1">
        <f>IFERROR(__xludf.DUMMYFUNCTION("""COMPUTED_VALUE"""),2021.0)</f>
        <v>2021</v>
      </c>
      <c r="AG396" s="1">
        <f>IFERROR(__xludf.DUMMYFUNCTION("""COMPUTED_VALUE"""),885335.0)</f>
        <v>885335</v>
      </c>
      <c r="AH396" s="1">
        <f>IFERROR(__xludf.DUMMYFUNCTION("""COMPUTED_VALUE"""),35.0)</f>
        <v>35</v>
      </c>
      <c r="AI396" s="1" t="str">
        <f>IFERROR(__xludf.DUMMYFUNCTION("""COMPUTED_VALUE"""),"0000411131")</f>
        <v>0000411131</v>
      </c>
      <c r="AJ396" s="1">
        <f>IFERROR(__xludf.DUMMYFUNCTION("""COMPUTED_VALUE"""),4.6295888E7)</f>
        <v>46295888</v>
      </c>
      <c r="AK396" s="1">
        <f>IFERROR(__xludf.DUMMYFUNCTION("""COMPUTED_VALUE"""),9.16482765E8)</f>
        <v>916482765</v>
      </c>
      <c r="AL396" s="1" t="str">
        <f>IFERROR(__xludf.DUMMYFUNCTION("""COMPUTED_VALUE"""),"chaconestevesjessicamarlene@gmail.com")</f>
        <v>chaconestevesjessicamarlene@gmail.com</v>
      </c>
      <c r="AM396" s="1" t="str">
        <f>IFERROR(__xludf.DUMMYFUNCTION("""COMPUTED_VALUE"""),"FEMENINO")</f>
        <v>FEMENINO</v>
      </c>
      <c r="AN396" s="1">
        <f>IFERROR(__xludf.DUMMYFUNCTION("""COMPUTED_VALUE"""),1775.0)</f>
        <v>1775</v>
      </c>
      <c r="AO396" s="1">
        <f>IFERROR(__xludf.DUMMYFUNCTION("""COMPUTED_VALUE"""),320.0)</f>
        <v>320</v>
      </c>
      <c r="AP396" s="1" t="str">
        <f>IFERROR(__xludf.DUMMYFUNCTION("""COMPUTED_VALUE"""),"BIDIRECCIONAL")</f>
        <v>BIDIRECCIONAL</v>
      </c>
      <c r="AQ396" s="1" t="str">
        <f>IFERROR(__xludf.DUMMYFUNCTION("""COMPUTED_VALUE"""),"SEARCH MARCA")</f>
        <v>SEARCH MARCA</v>
      </c>
      <c r="AR396" s="1" t="str">
        <f>IFERROR(__xludf.DUMMYFUNCTION("""COMPUTED_VALUE"""),"NUEVO")</f>
        <v>NUEVO</v>
      </c>
      <c r="AS396" s="1" t="str">
        <f>IFERROR(__xludf.DUMMYFUNCTION("""COMPUTED_VALUE"""),"ucal-pg-performance-sedes-abierta-cpl-search_conversion_marca-20240401")</f>
        <v>ucal-pg-performance-sedes-abierta-cpl-search_conversion_marca-20240401</v>
      </c>
      <c r="AT396" s="2">
        <f>IFERROR(__xludf.DUMMYFUNCTION("""COMPUTED_VALUE"""),45679.0)</f>
        <v>45679</v>
      </c>
      <c r="AU396" s="1">
        <f>IFERROR(__xludf.DUMMYFUNCTION("""COMPUTED_VALUE"""),1.0)</f>
        <v>1</v>
      </c>
      <c r="AV396" s="1" t="str">
        <f>IFERROR(__xludf.DUMMYFUNCTION("""COMPUTED_VALUE"""),"TRASLADO")</f>
        <v>TRASLADO</v>
      </c>
      <c r="AW396" s="1" t="str">
        <f>IFERROR(__xludf.DUMMYFUNCTION("""COMPUTED_VALUE"""),"SI")</f>
        <v>SI</v>
      </c>
      <c r="AX396" s="1"/>
      <c r="AY396" s="1" t="str">
        <f>IFERROR(__xludf.DUMMYFUNCTION("""COMPUTED_VALUE"""),"PAGO COMPLETO")</f>
        <v>PAGO COMPLETO</v>
      </c>
      <c r="AZ396" s="5">
        <f>IFERROR(__xludf.DUMMYFUNCTION("""COMPUTED_VALUE"""),45689.0)</f>
        <v>45689</v>
      </c>
      <c r="BA396" s="1">
        <f>IFERROR(__xludf.DUMMYFUNCTION("""COMPUTED_VALUE"""),350.0)</f>
        <v>350</v>
      </c>
      <c r="BB396" s="1">
        <f>IFERROR(__xludf.DUMMYFUNCTION("""COMPUTED_VALUE"""),0.0)</f>
        <v>0</v>
      </c>
      <c r="BC396" s="4">
        <f>IFERROR(__xludf.DUMMYFUNCTION("""COMPUTED_VALUE"""),0.0)</f>
        <v>0</v>
      </c>
      <c r="BD396" s="4">
        <f>IFERROR(__xludf.DUMMYFUNCTION("""COMPUTED_VALUE"""),0.0)</f>
        <v>0</v>
      </c>
      <c r="BE396" s="1">
        <f>IFERROR(__xludf.DUMMYFUNCTION("""COMPUTED_VALUE"""),1.0)</f>
        <v>1</v>
      </c>
      <c r="BF396" s="6">
        <f>IFERROR(__xludf.DUMMYFUNCTION("""COMPUTED_VALUE"""),1.0)</f>
        <v>1</v>
      </c>
      <c r="BG396" s="1">
        <f>IFERROR(__xludf.DUMMYFUNCTION("""COMPUTED_VALUE"""),1.0)</f>
        <v>1</v>
      </c>
      <c r="BH396" s="1" t="str">
        <f>IFERROR(__xludf.DUMMYFUNCTION("""COMPUTED_VALUE"""),"1")</f>
        <v>1</v>
      </c>
      <c r="BI396" s="4">
        <f>IFERROR(__xludf.DUMMYFUNCTION("""COMPUTED_VALUE"""),700.0)</f>
        <v>700</v>
      </c>
      <c r="BJ396" s="1">
        <f>IFERROR(__xludf.DUMMYFUNCTION("""COMPUTED_VALUE"""),0.0)</f>
        <v>0</v>
      </c>
      <c r="BK396" s="4">
        <f>IFERROR(__xludf.DUMMYFUNCTION("""COMPUTED_VALUE"""),0.0)</f>
        <v>0</v>
      </c>
      <c r="BL396" s="1">
        <f>IFERROR(__xludf.DUMMYFUNCTION("""COMPUTED_VALUE"""),700.0)</f>
        <v>700</v>
      </c>
      <c r="BM396" s="1">
        <f>IFERROR(__xludf.DUMMYFUNCTION("""COMPUTED_VALUE"""),4.0)</f>
        <v>4</v>
      </c>
      <c r="BN396" s="2">
        <f>IFERROR(__xludf.DUMMYFUNCTION("""COMPUTED_VALUE"""),45677.0)</f>
        <v>45677</v>
      </c>
      <c r="BO396" s="1">
        <f>IFERROR(__xludf.DUMMYFUNCTION("""COMPUTED_VALUE"""),1.0)</f>
        <v>1</v>
      </c>
      <c r="BP396" s="1">
        <f>IFERROR(__xludf.DUMMYFUNCTION("""COMPUTED_VALUE"""),2025.0)</f>
        <v>2025</v>
      </c>
    </row>
    <row r="397">
      <c r="A397" s="1">
        <f>IFERROR(__xludf.DUMMYFUNCTION("""COMPUTED_VALUE"""),396.0)</f>
        <v>396</v>
      </c>
      <c r="B397" s="1">
        <f>IFERROR(__xludf.DUMMYFUNCTION("""COMPUTED_VALUE"""),4966427.0)</f>
        <v>4966427</v>
      </c>
      <c r="C397" s="1" t="str">
        <f>IFERROR(__xludf.DUMMYFUNCTION("""COMPUTED_VALUE"""),"2025-1")</f>
        <v>2025-1</v>
      </c>
      <c r="D397" s="1" t="str">
        <f>IFERROR(__xludf.DUMMYFUNCTION("""COMPUTED_VALUE"""),"Admisión Extraordinaria (Traslados)")</f>
        <v>Admisión Extraordinaria (Traslados)</v>
      </c>
      <c r="E397" s="2">
        <f>IFERROR(__xludf.DUMMYFUNCTION("""COMPUTED_VALUE"""),45680.0)</f>
        <v>45680</v>
      </c>
      <c r="F397" s="1" t="str">
        <f>IFERROR(__xludf.DUMMYFUNCTION("""COMPUTED_VALUE"""),"EMANUEL ALEXANDER ")</f>
        <v>EMANUEL ALEXANDER </v>
      </c>
      <c r="G397" s="1" t="str">
        <f>IFERROR(__xludf.DUMMYFUNCTION("""COMPUTED_VALUE"""),"CASTAÑEDA GARCIA")</f>
        <v>CASTAÑEDA GARCIA</v>
      </c>
      <c r="H397" s="1" t="str">
        <f>IFERROR(__xludf.DUMMYFUNCTION("""COMPUTED_VALUE"""),"Comunicación Audiovisual y Cine")</f>
        <v>Comunicación Audiovisual y Cine</v>
      </c>
      <c r="I397" s="1" t="str">
        <f>IFERROR(__xludf.DUMMYFUNCTION("""COMPUTED_VALUE"""),"POS")</f>
        <v>POS</v>
      </c>
      <c r="J397" s="1" t="str">
        <f>IFERROR(__xludf.DUMMYFUNCTION("""COMPUTED_VALUE"""),"Diurno")</f>
        <v>Diurno</v>
      </c>
      <c r="K397" s="1" t="str">
        <f>IFERROR(__xludf.DUMMYFUNCTION("""COMPUTED_VALUE"""),"TRASLADO")</f>
        <v>TRASLADO</v>
      </c>
      <c r="L397" s="1">
        <f>IFERROR(__xludf.DUMMYFUNCTION("""COMPUTED_VALUE"""),1.0)</f>
        <v>1</v>
      </c>
      <c r="M397" s="1">
        <f>IFERROR(__xludf.DUMMYFUNCTION("""COMPUTED_VALUE"""),0.0)</f>
        <v>0</v>
      </c>
      <c r="N397" s="1" t="str">
        <f>IFERROR(__xludf.DUMMYFUNCTION("""COMPUTED_VALUE"""),"RECA")</f>
        <v>RECA</v>
      </c>
      <c r="O397" s="1" t="str">
        <f>IFERROR(__xludf.DUMMYFUNCTION("""COMPUTED_VALUE"""),"RECA TRASLADO CON CONVA")</f>
        <v>RECA TRASLADO CON CONVA</v>
      </c>
      <c r="P397" s="4">
        <f>IFERROR(__xludf.DUMMYFUNCTION("""COMPUTED_VALUE"""),0.0)</f>
        <v>0</v>
      </c>
      <c r="Q397" s="4">
        <f>IFERROR(__xludf.DUMMYFUNCTION("""COMPUTED_VALUE"""),0.0)</f>
        <v>0</v>
      </c>
      <c r="R397" s="4">
        <f>IFERROR(__xludf.DUMMYFUNCTION("""COMPUTED_VALUE"""),700.0)</f>
        <v>700</v>
      </c>
      <c r="S397" s="4">
        <f>IFERROR(__xludf.DUMMYFUNCTION("""COMPUTED_VALUE"""),700.0)</f>
        <v>700</v>
      </c>
      <c r="T397" s="1" t="str">
        <f>IFERROR(__xludf.DUMMYFUNCTION("""COMPUTED_VALUE"""),"NINGUNO")</f>
        <v>NINGUNO</v>
      </c>
      <c r="U397" s="1" t="str">
        <f>IFERROR(__xludf.DUMMYFUNCTION("""COMPUTED_VALUE"""),"FABIOLA")</f>
        <v>FABIOLA</v>
      </c>
      <c r="V397" s="1" t="str">
        <f>IFERROR(__xludf.DUMMYFUNCTION("""COMPUTED_VALUE"""),"Ninguno")</f>
        <v>Ninguno</v>
      </c>
      <c r="W397" s="1" t="str">
        <f>IFERROR(__xludf.DUMMYFUNCTION("""COMPUTED_VALUE"""),"Metodología de enseñanza")</f>
        <v>Metodología de enseñanza</v>
      </c>
      <c r="X397" s="1" t="str">
        <f>IFERROR(__xludf.DUMMYFUNCTION("""COMPUTED_VALUE"""),"metodologia")</f>
        <v>metodologia</v>
      </c>
      <c r="Y397" s="1" t="str">
        <f>IFERROR(__xludf.DUMMYFUNCTION("""COMPUTED_VALUE"""),"PAGO FRACCIONADO")</f>
        <v>PAGO FRACCIONADO</v>
      </c>
      <c r="Z397" s="1">
        <f>IFERROR(__xludf.DUMMYFUNCTION("""COMPUTED_VALUE"""),350.0)</f>
        <v>350</v>
      </c>
      <c r="AA397" s="1" t="str">
        <f>IFERROR(__xludf.DUMMYFUNCTION("""COMPUTED_VALUE"""),"30/01/2025")</f>
        <v>30/01/2025</v>
      </c>
      <c r="AB397" s="1">
        <f>IFERROR(__xludf.DUMMYFUNCTION("""COMPUTED_VALUE"""),0.0)</f>
        <v>0</v>
      </c>
      <c r="AC397" s="1">
        <f>IFERROR(__xludf.DUMMYFUNCTION("""COMPUTED_VALUE"""),0.0)</f>
        <v>0</v>
      </c>
      <c r="AD397" s="1" t="str">
        <f>IFERROR(__xludf.DUMMYFUNCTION("""COMPUTED_VALUE"""),"Cinthia Mariella Orosco")</f>
        <v>Cinthia Mariella Orosco</v>
      </c>
      <c r="AE397" s="1" t="str">
        <f>IFERROR(__xludf.DUMMYFUNCTION("""COMPUTED_VALUE"""),"Sise")</f>
        <v>Sise</v>
      </c>
      <c r="AF397" s="1">
        <f>IFERROR(__xludf.DUMMYFUNCTION("""COMPUTED_VALUE"""),2020.0)</f>
        <v>2020</v>
      </c>
      <c r="AG397" s="1">
        <f>IFERROR(__xludf.DUMMYFUNCTION("""COMPUTED_VALUE"""),690354.0)</f>
        <v>690354</v>
      </c>
      <c r="AH397" s="1">
        <f>IFERROR(__xludf.DUMMYFUNCTION("""COMPUTED_VALUE"""),21.0)</f>
        <v>21</v>
      </c>
      <c r="AI397" s="1" t="str">
        <f>IFERROR(__xludf.DUMMYFUNCTION("""COMPUTED_VALUE"""),"0000411207")</f>
        <v>0000411207</v>
      </c>
      <c r="AJ397" s="1">
        <f>IFERROR(__xludf.DUMMYFUNCTION("""COMPUTED_VALUE"""),7.5071664E7)</f>
        <v>75071664</v>
      </c>
      <c r="AK397" s="1">
        <f>IFERROR(__xludf.DUMMYFUNCTION("""COMPUTED_VALUE"""),9.23190558E8)</f>
        <v>923190558</v>
      </c>
      <c r="AL397" s="1" t="str">
        <f>IFERROR(__xludf.DUMMYFUNCTION("""COMPUTED_VALUE"""),"eg4321534@gmail.com")</f>
        <v>eg4321534@gmail.com</v>
      </c>
      <c r="AM397" s="1" t="str">
        <f>IFERROR(__xludf.DUMMYFUNCTION("""COMPUTED_VALUE"""),"MASCULINO")</f>
        <v>MASCULINO</v>
      </c>
      <c r="AN397" s="1">
        <f>IFERROR(__xludf.DUMMYFUNCTION("""COMPUTED_VALUE"""),1350.0)</f>
        <v>1350</v>
      </c>
      <c r="AO397" s="1">
        <f>IFERROR(__xludf.DUMMYFUNCTION("""COMPUTED_VALUE"""),0.0)</f>
        <v>0</v>
      </c>
      <c r="AP397" s="1" t="str">
        <f>IFERROR(__xludf.DUMMYFUNCTION("""COMPUTED_VALUE"""),"FORMULARIO")</f>
        <v>FORMULARIO</v>
      </c>
      <c r="AQ397" s="1" t="str">
        <f>IFERROR(__xludf.DUMMYFUNCTION("""COMPUTED_VALUE"""),"ORGANICO")</f>
        <v>ORGANICO</v>
      </c>
      <c r="AR397" s="1" t="str">
        <f>IFERROR(__xludf.DUMMYFUNCTION("""COMPUTED_VALUE"""),"NUEVO")</f>
        <v>NUEVO</v>
      </c>
      <c r="AS397" s="1"/>
      <c r="AT397" s="2">
        <f>IFERROR(__xludf.DUMMYFUNCTION("""COMPUTED_VALUE"""),45679.0)</f>
        <v>45679</v>
      </c>
      <c r="AU397" s="1">
        <f>IFERROR(__xludf.DUMMYFUNCTION("""COMPUTED_VALUE"""),1.0)</f>
        <v>1</v>
      </c>
      <c r="AV397" s="1" t="str">
        <f>IFERROR(__xludf.DUMMYFUNCTION("""COMPUTED_VALUE"""),"TRASLADO")</f>
        <v>TRASLADO</v>
      </c>
      <c r="AW397" s="1" t="str">
        <f>IFERROR(__xludf.DUMMYFUNCTION("""COMPUTED_VALUE"""),"SI")</f>
        <v>SI</v>
      </c>
      <c r="AX397" s="1"/>
      <c r="AY397" s="1" t="str">
        <f>IFERROR(__xludf.DUMMYFUNCTION("""COMPUTED_VALUE"""),"PAGO COMPLETO")</f>
        <v>PAGO COMPLETO</v>
      </c>
      <c r="AZ397" s="5">
        <f>IFERROR(__xludf.DUMMYFUNCTION("""COMPUTED_VALUE"""),45688.0)</f>
        <v>45688</v>
      </c>
      <c r="BA397" s="1">
        <f>IFERROR(__xludf.DUMMYFUNCTION("""COMPUTED_VALUE"""),350.0)</f>
        <v>350</v>
      </c>
      <c r="BB397" s="1">
        <f>IFERROR(__xludf.DUMMYFUNCTION("""COMPUTED_VALUE"""),0.0)</f>
        <v>0</v>
      </c>
      <c r="BC397" s="4">
        <f>IFERROR(__xludf.DUMMYFUNCTION("""COMPUTED_VALUE"""),0.0)</f>
        <v>0</v>
      </c>
      <c r="BD397" s="4">
        <f>IFERROR(__xludf.DUMMYFUNCTION("""COMPUTED_VALUE"""),0.0)</f>
        <v>0</v>
      </c>
      <c r="BE397" s="1">
        <f>IFERROR(__xludf.DUMMYFUNCTION("""COMPUTED_VALUE"""),1.0)</f>
        <v>1</v>
      </c>
      <c r="BF397" s="6">
        <f>IFERROR(__xludf.DUMMYFUNCTION("""COMPUTED_VALUE"""),1.0)</f>
        <v>1</v>
      </c>
      <c r="BG397" s="1">
        <f>IFERROR(__xludf.DUMMYFUNCTION("""COMPUTED_VALUE"""),1.0)</f>
        <v>1</v>
      </c>
      <c r="BH397" s="1" t="str">
        <f>IFERROR(__xludf.DUMMYFUNCTION("""COMPUTED_VALUE"""),"1")</f>
        <v>1</v>
      </c>
      <c r="BI397" s="4">
        <f>IFERROR(__xludf.DUMMYFUNCTION("""COMPUTED_VALUE"""),700.0)</f>
        <v>700</v>
      </c>
      <c r="BJ397" s="1">
        <f>IFERROR(__xludf.DUMMYFUNCTION("""COMPUTED_VALUE"""),0.0)</f>
        <v>0</v>
      </c>
      <c r="BK397" s="4">
        <f>IFERROR(__xludf.DUMMYFUNCTION("""COMPUTED_VALUE"""),0.0)</f>
        <v>0</v>
      </c>
      <c r="BL397" s="1">
        <f>IFERROR(__xludf.DUMMYFUNCTION("""COMPUTED_VALUE"""),700.0)</f>
        <v>700</v>
      </c>
      <c r="BM397" s="1">
        <f>IFERROR(__xludf.DUMMYFUNCTION("""COMPUTED_VALUE"""),4.0)</f>
        <v>4</v>
      </c>
      <c r="BN397" s="2">
        <f>IFERROR(__xludf.DUMMYFUNCTION("""COMPUTED_VALUE"""),45677.0)</f>
        <v>45677</v>
      </c>
      <c r="BO397" s="1">
        <f>IFERROR(__xludf.DUMMYFUNCTION("""COMPUTED_VALUE"""),1.0)</f>
        <v>1</v>
      </c>
      <c r="BP397" s="1">
        <f>IFERROR(__xludf.DUMMYFUNCTION("""COMPUTED_VALUE"""),2025.0)</f>
        <v>2025</v>
      </c>
    </row>
    <row r="398">
      <c r="A398" s="1">
        <f>IFERROR(__xludf.DUMMYFUNCTION("""COMPUTED_VALUE"""),397.0)</f>
        <v>397</v>
      </c>
      <c r="B398" s="1">
        <f>IFERROR(__xludf.DUMMYFUNCTION("""COMPUTED_VALUE"""),4471148.0)</f>
        <v>4471148</v>
      </c>
      <c r="C398" s="1" t="str">
        <f>IFERROR(__xludf.DUMMYFUNCTION("""COMPUTED_VALUE"""),"2025-1")</f>
        <v>2025-1</v>
      </c>
      <c r="D398" s="1" t="str">
        <f>IFERROR(__xludf.DUMMYFUNCTION("""COMPUTED_VALUE"""),"Admisión Extraordinaria (Traslados)")</f>
        <v>Admisión Extraordinaria (Traslados)</v>
      </c>
      <c r="E398" s="2">
        <f>IFERROR(__xludf.DUMMYFUNCTION("""COMPUTED_VALUE"""),45680.0)</f>
        <v>45680</v>
      </c>
      <c r="F398" s="1" t="str">
        <f>IFERROR(__xludf.DUMMYFUNCTION("""COMPUTED_VALUE"""),"SAMANTHA PATRICIA")</f>
        <v>SAMANTHA PATRICIA</v>
      </c>
      <c r="G398" s="1" t="str">
        <f>IFERROR(__xludf.DUMMYFUNCTION("""COMPUTED_VALUE""")," TRUJILLO SANDOVAL")</f>
        <v> TRUJILLO SANDOVAL</v>
      </c>
      <c r="H398" s="1" t="str">
        <f>IFERROR(__xludf.DUMMYFUNCTION("""COMPUTED_VALUE"""),"Diseño Gráfico Publicitario")</f>
        <v>Diseño Gráfico Publicitario</v>
      </c>
      <c r="I398" s="1" t="str">
        <f>IFERROR(__xludf.DUMMYFUNCTION("""COMPUTED_VALUE"""),"CARGO")</f>
        <v>CARGO</v>
      </c>
      <c r="J398" s="1" t="str">
        <f>IFERROR(__xludf.DUMMYFUNCTION("""COMPUTED_VALUE"""),"Diurno")</f>
        <v>Diurno</v>
      </c>
      <c r="K398" s="1" t="str">
        <f>IFERROR(__xludf.DUMMYFUNCTION("""COMPUTED_VALUE"""),"TRASLADO")</f>
        <v>TRASLADO</v>
      </c>
      <c r="L398" s="1">
        <f>IFERROR(__xludf.DUMMYFUNCTION("""COMPUTED_VALUE"""),1.0)</f>
        <v>1</v>
      </c>
      <c r="M398" s="1">
        <f>IFERROR(__xludf.DUMMYFUNCTION("""COMPUTED_VALUE"""),0.0)</f>
        <v>0</v>
      </c>
      <c r="N398" s="1" t="str">
        <f>IFERROR(__xludf.DUMMYFUNCTION("""COMPUTED_VALUE"""),"RECA")</f>
        <v>RECA</v>
      </c>
      <c r="O398" s="1" t="str">
        <f>IFERROR(__xludf.DUMMYFUNCTION("""COMPUTED_VALUE"""),"RECA TRASLADO CON CONVA")</f>
        <v>RECA TRASLADO CON CONVA</v>
      </c>
      <c r="P398" s="4">
        <f>IFERROR(__xludf.DUMMYFUNCTION("""COMPUTED_VALUE"""),0.0)</f>
        <v>0</v>
      </c>
      <c r="Q398" s="4">
        <f>IFERROR(__xludf.DUMMYFUNCTION("""COMPUTED_VALUE"""),0.0)</f>
        <v>0</v>
      </c>
      <c r="R398" s="4">
        <f>IFERROR(__xludf.DUMMYFUNCTION("""COMPUTED_VALUE"""),700.0)</f>
        <v>700</v>
      </c>
      <c r="S398" s="4">
        <f>IFERROR(__xludf.DUMMYFUNCTION("""COMPUTED_VALUE"""),700.0)</f>
        <v>700</v>
      </c>
      <c r="T398" s="1" t="str">
        <f>IFERROR(__xludf.DUMMYFUNCTION("""COMPUTED_VALUE"""),"NINGUNO")</f>
        <v>NINGUNO</v>
      </c>
      <c r="U398" s="1" t="str">
        <f>IFERROR(__xludf.DUMMYFUNCTION("""COMPUTED_VALUE"""),"FABIOLA")</f>
        <v>FABIOLA</v>
      </c>
      <c r="V398" s="1" t="str">
        <f>IFERROR(__xludf.DUMMYFUNCTION("""COMPUTED_VALUE"""),"Ninguno")</f>
        <v>Ninguno</v>
      </c>
      <c r="W398" s="1" t="str">
        <f>IFERROR(__xludf.DUMMYFUNCTION("""COMPUTED_VALUE"""),"Metodología de enseñanza")</f>
        <v>Metodología de enseñanza</v>
      </c>
      <c r="X398" s="1" t="str">
        <f>IFERROR(__xludf.DUMMYFUNCTION("""COMPUTED_VALUE"""),"metodologia")</f>
        <v>metodologia</v>
      </c>
      <c r="Y398" s="1" t="str">
        <f>IFERROR(__xludf.DUMMYFUNCTION("""COMPUTED_VALUE"""),"PAGO COMPLETO")</f>
        <v>PAGO COMPLETO</v>
      </c>
      <c r="Z398" s="1"/>
      <c r="AA398" s="1"/>
      <c r="AB398" s="1">
        <f>IFERROR(__xludf.DUMMYFUNCTION("""COMPUTED_VALUE"""),0.0)</f>
        <v>0</v>
      </c>
      <c r="AC398" s="1">
        <f>IFERROR(__xludf.DUMMYFUNCTION("""COMPUTED_VALUE"""),0.0)</f>
        <v>0</v>
      </c>
      <c r="AD398" s="1" t="str">
        <f>IFERROR(__xludf.DUMMYFUNCTION("""COMPUTED_VALUE"""),"Cinthia Mariella Orosco")</f>
        <v>Cinthia Mariella Orosco</v>
      </c>
      <c r="AE398" s="1" t="str">
        <f>IFERROR(__xludf.DUMMYFUNCTION("""COMPUTED_VALUE"""),"ISIL")</f>
        <v>ISIL</v>
      </c>
      <c r="AF398" s="1">
        <f>IFERROR(__xludf.DUMMYFUNCTION("""COMPUTED_VALUE"""),2020.0)</f>
        <v>2020</v>
      </c>
      <c r="AG398" s="1">
        <f>IFERROR(__xludf.DUMMYFUNCTION("""COMPUTED_VALUE"""),582742.0)</f>
        <v>582742</v>
      </c>
      <c r="AH398" s="1">
        <f>IFERROR(__xludf.DUMMYFUNCTION("""COMPUTED_VALUE"""),21.0)</f>
        <v>21</v>
      </c>
      <c r="AI398" s="1" t="str">
        <f>IFERROR(__xludf.DUMMYFUNCTION("""COMPUTED_VALUE"""),"0000411186")</f>
        <v>0000411186</v>
      </c>
      <c r="AJ398" s="1">
        <f>IFERROR(__xludf.DUMMYFUNCTION("""COMPUTED_VALUE"""),7.2575439E7)</f>
        <v>72575439</v>
      </c>
      <c r="AK398" s="1">
        <f>IFERROR(__xludf.DUMMYFUNCTION("""COMPUTED_VALUE"""),9.77489939E8)</f>
        <v>977489939</v>
      </c>
      <c r="AL398" s="1" t="str">
        <f>IFERROR(__xludf.DUMMYFUNCTION("""COMPUTED_VALUE"""),"samanthatrujillo1209@gmail.com")</f>
        <v>samanthatrujillo1209@gmail.com</v>
      </c>
      <c r="AM398" s="1" t="str">
        <f>IFERROR(__xludf.DUMMYFUNCTION("""COMPUTED_VALUE"""),"FEMENINO")</f>
        <v>FEMENINO</v>
      </c>
      <c r="AN398" s="1">
        <f>IFERROR(__xludf.DUMMYFUNCTION("""COMPUTED_VALUE"""),1775.0)</f>
        <v>1775</v>
      </c>
      <c r="AO398" s="1">
        <f>IFERROR(__xludf.DUMMYFUNCTION("""COMPUTED_VALUE"""),390.0)</f>
        <v>390</v>
      </c>
      <c r="AP398" s="1" t="str">
        <f>IFERROR(__xludf.DUMMYFUNCTION("""COMPUTED_VALUE"""),"FORMULARIO")</f>
        <v>FORMULARIO</v>
      </c>
      <c r="AQ398" s="1" t="str">
        <f>IFERROR(__xludf.DUMMYFUNCTION("""COMPUTED_VALUE"""),"ORGANICO")</f>
        <v>ORGANICO</v>
      </c>
      <c r="AR398" s="1" t="str">
        <f>IFERROR(__xludf.DUMMYFUNCTION("""COMPUTED_VALUE"""),"NUEVO")</f>
        <v>NUEVO</v>
      </c>
      <c r="AS398" s="1"/>
      <c r="AT398" s="2">
        <f>IFERROR(__xludf.DUMMYFUNCTION("""COMPUTED_VALUE"""),45652.0)</f>
        <v>45652</v>
      </c>
      <c r="AU398" s="1">
        <f>IFERROR(__xludf.DUMMYFUNCTION("""COMPUTED_VALUE"""),1.0)</f>
        <v>1</v>
      </c>
      <c r="AV398" s="1" t="str">
        <f>IFERROR(__xludf.DUMMYFUNCTION("""COMPUTED_VALUE"""),"TRASLADO")</f>
        <v>TRASLADO</v>
      </c>
      <c r="AW398" s="1" t="str">
        <f>IFERROR(__xludf.DUMMYFUNCTION("""COMPUTED_VALUE"""),"SI")</f>
        <v>SI</v>
      </c>
      <c r="AX398" s="1"/>
      <c r="AY398" s="1" t="str">
        <f>IFERROR(__xludf.DUMMYFUNCTION("""COMPUTED_VALUE"""),"PAGO COMPLETO")</f>
        <v>PAGO COMPLETO</v>
      </c>
      <c r="AZ398" s="5">
        <f>IFERROR(__xludf.DUMMYFUNCTION("""COMPUTED_VALUE"""),45680.0)</f>
        <v>45680</v>
      </c>
      <c r="BA398" s="1">
        <f>IFERROR(__xludf.DUMMYFUNCTION("""COMPUTED_VALUE"""),0.0)</f>
        <v>0</v>
      </c>
      <c r="BB398" s="1">
        <f>IFERROR(__xludf.DUMMYFUNCTION("""COMPUTED_VALUE"""),0.0)</f>
        <v>0</v>
      </c>
      <c r="BC398" s="4">
        <f>IFERROR(__xludf.DUMMYFUNCTION("""COMPUTED_VALUE"""),0.0)</f>
        <v>0</v>
      </c>
      <c r="BD398" s="4">
        <f>IFERROR(__xludf.DUMMYFUNCTION("""COMPUTED_VALUE"""),0.0)</f>
        <v>0</v>
      </c>
      <c r="BE398" s="1">
        <f>IFERROR(__xludf.DUMMYFUNCTION("""COMPUTED_VALUE"""),1.0)</f>
        <v>1</v>
      </c>
      <c r="BF398" s="6">
        <f>IFERROR(__xludf.DUMMYFUNCTION("""COMPUTED_VALUE"""),1.0)</f>
        <v>1</v>
      </c>
      <c r="BG398" s="1">
        <f>IFERROR(__xludf.DUMMYFUNCTION("""COMPUTED_VALUE"""),1.0)</f>
        <v>1</v>
      </c>
      <c r="BH398" s="1" t="str">
        <f>IFERROR(__xludf.DUMMYFUNCTION("""COMPUTED_VALUE"""),"1")</f>
        <v>1</v>
      </c>
      <c r="BI398" s="4">
        <f>IFERROR(__xludf.DUMMYFUNCTION("""COMPUTED_VALUE"""),0.0)</f>
        <v>0</v>
      </c>
      <c r="BJ398" s="1">
        <f>IFERROR(__xludf.DUMMYFUNCTION("""COMPUTED_VALUE"""),0.0)</f>
        <v>0</v>
      </c>
      <c r="BK398" s="4">
        <f>IFERROR(__xludf.DUMMYFUNCTION("""COMPUTED_VALUE"""),0.0)</f>
        <v>0</v>
      </c>
      <c r="BL398" s="1">
        <f>IFERROR(__xludf.DUMMYFUNCTION("""COMPUTED_VALUE"""),700.0)</f>
        <v>700</v>
      </c>
      <c r="BM398" s="1">
        <f>IFERROR(__xludf.DUMMYFUNCTION("""COMPUTED_VALUE"""),4.0)</f>
        <v>4</v>
      </c>
      <c r="BN398" s="2">
        <f>IFERROR(__xludf.DUMMYFUNCTION("""COMPUTED_VALUE"""),45677.0)</f>
        <v>45677</v>
      </c>
      <c r="BO398" s="1">
        <f>IFERROR(__xludf.DUMMYFUNCTION("""COMPUTED_VALUE"""),1.0)</f>
        <v>1</v>
      </c>
      <c r="BP398" s="1">
        <f>IFERROR(__xludf.DUMMYFUNCTION("""COMPUTED_VALUE"""),2025.0)</f>
        <v>2025</v>
      </c>
    </row>
    <row r="399">
      <c r="A399" s="1">
        <f>IFERROR(__xludf.DUMMYFUNCTION("""COMPUTED_VALUE"""),398.0)</f>
        <v>398</v>
      </c>
      <c r="B399" s="1">
        <f>IFERROR(__xludf.DUMMYFUNCTION("""COMPUTED_VALUE"""),4937081.0)</f>
        <v>4937081</v>
      </c>
      <c r="C399" s="1" t="str">
        <f>IFERROR(__xludf.DUMMYFUNCTION("""COMPUTED_VALUE"""),"2025-1")</f>
        <v>2025-1</v>
      </c>
      <c r="D399" s="1" t="str">
        <f>IFERROR(__xludf.DUMMYFUNCTION("""COMPUTED_VALUE"""),"Admisión Extraordinaria (Traslados)")</f>
        <v>Admisión Extraordinaria (Traslados)</v>
      </c>
      <c r="E399" s="2">
        <f>IFERROR(__xludf.DUMMYFUNCTION("""COMPUTED_VALUE"""),45680.0)</f>
        <v>45680</v>
      </c>
      <c r="F399" s="1" t="str">
        <f>IFERROR(__xludf.DUMMYFUNCTION("""COMPUTED_VALUE"""),"KIARA NAYELI ")</f>
        <v>KIARA NAYELI </v>
      </c>
      <c r="G399" s="1" t="str">
        <f>IFERROR(__xludf.DUMMYFUNCTION("""COMPUTED_VALUE"""),"CELESTINO CORNELIO")</f>
        <v>CELESTINO CORNELIO</v>
      </c>
      <c r="H399" s="1" t="str">
        <f>IFERROR(__xludf.DUMMYFUNCTION("""COMPUTED_VALUE"""),"Marketing e Innovación")</f>
        <v>Marketing e Innovación</v>
      </c>
      <c r="I399" s="1" t="str">
        <f>IFERROR(__xludf.DUMMYFUNCTION("""COMPUTED_VALUE"""),"POS")</f>
        <v>POS</v>
      </c>
      <c r="J399" s="1" t="str">
        <f>IFERROR(__xludf.DUMMYFUNCTION("""COMPUTED_VALUE"""),"Diurno")</f>
        <v>Diurno</v>
      </c>
      <c r="K399" s="1" t="str">
        <f>IFERROR(__xludf.DUMMYFUNCTION("""COMPUTED_VALUE"""),"TRASLADO")</f>
        <v>TRASLADO</v>
      </c>
      <c r="L399" s="1">
        <f>IFERROR(__xludf.DUMMYFUNCTION("""COMPUTED_VALUE"""),1.0)</f>
        <v>1</v>
      </c>
      <c r="M399" s="1">
        <f>IFERROR(__xludf.DUMMYFUNCTION("""COMPUTED_VALUE"""),0.0)</f>
        <v>0</v>
      </c>
      <c r="N399" s="1" t="str">
        <f>IFERROR(__xludf.DUMMYFUNCTION("""COMPUTED_VALUE"""),"RECA")</f>
        <v>RECA</v>
      </c>
      <c r="O399" s="1" t="str">
        <f>IFERROR(__xludf.DUMMYFUNCTION("""COMPUTED_VALUE"""),"RECA TRASLADO CON CONVA")</f>
        <v>RECA TRASLADO CON CONVA</v>
      </c>
      <c r="P399" s="4">
        <f>IFERROR(__xludf.DUMMYFUNCTION("""COMPUTED_VALUE"""),0.0)</f>
        <v>0</v>
      </c>
      <c r="Q399" s="4">
        <f>IFERROR(__xludf.DUMMYFUNCTION("""COMPUTED_VALUE"""),0.0)</f>
        <v>0</v>
      </c>
      <c r="R399" s="4">
        <f>IFERROR(__xludf.DUMMYFUNCTION("""COMPUTED_VALUE"""),1250.0)</f>
        <v>1250</v>
      </c>
      <c r="S399" s="4">
        <f>IFERROR(__xludf.DUMMYFUNCTION("""COMPUTED_VALUE"""),850.0)</f>
        <v>850</v>
      </c>
      <c r="T399" s="1" t="str">
        <f>IFERROR(__xludf.DUMMYFUNCTION("""COMPUTED_VALUE"""),"NINGUNO")</f>
        <v>NINGUNO</v>
      </c>
      <c r="U399" s="1" t="str">
        <f>IFERROR(__xludf.DUMMYFUNCTION("""COMPUTED_VALUE"""),"RODRIGO")</f>
        <v>RODRIGO</v>
      </c>
      <c r="V399" s="1" t="str">
        <f>IFERROR(__xludf.DUMMYFUNCTION("""COMPUTED_VALUE"""),"Ninguno")</f>
        <v>Ninguno</v>
      </c>
      <c r="W399" s="1" t="str">
        <f>IFERROR(__xludf.DUMMYFUNCTION("""COMPUTED_VALUE"""),"Malla curricular")</f>
        <v>Malla curricular</v>
      </c>
      <c r="X399" s="1"/>
      <c r="Y399" s="1" t="str">
        <f>IFERROR(__xludf.DUMMYFUNCTION("""COMPUTED_VALUE"""),"PAGO FRACCIONADO")</f>
        <v>PAGO FRACCIONADO</v>
      </c>
      <c r="Z399" s="1">
        <f>IFERROR(__xludf.DUMMYFUNCTION("""COMPUTED_VALUE"""),430.0)</f>
        <v>430</v>
      </c>
      <c r="AA399" s="1" t="str">
        <f>IFERROR(__xludf.DUMMYFUNCTION("""COMPUTED_VALUE"""),"23/01/2025")</f>
        <v>23/01/2025</v>
      </c>
      <c r="AB399" s="1">
        <f>IFERROR(__xludf.DUMMYFUNCTION("""COMPUTED_VALUE"""),1.0)</f>
        <v>1</v>
      </c>
      <c r="AC399" s="1">
        <f>IFERROR(__xludf.DUMMYFUNCTION("""COMPUTED_VALUE"""),0.0)</f>
        <v>0</v>
      </c>
      <c r="AD399" s="1" t="str">
        <f>IFERROR(__xludf.DUMMYFUNCTION("""COMPUTED_VALUE"""),"Fiorella Lanegra")</f>
        <v>Fiorella Lanegra</v>
      </c>
      <c r="AE399" s="1" t="str">
        <f>IFERROR(__xludf.DUMMYFUNCTION("""COMPUTED_VALUE"""),"Universidad Científica Del Sur - Lima")</f>
        <v>Universidad Científica Del Sur - Lima</v>
      </c>
      <c r="AF399" s="1">
        <f>IFERROR(__xludf.DUMMYFUNCTION("""COMPUTED_VALUE"""),2021.0)</f>
        <v>2021</v>
      </c>
      <c r="AG399" s="1">
        <f>IFERROR(__xludf.DUMMYFUNCTION("""COMPUTED_VALUE"""),1245604.0)</f>
        <v>1245604</v>
      </c>
      <c r="AH399" s="1">
        <f>IFERROR(__xludf.DUMMYFUNCTION("""COMPUTED_VALUE"""),21.0)</f>
        <v>21</v>
      </c>
      <c r="AI399" s="1" t="str">
        <f>IFERROR(__xludf.DUMMYFUNCTION("""COMPUTED_VALUE"""),"0000411260")</f>
        <v>0000411260</v>
      </c>
      <c r="AJ399" s="1">
        <f>IFERROR(__xludf.DUMMYFUNCTION("""COMPUTED_VALUE"""),7.7304902E7)</f>
        <v>77304902</v>
      </c>
      <c r="AK399" s="1">
        <f>IFERROR(__xludf.DUMMYFUNCTION("""COMPUTED_VALUE"""),9.72284511E8)</f>
        <v>972284511</v>
      </c>
      <c r="AL399" s="1" t="str">
        <f>IFERROR(__xludf.DUMMYFUNCTION("""COMPUTED_VALUE"""),"nayelicelestino26@gmail.com")</f>
        <v>nayelicelestino26@gmail.com</v>
      </c>
      <c r="AM399" s="1" t="str">
        <f>IFERROR(__xludf.DUMMYFUNCTION("""COMPUTED_VALUE"""),"FEMENINO")</f>
        <v>FEMENINO</v>
      </c>
      <c r="AN399" s="1">
        <f>IFERROR(__xludf.DUMMYFUNCTION("""COMPUTED_VALUE"""),1600.0)</f>
        <v>1600</v>
      </c>
      <c r="AO399" s="1">
        <f>IFERROR(__xludf.DUMMYFUNCTION("""COMPUTED_VALUE"""),250.0)</f>
        <v>250</v>
      </c>
      <c r="AP399" s="1" t="str">
        <f>IFERROR(__xludf.DUMMYFUNCTION("""COMPUTED_VALUE"""),"BIDIRECCIONAL")</f>
        <v>BIDIRECCIONAL</v>
      </c>
      <c r="AQ399" s="1" t="str">
        <f>IFERROR(__xludf.DUMMYFUNCTION("""COMPUTED_VALUE"""),"SEARCH MARCA")</f>
        <v>SEARCH MARCA</v>
      </c>
      <c r="AR399" s="1" t="str">
        <f>IFERROR(__xludf.DUMMYFUNCTION("""COMPUTED_VALUE"""),"NUEVO")</f>
        <v>NUEVO</v>
      </c>
      <c r="AS399" s="1" t="str">
        <f>IFERROR(__xludf.DUMMYFUNCTION("""COMPUTED_VALUE"""),"ucal-pg-performance-sedes-abierta-cpl-search_conversion_marca_carreras-20240702")</f>
        <v>ucal-pg-performance-sedes-abierta-cpl-search_conversion_marca_carreras-20240702</v>
      </c>
      <c r="AT399" s="2">
        <f>IFERROR(__xludf.DUMMYFUNCTION("""COMPUTED_VALUE"""),45666.0)</f>
        <v>45666</v>
      </c>
      <c r="AU399" s="1">
        <f>IFERROR(__xludf.DUMMYFUNCTION("""COMPUTED_VALUE"""),1.0)</f>
        <v>1</v>
      </c>
      <c r="AV399" s="1" t="str">
        <f>IFERROR(__xludf.DUMMYFUNCTION("""COMPUTED_VALUE"""),"TRASLADO")</f>
        <v>TRASLADO</v>
      </c>
      <c r="AW399" s="1" t="str">
        <f>IFERROR(__xludf.DUMMYFUNCTION("""COMPUTED_VALUE"""),"SI")</f>
        <v>SI</v>
      </c>
      <c r="AX399" s="1"/>
      <c r="AY399" s="1" t="str">
        <f>IFERROR(__xludf.DUMMYFUNCTION("""COMPUTED_VALUE"""),"PAGO FRACCIONADO")</f>
        <v>PAGO FRACCIONADO</v>
      </c>
      <c r="AZ399" s="1"/>
      <c r="BA399" s="1">
        <f>IFERROR(__xludf.DUMMYFUNCTION("""COMPUTED_VALUE"""),0.0)</f>
        <v>0</v>
      </c>
      <c r="BB399" s="1">
        <f>IFERROR(__xludf.DUMMYFUNCTION("""COMPUTED_VALUE"""),0.0)</f>
        <v>0</v>
      </c>
      <c r="BC399" s="4">
        <f>IFERROR(__xludf.DUMMYFUNCTION("""COMPUTED_VALUE"""),420.0)</f>
        <v>420</v>
      </c>
      <c r="BD399" s="4">
        <f>IFERROR(__xludf.DUMMYFUNCTION("""COMPUTED_VALUE"""),0.0)</f>
        <v>0</v>
      </c>
      <c r="BE399" s="1">
        <f>IFERROR(__xludf.DUMMYFUNCTION("""COMPUTED_VALUE"""),1.0)</f>
        <v>1</v>
      </c>
      <c r="BF399" s="6">
        <f>IFERROR(__xludf.DUMMYFUNCTION("""COMPUTED_VALUE"""),0.5058823529411764)</f>
        <v>0.5058823529</v>
      </c>
      <c r="BG399" s="1">
        <f>IFERROR(__xludf.DUMMYFUNCTION("""COMPUTED_VALUE"""),1.0)</f>
        <v>1</v>
      </c>
      <c r="BH399" s="1" t="str">
        <f>IFERROR(__xludf.DUMMYFUNCTION("""COMPUTED_VALUE"""),"0")</f>
        <v>0</v>
      </c>
      <c r="BI399" s="4">
        <f>IFERROR(__xludf.DUMMYFUNCTION("""COMPUTED_VALUE"""),430.0)</f>
        <v>430</v>
      </c>
      <c r="BJ399" s="1">
        <f>IFERROR(__xludf.DUMMYFUNCTION("""COMPUTED_VALUE"""),0.0)</f>
        <v>0</v>
      </c>
      <c r="BK399" s="4">
        <f>IFERROR(__xludf.DUMMYFUNCTION("""COMPUTED_VALUE"""),0.0)</f>
        <v>0</v>
      </c>
      <c r="BL399" s="1">
        <f>IFERROR(__xludf.DUMMYFUNCTION("""COMPUTED_VALUE"""),850.0)</f>
        <v>850</v>
      </c>
      <c r="BM399" s="1">
        <f>IFERROR(__xludf.DUMMYFUNCTION("""COMPUTED_VALUE"""),4.0)</f>
        <v>4</v>
      </c>
      <c r="BN399" s="2">
        <f>IFERROR(__xludf.DUMMYFUNCTION("""COMPUTED_VALUE"""),45677.0)</f>
        <v>45677</v>
      </c>
      <c r="BO399" s="1">
        <f>IFERROR(__xludf.DUMMYFUNCTION("""COMPUTED_VALUE"""),1.0)</f>
        <v>1</v>
      </c>
      <c r="BP399" s="1">
        <f>IFERROR(__xludf.DUMMYFUNCTION("""COMPUTED_VALUE"""),2025.0)</f>
        <v>2025</v>
      </c>
    </row>
    <row r="400">
      <c r="A400" s="1">
        <f>IFERROR(__xludf.DUMMYFUNCTION("""COMPUTED_VALUE"""),399.0)</f>
        <v>399</v>
      </c>
      <c r="B400" s="1">
        <f>IFERROR(__xludf.DUMMYFUNCTION("""COMPUTED_VALUE"""),795843.0)</f>
        <v>795843</v>
      </c>
      <c r="C400" s="1" t="str">
        <f>IFERROR(__xludf.DUMMYFUNCTION("""COMPUTED_VALUE"""),"2025-1")</f>
        <v>2025-1</v>
      </c>
      <c r="D400" s="1" t="str">
        <f>IFERROR(__xludf.DUMMYFUNCTION("""COMPUTED_VALUE"""),"Admisión Ordinaria")</f>
        <v>Admisión Ordinaria</v>
      </c>
      <c r="E400" s="2">
        <f>IFERROR(__xludf.DUMMYFUNCTION("""COMPUTED_VALUE"""),45681.0)</f>
        <v>45681</v>
      </c>
      <c r="F400" s="1" t="str">
        <f>IFERROR(__xludf.DUMMYFUNCTION("""COMPUTED_VALUE"""),"CECILIA CLOTILDE")</f>
        <v>CECILIA CLOTILDE</v>
      </c>
      <c r="G400" s="1" t="str">
        <f>IFERROR(__xludf.DUMMYFUNCTION("""COMPUTED_VALUE"""),"GIL CAJACURI")</f>
        <v>GIL CAJACURI</v>
      </c>
      <c r="H400" s="1" t="str">
        <f>IFERROR(__xludf.DUMMYFUNCTION("""COMPUTED_VALUE"""),"Psicología")</f>
        <v>Psicología</v>
      </c>
      <c r="I400" s="1" t="str">
        <f>IFERROR(__xludf.DUMMYFUNCTION("""COMPUTED_VALUE"""),"CARGO")</f>
        <v>CARGO</v>
      </c>
      <c r="J400" s="1" t="str">
        <f>IFERROR(__xludf.DUMMYFUNCTION("""COMPUTED_VALUE"""),"Nocturno - A distancia")</f>
        <v>Nocturno - A distancia</v>
      </c>
      <c r="K400" s="1" t="str">
        <f>IFERROR(__xludf.DUMMYFUNCTION("""COMPUTED_VALUE"""),"NUEVO")</f>
        <v>NUEVO</v>
      </c>
      <c r="L400" s="1">
        <f>IFERROR(__xludf.DUMMYFUNCTION("""COMPUTED_VALUE"""),0.0)</f>
        <v>0</v>
      </c>
      <c r="M400" s="1">
        <f>IFERROR(__xludf.DUMMYFUNCTION("""COMPUTED_VALUE"""),0.0)</f>
        <v>0</v>
      </c>
      <c r="N400" s="1" t="str">
        <f>IFERROR(__xludf.DUMMYFUNCTION("""COMPUTED_VALUE"""),"ESCALA DISTANCIA")</f>
        <v>ESCALA DISTANCIA</v>
      </c>
      <c r="O400" s="1" t="str">
        <f>IFERROR(__xludf.DUMMYFUNCTION("""COMPUTED_VALUE"""),"ESCALA DISTANCIA REGULAR")</f>
        <v>ESCALA DISTANCIA REGULAR</v>
      </c>
      <c r="P400" s="4">
        <f>IFERROR(__xludf.DUMMYFUNCTION("""COMPUTED_VALUE"""),0.0)</f>
        <v>0</v>
      </c>
      <c r="Q400" s="4">
        <f>IFERROR(__xludf.DUMMYFUNCTION("""COMPUTED_VALUE"""),0.0)</f>
        <v>0</v>
      </c>
      <c r="R400" s="4">
        <f>IFERROR(__xludf.DUMMYFUNCTION("""COMPUTED_VALUE"""),1000.0)</f>
        <v>1000</v>
      </c>
      <c r="S400" s="4">
        <f>IFERROR(__xludf.DUMMYFUNCTION("""COMPUTED_VALUE"""),700.0)</f>
        <v>700</v>
      </c>
      <c r="T400" s="1" t="str">
        <f>IFERROR(__xludf.DUMMYFUNCTION("""COMPUTED_VALUE"""),"NINGUNO")</f>
        <v>NINGUNO</v>
      </c>
      <c r="U400" s="1" t="str">
        <f>IFERROR(__xludf.DUMMYFUNCTION("""COMPUTED_VALUE"""),"FABIOLA")</f>
        <v>FABIOLA</v>
      </c>
      <c r="V400" s="1" t="str">
        <f>IFERROR(__xludf.DUMMYFUNCTION("""COMPUTED_VALUE"""),"Ninguno")</f>
        <v>Ninguno</v>
      </c>
      <c r="W400" s="1" t="str">
        <f>IFERROR(__xludf.DUMMYFUNCTION("""COMPUTED_VALUE"""),"Flexibilidad de horarios")</f>
        <v>Flexibilidad de horarios</v>
      </c>
      <c r="X400" s="1"/>
      <c r="Y400" s="1" t="str">
        <f>IFERROR(__xludf.DUMMYFUNCTION("""COMPUTED_VALUE"""),"PAGO COMPLETO")</f>
        <v>PAGO COMPLETO</v>
      </c>
      <c r="Z400" s="1"/>
      <c r="AA400" s="1"/>
      <c r="AB400" s="1">
        <f>IFERROR(__xludf.DUMMYFUNCTION("""COMPUTED_VALUE"""),0.0)</f>
        <v>0</v>
      </c>
      <c r="AC400" s="1">
        <f>IFERROR(__xludf.DUMMYFUNCTION("""COMPUTED_VALUE"""),0.0)</f>
        <v>0</v>
      </c>
      <c r="AD400" s="1" t="str">
        <f>IFERROR(__xludf.DUMMYFUNCTION("""COMPUTED_VALUE"""),"Angelica Iparraguirre")</f>
        <v>Angelica Iparraguirre</v>
      </c>
      <c r="AE400" s="1" t="str">
        <f>IFERROR(__xludf.DUMMYFUNCTION("""COMPUTED_VALUE"""),"0")</f>
        <v>0</v>
      </c>
      <c r="AF400" s="1">
        <f>IFERROR(__xludf.DUMMYFUNCTION("""COMPUTED_VALUE"""),1995.0)</f>
        <v>1995</v>
      </c>
      <c r="AG400" s="1">
        <f>IFERROR(__xludf.DUMMYFUNCTION("""COMPUTED_VALUE"""),690024.0)</f>
        <v>690024</v>
      </c>
      <c r="AH400" s="1">
        <f>IFERROR(__xludf.DUMMYFUNCTION("""COMPUTED_VALUE"""),47.0)</f>
        <v>47</v>
      </c>
      <c r="AI400" s="1" t="str">
        <f>IFERROR(__xludf.DUMMYFUNCTION("""COMPUTED_VALUE"""),"0000411252")</f>
        <v>0000411252</v>
      </c>
      <c r="AJ400" s="1">
        <f>IFERROR(__xludf.DUMMYFUNCTION("""COMPUTED_VALUE"""),1.0714926E7)</f>
        <v>10714926</v>
      </c>
      <c r="AK400" s="1">
        <f>IFERROR(__xludf.DUMMYFUNCTION("""COMPUTED_VALUE"""),9.97339073E8)</f>
        <v>997339073</v>
      </c>
      <c r="AL400" s="1" t="str">
        <f>IFERROR(__xludf.DUMMYFUNCTION("""COMPUTED_VALUE"""),"cegilca@hotmail.com")</f>
        <v>cegilca@hotmail.com</v>
      </c>
      <c r="AM400" s="1" t="str">
        <f>IFERROR(__xludf.DUMMYFUNCTION("""COMPUTED_VALUE"""),"FEMENINO")</f>
        <v>FEMENINO</v>
      </c>
      <c r="AN400" s="1">
        <f>IFERROR(__xludf.DUMMYFUNCTION("""COMPUTED_VALUE"""),1350.0)</f>
        <v>1350</v>
      </c>
      <c r="AO400" s="1">
        <f>IFERROR(__xludf.DUMMYFUNCTION("""COMPUTED_VALUE"""),0.0)</f>
        <v>0</v>
      </c>
      <c r="AP400" s="1" t="str">
        <f>IFERROR(__xludf.DUMMYFUNCTION("""COMPUTED_VALUE"""),"FORMULARIO")</f>
        <v>FORMULARIO</v>
      </c>
      <c r="AQ400" s="1" t="str">
        <f>IFERROR(__xludf.DUMMYFUNCTION("""COMPUTED_VALUE"""),"SEARCH CARRERA")</f>
        <v>SEARCH CARRERA</v>
      </c>
      <c r="AR400" s="1" t="str">
        <f>IFERROR(__xludf.DUMMYFUNCTION("""COMPUTED_VALUE"""),"NUEVO")</f>
        <v>NUEVO</v>
      </c>
      <c r="AS400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400" s="2">
        <f>IFERROR(__xludf.DUMMYFUNCTION("""COMPUTED_VALUE"""),45679.0)</f>
        <v>45679</v>
      </c>
      <c r="AU400" s="1">
        <f>IFERROR(__xludf.DUMMYFUNCTION("""COMPUTED_VALUE"""),1.0)</f>
        <v>1</v>
      </c>
      <c r="AV400" s="1" t="str">
        <f>IFERROR(__xludf.DUMMYFUNCTION("""COMPUTED_VALUE"""),"NUEVO")</f>
        <v>NUEVO</v>
      </c>
      <c r="AW400" s="1" t="str">
        <f>IFERROR(__xludf.DUMMYFUNCTION("""COMPUTED_VALUE"""),"SI")</f>
        <v>SI</v>
      </c>
      <c r="AX400" s="1"/>
      <c r="AY400" s="1" t="str">
        <f>IFERROR(__xludf.DUMMYFUNCTION("""COMPUTED_VALUE"""),"PAGO COMPLETO")</f>
        <v>PAGO COMPLETO</v>
      </c>
      <c r="AZ400" s="5">
        <f>IFERROR(__xludf.DUMMYFUNCTION("""COMPUTED_VALUE"""),45681.0)</f>
        <v>45681</v>
      </c>
      <c r="BA400" s="1">
        <f>IFERROR(__xludf.DUMMYFUNCTION("""COMPUTED_VALUE"""),0.0)</f>
        <v>0</v>
      </c>
      <c r="BB400" s="1">
        <f>IFERROR(__xludf.DUMMYFUNCTION("""COMPUTED_VALUE"""),0.0)</f>
        <v>0</v>
      </c>
      <c r="BC400" s="4">
        <f>IFERROR(__xludf.DUMMYFUNCTION("""COMPUTED_VALUE"""),0.0)</f>
        <v>0</v>
      </c>
      <c r="BD400" s="4">
        <f>IFERROR(__xludf.DUMMYFUNCTION("""COMPUTED_VALUE"""),0.0)</f>
        <v>0</v>
      </c>
      <c r="BE400" s="1">
        <f>IFERROR(__xludf.DUMMYFUNCTION("""COMPUTED_VALUE"""),1.0)</f>
        <v>1</v>
      </c>
      <c r="BF400" s="6">
        <f>IFERROR(__xludf.DUMMYFUNCTION("""COMPUTED_VALUE"""),1.0)</f>
        <v>1</v>
      </c>
      <c r="BG400" s="1">
        <f>IFERROR(__xludf.DUMMYFUNCTION("""COMPUTED_VALUE"""),1.0)</f>
        <v>1</v>
      </c>
      <c r="BH400" s="1" t="str">
        <f>IFERROR(__xludf.DUMMYFUNCTION("""COMPUTED_VALUE"""),"0")</f>
        <v>0</v>
      </c>
      <c r="BI400" s="4">
        <f>IFERROR(__xludf.DUMMYFUNCTION("""COMPUTED_VALUE"""),0.0)</f>
        <v>0</v>
      </c>
      <c r="BJ400" s="1">
        <f>IFERROR(__xludf.DUMMYFUNCTION("""COMPUTED_VALUE"""),0.0)</f>
        <v>0</v>
      </c>
      <c r="BK400" s="4">
        <f>IFERROR(__xludf.DUMMYFUNCTION("""COMPUTED_VALUE"""),0.0)</f>
        <v>0</v>
      </c>
      <c r="BL400" s="1">
        <f>IFERROR(__xludf.DUMMYFUNCTION("""COMPUTED_VALUE"""),700.0)</f>
        <v>700</v>
      </c>
      <c r="BM400" s="1">
        <f>IFERROR(__xludf.DUMMYFUNCTION("""COMPUTED_VALUE"""),4.0)</f>
        <v>4</v>
      </c>
      <c r="BN400" s="2">
        <f>IFERROR(__xludf.DUMMYFUNCTION("""COMPUTED_VALUE"""),45677.0)</f>
        <v>45677</v>
      </c>
      <c r="BO400" s="1">
        <f>IFERROR(__xludf.DUMMYFUNCTION("""COMPUTED_VALUE"""),1.0)</f>
        <v>1</v>
      </c>
      <c r="BP400" s="1">
        <f>IFERROR(__xludf.DUMMYFUNCTION("""COMPUTED_VALUE"""),2025.0)</f>
        <v>2025</v>
      </c>
    </row>
    <row r="401">
      <c r="A401" s="1">
        <f>IFERROR(__xludf.DUMMYFUNCTION("""COMPUTED_VALUE"""),400.0)</f>
        <v>400</v>
      </c>
      <c r="B401" s="1">
        <f>IFERROR(__xludf.DUMMYFUNCTION("""COMPUTED_VALUE"""),4962702.0)</f>
        <v>4962702</v>
      </c>
      <c r="C401" s="1" t="str">
        <f>IFERROR(__xludf.DUMMYFUNCTION("""COMPUTED_VALUE"""),"2025-1")</f>
        <v>2025-1</v>
      </c>
      <c r="D401" s="1" t="str">
        <f>IFERROR(__xludf.DUMMYFUNCTION("""COMPUTED_VALUE"""),"Admisión Ordinaria")</f>
        <v>Admisión Ordinaria</v>
      </c>
      <c r="E401" s="2">
        <f>IFERROR(__xludf.DUMMYFUNCTION("""COMPUTED_VALUE"""),45681.0)</f>
        <v>45681</v>
      </c>
      <c r="F401" s="1" t="str">
        <f>IFERROR(__xludf.DUMMYFUNCTION("""COMPUTED_VALUE"""),"KATHERINE ")</f>
        <v>KATHERINE </v>
      </c>
      <c r="G401" s="1" t="str">
        <f>IFERROR(__xludf.DUMMYFUNCTION("""COMPUTED_VALUE"""),"GARCÍA VALLEJOS")</f>
        <v>GARCÍA VALLEJOS</v>
      </c>
      <c r="H401" s="1" t="str">
        <f>IFERROR(__xludf.DUMMYFUNCTION("""COMPUTED_VALUE"""),"Marketing e Innovación")</f>
        <v>Marketing e Innovación</v>
      </c>
      <c r="I401" s="1" t="str">
        <f>IFERROR(__xludf.DUMMYFUNCTION("""COMPUTED_VALUE"""),"CARGO")</f>
        <v>CARGO</v>
      </c>
      <c r="J401" s="1" t="str">
        <f>IFERROR(__xludf.DUMMYFUNCTION("""COMPUTED_VALUE"""),"Diurno")</f>
        <v>Diurno</v>
      </c>
      <c r="K401" s="1" t="str">
        <f>IFERROR(__xludf.DUMMYFUNCTION("""COMPUTED_VALUE"""),"NUEVO")</f>
        <v>NUEVO</v>
      </c>
      <c r="L401" s="1">
        <f>IFERROR(__xludf.DUMMYFUNCTION("""COMPUTED_VALUE"""),0.0)</f>
        <v>0</v>
      </c>
      <c r="M401" s="1">
        <f>IFERROR(__xludf.DUMMYFUNCTION("""COMPUTED_VALUE"""),0.0)</f>
        <v>0</v>
      </c>
      <c r="N401" s="1" t="str">
        <f>IFERROR(__xludf.DUMMYFUNCTION("""COMPUTED_VALUE"""),"BECA")</f>
        <v>BECA</v>
      </c>
      <c r="O401" s="1" t="str">
        <f>IFERROR(__xludf.DUMMYFUNCTION("""COMPUTED_VALUE"""),"BECA CARRERAS NUEVAS")</f>
        <v>BECA CARRERAS NUEVAS</v>
      </c>
      <c r="P401" s="4">
        <f>IFERROR(__xludf.DUMMYFUNCTION("""COMPUTED_VALUE"""),0.0)</f>
        <v>0</v>
      </c>
      <c r="Q401" s="4">
        <f>IFERROR(__xludf.DUMMYFUNCTION("""COMPUTED_VALUE"""),0.0)</f>
        <v>0</v>
      </c>
      <c r="R401" s="4">
        <f>IFERROR(__xludf.DUMMYFUNCTION("""COMPUTED_VALUE"""),1000.0)</f>
        <v>1000</v>
      </c>
      <c r="S401" s="4">
        <f>IFERROR(__xludf.DUMMYFUNCTION("""COMPUTED_VALUE"""),850.0)</f>
        <v>850</v>
      </c>
      <c r="T401" s="1" t="str">
        <f>IFERROR(__xludf.DUMMYFUNCTION("""COMPUTED_VALUE"""),"NINGUNO")</f>
        <v>NINGUNO</v>
      </c>
      <c r="U401" s="1" t="str">
        <f>IFERROR(__xludf.DUMMYFUNCTION("""COMPUTED_VALUE"""),"FABIOLA")</f>
        <v>FABIOLA</v>
      </c>
      <c r="V401" s="1" t="str">
        <f>IFERROR(__xludf.DUMMYFUNCTION("""COMPUTED_VALUE"""),"Ninguno")</f>
        <v>Ninguno</v>
      </c>
      <c r="W401" s="1" t="str">
        <f>IFERROR(__xludf.DUMMYFUNCTION("""COMPUTED_VALUE"""),"Metodología de enseñanza")</f>
        <v>Metodología de enseñanza</v>
      </c>
      <c r="X401" s="1" t="str">
        <f>IFERROR(__xludf.DUMMYFUNCTION("""COMPUTED_VALUE"""),"metodologia")</f>
        <v>metodologia</v>
      </c>
      <c r="Y401" s="1" t="str">
        <f>IFERROR(__xludf.DUMMYFUNCTION("""COMPUTED_VALUE"""),"PAGO COMPLETO")</f>
        <v>PAGO COMPLETO</v>
      </c>
      <c r="Z401" s="1"/>
      <c r="AA401" s="1"/>
      <c r="AB401" s="1">
        <f>IFERROR(__xludf.DUMMYFUNCTION("""COMPUTED_VALUE"""),0.0)</f>
        <v>0</v>
      </c>
      <c r="AC401" s="1">
        <f>IFERROR(__xludf.DUMMYFUNCTION("""COMPUTED_VALUE"""),0.0)</f>
        <v>0</v>
      </c>
      <c r="AD401" s="1" t="str">
        <f>IFERROR(__xludf.DUMMYFUNCTION("""COMPUTED_VALUE"""),"Cinthia Mariella Orosco")</f>
        <v>Cinthia Mariella Orosco</v>
      </c>
      <c r="AE401" s="1" t="str">
        <f>IFERROR(__xludf.DUMMYFUNCTION("""COMPUTED_VALUE"""),"0")</f>
        <v>0</v>
      </c>
      <c r="AF401" s="1">
        <f>IFERROR(__xludf.DUMMYFUNCTION("""COMPUTED_VALUE"""),2023.0)</f>
        <v>2023</v>
      </c>
      <c r="AG401" s="1">
        <f>IFERROR(__xludf.DUMMYFUNCTION("""COMPUTED_VALUE"""),692434.0)</f>
        <v>692434</v>
      </c>
      <c r="AH401" s="1">
        <f>IFERROR(__xludf.DUMMYFUNCTION("""COMPUTED_VALUE"""),19.0)</f>
        <v>19</v>
      </c>
      <c r="AI401" s="1" t="str">
        <f>IFERROR(__xludf.DUMMYFUNCTION("""COMPUTED_VALUE"""),"0000411167")</f>
        <v>0000411167</v>
      </c>
      <c r="AJ401" s="1">
        <f>IFERROR(__xludf.DUMMYFUNCTION("""COMPUTED_VALUE"""),6.0802567E7)</f>
        <v>60802567</v>
      </c>
      <c r="AK401" s="1">
        <f>IFERROR(__xludf.DUMMYFUNCTION("""COMPUTED_VALUE"""),9.66598829E8)</f>
        <v>966598829</v>
      </c>
      <c r="AL401" s="1" t="str">
        <f>IFERROR(__xludf.DUMMYFUNCTION("""COMPUTED_VALUE"""),"katigarciavallejos@gmail.com")</f>
        <v>katigarciavallejos@gmail.com</v>
      </c>
      <c r="AM401" s="1" t="str">
        <f>IFERROR(__xludf.DUMMYFUNCTION("""COMPUTED_VALUE"""),"FEMENINO")</f>
        <v>FEMENINO</v>
      </c>
      <c r="AN401" s="1">
        <f>IFERROR(__xludf.DUMMYFUNCTION("""COMPUTED_VALUE"""),1350.0)</f>
        <v>1350</v>
      </c>
      <c r="AO401" s="1">
        <f>IFERROR(__xludf.DUMMYFUNCTION("""COMPUTED_VALUE"""),0.0)</f>
        <v>0</v>
      </c>
      <c r="AP401" s="1" t="str">
        <f>IFERROR(__xludf.DUMMYFUNCTION("""COMPUTED_VALUE"""),"EVENTOS")</f>
        <v>EVENTOS</v>
      </c>
      <c r="AQ401" s="1" t="str">
        <f>IFERROR(__xludf.DUMMYFUNCTION("""COMPUTED_VALUE"""),"EVENTOS")</f>
        <v>EVENTOS</v>
      </c>
      <c r="AR401" s="1" t="str">
        <f>IFERROR(__xludf.DUMMYFUNCTION("""COMPUTED_VALUE"""),"NUEVO")</f>
        <v>NUEVO</v>
      </c>
      <c r="AS401" s="1" t="str">
        <f>IFERROR(__xludf.DUMMYFUNCTION("""COMPUTED_VALUE"""),"ucal-pg-branding-nacional-abierta-no_aplica-explora31enero_ig-20240107")</f>
        <v>ucal-pg-branding-nacional-abierta-no_aplica-explora31enero_ig-20240107</v>
      </c>
      <c r="AT401" s="2">
        <f>IFERROR(__xludf.DUMMYFUNCTION("""COMPUTED_VALUE"""),45677.0)</f>
        <v>45677</v>
      </c>
      <c r="AU401" s="1">
        <f>IFERROR(__xludf.DUMMYFUNCTION("""COMPUTED_VALUE"""),1.0)</f>
        <v>1</v>
      </c>
      <c r="AV401" s="1" t="str">
        <f>IFERROR(__xludf.DUMMYFUNCTION("""COMPUTED_VALUE"""),"NUEVO")</f>
        <v>NUEVO</v>
      </c>
      <c r="AW401" s="1" t="str">
        <f>IFERROR(__xludf.DUMMYFUNCTION("""COMPUTED_VALUE"""),"SI")</f>
        <v>SI</v>
      </c>
      <c r="AX401" s="1"/>
      <c r="AY401" s="1" t="str">
        <f>IFERROR(__xludf.DUMMYFUNCTION("""COMPUTED_VALUE"""),"PAGO COMPLETO")</f>
        <v>PAGO COMPLETO</v>
      </c>
      <c r="AZ401" s="5">
        <f>IFERROR(__xludf.DUMMYFUNCTION("""COMPUTED_VALUE"""),45681.0)</f>
        <v>45681</v>
      </c>
      <c r="BA401" s="1">
        <f>IFERROR(__xludf.DUMMYFUNCTION("""COMPUTED_VALUE"""),0.0)</f>
        <v>0</v>
      </c>
      <c r="BB401" s="1">
        <f>IFERROR(__xludf.DUMMYFUNCTION("""COMPUTED_VALUE"""),0.0)</f>
        <v>0</v>
      </c>
      <c r="BC401" s="4">
        <f>IFERROR(__xludf.DUMMYFUNCTION("""COMPUTED_VALUE"""),0.0)</f>
        <v>0</v>
      </c>
      <c r="BD401" s="4">
        <f>IFERROR(__xludf.DUMMYFUNCTION("""COMPUTED_VALUE"""),0.0)</f>
        <v>0</v>
      </c>
      <c r="BE401" s="1">
        <f>IFERROR(__xludf.DUMMYFUNCTION("""COMPUTED_VALUE"""),1.0)</f>
        <v>1</v>
      </c>
      <c r="BF401" s="6">
        <f>IFERROR(__xludf.DUMMYFUNCTION("""COMPUTED_VALUE"""),1.0)</f>
        <v>1</v>
      </c>
      <c r="BG401" s="1">
        <f>IFERROR(__xludf.DUMMYFUNCTION("""COMPUTED_VALUE"""),1.0)</f>
        <v>1</v>
      </c>
      <c r="BH401" s="1" t="str">
        <f>IFERROR(__xludf.DUMMYFUNCTION("""COMPUTED_VALUE"""),"0")</f>
        <v>0</v>
      </c>
      <c r="BI401" s="4">
        <f>IFERROR(__xludf.DUMMYFUNCTION("""COMPUTED_VALUE"""),0.0)</f>
        <v>0</v>
      </c>
      <c r="BJ401" s="1">
        <f>IFERROR(__xludf.DUMMYFUNCTION("""COMPUTED_VALUE"""),0.0)</f>
        <v>0</v>
      </c>
      <c r="BK401" s="4">
        <f>IFERROR(__xludf.DUMMYFUNCTION("""COMPUTED_VALUE"""),0.0)</f>
        <v>0</v>
      </c>
      <c r="BL401" s="1">
        <f>IFERROR(__xludf.DUMMYFUNCTION("""COMPUTED_VALUE"""),850.0)</f>
        <v>850</v>
      </c>
      <c r="BM401" s="1">
        <f>IFERROR(__xludf.DUMMYFUNCTION("""COMPUTED_VALUE"""),4.0)</f>
        <v>4</v>
      </c>
      <c r="BN401" s="2">
        <f>IFERROR(__xludf.DUMMYFUNCTION("""COMPUTED_VALUE"""),45677.0)</f>
        <v>45677</v>
      </c>
      <c r="BO401" s="1">
        <f>IFERROR(__xludf.DUMMYFUNCTION("""COMPUTED_VALUE"""),1.0)</f>
        <v>1</v>
      </c>
      <c r="BP401" s="1">
        <f>IFERROR(__xludf.DUMMYFUNCTION("""COMPUTED_VALUE"""),2025.0)</f>
        <v>2025</v>
      </c>
    </row>
    <row r="402">
      <c r="A402" s="1">
        <f>IFERROR(__xludf.DUMMYFUNCTION("""COMPUTED_VALUE"""),401.0)</f>
        <v>401</v>
      </c>
      <c r="B402" s="1">
        <f>IFERROR(__xludf.DUMMYFUNCTION("""COMPUTED_VALUE"""),4964983.0)</f>
        <v>4964983</v>
      </c>
      <c r="C402" s="1" t="str">
        <f>IFERROR(__xludf.DUMMYFUNCTION("""COMPUTED_VALUE"""),"2025-1")</f>
        <v>2025-1</v>
      </c>
      <c r="D402" s="1" t="str">
        <f>IFERROR(__xludf.DUMMYFUNCTION("""COMPUTED_VALUE"""),"Admisión de Alto Rendimiento")</f>
        <v>Admisión de Alto Rendimiento</v>
      </c>
      <c r="E402" s="2">
        <f>IFERROR(__xludf.DUMMYFUNCTION("""COMPUTED_VALUE"""),45681.0)</f>
        <v>45681</v>
      </c>
      <c r="F402" s="1" t="str">
        <f>IFERROR(__xludf.DUMMYFUNCTION("""COMPUTED_VALUE"""),"PAMELA PAULINA")</f>
        <v>PAMELA PAULINA</v>
      </c>
      <c r="G402" s="1" t="str">
        <f>IFERROR(__xludf.DUMMYFUNCTION("""COMPUTED_VALUE"""),"MELENDEZ ORTEGA")</f>
        <v>MELENDEZ ORTEGA</v>
      </c>
      <c r="H402" s="1" t="str">
        <f>IFERROR(__xludf.DUMMYFUNCTION("""COMPUTED_VALUE"""),"Psicología")</f>
        <v>Psicología</v>
      </c>
      <c r="I402" s="1" t="str">
        <f>IFERROR(__xludf.DUMMYFUNCTION("""COMPUTED_VALUE"""),"CARGO")</f>
        <v>CARGO</v>
      </c>
      <c r="J402" s="1" t="str">
        <f>IFERROR(__xludf.DUMMYFUNCTION("""COMPUTED_VALUE"""),"Diurno")</f>
        <v>Diurno</v>
      </c>
      <c r="K402" s="1" t="str">
        <f>IFERROR(__xludf.DUMMYFUNCTION("""COMPUTED_VALUE"""),"NUEVO")</f>
        <v>NUEVO</v>
      </c>
      <c r="L402" s="1">
        <f>IFERROR(__xludf.DUMMYFUNCTION("""COMPUTED_VALUE"""),0.0)</f>
        <v>0</v>
      </c>
      <c r="M402" s="1">
        <f>IFERROR(__xludf.DUMMYFUNCTION("""COMPUTED_VALUE"""),0.0)</f>
        <v>0</v>
      </c>
      <c r="N402" s="1" t="str">
        <f>IFERROR(__xludf.DUMMYFUNCTION("""COMPUTED_VALUE"""),"BECA")</f>
        <v>BECA</v>
      </c>
      <c r="O402" s="1" t="str">
        <f>IFERROR(__xludf.DUMMYFUNCTION("""COMPUTED_VALUE"""),"BECA CARRERAS NUEVAS")</f>
        <v>BECA CARRERAS NUEVAS</v>
      </c>
      <c r="P402" s="4">
        <f>IFERROR(__xludf.DUMMYFUNCTION("""COMPUTED_VALUE"""),0.0)</f>
        <v>0</v>
      </c>
      <c r="Q402" s="4">
        <f>IFERROR(__xludf.DUMMYFUNCTION("""COMPUTED_VALUE"""),0.0)</f>
        <v>0</v>
      </c>
      <c r="R402" s="4">
        <f>IFERROR(__xludf.DUMMYFUNCTION("""COMPUTED_VALUE"""),1150.0)</f>
        <v>1150</v>
      </c>
      <c r="S402" s="4">
        <f>IFERROR(__xludf.DUMMYFUNCTION("""COMPUTED_VALUE"""),950.0)</f>
        <v>950</v>
      </c>
      <c r="T402" s="1" t="str">
        <f>IFERROR(__xludf.DUMMYFUNCTION("""COMPUTED_VALUE"""),"NINGUNO")</f>
        <v>NINGUNO</v>
      </c>
      <c r="U402" s="1"/>
      <c r="V402" s="1" t="str">
        <f>IFERROR(__xludf.DUMMYFUNCTION("""COMPUTED_VALUE"""),"Ninguno")</f>
        <v>Ninguno</v>
      </c>
      <c r="W402" s="1" t="str">
        <f>IFERROR(__xludf.DUMMYFUNCTION("""COMPUTED_VALUE"""),"Beca")</f>
        <v>Beca</v>
      </c>
      <c r="X402" s="1" t="str">
        <f>IFERROR(__xludf.DUMMYFUNCTION("""COMPUTED_VALUE"""),"LE GUSTA LA UNIVERSIDAD ")</f>
        <v>LE GUSTA LA UNIVERSIDAD </v>
      </c>
      <c r="Y402" s="1" t="str">
        <f>IFERROR(__xludf.DUMMYFUNCTION("""COMPUTED_VALUE"""),"PAGO COMPLETO")</f>
        <v>PAGO COMPLETO</v>
      </c>
      <c r="Z402" s="1"/>
      <c r="AA402" s="1"/>
      <c r="AB402" s="1">
        <f>IFERROR(__xludf.DUMMYFUNCTION("""COMPUTED_VALUE"""),0.0)</f>
        <v>0</v>
      </c>
      <c r="AC402" s="1">
        <f>IFERROR(__xludf.DUMMYFUNCTION("""COMPUTED_VALUE"""),0.0)</f>
        <v>0</v>
      </c>
      <c r="AD402" s="1" t="str">
        <f>IFERROR(__xludf.DUMMYFUNCTION("""COMPUTED_VALUE"""),"Daniel Zapata")</f>
        <v>Daniel Zapata</v>
      </c>
      <c r="AE402" s="1" t="str">
        <f>IFERROR(__xludf.DUMMYFUNCTION("""COMPUTED_VALUE"""),"0")</f>
        <v>0</v>
      </c>
      <c r="AF402" s="1">
        <f>IFERROR(__xludf.DUMMYFUNCTION("""COMPUTED_VALUE"""),2024.0)</f>
        <v>2024</v>
      </c>
      <c r="AG402" s="1">
        <f>IFERROR(__xludf.DUMMYFUNCTION("""COMPUTED_VALUE"""),1700038.0)</f>
        <v>1700038</v>
      </c>
      <c r="AH402" s="1">
        <f>IFERROR(__xludf.DUMMYFUNCTION("""COMPUTED_VALUE"""),18.0)</f>
        <v>18</v>
      </c>
      <c r="AI402" s="1" t="str">
        <f>IFERROR(__xludf.DUMMYFUNCTION("""COMPUTED_VALUE"""),"0000411290")</f>
        <v>0000411290</v>
      </c>
      <c r="AJ402" s="1">
        <f>IFERROR(__xludf.DUMMYFUNCTION("""COMPUTED_VALUE"""),7.0964393E7)</f>
        <v>70964393</v>
      </c>
      <c r="AK402" s="1">
        <f>IFERROR(__xludf.DUMMYFUNCTION("""COMPUTED_VALUE"""),9.57841812E8)</f>
        <v>957841812</v>
      </c>
      <c r="AL402" s="1" t="str">
        <f>IFERROR(__xludf.DUMMYFUNCTION("""COMPUTED_VALUE"""),"pamelapaulina933@gmail.com")</f>
        <v>pamelapaulina933@gmail.com</v>
      </c>
      <c r="AM402" s="1" t="str">
        <f>IFERROR(__xludf.DUMMYFUNCTION("""COMPUTED_VALUE"""),"FEMENINO")</f>
        <v>FEMENINO</v>
      </c>
      <c r="AN402" s="1">
        <f>IFERROR(__xludf.DUMMYFUNCTION("""COMPUTED_VALUE"""),1775.0)</f>
        <v>1775</v>
      </c>
      <c r="AO402" s="1">
        <f>IFERROR(__xludf.DUMMYFUNCTION("""COMPUTED_VALUE"""),320.0)</f>
        <v>320</v>
      </c>
      <c r="AP402" s="1" t="str">
        <f>IFERROR(__xludf.DUMMYFUNCTION("""COMPUTED_VALUE"""),"BIDIRECCIONAL")</f>
        <v>BIDIRECCIONAL</v>
      </c>
      <c r="AQ402" s="1" t="str">
        <f>IFERROR(__xludf.DUMMYFUNCTION("""COMPUTED_VALUE"""),"SEARCH MARCA")</f>
        <v>SEARCH MARCA</v>
      </c>
      <c r="AR402" s="1" t="str">
        <f>IFERROR(__xludf.DUMMYFUNCTION("""COMPUTED_VALUE"""),"NUEVO")</f>
        <v>NUEVO</v>
      </c>
      <c r="AS402" s="1" t="str">
        <f>IFERROR(__xludf.DUMMYFUNCTION("""COMPUTED_VALUE"""),"ucal-pg-performance-sedes-abierta-cpl-search_conversion_marca-20240401")</f>
        <v>ucal-pg-performance-sedes-abierta-cpl-search_conversion_marca-20240401</v>
      </c>
      <c r="AT402" s="2">
        <f>IFERROR(__xludf.DUMMYFUNCTION("""COMPUTED_VALUE"""),45678.0)</f>
        <v>45678</v>
      </c>
      <c r="AU402" s="1">
        <f>IFERROR(__xludf.DUMMYFUNCTION("""COMPUTED_VALUE"""),1.0)</f>
        <v>1</v>
      </c>
      <c r="AV402" s="1" t="str">
        <f>IFERROR(__xludf.DUMMYFUNCTION("""COMPUTED_VALUE"""),"NUEVO")</f>
        <v>NUEVO</v>
      </c>
      <c r="AW402" s="1" t="str">
        <f>IFERROR(__xludf.DUMMYFUNCTION("""COMPUTED_VALUE"""),"SI")</f>
        <v>SI</v>
      </c>
      <c r="AX402" s="1"/>
      <c r="AY402" s="1" t="str">
        <f>IFERROR(__xludf.DUMMYFUNCTION("""COMPUTED_VALUE"""),"PAGO COMPLETO")</f>
        <v>PAGO COMPLETO</v>
      </c>
      <c r="AZ402" s="5">
        <f>IFERROR(__xludf.DUMMYFUNCTION("""COMPUTED_VALUE"""),45681.0)</f>
        <v>45681</v>
      </c>
      <c r="BA402" s="1">
        <f>IFERROR(__xludf.DUMMYFUNCTION("""COMPUTED_VALUE"""),0.0)</f>
        <v>0</v>
      </c>
      <c r="BB402" s="1">
        <f>IFERROR(__xludf.DUMMYFUNCTION("""COMPUTED_VALUE"""),0.0)</f>
        <v>0</v>
      </c>
      <c r="BC402" s="4">
        <f>IFERROR(__xludf.DUMMYFUNCTION("""COMPUTED_VALUE"""),0.0)</f>
        <v>0</v>
      </c>
      <c r="BD402" s="4">
        <f>IFERROR(__xludf.DUMMYFUNCTION("""COMPUTED_VALUE"""),0.0)</f>
        <v>0</v>
      </c>
      <c r="BE402" s="1">
        <f>IFERROR(__xludf.DUMMYFUNCTION("""COMPUTED_VALUE"""),1.0)</f>
        <v>1</v>
      </c>
      <c r="BF402" s="6">
        <f>IFERROR(__xludf.DUMMYFUNCTION("""COMPUTED_VALUE"""),1.0)</f>
        <v>1</v>
      </c>
      <c r="BG402" s="1">
        <f>IFERROR(__xludf.DUMMYFUNCTION("""COMPUTED_VALUE"""),1.0)</f>
        <v>1</v>
      </c>
      <c r="BH402" s="1" t="str">
        <f>IFERROR(__xludf.DUMMYFUNCTION("""COMPUTED_VALUE"""),"0")</f>
        <v>0</v>
      </c>
      <c r="BI402" s="4">
        <f>IFERROR(__xludf.DUMMYFUNCTION("""COMPUTED_VALUE"""),0.0)</f>
        <v>0</v>
      </c>
      <c r="BJ402" s="1">
        <f>IFERROR(__xludf.DUMMYFUNCTION("""COMPUTED_VALUE"""),0.0)</f>
        <v>0</v>
      </c>
      <c r="BK402" s="4">
        <f>IFERROR(__xludf.DUMMYFUNCTION("""COMPUTED_VALUE"""),0.0)</f>
        <v>0</v>
      </c>
      <c r="BL402" s="1">
        <f>IFERROR(__xludf.DUMMYFUNCTION("""COMPUTED_VALUE"""),950.0)</f>
        <v>950</v>
      </c>
      <c r="BM402" s="1">
        <f>IFERROR(__xludf.DUMMYFUNCTION("""COMPUTED_VALUE"""),4.0)</f>
        <v>4</v>
      </c>
      <c r="BN402" s="2">
        <f>IFERROR(__xludf.DUMMYFUNCTION("""COMPUTED_VALUE"""),45677.0)</f>
        <v>45677</v>
      </c>
      <c r="BO402" s="1">
        <f>IFERROR(__xludf.DUMMYFUNCTION("""COMPUTED_VALUE"""),1.0)</f>
        <v>1</v>
      </c>
      <c r="BP402" s="1">
        <f>IFERROR(__xludf.DUMMYFUNCTION("""COMPUTED_VALUE"""),2025.0)</f>
        <v>2025</v>
      </c>
    </row>
    <row r="403">
      <c r="A403" s="1">
        <f>IFERROR(__xludf.DUMMYFUNCTION("""COMPUTED_VALUE"""),402.0)</f>
        <v>402</v>
      </c>
      <c r="B403" s="1">
        <f>IFERROR(__xludf.DUMMYFUNCTION("""COMPUTED_VALUE"""),4829033.0)</f>
        <v>4829033</v>
      </c>
      <c r="C403" s="1" t="str">
        <f>IFERROR(__xludf.DUMMYFUNCTION("""COMPUTED_VALUE"""),"2025-1")</f>
        <v>2025-1</v>
      </c>
      <c r="D403" s="1" t="str">
        <f>IFERROR(__xludf.DUMMYFUNCTION("""COMPUTED_VALUE"""),"Admisión de Alto Rendimiento")</f>
        <v>Admisión de Alto Rendimiento</v>
      </c>
      <c r="E403" s="2">
        <f>IFERROR(__xludf.DUMMYFUNCTION("""COMPUTED_VALUE"""),45681.0)</f>
        <v>45681</v>
      </c>
      <c r="F403" s="1" t="str">
        <f>IFERROR(__xludf.DUMMYFUNCTION("""COMPUTED_VALUE"""),"GRICEL THAIS ")</f>
        <v>GRICEL THAIS </v>
      </c>
      <c r="G403" s="1" t="str">
        <f>IFERROR(__xludf.DUMMYFUNCTION("""COMPUTED_VALUE"""),"CHUMBIRAYCO CHANCAHUAÑA")</f>
        <v>CHUMBIRAYCO CHANCAHUAÑA</v>
      </c>
      <c r="H403" s="1" t="str">
        <f>IFERROR(__xludf.DUMMYFUNCTION("""COMPUTED_VALUE"""),"Psicología")</f>
        <v>Psicología</v>
      </c>
      <c r="I403" s="1" t="str">
        <f>IFERROR(__xludf.DUMMYFUNCTION("""COMPUTED_VALUE"""),"POS")</f>
        <v>POS</v>
      </c>
      <c r="J403" s="1" t="str">
        <f>IFERROR(__xludf.DUMMYFUNCTION("""COMPUTED_VALUE"""),"Diurno")</f>
        <v>Diurno</v>
      </c>
      <c r="K403" s="1" t="str">
        <f>IFERROR(__xludf.DUMMYFUNCTION("""COMPUTED_VALUE"""),"NUEVO")</f>
        <v>NUEVO</v>
      </c>
      <c r="L403" s="1">
        <f>IFERROR(__xludf.DUMMYFUNCTION("""COMPUTED_VALUE"""),0.0)</f>
        <v>0</v>
      </c>
      <c r="M403" s="1">
        <f>IFERROR(__xludf.DUMMYFUNCTION("""COMPUTED_VALUE"""),0.0)</f>
        <v>0</v>
      </c>
      <c r="N403" s="1" t="str">
        <f>IFERROR(__xludf.DUMMYFUNCTION("""COMPUTED_VALUE"""),"BECA")</f>
        <v>BECA</v>
      </c>
      <c r="O403" s="1" t="str">
        <f>IFERROR(__xludf.DUMMYFUNCTION("""COMPUTED_VALUE"""),"BECA CARRERAS NUEVAS")</f>
        <v>BECA CARRERAS NUEVAS</v>
      </c>
      <c r="P403" s="4">
        <f>IFERROR(__xludf.DUMMYFUNCTION("""COMPUTED_VALUE"""),0.0)</f>
        <v>0</v>
      </c>
      <c r="Q403" s="4">
        <f>IFERROR(__xludf.DUMMYFUNCTION("""COMPUTED_VALUE"""),0.0)</f>
        <v>0</v>
      </c>
      <c r="R403" s="4">
        <f>IFERROR(__xludf.DUMMYFUNCTION("""COMPUTED_VALUE"""),1000.0)</f>
        <v>1000</v>
      </c>
      <c r="S403" s="4">
        <f>IFERROR(__xludf.DUMMYFUNCTION("""COMPUTED_VALUE"""),850.0)</f>
        <v>850</v>
      </c>
      <c r="T403" s="1" t="str">
        <f>IFERROR(__xludf.DUMMYFUNCTION("""COMPUTED_VALUE"""),"Visita Guiada")</f>
        <v>Visita Guiada</v>
      </c>
      <c r="U403" s="1"/>
      <c r="V403" s="1" t="str">
        <f>IFERROR(__xludf.DUMMYFUNCTION("""COMPUTED_VALUE"""),"Ninguno")</f>
        <v>Ninguno</v>
      </c>
      <c r="W403" s="1" t="str">
        <f>IFERROR(__xludf.DUMMYFUNCTION("""COMPUTED_VALUE"""),"Metodología de enseñanza")</f>
        <v>Metodología de enseñanza</v>
      </c>
      <c r="X403" s="1"/>
      <c r="Y403" s="1" t="str">
        <f>IFERROR(__xludf.DUMMYFUNCTION("""COMPUTED_VALUE"""),"PAGO FRACCIONADO")</f>
        <v>PAGO FRACCIONADO</v>
      </c>
      <c r="Z403" s="1">
        <f>IFERROR(__xludf.DUMMYFUNCTION("""COMPUTED_VALUE"""),500.0)</f>
        <v>500</v>
      </c>
      <c r="AA403" s="1" t="str">
        <f>IFERROR(__xludf.DUMMYFUNCTION("""COMPUTED_VALUE"""),"31/01/2025")</f>
        <v>31/01/2025</v>
      </c>
      <c r="AB403" s="1">
        <f>IFERROR(__xludf.DUMMYFUNCTION("""COMPUTED_VALUE"""),0.0)</f>
        <v>0</v>
      </c>
      <c r="AC403" s="1">
        <f>IFERROR(__xludf.DUMMYFUNCTION("""COMPUTED_VALUE"""),0.0)</f>
        <v>0</v>
      </c>
      <c r="AD403" s="1" t="str">
        <f>IFERROR(__xludf.DUMMYFUNCTION("""COMPUTED_VALUE"""),"Ingrid Guillermo Rivera")</f>
        <v>Ingrid Guillermo Rivera</v>
      </c>
      <c r="AE403" s="1" t="str">
        <f>IFERROR(__xludf.DUMMYFUNCTION("""COMPUTED_VALUE"""),"0")</f>
        <v>0</v>
      </c>
      <c r="AF403" s="1">
        <f>IFERROR(__xludf.DUMMYFUNCTION("""COMPUTED_VALUE"""),2024.0)</f>
        <v>2024</v>
      </c>
      <c r="AG403" s="1">
        <f>IFERROR(__xludf.DUMMYFUNCTION("""COMPUTED_VALUE"""),1398148.0)</f>
        <v>1398148</v>
      </c>
      <c r="AH403" s="1">
        <f>IFERROR(__xludf.DUMMYFUNCTION("""COMPUTED_VALUE"""),18.0)</f>
        <v>18</v>
      </c>
      <c r="AI403" s="1" t="str">
        <f>IFERROR(__xludf.DUMMYFUNCTION("""COMPUTED_VALUE"""),"0000411346")</f>
        <v>0000411346</v>
      </c>
      <c r="AJ403" s="1">
        <f>IFERROR(__xludf.DUMMYFUNCTION("""COMPUTED_VALUE"""),7.1147645E7)</f>
        <v>71147645</v>
      </c>
      <c r="AK403" s="1">
        <f>IFERROR(__xludf.DUMMYFUNCTION("""COMPUTED_VALUE"""),9.21399718E8)</f>
        <v>921399718</v>
      </c>
      <c r="AL403" s="1" t="str">
        <f>IFERROR(__xludf.DUMMYFUNCTION("""COMPUTED_VALUE"""),"thaischumbirayco2@gmail.com")</f>
        <v>thaischumbirayco2@gmail.com</v>
      </c>
      <c r="AM403" s="1" t="str">
        <f>IFERROR(__xludf.DUMMYFUNCTION("""COMPUTED_VALUE"""),"FEMENINO")</f>
        <v>FEMENINO</v>
      </c>
      <c r="AN403" s="1">
        <f>IFERROR(__xludf.DUMMYFUNCTION("""COMPUTED_VALUE"""),1350.0)</f>
        <v>1350</v>
      </c>
      <c r="AO403" s="1">
        <f>IFERROR(__xludf.DUMMYFUNCTION("""COMPUTED_VALUE"""),0.0)</f>
        <v>0</v>
      </c>
      <c r="AP403" s="1" t="str">
        <f>IFERROR(__xludf.DUMMYFUNCTION("""COMPUTED_VALUE"""),"COLEGIOS")</f>
        <v>COLEGIOS</v>
      </c>
      <c r="AQ403" s="1" t="str">
        <f>IFERROR(__xludf.DUMMYFUNCTION("""COMPUTED_VALUE"""),"COLEGIOS")</f>
        <v>COLEGIOS</v>
      </c>
      <c r="AR403" s="1" t="str">
        <f>IFERROR(__xludf.DUMMYFUNCTION("""COMPUTED_VALUE"""),"NUEVO")</f>
        <v>NUEVO</v>
      </c>
      <c r="AS403" s="1"/>
      <c r="AT403" s="2">
        <f>IFERROR(__xludf.DUMMYFUNCTION("""COMPUTED_VALUE"""),45623.0)</f>
        <v>45623</v>
      </c>
      <c r="AU403" s="1">
        <f>IFERROR(__xludf.DUMMYFUNCTION("""COMPUTED_VALUE"""),1.0)</f>
        <v>1</v>
      </c>
      <c r="AV403" s="1" t="str">
        <f>IFERROR(__xludf.DUMMYFUNCTION("""COMPUTED_VALUE"""),"NUEVO")</f>
        <v>NUEVO</v>
      </c>
      <c r="AW403" s="1" t="str">
        <f>IFERROR(__xludf.DUMMYFUNCTION("""COMPUTED_VALUE"""),"SI")</f>
        <v>SI</v>
      </c>
      <c r="AX403" s="1"/>
      <c r="AY403" s="1" t="str">
        <f>IFERROR(__xludf.DUMMYFUNCTION("""COMPUTED_VALUE"""),"PAGO COMPLETO")</f>
        <v>PAGO COMPLETO</v>
      </c>
      <c r="AZ403" s="5">
        <f>IFERROR(__xludf.DUMMYFUNCTION("""COMPUTED_VALUE"""),45687.0)</f>
        <v>45687</v>
      </c>
      <c r="BA403" s="1">
        <f>IFERROR(__xludf.DUMMYFUNCTION("""COMPUTED_VALUE"""),250.0)</f>
        <v>250</v>
      </c>
      <c r="BB403" s="1">
        <f>IFERROR(__xludf.DUMMYFUNCTION("""COMPUTED_VALUE"""),0.0)</f>
        <v>0</v>
      </c>
      <c r="BC403" s="4">
        <f>IFERROR(__xludf.DUMMYFUNCTION("""COMPUTED_VALUE"""),0.0)</f>
        <v>0</v>
      </c>
      <c r="BD403" s="4">
        <f>IFERROR(__xludf.DUMMYFUNCTION("""COMPUTED_VALUE"""),100.0)</f>
        <v>100</v>
      </c>
      <c r="BE403" s="1">
        <f>IFERROR(__xludf.DUMMYFUNCTION("""COMPUTED_VALUE"""),1.0)</f>
        <v>1</v>
      </c>
      <c r="BF403" s="6">
        <f>IFERROR(__xludf.DUMMYFUNCTION("""COMPUTED_VALUE"""),1.0)</f>
        <v>1</v>
      </c>
      <c r="BG403" s="1">
        <f>IFERROR(__xludf.DUMMYFUNCTION("""COMPUTED_VALUE"""),1.0)</f>
        <v>1</v>
      </c>
      <c r="BH403" s="1" t="str">
        <f>IFERROR(__xludf.DUMMYFUNCTION("""COMPUTED_VALUE"""),"0")</f>
        <v>0</v>
      </c>
      <c r="BI403" s="4">
        <f>IFERROR(__xludf.DUMMYFUNCTION("""COMPUTED_VALUE"""),850.0)</f>
        <v>850</v>
      </c>
      <c r="BJ403" s="1">
        <f>IFERROR(__xludf.DUMMYFUNCTION("""COMPUTED_VALUE"""),0.0)</f>
        <v>0</v>
      </c>
      <c r="BK403" s="4">
        <f>IFERROR(__xludf.DUMMYFUNCTION("""COMPUTED_VALUE"""),100.0)</f>
        <v>100</v>
      </c>
      <c r="BL403" s="1">
        <f>IFERROR(__xludf.DUMMYFUNCTION("""COMPUTED_VALUE"""),830.0)</f>
        <v>830</v>
      </c>
      <c r="BM403" s="1">
        <f>IFERROR(__xludf.DUMMYFUNCTION("""COMPUTED_VALUE"""),4.0)</f>
        <v>4</v>
      </c>
      <c r="BN403" s="2">
        <f>IFERROR(__xludf.DUMMYFUNCTION("""COMPUTED_VALUE"""),45677.0)</f>
        <v>45677</v>
      </c>
      <c r="BO403" s="1">
        <f>IFERROR(__xludf.DUMMYFUNCTION("""COMPUTED_VALUE"""),1.0)</f>
        <v>1</v>
      </c>
      <c r="BP403" s="1">
        <f>IFERROR(__xludf.DUMMYFUNCTION("""COMPUTED_VALUE"""),2025.0)</f>
        <v>2025</v>
      </c>
    </row>
    <row r="404">
      <c r="A404" s="1">
        <f>IFERROR(__xludf.DUMMYFUNCTION("""COMPUTED_VALUE"""),403.0)</f>
        <v>403</v>
      </c>
      <c r="B404" s="1">
        <f>IFERROR(__xludf.DUMMYFUNCTION("""COMPUTED_VALUE"""),1913417.0)</f>
        <v>1913417</v>
      </c>
      <c r="C404" s="1" t="str">
        <f>IFERROR(__xludf.DUMMYFUNCTION("""COMPUTED_VALUE"""),"2025-1")</f>
        <v>2025-1</v>
      </c>
      <c r="D404" s="1" t="str">
        <f>IFERROR(__xludf.DUMMYFUNCTION("""COMPUTED_VALUE"""),"Admisión de Alto Rendimiento")</f>
        <v>Admisión de Alto Rendimiento</v>
      </c>
      <c r="E404" s="2">
        <f>IFERROR(__xludf.DUMMYFUNCTION("""COMPUTED_VALUE"""),45681.0)</f>
        <v>45681</v>
      </c>
      <c r="F404" s="1" t="str">
        <f>IFERROR(__xludf.DUMMYFUNCTION("""COMPUTED_VALUE""")," IRIS ALESSANDRA ")</f>
        <v> IRIS ALESSANDRA </v>
      </c>
      <c r="G404" s="1" t="str">
        <f>IFERROR(__xludf.DUMMYFUNCTION("""COMPUTED_VALUE"""),"CARLIN BARRIENTOS")</f>
        <v>CARLIN BARRIENTOS</v>
      </c>
      <c r="H404" s="1" t="str">
        <f>IFERROR(__xludf.DUMMYFUNCTION("""COMPUTED_VALUE"""),"Comunicación Audiovisual y Cine")</f>
        <v>Comunicación Audiovisual y Cine</v>
      </c>
      <c r="I404" s="1" t="str">
        <f>IFERROR(__xludf.DUMMYFUNCTION("""COMPUTED_VALUE"""),"Pago Link")</f>
        <v>Pago Link</v>
      </c>
      <c r="J404" s="1" t="str">
        <f>IFERROR(__xludf.DUMMYFUNCTION("""COMPUTED_VALUE"""),"Diurno")</f>
        <v>Diurno</v>
      </c>
      <c r="K404" s="1" t="str">
        <f>IFERROR(__xludf.DUMMYFUNCTION("""COMPUTED_VALUE"""),"NUEVO")</f>
        <v>NUEVO</v>
      </c>
      <c r="L404" s="1">
        <f>IFERROR(__xludf.DUMMYFUNCTION("""COMPUTED_VALUE"""),0.0)</f>
        <v>0</v>
      </c>
      <c r="M404" s="1">
        <f>IFERROR(__xludf.DUMMYFUNCTION("""COMPUTED_VALUE"""),0.0)</f>
        <v>0</v>
      </c>
      <c r="N404" s="1" t="str">
        <f>IFERROR(__xludf.DUMMYFUNCTION("""COMPUTED_VALUE"""),"BECA")</f>
        <v>BECA</v>
      </c>
      <c r="O404" s="1" t="str">
        <f>IFERROR(__xludf.DUMMYFUNCTION("""COMPUTED_VALUE"""),"BECA CARRERAS CORE")</f>
        <v>BECA CARRERAS CORE</v>
      </c>
      <c r="P404" s="4">
        <f>IFERROR(__xludf.DUMMYFUNCTION("""COMPUTED_VALUE"""),0.0)</f>
        <v>0</v>
      </c>
      <c r="Q404" s="4">
        <f>IFERROR(__xludf.DUMMYFUNCTION("""COMPUTED_VALUE"""),0.0)</f>
        <v>0</v>
      </c>
      <c r="R404" s="4">
        <f>IFERROR(__xludf.DUMMYFUNCTION("""COMPUTED_VALUE"""),2000.0)</f>
        <v>2000</v>
      </c>
      <c r="S404" s="4">
        <f>IFERROR(__xludf.DUMMYFUNCTION("""COMPUTED_VALUE"""),1600.0)</f>
        <v>1600</v>
      </c>
      <c r="T404" s="1" t="str">
        <f>IFERROR(__xludf.DUMMYFUNCTION("""COMPUTED_VALUE"""),"NINGUNO")</f>
        <v>NINGUNO</v>
      </c>
      <c r="U404" s="1" t="str">
        <f>IFERROR(__xludf.DUMMYFUNCTION("""COMPUTED_VALUE"""),"RODRIGO")</f>
        <v>RODRIGO</v>
      </c>
      <c r="V404" s="1" t="str">
        <f>IFERROR(__xludf.DUMMYFUNCTION("""COMPUTED_VALUE"""),"Ninguno")</f>
        <v>Ninguno</v>
      </c>
      <c r="W404" s="1" t="str">
        <f>IFERROR(__xludf.DUMMYFUNCTION("""COMPUTED_VALUE"""),"Malla curricular")</f>
        <v>Malla curricular</v>
      </c>
      <c r="X404" s="1" t="str">
        <f>IFERROR(__xludf.DUMMYFUNCTION("""COMPUTED_VALUE"""),"pagara 30/01")</f>
        <v>pagara 30/01</v>
      </c>
      <c r="Y404" s="1" t="str">
        <f>IFERROR(__xludf.DUMMYFUNCTION("""COMPUTED_VALUE"""),"PAGO FRACCIONADO")</f>
        <v>PAGO FRACCIONADO</v>
      </c>
      <c r="Z404" s="1">
        <f>IFERROR(__xludf.DUMMYFUNCTION("""COMPUTED_VALUE"""),800.0)</f>
        <v>800</v>
      </c>
      <c r="AA404" s="1" t="str">
        <f>IFERROR(__xludf.DUMMYFUNCTION("""COMPUTED_VALUE"""),"30/01/2025")</f>
        <v>30/01/2025</v>
      </c>
      <c r="AB404" s="1">
        <f>IFERROR(__xludf.DUMMYFUNCTION("""COMPUTED_VALUE"""),0.0)</f>
        <v>0</v>
      </c>
      <c r="AC404" s="1">
        <f>IFERROR(__xludf.DUMMYFUNCTION("""COMPUTED_VALUE"""),0.0)</f>
        <v>0</v>
      </c>
      <c r="AD404" s="1" t="str">
        <f>IFERROR(__xludf.DUMMYFUNCTION("""COMPUTED_VALUE"""),"Rosa Ugarte")</f>
        <v>Rosa Ugarte</v>
      </c>
      <c r="AE404" s="1" t="str">
        <f>IFERROR(__xludf.DUMMYFUNCTION("""COMPUTED_VALUE"""),"0")</f>
        <v>0</v>
      </c>
      <c r="AF404" s="1">
        <f>IFERROR(__xludf.DUMMYFUNCTION("""COMPUTED_VALUE"""),2024.0)</f>
        <v>2024</v>
      </c>
      <c r="AG404" s="1">
        <f>IFERROR(__xludf.DUMMYFUNCTION("""COMPUTED_VALUE"""),583179.0)</f>
        <v>583179</v>
      </c>
      <c r="AH404" s="1">
        <f>IFERROR(__xludf.DUMMYFUNCTION("""COMPUTED_VALUE"""),18.0)</f>
        <v>18</v>
      </c>
      <c r="AI404" s="1" t="str">
        <f>IFERROR(__xludf.DUMMYFUNCTION("""COMPUTED_VALUE"""),"0000411387")</f>
        <v>0000411387</v>
      </c>
      <c r="AJ404" s="1">
        <f>IFERROR(__xludf.DUMMYFUNCTION("""COMPUTED_VALUE"""),6.100236E7)</f>
        <v>61002360</v>
      </c>
      <c r="AK404" s="1">
        <f>IFERROR(__xludf.DUMMYFUNCTION("""COMPUTED_VALUE"""),9.89798779E8)</f>
        <v>989798779</v>
      </c>
      <c r="AL404" s="1" t="str">
        <f>IFERROR(__xludf.DUMMYFUNCTION("""COMPUTED_VALUE"""),"ernestocarlin@gmail.com")</f>
        <v>ernestocarlin@gmail.com</v>
      </c>
      <c r="AM404" s="1" t="str">
        <f>IFERROR(__xludf.DUMMYFUNCTION("""COMPUTED_VALUE"""),"FEMENINO")</f>
        <v>FEMENINO</v>
      </c>
      <c r="AN404" s="1">
        <f>IFERROR(__xludf.DUMMYFUNCTION("""COMPUTED_VALUE"""),2900.0)</f>
        <v>2900</v>
      </c>
      <c r="AO404" s="1">
        <f>IFERROR(__xludf.DUMMYFUNCTION("""COMPUTED_VALUE"""),1700.0)</f>
        <v>1700</v>
      </c>
      <c r="AP404" s="1" t="str">
        <f>IFERROR(__xludf.DUMMYFUNCTION("""COMPUTED_VALUE"""),"FORMULARIO")</f>
        <v>FORMULARIO</v>
      </c>
      <c r="AQ404" s="1" t="str">
        <f>IFERROR(__xludf.DUMMYFUNCTION("""COMPUTED_VALUE"""),"SEARCH MARCA")</f>
        <v>SEARCH MARCA</v>
      </c>
      <c r="AR404" s="1" t="str">
        <f>IFERROR(__xludf.DUMMYFUNCTION("""COMPUTED_VALUE"""),"HEREDADO")</f>
        <v>HEREDADO</v>
      </c>
      <c r="AS404" s="1" t="str">
        <f>IFERROR(__xludf.DUMMYFUNCTION("""COMPUTED_VALUE"""),"ucal-pg-performance-sedes-abierta-cpl-search_conversion_marca-20240401")</f>
        <v>ucal-pg-performance-sedes-abierta-cpl-search_conversion_marca-20240401</v>
      </c>
      <c r="AT404" s="2">
        <f>IFERROR(__xludf.DUMMYFUNCTION("""COMPUTED_VALUE"""),45676.0)</f>
        <v>45676</v>
      </c>
      <c r="AU404" s="1">
        <f>IFERROR(__xludf.DUMMYFUNCTION("""COMPUTED_VALUE"""),1.0)</f>
        <v>1</v>
      </c>
      <c r="AV404" s="1" t="str">
        <f>IFERROR(__xludf.DUMMYFUNCTION("""COMPUTED_VALUE"""),"NUEVO")</f>
        <v>NUEVO</v>
      </c>
      <c r="AW404" s="1" t="str">
        <f>IFERROR(__xludf.DUMMYFUNCTION("""COMPUTED_VALUE"""),"SI")</f>
        <v>SI</v>
      </c>
      <c r="AX404" s="1"/>
      <c r="AY404" s="1" t="str">
        <f>IFERROR(__xludf.DUMMYFUNCTION("""COMPUTED_VALUE"""),"PAGO COMPLETO")</f>
        <v>PAGO COMPLETO</v>
      </c>
      <c r="AZ404" s="5">
        <f>IFERROR(__xludf.DUMMYFUNCTION("""COMPUTED_VALUE"""),45688.0)</f>
        <v>45688</v>
      </c>
      <c r="BA404" s="1">
        <f>IFERROR(__xludf.DUMMYFUNCTION("""COMPUTED_VALUE"""),800.0)</f>
        <v>800</v>
      </c>
      <c r="BB404" s="1">
        <f>IFERROR(__xludf.DUMMYFUNCTION("""COMPUTED_VALUE"""),0.0)</f>
        <v>0</v>
      </c>
      <c r="BC404" s="4">
        <f>IFERROR(__xludf.DUMMYFUNCTION("""COMPUTED_VALUE"""),0.0)</f>
        <v>0</v>
      </c>
      <c r="BD404" s="4">
        <f>IFERROR(__xludf.DUMMYFUNCTION("""COMPUTED_VALUE"""),0.0)</f>
        <v>0</v>
      </c>
      <c r="BE404" s="1">
        <f>IFERROR(__xludf.DUMMYFUNCTION("""COMPUTED_VALUE"""),1.0)</f>
        <v>1</v>
      </c>
      <c r="BF404" s="6">
        <f>IFERROR(__xludf.DUMMYFUNCTION("""COMPUTED_VALUE"""),1.0)</f>
        <v>1</v>
      </c>
      <c r="BG404" s="1">
        <f>IFERROR(__xludf.DUMMYFUNCTION("""COMPUTED_VALUE"""),1.0)</f>
        <v>1</v>
      </c>
      <c r="BH404" s="1" t="str">
        <f>IFERROR(__xludf.DUMMYFUNCTION("""COMPUTED_VALUE"""),"0")</f>
        <v>0</v>
      </c>
      <c r="BI404" s="4">
        <f>IFERROR(__xludf.DUMMYFUNCTION("""COMPUTED_VALUE"""),1600.0)</f>
        <v>1600</v>
      </c>
      <c r="BJ404" s="1">
        <f>IFERROR(__xludf.DUMMYFUNCTION("""COMPUTED_VALUE"""),0.0)</f>
        <v>0</v>
      </c>
      <c r="BK404" s="4">
        <f>IFERROR(__xludf.DUMMYFUNCTION("""COMPUTED_VALUE"""),0.0)</f>
        <v>0</v>
      </c>
      <c r="BL404" s="1">
        <f>IFERROR(__xludf.DUMMYFUNCTION("""COMPUTED_VALUE"""),1600.0)</f>
        <v>1600</v>
      </c>
      <c r="BM404" s="1">
        <f>IFERROR(__xludf.DUMMYFUNCTION("""COMPUTED_VALUE"""),4.0)</f>
        <v>4</v>
      </c>
      <c r="BN404" s="2">
        <f>IFERROR(__xludf.DUMMYFUNCTION("""COMPUTED_VALUE"""),45677.0)</f>
        <v>45677</v>
      </c>
      <c r="BO404" s="1">
        <f>IFERROR(__xludf.DUMMYFUNCTION("""COMPUTED_VALUE"""),1.0)</f>
        <v>1</v>
      </c>
      <c r="BP404" s="1">
        <f>IFERROR(__xludf.DUMMYFUNCTION("""COMPUTED_VALUE"""),2025.0)</f>
        <v>2025</v>
      </c>
    </row>
    <row r="405">
      <c r="A405" s="1">
        <f>IFERROR(__xludf.DUMMYFUNCTION("""COMPUTED_VALUE"""),404.0)</f>
        <v>404</v>
      </c>
      <c r="B405" s="1">
        <f>IFERROR(__xludf.DUMMYFUNCTION("""COMPUTED_VALUE"""),911406.0)</f>
        <v>911406</v>
      </c>
      <c r="C405" s="1" t="str">
        <f>IFERROR(__xludf.DUMMYFUNCTION("""COMPUTED_VALUE"""),"2025-1")</f>
        <v>2025-1</v>
      </c>
      <c r="D405" s="1" t="str">
        <f>IFERROR(__xludf.DUMMYFUNCTION("""COMPUTED_VALUE"""),"Admisión Extraordinaria (Traslados)")</f>
        <v>Admisión Extraordinaria (Traslados)</v>
      </c>
      <c r="E405" s="2">
        <f>IFERROR(__xludf.DUMMYFUNCTION("""COMPUTED_VALUE"""),45682.0)</f>
        <v>45682</v>
      </c>
      <c r="F405" s="1" t="str">
        <f>IFERROR(__xludf.DUMMYFUNCTION("""COMPUTED_VALUE"""),"CLAUDIA ALESSANDRA ")</f>
        <v>CLAUDIA ALESSANDRA </v>
      </c>
      <c r="G405" s="1" t="str">
        <f>IFERROR(__xludf.DUMMYFUNCTION("""COMPUTED_VALUE"""),"CARRASCO TORRALVA")</f>
        <v>CARRASCO TORRALVA</v>
      </c>
      <c r="H405" s="1" t="str">
        <f>IFERROR(__xludf.DUMMYFUNCTION("""COMPUTED_VALUE"""),"Arquitectura")</f>
        <v>Arquitectura</v>
      </c>
      <c r="I405" s="1" t="str">
        <f>IFERROR(__xludf.DUMMYFUNCTION("""COMPUTED_VALUE"""),"POS")</f>
        <v>POS</v>
      </c>
      <c r="J405" s="1" t="str">
        <f>IFERROR(__xludf.DUMMYFUNCTION("""COMPUTED_VALUE"""),"Diurno")</f>
        <v>Diurno</v>
      </c>
      <c r="K405" s="1" t="str">
        <f>IFERROR(__xludf.DUMMYFUNCTION("""COMPUTED_VALUE"""),"TRASLADO")</f>
        <v>TRASLADO</v>
      </c>
      <c r="L405" s="1">
        <f>IFERROR(__xludf.DUMMYFUNCTION("""COMPUTED_VALUE"""),1.0)</f>
        <v>1</v>
      </c>
      <c r="M405" s="1">
        <f>IFERROR(__xludf.DUMMYFUNCTION("""COMPUTED_VALUE"""),0.0)</f>
        <v>0</v>
      </c>
      <c r="N405" s="1" t="str">
        <f>IFERROR(__xludf.DUMMYFUNCTION("""COMPUTED_VALUE"""),"RECA")</f>
        <v>RECA</v>
      </c>
      <c r="O405" s="1" t="str">
        <f>IFERROR(__xludf.DUMMYFUNCTION("""COMPUTED_VALUE"""),"RECA TRASLADO CON CONVA")</f>
        <v>RECA TRASLADO CON CONVA</v>
      </c>
      <c r="P405" s="4">
        <f>IFERROR(__xludf.DUMMYFUNCTION("""COMPUTED_VALUE"""),0.0)</f>
        <v>0</v>
      </c>
      <c r="Q405" s="4">
        <f>IFERROR(__xludf.DUMMYFUNCTION("""COMPUTED_VALUE"""),0.0)</f>
        <v>0</v>
      </c>
      <c r="R405" s="4">
        <f>IFERROR(__xludf.DUMMYFUNCTION("""COMPUTED_VALUE"""),1050.0)</f>
        <v>1050</v>
      </c>
      <c r="S405" s="4">
        <f>IFERROR(__xludf.DUMMYFUNCTION("""COMPUTED_VALUE"""),1050.0)</f>
        <v>1050</v>
      </c>
      <c r="T405" s="1" t="str">
        <f>IFERROR(__xludf.DUMMYFUNCTION("""COMPUTED_VALUE"""),"Visita Guiada")</f>
        <v>Visita Guiada</v>
      </c>
      <c r="U405" s="1"/>
      <c r="V405" s="1" t="str">
        <f>IFERROR(__xludf.DUMMYFUNCTION("""COMPUTED_VALUE"""),"Ninguno")</f>
        <v>Ninguno</v>
      </c>
      <c r="W405" s="1" t="str">
        <f>IFERROR(__xludf.DUMMYFUNCTION("""COMPUTED_VALUE"""),"Malla curricular")</f>
        <v>Malla curricular</v>
      </c>
      <c r="X405" s="1" t="str">
        <f>IFERROR(__xludf.DUMMYFUNCTION("""COMPUTED_VALUE"""),"0")</f>
        <v>0</v>
      </c>
      <c r="Y405" s="1" t="str">
        <f>IFERROR(__xludf.DUMMYFUNCTION("""COMPUTED_VALUE"""),"PAGO COMPLETO")</f>
        <v>PAGO COMPLETO</v>
      </c>
      <c r="Z405" s="1"/>
      <c r="AA405" s="1"/>
      <c r="AB405" s="1">
        <f>IFERROR(__xludf.DUMMYFUNCTION("""COMPUTED_VALUE"""),1.0)</f>
        <v>1</v>
      </c>
      <c r="AC405" s="1">
        <f>IFERROR(__xludf.DUMMYFUNCTION("""COMPUTED_VALUE"""),1.0)</f>
        <v>1</v>
      </c>
      <c r="AD405" s="1" t="str">
        <f>IFERROR(__xludf.DUMMYFUNCTION("""COMPUTED_VALUE"""),"Ingrid Guillermo Rivera")</f>
        <v>Ingrid Guillermo Rivera</v>
      </c>
      <c r="AE405" s="1" t="str">
        <f>IFERROR(__xludf.DUMMYFUNCTION("""COMPUTED_VALUE"""),"Instituto de Educación Superior Tecnológico Privado Toulouse Lautrec")</f>
        <v>Instituto de Educación Superior Tecnológico Privado Toulouse Lautrec</v>
      </c>
      <c r="AF405" s="1">
        <f>IFERROR(__xludf.DUMMYFUNCTION("""COMPUTED_VALUE"""),2019.0)</f>
        <v>2019</v>
      </c>
      <c r="AG405" s="1">
        <f>IFERROR(__xludf.DUMMYFUNCTION("""COMPUTED_VALUE"""),1723873.0)</f>
        <v>1723873</v>
      </c>
      <c r="AH405" s="1">
        <f>IFERROR(__xludf.DUMMYFUNCTION("""COMPUTED_VALUE"""),23.0)</f>
        <v>23</v>
      </c>
      <c r="AI405" s="1" t="str">
        <f>IFERROR(__xludf.DUMMYFUNCTION("""COMPUTED_VALUE"""),"2018003069")</f>
        <v>2018003069</v>
      </c>
      <c r="AJ405" s="1">
        <f>IFERROR(__xludf.DUMMYFUNCTION("""COMPUTED_VALUE"""),7.0477207E7)</f>
        <v>70477207</v>
      </c>
      <c r="AK405" s="1">
        <f>IFERROR(__xludf.DUMMYFUNCTION("""COMPUTED_VALUE"""),9.96158856E8)</f>
        <v>996158856</v>
      </c>
      <c r="AL405" s="1" t="str">
        <f>IFERROR(__xludf.DUMMYFUNCTION("""COMPUTED_VALUE"""),"alessandratorralva@gmail.com")</f>
        <v>alessandratorralva@gmail.com</v>
      </c>
      <c r="AM405" s="1" t="str">
        <f>IFERROR(__xludf.DUMMYFUNCTION("""COMPUTED_VALUE"""),"FEMENINO")</f>
        <v>FEMENINO</v>
      </c>
      <c r="AN405" s="1">
        <f>IFERROR(__xludf.DUMMYFUNCTION("""COMPUTED_VALUE"""),1350.0)</f>
        <v>1350</v>
      </c>
      <c r="AO405" s="1">
        <f>IFERROR(__xludf.DUMMYFUNCTION("""COMPUTED_VALUE"""),737.0)</f>
        <v>737</v>
      </c>
      <c r="AP405" s="1" t="str">
        <f>IFERROR(__xludf.DUMMYFUNCTION("""COMPUTED_VALUE"""),"BIDIRECCIONAL")</f>
        <v>BIDIRECCIONAL</v>
      </c>
      <c r="AQ405" s="1" t="str">
        <f>IFERROR(__xludf.DUMMYFUNCTION("""COMPUTED_VALUE"""),"ORGANICO")</f>
        <v>ORGANICO</v>
      </c>
      <c r="AR405" s="1" t="str">
        <f>IFERROR(__xludf.DUMMYFUNCTION("""COMPUTED_VALUE"""),"HEREDADO")</f>
        <v>HEREDADO</v>
      </c>
      <c r="AS405" s="1"/>
      <c r="AT405" s="2">
        <f>IFERROR(__xludf.DUMMYFUNCTION("""COMPUTED_VALUE"""),45524.0)</f>
        <v>45524</v>
      </c>
      <c r="AU405" s="1">
        <f>IFERROR(__xludf.DUMMYFUNCTION("""COMPUTED_VALUE"""),1.0)</f>
        <v>1</v>
      </c>
      <c r="AV405" s="1" t="str">
        <f>IFERROR(__xludf.DUMMYFUNCTION("""COMPUTED_VALUE"""),"TRASLADO")</f>
        <v>TRASLADO</v>
      </c>
      <c r="AW405" s="1" t="str">
        <f>IFERROR(__xludf.DUMMYFUNCTION("""COMPUTED_VALUE"""),"SI")</f>
        <v>SI</v>
      </c>
      <c r="AX405" s="1"/>
      <c r="AY405" s="1" t="str">
        <f>IFERROR(__xludf.DUMMYFUNCTION("""COMPUTED_VALUE"""),"PAGO COMPLETO")</f>
        <v>PAGO COMPLETO</v>
      </c>
      <c r="AZ405" s="5">
        <f>IFERROR(__xludf.DUMMYFUNCTION("""COMPUTED_VALUE"""),45682.0)</f>
        <v>45682</v>
      </c>
      <c r="BA405" s="1">
        <f>IFERROR(__xludf.DUMMYFUNCTION("""COMPUTED_VALUE"""),0.0)</f>
        <v>0</v>
      </c>
      <c r="BB405" s="1">
        <f>IFERROR(__xludf.DUMMYFUNCTION("""COMPUTED_VALUE"""),0.0)</f>
        <v>0</v>
      </c>
      <c r="BC405" s="4">
        <f>IFERROR(__xludf.DUMMYFUNCTION("""COMPUTED_VALUE"""),0.0)</f>
        <v>0</v>
      </c>
      <c r="BD405" s="4">
        <f>IFERROR(__xludf.DUMMYFUNCTION("""COMPUTED_VALUE"""),100.0)</f>
        <v>100</v>
      </c>
      <c r="BE405" s="1">
        <f>IFERROR(__xludf.DUMMYFUNCTION("""COMPUTED_VALUE"""),1.0)</f>
        <v>1</v>
      </c>
      <c r="BF405" s="6">
        <f>IFERROR(__xludf.DUMMYFUNCTION("""COMPUTED_VALUE"""),1.0)</f>
        <v>1</v>
      </c>
      <c r="BG405" s="1">
        <f>IFERROR(__xludf.DUMMYFUNCTION("""COMPUTED_VALUE"""),1.0)</f>
        <v>1</v>
      </c>
      <c r="BH405" s="1" t="str">
        <f>IFERROR(__xludf.DUMMYFUNCTION("""COMPUTED_VALUE"""),"0")</f>
        <v>0</v>
      </c>
      <c r="BI405" s="4">
        <f>IFERROR(__xludf.DUMMYFUNCTION("""COMPUTED_VALUE"""),100.0)</f>
        <v>100</v>
      </c>
      <c r="BJ405" s="1">
        <f>IFERROR(__xludf.DUMMYFUNCTION("""COMPUTED_VALUE"""),0.0)</f>
        <v>0</v>
      </c>
      <c r="BK405" s="4">
        <f>IFERROR(__xludf.DUMMYFUNCTION("""COMPUTED_VALUE"""),100.0)</f>
        <v>100</v>
      </c>
      <c r="BL405" s="1">
        <f>IFERROR(__xludf.DUMMYFUNCTION("""COMPUTED_VALUE"""),1030.0)</f>
        <v>1030</v>
      </c>
      <c r="BM405" s="1">
        <f>IFERROR(__xludf.DUMMYFUNCTION("""COMPUTED_VALUE"""),4.0)</f>
        <v>4</v>
      </c>
      <c r="BN405" s="2">
        <f>IFERROR(__xludf.DUMMYFUNCTION("""COMPUTED_VALUE"""),45677.0)</f>
        <v>45677</v>
      </c>
      <c r="BO405" s="1">
        <f>IFERROR(__xludf.DUMMYFUNCTION("""COMPUTED_VALUE"""),1.0)</f>
        <v>1</v>
      </c>
      <c r="BP405" s="1">
        <f>IFERROR(__xludf.DUMMYFUNCTION("""COMPUTED_VALUE"""),2025.0)</f>
        <v>2025</v>
      </c>
    </row>
    <row r="406">
      <c r="A406" s="1">
        <f>IFERROR(__xludf.DUMMYFUNCTION("""COMPUTED_VALUE"""),405.0)</f>
        <v>405</v>
      </c>
      <c r="B406" s="1">
        <f>IFERROR(__xludf.DUMMYFUNCTION("""COMPUTED_VALUE"""),3282533.0)</f>
        <v>3282533</v>
      </c>
      <c r="C406" s="1" t="str">
        <f>IFERROR(__xludf.DUMMYFUNCTION("""COMPUTED_VALUE"""),"2025-1")</f>
        <v>2025-1</v>
      </c>
      <c r="D406" s="1" t="str">
        <f>IFERROR(__xludf.DUMMYFUNCTION("""COMPUTED_VALUE"""),"Admisión de Alto Rendimiento")</f>
        <v>Admisión de Alto Rendimiento</v>
      </c>
      <c r="E406" s="2">
        <f>IFERROR(__xludf.DUMMYFUNCTION("""COMPUTED_VALUE"""),45682.0)</f>
        <v>45682</v>
      </c>
      <c r="F406" s="1" t="str">
        <f>IFERROR(__xludf.DUMMYFUNCTION("""COMPUTED_VALUE"""),"RENATO ANGELO ")</f>
        <v>RENATO ANGELO </v>
      </c>
      <c r="G406" s="1" t="str">
        <f>IFERROR(__xludf.DUMMYFUNCTION("""COMPUTED_VALUE"""),"QUISPE YUCRA")</f>
        <v>QUISPE YUCRA</v>
      </c>
      <c r="H406" s="1" t="str">
        <f>IFERROR(__xludf.DUMMYFUNCTION("""COMPUTED_VALUE"""),"Diseño Gráfico Publicitario")</f>
        <v>Diseño Gráfico Publicitario</v>
      </c>
      <c r="I406" s="1" t="str">
        <f>IFERROR(__xludf.DUMMYFUNCTION("""COMPUTED_VALUE"""),"CARGO")</f>
        <v>CARGO</v>
      </c>
      <c r="J406" s="1" t="str">
        <f>IFERROR(__xludf.DUMMYFUNCTION("""COMPUTED_VALUE"""),"Diurno")</f>
        <v>Diurno</v>
      </c>
      <c r="K406" s="1" t="str">
        <f>IFERROR(__xludf.DUMMYFUNCTION("""COMPUTED_VALUE"""),"NUEVO")</f>
        <v>NUEVO</v>
      </c>
      <c r="L406" s="1">
        <f>IFERROR(__xludf.DUMMYFUNCTION("""COMPUTED_VALUE"""),0.0)</f>
        <v>0</v>
      </c>
      <c r="M406" s="1">
        <f>IFERROR(__xludf.DUMMYFUNCTION("""COMPUTED_VALUE"""),0.0)</f>
        <v>0</v>
      </c>
      <c r="N406" s="1" t="str">
        <f>IFERROR(__xludf.DUMMYFUNCTION("""COMPUTED_VALUE"""),"BECA")</f>
        <v>BECA</v>
      </c>
      <c r="O406" s="1" t="str">
        <f>IFERROR(__xludf.DUMMYFUNCTION("""COMPUTED_VALUE"""),"BECA CONGELADA DE 2 AÑOS")</f>
        <v>BECA CONGELADA DE 2 AÑOS</v>
      </c>
      <c r="P406" s="4">
        <f>IFERROR(__xludf.DUMMYFUNCTION("""COMPUTED_VALUE"""),0.0)</f>
        <v>0</v>
      </c>
      <c r="Q406" s="4">
        <f>IFERROR(__xludf.DUMMYFUNCTION("""COMPUTED_VALUE"""),0.0)</f>
        <v>0</v>
      </c>
      <c r="R406" s="4">
        <f>IFERROR(__xludf.DUMMYFUNCTION("""COMPUTED_VALUE"""),1150.0)</f>
        <v>1150</v>
      </c>
      <c r="S406" s="4">
        <f>IFERROR(__xludf.DUMMYFUNCTION("""COMPUTED_VALUE"""),950.0)</f>
        <v>950</v>
      </c>
      <c r="T406" s="1" t="str">
        <f>IFERROR(__xludf.DUMMYFUNCTION("""COMPUTED_VALUE"""),"Visita Guiada")</f>
        <v>Visita Guiada</v>
      </c>
      <c r="U406" s="1" t="str">
        <f>IFERROR(__xludf.DUMMYFUNCTION("""COMPUTED_VALUE"""),"RODRIGO")</f>
        <v>RODRIGO</v>
      </c>
      <c r="V406" s="1" t="str">
        <f>IFERROR(__xludf.DUMMYFUNCTION("""COMPUTED_VALUE"""),"Ninguno")</f>
        <v>Ninguno</v>
      </c>
      <c r="W406" s="1" t="str">
        <f>IFERROR(__xludf.DUMMYFUNCTION("""COMPUTED_VALUE"""),"Beca")</f>
        <v>Beca</v>
      </c>
      <c r="X406" s="1"/>
      <c r="Y406" s="1" t="str">
        <f>IFERROR(__xludf.DUMMYFUNCTION("""COMPUTED_VALUE"""),"PAGO FRACCIONADO")</f>
        <v>PAGO FRACCIONADO</v>
      </c>
      <c r="Z406" s="1">
        <f>IFERROR(__xludf.DUMMYFUNCTION("""COMPUTED_VALUE"""),500.0)</f>
        <v>500</v>
      </c>
      <c r="AA406" s="1" t="str">
        <f>IFERROR(__xludf.DUMMYFUNCTION("""COMPUTED_VALUE"""),"25/01/2025")</f>
        <v>25/01/2025</v>
      </c>
      <c r="AB406" s="1">
        <f>IFERROR(__xludf.DUMMYFUNCTION("""COMPUTED_VALUE"""),0.0)</f>
        <v>0</v>
      </c>
      <c r="AC406" s="1">
        <f>IFERROR(__xludf.DUMMYFUNCTION("""COMPUTED_VALUE"""),0.0)</f>
        <v>0</v>
      </c>
      <c r="AD406" s="1" t="str">
        <f>IFERROR(__xludf.DUMMYFUNCTION("""COMPUTED_VALUE"""),"Erwyn Terie Vital Avila")</f>
        <v>Erwyn Terie Vital Avila</v>
      </c>
      <c r="AE406" s="1" t="str">
        <f>IFERROR(__xludf.DUMMYFUNCTION("""COMPUTED_VALUE"""),"0")</f>
        <v>0</v>
      </c>
      <c r="AF406" s="1">
        <f>IFERROR(__xludf.DUMMYFUNCTION("""COMPUTED_VALUE"""),2024.0)</f>
        <v>2024</v>
      </c>
      <c r="AG406" s="1">
        <f>IFERROR(__xludf.DUMMYFUNCTION("""COMPUTED_VALUE"""),504993.0)</f>
        <v>504993</v>
      </c>
      <c r="AH406" s="1">
        <f>IFERROR(__xludf.DUMMYFUNCTION("""COMPUTED_VALUE"""),17.0)</f>
        <v>17</v>
      </c>
      <c r="AI406" s="1" t="str">
        <f>IFERROR(__xludf.DUMMYFUNCTION("""COMPUTED_VALUE"""),"0000411492")</f>
        <v>0000411492</v>
      </c>
      <c r="AJ406" s="1">
        <f>IFERROR(__xludf.DUMMYFUNCTION("""COMPUTED_VALUE"""),7.1168226E7)</f>
        <v>71168226</v>
      </c>
      <c r="AK406" s="1">
        <f>IFERROR(__xludf.DUMMYFUNCTION("""COMPUTED_VALUE"""),9.51234567E8)</f>
        <v>951234567</v>
      </c>
      <c r="AL406" s="1" t="str">
        <f>IFERROR(__xludf.DUMMYFUNCTION("""COMPUTED_VALUE"""),"quispeyucrarenato2008@gmail.com")</f>
        <v>quispeyucrarenato2008@gmail.com</v>
      </c>
      <c r="AM406" s="1" t="str">
        <f>IFERROR(__xludf.DUMMYFUNCTION("""COMPUTED_VALUE"""),"MASCULINO")</f>
        <v>MASCULINO</v>
      </c>
      <c r="AN406" s="1">
        <f>IFERROR(__xludf.DUMMYFUNCTION("""COMPUTED_VALUE"""),1350.0)</f>
        <v>1350</v>
      </c>
      <c r="AO406" s="1">
        <f>IFERROR(__xludf.DUMMYFUNCTION("""COMPUTED_VALUE"""),0.0)</f>
        <v>0</v>
      </c>
      <c r="AP406" s="1" t="str">
        <f>IFERROR(__xludf.DUMMYFUNCTION("""COMPUTED_VALUE"""),"VISITA")</f>
        <v>VISITA</v>
      </c>
      <c r="AQ406" s="1" t="str">
        <f>IFERROR(__xludf.DUMMYFUNCTION("""COMPUTED_VALUE"""),"VISITA")</f>
        <v>VISITA</v>
      </c>
      <c r="AR406" s="1" t="str">
        <f>IFERROR(__xludf.DUMMYFUNCTION("""COMPUTED_VALUE"""),"NUEVO")</f>
        <v>NUEVO</v>
      </c>
      <c r="AS406" s="1"/>
      <c r="AT406" s="2">
        <f>IFERROR(__xludf.DUMMYFUNCTION("""COMPUTED_VALUE"""),45682.0)</f>
        <v>45682</v>
      </c>
      <c r="AU406" s="1">
        <f>IFERROR(__xludf.DUMMYFUNCTION("""COMPUTED_VALUE"""),1.0)</f>
        <v>1</v>
      </c>
      <c r="AV406" s="1" t="str">
        <f>IFERROR(__xludf.DUMMYFUNCTION("""COMPUTED_VALUE"""),"NUEVO")</f>
        <v>NUEVO</v>
      </c>
      <c r="AW406" s="1" t="str">
        <f>IFERROR(__xludf.DUMMYFUNCTION("""COMPUTED_VALUE"""),"SI")</f>
        <v>SI</v>
      </c>
      <c r="AX406" s="1"/>
      <c r="AY406" s="1" t="str">
        <f>IFERROR(__xludf.DUMMYFUNCTION("""COMPUTED_VALUE"""),"PAGO COMPLETO")</f>
        <v>PAGO COMPLETO</v>
      </c>
      <c r="AZ406" s="5">
        <f>IFERROR(__xludf.DUMMYFUNCTION("""COMPUTED_VALUE"""),45686.0)</f>
        <v>45686</v>
      </c>
      <c r="BA406" s="1">
        <f>IFERROR(__xludf.DUMMYFUNCTION("""COMPUTED_VALUE"""),350.0)</f>
        <v>350</v>
      </c>
      <c r="BB406" s="1">
        <f>IFERROR(__xludf.DUMMYFUNCTION("""COMPUTED_VALUE"""),0.0)</f>
        <v>0</v>
      </c>
      <c r="BC406" s="4">
        <f>IFERROR(__xludf.DUMMYFUNCTION("""COMPUTED_VALUE"""),0.0)</f>
        <v>0</v>
      </c>
      <c r="BD406" s="4">
        <f>IFERROR(__xludf.DUMMYFUNCTION("""COMPUTED_VALUE"""),100.0)</f>
        <v>100</v>
      </c>
      <c r="BE406" s="1">
        <f>IFERROR(__xludf.DUMMYFUNCTION("""COMPUTED_VALUE"""),1.0)</f>
        <v>1</v>
      </c>
      <c r="BF406" s="6">
        <f>IFERROR(__xludf.DUMMYFUNCTION("""COMPUTED_VALUE"""),1.0)</f>
        <v>1</v>
      </c>
      <c r="BG406" s="1">
        <f>IFERROR(__xludf.DUMMYFUNCTION("""COMPUTED_VALUE"""),1.0)</f>
        <v>1</v>
      </c>
      <c r="BH406" s="1" t="str">
        <f>IFERROR(__xludf.DUMMYFUNCTION("""COMPUTED_VALUE"""),"0")</f>
        <v>0</v>
      </c>
      <c r="BI406" s="4">
        <f>IFERROR(__xludf.DUMMYFUNCTION("""COMPUTED_VALUE"""),950.0)</f>
        <v>950</v>
      </c>
      <c r="BJ406" s="1">
        <f>IFERROR(__xludf.DUMMYFUNCTION("""COMPUTED_VALUE"""),0.0)</f>
        <v>0</v>
      </c>
      <c r="BK406" s="4">
        <f>IFERROR(__xludf.DUMMYFUNCTION("""COMPUTED_VALUE"""),100.0)</f>
        <v>100</v>
      </c>
      <c r="BL406" s="1">
        <f>IFERROR(__xludf.DUMMYFUNCTION("""COMPUTED_VALUE"""),930.0)</f>
        <v>930</v>
      </c>
      <c r="BM406" s="1">
        <f>IFERROR(__xludf.DUMMYFUNCTION("""COMPUTED_VALUE"""),4.0)</f>
        <v>4</v>
      </c>
      <c r="BN406" s="2">
        <f>IFERROR(__xludf.DUMMYFUNCTION("""COMPUTED_VALUE"""),45677.0)</f>
        <v>45677</v>
      </c>
      <c r="BO406" s="1">
        <f>IFERROR(__xludf.DUMMYFUNCTION("""COMPUTED_VALUE"""),1.0)</f>
        <v>1</v>
      </c>
      <c r="BP406" s="1">
        <f>IFERROR(__xludf.DUMMYFUNCTION("""COMPUTED_VALUE"""),2025.0)</f>
        <v>2025</v>
      </c>
    </row>
    <row r="407">
      <c r="A407" s="1">
        <f>IFERROR(__xludf.DUMMYFUNCTION("""COMPUTED_VALUE"""),406.0)</f>
        <v>406</v>
      </c>
      <c r="B407" s="1">
        <f>IFERROR(__xludf.DUMMYFUNCTION("""COMPUTED_VALUE"""),4967880.0)</f>
        <v>4967880</v>
      </c>
      <c r="C407" s="1" t="str">
        <f>IFERROR(__xludf.DUMMYFUNCTION("""COMPUTED_VALUE"""),"2025-1")</f>
        <v>2025-1</v>
      </c>
      <c r="D407" s="1" t="str">
        <f>IFERROR(__xludf.DUMMYFUNCTION("""COMPUTED_VALUE"""),"Admisión de Alto Rendimiento")</f>
        <v>Admisión de Alto Rendimiento</v>
      </c>
      <c r="E407" s="2">
        <f>IFERROR(__xludf.DUMMYFUNCTION("""COMPUTED_VALUE"""),45682.0)</f>
        <v>45682</v>
      </c>
      <c r="F407" s="1" t="str">
        <f>IFERROR(__xludf.DUMMYFUNCTION("""COMPUTED_VALUE"""),"ERIKA ABIGAIL")</f>
        <v>ERIKA ABIGAIL</v>
      </c>
      <c r="G407" s="1" t="str">
        <f>IFERROR(__xludf.DUMMYFUNCTION("""COMPUTED_VALUE"""),"ALVITES VELA")</f>
        <v>ALVITES VELA</v>
      </c>
      <c r="H407" s="1" t="str">
        <f>IFERROR(__xludf.DUMMYFUNCTION("""COMPUTED_VALUE"""),"Comunicación Audiovisual y Cine")</f>
        <v>Comunicación Audiovisual y Cine</v>
      </c>
      <c r="I407" s="1" t="str">
        <f>IFERROR(__xludf.DUMMYFUNCTION("""COMPUTED_VALUE"""),"CARGO")</f>
        <v>CARGO</v>
      </c>
      <c r="J407" s="1" t="str">
        <f>IFERROR(__xludf.DUMMYFUNCTION("""COMPUTED_VALUE"""),"Diurno")</f>
        <v>Diurno</v>
      </c>
      <c r="K407" s="1" t="str">
        <f>IFERROR(__xludf.DUMMYFUNCTION("""COMPUTED_VALUE"""),"NUEVO")</f>
        <v>NUEVO</v>
      </c>
      <c r="L407" s="1">
        <f>IFERROR(__xludf.DUMMYFUNCTION("""COMPUTED_VALUE"""),0.0)</f>
        <v>0</v>
      </c>
      <c r="M407" s="1">
        <f>IFERROR(__xludf.DUMMYFUNCTION("""COMPUTED_VALUE"""),0.0)</f>
        <v>0</v>
      </c>
      <c r="N407" s="1" t="str">
        <f>IFERROR(__xludf.DUMMYFUNCTION("""COMPUTED_VALUE"""),"BECA")</f>
        <v>BECA</v>
      </c>
      <c r="O407" s="1" t="str">
        <f>IFERROR(__xludf.DUMMYFUNCTION("""COMPUTED_VALUE"""),"BECA CONGELADA DE 2 AÑOS")</f>
        <v>BECA CONGELADA DE 2 AÑOS</v>
      </c>
      <c r="P407" s="4">
        <f>IFERROR(__xludf.DUMMYFUNCTION("""COMPUTED_VALUE"""),0.0)</f>
        <v>0</v>
      </c>
      <c r="Q407" s="4">
        <f>IFERROR(__xludf.DUMMYFUNCTION("""COMPUTED_VALUE"""),0.0)</f>
        <v>0</v>
      </c>
      <c r="R407" s="4">
        <f>IFERROR(__xludf.DUMMYFUNCTION("""COMPUTED_VALUE"""),1050.0)</f>
        <v>1050</v>
      </c>
      <c r="S407" s="4">
        <f>IFERROR(__xludf.DUMMYFUNCTION("""COMPUTED_VALUE"""),950.0)</f>
        <v>950</v>
      </c>
      <c r="T407" s="1" t="str">
        <f>IFERROR(__xludf.DUMMYFUNCTION("""COMPUTED_VALUE"""),"NINGUNO")</f>
        <v>NINGUNO</v>
      </c>
      <c r="U407" s="1" t="str">
        <f>IFERROR(__xludf.DUMMYFUNCTION("""COMPUTED_VALUE"""),"RODRIGO")</f>
        <v>RODRIGO</v>
      </c>
      <c r="V407" s="1" t="str">
        <f>IFERROR(__xludf.DUMMYFUNCTION("""COMPUTED_VALUE"""),"Ninguno")</f>
        <v>Ninguno</v>
      </c>
      <c r="W407" s="1" t="str">
        <f>IFERROR(__xludf.DUMMYFUNCTION("""COMPUTED_VALUE"""),"Beca")</f>
        <v>Beca</v>
      </c>
      <c r="X407" s="1"/>
      <c r="Y407" s="1" t="str">
        <f>IFERROR(__xludf.DUMMYFUNCTION("""COMPUTED_VALUE"""),"PAGO COMPLETO")</f>
        <v>PAGO COMPLETO</v>
      </c>
      <c r="Z407" s="1"/>
      <c r="AA407" s="1"/>
      <c r="AB407" s="1">
        <f>IFERROR(__xludf.DUMMYFUNCTION("""COMPUTED_VALUE"""),0.0)</f>
        <v>0</v>
      </c>
      <c r="AC407" s="1">
        <f>IFERROR(__xludf.DUMMYFUNCTION("""COMPUTED_VALUE"""),0.0)</f>
        <v>0</v>
      </c>
      <c r="AD407" s="1" t="str">
        <f>IFERROR(__xludf.DUMMYFUNCTION("""COMPUTED_VALUE"""),"Erwyn Terie Vital Avila")</f>
        <v>Erwyn Terie Vital Avila</v>
      </c>
      <c r="AE407" s="1" t="str">
        <f>IFERROR(__xludf.DUMMYFUNCTION("""COMPUTED_VALUE"""),"0")</f>
        <v>0</v>
      </c>
      <c r="AF407" s="1">
        <f>IFERROR(__xludf.DUMMYFUNCTION("""COMPUTED_VALUE"""),2023.0)</f>
        <v>2023</v>
      </c>
      <c r="AG407" s="1">
        <f>IFERROR(__xludf.DUMMYFUNCTION("""COMPUTED_VALUE"""),1242908.0)</f>
        <v>1242908</v>
      </c>
      <c r="AH407" s="1">
        <f>IFERROR(__xludf.DUMMYFUNCTION("""COMPUTED_VALUE"""),19.0)</f>
        <v>19</v>
      </c>
      <c r="AI407" s="1" t="str">
        <f>IFERROR(__xludf.DUMMYFUNCTION("""COMPUTED_VALUE"""),"0000074273")</f>
        <v>0000074273</v>
      </c>
      <c r="AJ407" s="1">
        <f>IFERROR(__xludf.DUMMYFUNCTION("""COMPUTED_VALUE"""),6.0790601E7)</f>
        <v>60790601</v>
      </c>
      <c r="AK407" s="1">
        <f>IFERROR(__xludf.DUMMYFUNCTION("""COMPUTED_VALUE"""),9.48842324E8)</f>
        <v>948842324</v>
      </c>
      <c r="AL407" s="1" t="str">
        <f>IFERROR(__xludf.DUMMYFUNCTION("""COMPUTED_VALUE"""),"Erikaalvitesvela@gmail.com")</f>
        <v>Erikaalvitesvela@gmail.com</v>
      </c>
      <c r="AM407" s="1" t="str">
        <f>IFERROR(__xludf.DUMMYFUNCTION("""COMPUTED_VALUE"""),"FEMENINO")</f>
        <v>FEMENINO</v>
      </c>
      <c r="AN407" s="1">
        <f>IFERROR(__xludf.DUMMYFUNCTION("""COMPUTED_VALUE"""),1350.0)</f>
        <v>1350</v>
      </c>
      <c r="AO407" s="1">
        <f>IFERROR(__xludf.DUMMYFUNCTION("""COMPUTED_VALUE"""),0.0)</f>
        <v>0</v>
      </c>
      <c r="AP407" s="1" t="str">
        <f>IFERROR(__xludf.DUMMYFUNCTION("""COMPUTED_VALUE"""),"EVENTOS")</f>
        <v>EVENTOS</v>
      </c>
      <c r="AQ407" s="1" t="str">
        <f>IFERROR(__xludf.DUMMYFUNCTION("""COMPUTED_VALUE"""),"EVENTOS")</f>
        <v>EVENTOS</v>
      </c>
      <c r="AR407" s="1" t="str">
        <f>IFERROR(__xludf.DUMMYFUNCTION("""COMPUTED_VALUE"""),"NUEVO")</f>
        <v>NUEVO</v>
      </c>
      <c r="AS407" s="1" t="str">
        <f>IFERROR(__xludf.DUMMYFUNCTION("""COMPUTED_VALUE"""),"ucal-pg-branding-nacional-abierta-no_aplica-explora31enero_ig-20240107")</f>
        <v>ucal-pg-branding-nacional-abierta-no_aplica-explora31enero_ig-20240107</v>
      </c>
      <c r="AT407" s="2">
        <f>IFERROR(__xludf.DUMMYFUNCTION("""COMPUTED_VALUE"""),45680.0)</f>
        <v>45680</v>
      </c>
      <c r="AU407" s="1">
        <f>IFERROR(__xludf.DUMMYFUNCTION("""COMPUTED_VALUE"""),1.0)</f>
        <v>1</v>
      </c>
      <c r="AV407" s="1" t="str">
        <f>IFERROR(__xludf.DUMMYFUNCTION("""COMPUTED_VALUE"""),"NUEVO")</f>
        <v>NUEVO</v>
      </c>
      <c r="AW407" s="1" t="str">
        <f>IFERROR(__xludf.DUMMYFUNCTION("""COMPUTED_VALUE"""),"SI")</f>
        <v>SI</v>
      </c>
      <c r="AX407" s="1"/>
      <c r="AY407" s="1" t="str">
        <f>IFERROR(__xludf.DUMMYFUNCTION("""COMPUTED_VALUE"""),"PAGO COMPLETO")</f>
        <v>PAGO COMPLETO</v>
      </c>
      <c r="AZ407" s="5">
        <f>IFERROR(__xludf.DUMMYFUNCTION("""COMPUTED_VALUE"""),45682.0)</f>
        <v>45682</v>
      </c>
      <c r="BA407" s="1">
        <f>IFERROR(__xludf.DUMMYFUNCTION("""COMPUTED_VALUE"""),0.0)</f>
        <v>0</v>
      </c>
      <c r="BB407" s="1">
        <f>IFERROR(__xludf.DUMMYFUNCTION("""COMPUTED_VALUE"""),0.0)</f>
        <v>0</v>
      </c>
      <c r="BC407" s="4">
        <f>IFERROR(__xludf.DUMMYFUNCTION("""COMPUTED_VALUE"""),0.0)</f>
        <v>0</v>
      </c>
      <c r="BD407" s="4">
        <f>IFERROR(__xludf.DUMMYFUNCTION("""COMPUTED_VALUE"""),0.0)</f>
        <v>0</v>
      </c>
      <c r="BE407" s="1">
        <f>IFERROR(__xludf.DUMMYFUNCTION("""COMPUTED_VALUE"""),1.0)</f>
        <v>1</v>
      </c>
      <c r="BF407" s="6">
        <f>IFERROR(__xludf.DUMMYFUNCTION("""COMPUTED_VALUE"""),1.0)</f>
        <v>1</v>
      </c>
      <c r="BG407" s="1">
        <f>IFERROR(__xludf.DUMMYFUNCTION("""COMPUTED_VALUE"""),1.0)</f>
        <v>1</v>
      </c>
      <c r="BH407" s="1" t="str">
        <f>IFERROR(__xludf.DUMMYFUNCTION("""COMPUTED_VALUE"""),"0")</f>
        <v>0</v>
      </c>
      <c r="BI407" s="4">
        <f>IFERROR(__xludf.DUMMYFUNCTION("""COMPUTED_VALUE"""),0.0)</f>
        <v>0</v>
      </c>
      <c r="BJ407" s="1">
        <f>IFERROR(__xludf.DUMMYFUNCTION("""COMPUTED_VALUE"""),0.0)</f>
        <v>0</v>
      </c>
      <c r="BK407" s="4">
        <f>IFERROR(__xludf.DUMMYFUNCTION("""COMPUTED_VALUE"""),0.0)</f>
        <v>0</v>
      </c>
      <c r="BL407" s="1">
        <f>IFERROR(__xludf.DUMMYFUNCTION("""COMPUTED_VALUE"""),950.0)</f>
        <v>950</v>
      </c>
      <c r="BM407" s="1">
        <f>IFERROR(__xludf.DUMMYFUNCTION("""COMPUTED_VALUE"""),4.0)</f>
        <v>4</v>
      </c>
      <c r="BN407" s="2">
        <f>IFERROR(__xludf.DUMMYFUNCTION("""COMPUTED_VALUE"""),45677.0)</f>
        <v>45677</v>
      </c>
      <c r="BO407" s="1">
        <f>IFERROR(__xludf.DUMMYFUNCTION("""COMPUTED_VALUE"""),1.0)</f>
        <v>1</v>
      </c>
      <c r="BP407" s="1">
        <f>IFERROR(__xludf.DUMMYFUNCTION("""COMPUTED_VALUE"""),2025.0)</f>
        <v>2025</v>
      </c>
    </row>
    <row r="408">
      <c r="A408" s="1">
        <f>IFERROR(__xludf.DUMMYFUNCTION("""COMPUTED_VALUE"""),407.0)</f>
        <v>407</v>
      </c>
      <c r="B408" s="1">
        <f>IFERROR(__xludf.DUMMYFUNCTION("""COMPUTED_VALUE"""),4965389.0)</f>
        <v>4965389</v>
      </c>
      <c r="C408" s="1" t="str">
        <f>IFERROR(__xludf.DUMMYFUNCTION("""COMPUTED_VALUE"""),"2025-1")</f>
        <v>2025-1</v>
      </c>
      <c r="D408" s="1" t="str">
        <f>IFERROR(__xludf.DUMMYFUNCTION("""COMPUTED_VALUE"""),"Admisión de Alto Rendimiento")</f>
        <v>Admisión de Alto Rendimiento</v>
      </c>
      <c r="E408" s="2">
        <f>IFERROR(__xludf.DUMMYFUNCTION("""COMPUTED_VALUE"""),45682.0)</f>
        <v>45682</v>
      </c>
      <c r="F408" s="1" t="str">
        <f>IFERROR(__xludf.DUMMYFUNCTION("""COMPUTED_VALUE"""),"ANNIE GABRIELA ")</f>
        <v>ANNIE GABRIELA </v>
      </c>
      <c r="G408" s="1" t="str">
        <f>IFERROR(__xludf.DUMMYFUNCTION("""COMPUTED_VALUE"""),"GUAL VASQUEZ")</f>
        <v>GUAL VASQUEZ</v>
      </c>
      <c r="H408" s="1" t="str">
        <f>IFERROR(__xludf.DUMMYFUNCTION("""COMPUTED_VALUE"""),"Comunicación Audiovisual y Cine")</f>
        <v>Comunicación Audiovisual y Cine</v>
      </c>
      <c r="I408" s="1" t="str">
        <f>IFERROR(__xludf.DUMMYFUNCTION("""COMPUTED_VALUE"""),"POS")</f>
        <v>POS</v>
      </c>
      <c r="J408" s="1" t="str">
        <f>IFERROR(__xludf.DUMMYFUNCTION("""COMPUTED_VALUE"""),"Diurno")</f>
        <v>Diurno</v>
      </c>
      <c r="K408" s="1" t="str">
        <f>IFERROR(__xludf.DUMMYFUNCTION("""COMPUTED_VALUE"""),"NUEVO")</f>
        <v>NUEVO</v>
      </c>
      <c r="L408" s="1">
        <f>IFERROR(__xludf.DUMMYFUNCTION("""COMPUTED_VALUE"""),0.0)</f>
        <v>0</v>
      </c>
      <c r="M408" s="1">
        <f>IFERROR(__xludf.DUMMYFUNCTION("""COMPUTED_VALUE"""),0.0)</f>
        <v>0</v>
      </c>
      <c r="N408" s="1" t="str">
        <f>IFERROR(__xludf.DUMMYFUNCTION("""COMPUTED_VALUE"""),"BECA")</f>
        <v>BECA</v>
      </c>
      <c r="O408" s="1" t="str">
        <f>IFERROR(__xludf.DUMMYFUNCTION("""COMPUTED_VALUE"""),"BECA CONGELADA DE 2 AÑOS")</f>
        <v>BECA CONGELADA DE 2 AÑOS</v>
      </c>
      <c r="P408" s="4">
        <f>IFERROR(__xludf.DUMMYFUNCTION("""COMPUTED_VALUE"""),0.0)</f>
        <v>0</v>
      </c>
      <c r="Q408" s="4">
        <f>IFERROR(__xludf.DUMMYFUNCTION("""COMPUTED_VALUE"""),0.0)</f>
        <v>0</v>
      </c>
      <c r="R408" s="4">
        <f>IFERROR(__xludf.DUMMYFUNCTION("""COMPUTED_VALUE"""),1050.0)</f>
        <v>1050</v>
      </c>
      <c r="S408" s="4">
        <f>IFERROR(__xludf.DUMMYFUNCTION("""COMPUTED_VALUE"""),950.0)</f>
        <v>950</v>
      </c>
      <c r="T408" s="1" t="str">
        <f>IFERROR(__xludf.DUMMYFUNCTION("""COMPUTED_VALUE"""),"Visita Guiada")</f>
        <v>Visita Guiada</v>
      </c>
      <c r="U408" s="1" t="str">
        <f>IFERROR(__xludf.DUMMYFUNCTION("""COMPUTED_VALUE"""),"RODRIGO")</f>
        <v>RODRIGO</v>
      </c>
      <c r="V408" s="1" t="str">
        <f>IFERROR(__xludf.DUMMYFUNCTION("""COMPUTED_VALUE"""),"Ninguno")</f>
        <v>Ninguno</v>
      </c>
      <c r="W408" s="1" t="str">
        <f>IFERROR(__xludf.DUMMYFUNCTION("""COMPUTED_VALUE"""),"Beca")</f>
        <v>Beca</v>
      </c>
      <c r="X408" s="1"/>
      <c r="Y408" s="1" t="str">
        <f>IFERROR(__xludf.DUMMYFUNCTION("""COMPUTED_VALUE"""),"PAGO COMPLETO")</f>
        <v>PAGO COMPLETO</v>
      </c>
      <c r="Z408" s="1"/>
      <c r="AA408" s="1"/>
      <c r="AB408" s="1">
        <f>IFERROR(__xludf.DUMMYFUNCTION("""COMPUTED_VALUE"""),0.0)</f>
        <v>0</v>
      </c>
      <c r="AC408" s="1">
        <f>IFERROR(__xludf.DUMMYFUNCTION("""COMPUTED_VALUE"""),0.0)</f>
        <v>0</v>
      </c>
      <c r="AD408" s="1" t="str">
        <f>IFERROR(__xludf.DUMMYFUNCTION("""COMPUTED_VALUE"""),"Erwyn Terie Vital Avila")</f>
        <v>Erwyn Terie Vital Avila</v>
      </c>
      <c r="AE408" s="1" t="str">
        <f>IFERROR(__xludf.DUMMYFUNCTION("""COMPUTED_VALUE"""),"0")</f>
        <v>0</v>
      </c>
      <c r="AF408" s="1">
        <f>IFERROR(__xludf.DUMMYFUNCTION("""COMPUTED_VALUE"""),2024.0)</f>
        <v>2024</v>
      </c>
      <c r="AG408" s="1">
        <f>IFERROR(__xludf.DUMMYFUNCTION("""COMPUTED_VALUE"""),1511187.0)</f>
        <v>1511187</v>
      </c>
      <c r="AH408" s="1">
        <f>IFERROR(__xludf.DUMMYFUNCTION("""COMPUTED_VALUE"""),17.0)</f>
        <v>17</v>
      </c>
      <c r="AI408" s="1" t="str">
        <f>IFERROR(__xludf.DUMMYFUNCTION("""COMPUTED_VALUE"""),"0000411486")</f>
        <v>0000411486</v>
      </c>
      <c r="AJ408" s="1">
        <f>IFERROR(__xludf.DUMMYFUNCTION("""COMPUTED_VALUE"""),6.0686523E7)</f>
        <v>60686523</v>
      </c>
      <c r="AK408" s="1">
        <f>IFERROR(__xludf.DUMMYFUNCTION("""COMPUTED_VALUE"""),9.5045669E8)</f>
        <v>950456690</v>
      </c>
      <c r="AL408" s="1" t="str">
        <f>IFERROR(__xludf.DUMMYFUNCTION("""COMPUTED_VALUE"""),"ANNIE13GGB@GMAIL.COM")</f>
        <v>ANNIE13GGB@GMAIL.COM</v>
      </c>
      <c r="AM408" s="1" t="str">
        <f>IFERROR(__xludf.DUMMYFUNCTION("""COMPUTED_VALUE"""),"FEMENINO")</f>
        <v>FEMENINO</v>
      </c>
      <c r="AN408" s="1">
        <f>IFERROR(__xludf.DUMMYFUNCTION("""COMPUTED_VALUE"""),1350.0)</f>
        <v>1350</v>
      </c>
      <c r="AO408" s="1">
        <f>IFERROR(__xludf.DUMMYFUNCTION("""COMPUTED_VALUE"""),0.0)</f>
        <v>0</v>
      </c>
      <c r="AP408" s="1" t="str">
        <f>IFERROR(__xludf.DUMMYFUNCTION("""COMPUTED_VALUE"""),"FORMULARIO")</f>
        <v>FORMULARIO</v>
      </c>
      <c r="AQ408" s="1" t="str">
        <f>IFERROR(__xludf.DUMMYFUNCTION("""COMPUTED_VALUE"""),"ORGANICO")</f>
        <v>ORGANICO</v>
      </c>
      <c r="AR408" s="1" t="str">
        <f>IFERROR(__xludf.DUMMYFUNCTION("""COMPUTED_VALUE"""),"NUEVO")</f>
        <v>NUEVO</v>
      </c>
      <c r="AS408" s="1"/>
      <c r="AT408" s="2">
        <f>IFERROR(__xludf.DUMMYFUNCTION("""COMPUTED_VALUE"""),45679.0)</f>
        <v>45679</v>
      </c>
      <c r="AU408" s="1">
        <f>IFERROR(__xludf.DUMMYFUNCTION("""COMPUTED_VALUE"""),1.0)</f>
        <v>1</v>
      </c>
      <c r="AV408" s="1" t="str">
        <f>IFERROR(__xludf.DUMMYFUNCTION("""COMPUTED_VALUE"""),"NUEVO")</f>
        <v>NUEVO</v>
      </c>
      <c r="AW408" s="1" t="str">
        <f>IFERROR(__xludf.DUMMYFUNCTION("""COMPUTED_VALUE"""),"SI")</f>
        <v>SI</v>
      </c>
      <c r="AX408" s="1"/>
      <c r="AY408" s="1" t="str">
        <f>IFERROR(__xludf.DUMMYFUNCTION("""COMPUTED_VALUE"""),"PAGO COMPLETO")</f>
        <v>PAGO COMPLETO</v>
      </c>
      <c r="AZ408" s="5">
        <f>IFERROR(__xludf.DUMMYFUNCTION("""COMPUTED_VALUE"""),45682.0)</f>
        <v>45682</v>
      </c>
      <c r="BA408" s="1">
        <f>IFERROR(__xludf.DUMMYFUNCTION("""COMPUTED_VALUE"""),0.0)</f>
        <v>0</v>
      </c>
      <c r="BB408" s="1">
        <f>IFERROR(__xludf.DUMMYFUNCTION("""COMPUTED_VALUE"""),0.0)</f>
        <v>0</v>
      </c>
      <c r="BC408" s="4">
        <f>IFERROR(__xludf.DUMMYFUNCTION("""COMPUTED_VALUE"""),0.0)</f>
        <v>0</v>
      </c>
      <c r="BD408" s="4">
        <f>IFERROR(__xludf.DUMMYFUNCTION("""COMPUTED_VALUE"""),100.0)</f>
        <v>100</v>
      </c>
      <c r="BE408" s="1">
        <f>IFERROR(__xludf.DUMMYFUNCTION("""COMPUTED_VALUE"""),1.0)</f>
        <v>1</v>
      </c>
      <c r="BF408" s="6">
        <f>IFERROR(__xludf.DUMMYFUNCTION("""COMPUTED_VALUE"""),1.0)</f>
        <v>1</v>
      </c>
      <c r="BG408" s="1">
        <f>IFERROR(__xludf.DUMMYFUNCTION("""COMPUTED_VALUE"""),1.0)</f>
        <v>1</v>
      </c>
      <c r="BH408" s="1" t="str">
        <f>IFERROR(__xludf.DUMMYFUNCTION("""COMPUTED_VALUE"""),"0")</f>
        <v>0</v>
      </c>
      <c r="BI408" s="4">
        <f>IFERROR(__xludf.DUMMYFUNCTION("""COMPUTED_VALUE"""),100.0)</f>
        <v>100</v>
      </c>
      <c r="BJ408" s="1">
        <f>IFERROR(__xludf.DUMMYFUNCTION("""COMPUTED_VALUE"""),0.0)</f>
        <v>0</v>
      </c>
      <c r="BK408" s="4">
        <f>IFERROR(__xludf.DUMMYFUNCTION("""COMPUTED_VALUE"""),100.0)</f>
        <v>100</v>
      </c>
      <c r="BL408" s="1">
        <f>IFERROR(__xludf.DUMMYFUNCTION("""COMPUTED_VALUE"""),930.0)</f>
        <v>930</v>
      </c>
      <c r="BM408" s="1">
        <f>IFERROR(__xludf.DUMMYFUNCTION("""COMPUTED_VALUE"""),4.0)</f>
        <v>4</v>
      </c>
      <c r="BN408" s="2">
        <f>IFERROR(__xludf.DUMMYFUNCTION("""COMPUTED_VALUE"""),45677.0)</f>
        <v>45677</v>
      </c>
      <c r="BO408" s="1">
        <f>IFERROR(__xludf.DUMMYFUNCTION("""COMPUTED_VALUE"""),1.0)</f>
        <v>1</v>
      </c>
      <c r="BP408" s="1">
        <f>IFERROR(__xludf.DUMMYFUNCTION("""COMPUTED_VALUE"""),2025.0)</f>
        <v>2025</v>
      </c>
    </row>
    <row r="409">
      <c r="A409" s="1">
        <f>IFERROR(__xludf.DUMMYFUNCTION("""COMPUTED_VALUE"""),408.0)</f>
        <v>408</v>
      </c>
      <c r="B409" s="1">
        <f>IFERROR(__xludf.DUMMYFUNCTION("""COMPUTED_VALUE"""),4972444.0)</f>
        <v>4972444</v>
      </c>
      <c r="C409" s="1" t="str">
        <f>IFERROR(__xludf.DUMMYFUNCTION("""COMPUTED_VALUE"""),"2025-1")</f>
        <v>2025-1</v>
      </c>
      <c r="D409" s="1" t="str">
        <f>IFERROR(__xludf.DUMMYFUNCTION("""COMPUTED_VALUE"""),"Admisión de Alto Rendimiento")</f>
        <v>Admisión de Alto Rendimiento</v>
      </c>
      <c r="E409" s="2">
        <f>IFERROR(__xludf.DUMMYFUNCTION("""COMPUTED_VALUE"""),45682.0)</f>
        <v>45682</v>
      </c>
      <c r="F409" s="1" t="str">
        <f>IFERROR(__xludf.DUMMYFUNCTION("""COMPUTED_VALUE"""),"ALEJANDRO AMARU")</f>
        <v>ALEJANDRO AMARU</v>
      </c>
      <c r="G409" s="1" t="str">
        <f>IFERROR(__xludf.DUMMYFUNCTION("""COMPUTED_VALUE"""),"GUAL AVILA")</f>
        <v>GUAL AVILA</v>
      </c>
      <c r="H409" s="1" t="str">
        <f>IFERROR(__xludf.DUMMYFUNCTION("""COMPUTED_VALUE"""),"Comunicación Audiovisual y Cine")</f>
        <v>Comunicación Audiovisual y Cine</v>
      </c>
      <c r="I409" s="1" t="str">
        <f>IFERROR(__xludf.DUMMYFUNCTION("""COMPUTED_VALUE"""),"POS")</f>
        <v>POS</v>
      </c>
      <c r="J409" s="1" t="str">
        <f>IFERROR(__xludf.DUMMYFUNCTION("""COMPUTED_VALUE"""),"Diurno")</f>
        <v>Diurno</v>
      </c>
      <c r="K409" s="1" t="str">
        <f>IFERROR(__xludf.DUMMYFUNCTION("""COMPUTED_VALUE"""),"NUEVO")</f>
        <v>NUEVO</v>
      </c>
      <c r="L409" s="1">
        <f>IFERROR(__xludf.DUMMYFUNCTION("""COMPUTED_VALUE"""),0.0)</f>
        <v>0</v>
      </c>
      <c r="M409" s="1">
        <f>IFERROR(__xludf.DUMMYFUNCTION("""COMPUTED_VALUE"""),0.0)</f>
        <v>0</v>
      </c>
      <c r="N409" s="1" t="str">
        <f>IFERROR(__xludf.DUMMYFUNCTION("""COMPUTED_VALUE"""),"BECA")</f>
        <v>BECA</v>
      </c>
      <c r="O409" s="1" t="str">
        <f>IFERROR(__xludf.DUMMYFUNCTION("""COMPUTED_VALUE"""),"BECA CONGELADA DE 2 AÑOS")</f>
        <v>BECA CONGELADA DE 2 AÑOS</v>
      </c>
      <c r="P409" s="4">
        <f>IFERROR(__xludf.DUMMYFUNCTION("""COMPUTED_VALUE"""),0.0)</f>
        <v>0</v>
      </c>
      <c r="Q409" s="4">
        <f>IFERROR(__xludf.DUMMYFUNCTION("""COMPUTED_VALUE"""),0.0)</f>
        <v>0</v>
      </c>
      <c r="R409" s="4">
        <f>IFERROR(__xludf.DUMMYFUNCTION("""COMPUTED_VALUE"""),1050.0)</f>
        <v>1050</v>
      </c>
      <c r="S409" s="4">
        <f>IFERROR(__xludf.DUMMYFUNCTION("""COMPUTED_VALUE"""),950.0)</f>
        <v>950</v>
      </c>
      <c r="T409" s="1" t="str">
        <f>IFERROR(__xludf.DUMMYFUNCTION("""COMPUTED_VALUE"""),"Visita Guiada")</f>
        <v>Visita Guiada</v>
      </c>
      <c r="U409" s="1" t="str">
        <f>IFERROR(__xludf.DUMMYFUNCTION("""COMPUTED_VALUE"""),"RODRIGO")</f>
        <v>RODRIGO</v>
      </c>
      <c r="V409" s="1" t="str">
        <f>IFERROR(__xludf.DUMMYFUNCTION("""COMPUTED_VALUE"""),"Ninguno")</f>
        <v>Ninguno</v>
      </c>
      <c r="W409" s="1" t="str">
        <f>IFERROR(__xludf.DUMMYFUNCTION("""COMPUTED_VALUE"""),"Beca")</f>
        <v>Beca</v>
      </c>
      <c r="X409" s="1"/>
      <c r="Y409" s="1" t="str">
        <f>IFERROR(__xludf.DUMMYFUNCTION("""COMPUTED_VALUE"""),"PAGO COMPLETO")</f>
        <v>PAGO COMPLETO</v>
      </c>
      <c r="Z409" s="1"/>
      <c r="AA409" s="1"/>
      <c r="AB409" s="1">
        <f>IFERROR(__xludf.DUMMYFUNCTION("""COMPUTED_VALUE"""),0.0)</f>
        <v>0</v>
      </c>
      <c r="AC409" s="1">
        <f>IFERROR(__xludf.DUMMYFUNCTION("""COMPUTED_VALUE"""),0.0)</f>
        <v>0</v>
      </c>
      <c r="AD409" s="1" t="str">
        <f>IFERROR(__xludf.DUMMYFUNCTION("""COMPUTED_VALUE"""),"Erwyn Terie Vital Avila")</f>
        <v>Erwyn Terie Vital Avila</v>
      </c>
      <c r="AE409" s="1" t="str">
        <f>IFERROR(__xludf.DUMMYFUNCTION("""COMPUTED_VALUE"""),"0")</f>
        <v>0</v>
      </c>
      <c r="AF409" s="1">
        <f>IFERROR(__xludf.DUMMYFUNCTION("""COMPUTED_VALUE"""),2024.0)</f>
        <v>2024</v>
      </c>
      <c r="AG409" s="1">
        <f>IFERROR(__xludf.DUMMYFUNCTION("""COMPUTED_VALUE"""),871004.0)</f>
        <v>871004</v>
      </c>
      <c r="AH409" s="1">
        <f>IFERROR(__xludf.DUMMYFUNCTION("""COMPUTED_VALUE"""),17.0)</f>
        <v>17</v>
      </c>
      <c r="AI409" s="1" t="str">
        <f>IFERROR(__xludf.DUMMYFUNCTION("""COMPUTED_VALUE"""),"0000411488")</f>
        <v>0000411488</v>
      </c>
      <c r="AJ409" s="1">
        <f>IFERROR(__xludf.DUMMYFUNCTION("""COMPUTED_VALUE"""),6.1313365E7)</f>
        <v>61313365</v>
      </c>
      <c r="AK409" s="1">
        <f>IFERROR(__xludf.DUMMYFUNCTION("""COMPUTED_VALUE"""),9.20909074E8)</f>
        <v>920909074</v>
      </c>
      <c r="AL409" s="1" t="str">
        <f>IFERROR(__xludf.DUMMYFUNCTION("""COMPUTED_VALUE"""),"GUALALEJANDRO20@gmail.com")</f>
        <v>GUALALEJANDRO20@gmail.com</v>
      </c>
      <c r="AM409" s="1" t="str">
        <f>IFERROR(__xludf.DUMMYFUNCTION("""COMPUTED_VALUE"""),"MASCULINO")</f>
        <v>MASCULINO</v>
      </c>
      <c r="AN409" s="1">
        <f>IFERROR(__xludf.DUMMYFUNCTION("""COMPUTED_VALUE"""),1525.0)</f>
        <v>1525</v>
      </c>
      <c r="AO409" s="1">
        <f>IFERROR(__xludf.DUMMYFUNCTION("""COMPUTED_VALUE"""),200.0)</f>
        <v>200</v>
      </c>
      <c r="AP409" s="1" t="str">
        <f>IFERROR(__xludf.DUMMYFUNCTION("""COMPUTED_VALUE"""),"OUTBOUND")</f>
        <v>OUTBOUND</v>
      </c>
      <c r="AQ409" s="1" t="str">
        <f>IFERROR(__xludf.DUMMYFUNCTION("""COMPUTED_VALUE"""),"OUTBOUND")</f>
        <v>OUTBOUND</v>
      </c>
      <c r="AR409" s="1" t="str">
        <f>IFERROR(__xludf.DUMMYFUNCTION("""COMPUTED_VALUE"""),"NUEVO")</f>
        <v>NUEVO</v>
      </c>
      <c r="AS409" s="1"/>
      <c r="AT409" s="2">
        <f>IFERROR(__xludf.DUMMYFUNCTION("""COMPUTED_VALUE"""),45682.0)</f>
        <v>45682</v>
      </c>
      <c r="AU409" s="1">
        <f>IFERROR(__xludf.DUMMYFUNCTION("""COMPUTED_VALUE"""),1.0)</f>
        <v>1</v>
      </c>
      <c r="AV409" s="1" t="str">
        <f>IFERROR(__xludf.DUMMYFUNCTION("""COMPUTED_VALUE"""),"NUEVO")</f>
        <v>NUEVO</v>
      </c>
      <c r="AW409" s="1" t="str">
        <f>IFERROR(__xludf.DUMMYFUNCTION("""COMPUTED_VALUE"""),"SI")</f>
        <v>SI</v>
      </c>
      <c r="AX409" s="1"/>
      <c r="AY409" s="1" t="str">
        <f>IFERROR(__xludf.DUMMYFUNCTION("""COMPUTED_VALUE"""),"PAGO COMPLETO")</f>
        <v>PAGO COMPLETO</v>
      </c>
      <c r="AZ409" s="5">
        <f>IFERROR(__xludf.DUMMYFUNCTION("""COMPUTED_VALUE"""),45682.0)</f>
        <v>45682</v>
      </c>
      <c r="BA409" s="1">
        <f>IFERROR(__xludf.DUMMYFUNCTION("""COMPUTED_VALUE"""),0.0)</f>
        <v>0</v>
      </c>
      <c r="BB409" s="1">
        <f>IFERROR(__xludf.DUMMYFUNCTION("""COMPUTED_VALUE"""),0.0)</f>
        <v>0</v>
      </c>
      <c r="BC409" s="4">
        <f>IFERROR(__xludf.DUMMYFUNCTION("""COMPUTED_VALUE"""),0.0)</f>
        <v>0</v>
      </c>
      <c r="BD409" s="4">
        <f>IFERROR(__xludf.DUMMYFUNCTION("""COMPUTED_VALUE"""),100.0)</f>
        <v>100</v>
      </c>
      <c r="BE409" s="1">
        <f>IFERROR(__xludf.DUMMYFUNCTION("""COMPUTED_VALUE"""),1.0)</f>
        <v>1</v>
      </c>
      <c r="BF409" s="6">
        <f>IFERROR(__xludf.DUMMYFUNCTION("""COMPUTED_VALUE"""),1.0)</f>
        <v>1</v>
      </c>
      <c r="BG409" s="1">
        <f>IFERROR(__xludf.DUMMYFUNCTION("""COMPUTED_VALUE"""),1.0)</f>
        <v>1</v>
      </c>
      <c r="BH409" s="1" t="str">
        <f>IFERROR(__xludf.DUMMYFUNCTION("""COMPUTED_VALUE"""),"0")</f>
        <v>0</v>
      </c>
      <c r="BI409" s="4">
        <f>IFERROR(__xludf.DUMMYFUNCTION("""COMPUTED_VALUE"""),100.0)</f>
        <v>100</v>
      </c>
      <c r="BJ409" s="1">
        <f>IFERROR(__xludf.DUMMYFUNCTION("""COMPUTED_VALUE"""),0.0)</f>
        <v>0</v>
      </c>
      <c r="BK409" s="4">
        <f>IFERROR(__xludf.DUMMYFUNCTION("""COMPUTED_VALUE"""),100.0)</f>
        <v>100</v>
      </c>
      <c r="BL409" s="1">
        <f>IFERROR(__xludf.DUMMYFUNCTION("""COMPUTED_VALUE"""),930.0)</f>
        <v>930</v>
      </c>
      <c r="BM409" s="1">
        <f>IFERROR(__xludf.DUMMYFUNCTION("""COMPUTED_VALUE"""),4.0)</f>
        <v>4</v>
      </c>
      <c r="BN409" s="2">
        <f>IFERROR(__xludf.DUMMYFUNCTION("""COMPUTED_VALUE"""),45677.0)</f>
        <v>45677</v>
      </c>
      <c r="BO409" s="1">
        <f>IFERROR(__xludf.DUMMYFUNCTION("""COMPUTED_VALUE"""),1.0)</f>
        <v>1</v>
      </c>
      <c r="BP409" s="1">
        <f>IFERROR(__xludf.DUMMYFUNCTION("""COMPUTED_VALUE"""),2025.0)</f>
        <v>2025</v>
      </c>
    </row>
    <row r="410">
      <c r="A410" s="1">
        <f>IFERROR(__xludf.DUMMYFUNCTION("""COMPUTED_VALUE"""),409.0)</f>
        <v>409</v>
      </c>
      <c r="B410" s="1">
        <f>IFERROR(__xludf.DUMMYFUNCTION("""COMPUTED_VALUE"""),1787663.0)</f>
        <v>1787663</v>
      </c>
      <c r="C410" s="1" t="str">
        <f>IFERROR(__xludf.DUMMYFUNCTION("""COMPUTED_VALUE"""),"2025-1")</f>
        <v>2025-1</v>
      </c>
      <c r="D410" s="1" t="str">
        <f>IFERROR(__xludf.DUMMYFUNCTION("""COMPUTED_VALUE"""),"Admisión Extraordinaria (Traslados)")</f>
        <v>Admisión Extraordinaria (Traslados)</v>
      </c>
      <c r="E410" s="2">
        <f>IFERROR(__xludf.DUMMYFUNCTION("""COMPUTED_VALUE"""),45682.0)</f>
        <v>45682</v>
      </c>
      <c r="F410" s="1" t="str">
        <f>IFERROR(__xludf.DUMMYFUNCTION("""COMPUTED_VALUE"""),"MILAGROS DE FATIMA ")</f>
        <v>MILAGROS DE FATIMA </v>
      </c>
      <c r="G410" s="1" t="str">
        <f>IFERROR(__xludf.DUMMYFUNCTION("""COMPUTED_VALUE"""),"GAVIDIA PEREZ")</f>
        <v>GAVIDIA PEREZ</v>
      </c>
      <c r="H410" s="1" t="str">
        <f>IFERROR(__xludf.DUMMYFUNCTION("""COMPUTED_VALUE"""),"Arquitectura")</f>
        <v>Arquitectura</v>
      </c>
      <c r="I410" s="1" t="str">
        <f>IFERROR(__xludf.DUMMYFUNCTION("""COMPUTED_VALUE"""),"Pago Link")</f>
        <v>Pago Link</v>
      </c>
      <c r="J410" s="1" t="str">
        <f>IFERROR(__xludf.DUMMYFUNCTION("""COMPUTED_VALUE"""),"Diurno")</f>
        <v>Diurno</v>
      </c>
      <c r="K410" s="1" t="str">
        <f>IFERROR(__xludf.DUMMYFUNCTION("""COMPUTED_VALUE"""),"TRASLADO")</f>
        <v>TRASLADO</v>
      </c>
      <c r="L410" s="1">
        <f>IFERROR(__xludf.DUMMYFUNCTION("""COMPUTED_VALUE"""),0.0)</f>
        <v>0</v>
      </c>
      <c r="M410" s="1">
        <f>IFERROR(__xludf.DUMMYFUNCTION("""COMPUTED_VALUE"""),0.0)</f>
        <v>0</v>
      </c>
      <c r="N410" s="1" t="str">
        <f>IFERROR(__xludf.DUMMYFUNCTION("""COMPUTED_VALUE"""),"BECA")</f>
        <v>BECA</v>
      </c>
      <c r="O410" s="1" t="str">
        <f>IFERROR(__xludf.DUMMYFUNCTION("""COMPUTED_VALUE"""),"BECA CARRERAS CORE-TRASLADOS SIN CONVA")</f>
        <v>BECA CARRERAS CORE-TRASLADOS SIN CONVA</v>
      </c>
      <c r="P410" s="4">
        <f>IFERROR(__xludf.DUMMYFUNCTION("""COMPUTED_VALUE"""),0.0)</f>
        <v>0</v>
      </c>
      <c r="Q410" s="4">
        <f>IFERROR(__xludf.DUMMYFUNCTION("""COMPUTED_VALUE"""),0.0)</f>
        <v>0</v>
      </c>
      <c r="R410" s="4">
        <f>IFERROR(__xludf.DUMMYFUNCTION("""COMPUTED_VALUE"""),950.0)</f>
        <v>950</v>
      </c>
      <c r="S410" s="4">
        <f>IFERROR(__xludf.DUMMYFUNCTION("""COMPUTED_VALUE"""),800.0)</f>
        <v>800</v>
      </c>
      <c r="T410" s="1" t="str">
        <f>IFERROR(__xludf.DUMMYFUNCTION("""COMPUTED_VALUE"""),"NINGUNO")</f>
        <v>NINGUNO</v>
      </c>
      <c r="U410" s="1" t="str">
        <f>IFERROR(__xludf.DUMMYFUNCTION("""COMPUTED_VALUE"""),"FABIOLA")</f>
        <v>FABIOLA</v>
      </c>
      <c r="V410" s="1" t="str">
        <f>IFERROR(__xludf.DUMMYFUNCTION("""COMPUTED_VALUE"""),"Ninguno")</f>
        <v>Ninguno</v>
      </c>
      <c r="W410" s="1" t="str">
        <f>IFERROR(__xludf.DUMMYFUNCTION("""COMPUTED_VALUE"""),"Precio accesible")</f>
        <v>Precio accesible</v>
      </c>
      <c r="X410" s="1" t="str">
        <f>IFERROR(__xludf.DUMMYFUNCTION("""COMPUTED_VALUE"""),"0")</f>
        <v>0</v>
      </c>
      <c r="Y410" s="1" t="str">
        <f>IFERROR(__xludf.DUMMYFUNCTION("""COMPUTED_VALUE"""),"PAGO COMPLETO")</f>
        <v>PAGO COMPLETO</v>
      </c>
      <c r="Z410" s="1"/>
      <c r="AA410" s="1"/>
      <c r="AB410" s="1">
        <f>IFERROR(__xludf.DUMMYFUNCTION("""COMPUTED_VALUE"""),0.0)</f>
        <v>0</v>
      </c>
      <c r="AC410" s="1">
        <f>IFERROR(__xludf.DUMMYFUNCTION("""COMPUTED_VALUE"""),0.0)</f>
        <v>0</v>
      </c>
      <c r="AD410" s="1" t="str">
        <f>IFERROR(__xludf.DUMMYFUNCTION("""COMPUTED_VALUE"""),"Andrea Araujo Antara")</f>
        <v>Andrea Araujo Antara</v>
      </c>
      <c r="AE410" s="1" t="str">
        <f>IFERROR(__xludf.DUMMYFUNCTION("""COMPUTED_VALUE"""),"Instituto de Educación Superior Tecnológico Privado Toulouse Lautrec")</f>
        <v>Instituto de Educación Superior Tecnológico Privado Toulouse Lautrec</v>
      </c>
      <c r="AF410" s="1">
        <f>IFERROR(__xludf.DUMMYFUNCTION("""COMPUTED_VALUE"""),0.0)</f>
        <v>0</v>
      </c>
      <c r="AG410" s="1">
        <f>IFERROR(__xludf.DUMMYFUNCTION("""COMPUTED_VALUE"""),476697.0)</f>
        <v>476697</v>
      </c>
      <c r="AH410" s="1">
        <f>IFERROR(__xludf.DUMMYFUNCTION("""COMPUTED_VALUE"""),21.0)</f>
        <v>21</v>
      </c>
      <c r="AI410" s="1" t="str">
        <f>IFERROR(__xludf.DUMMYFUNCTION("""COMPUTED_VALUE"""),"0000044083")</f>
        <v>0000044083</v>
      </c>
      <c r="AJ410" s="1">
        <f>IFERROR(__xludf.DUMMYFUNCTION("""COMPUTED_VALUE"""),7.4073643E7)</f>
        <v>74073643</v>
      </c>
      <c r="AK410" s="1">
        <f>IFERROR(__xludf.DUMMYFUNCTION("""COMPUTED_VALUE"""),9.6170997E8)</f>
        <v>961709970</v>
      </c>
      <c r="AL410" s="1" t="str">
        <f>IFERROR(__xludf.DUMMYFUNCTION("""COMPUTED_VALUE"""),"milagrosg.perez@gmail.com")</f>
        <v>milagrosg.perez@gmail.com</v>
      </c>
      <c r="AM410" s="1" t="str">
        <f>IFERROR(__xludf.DUMMYFUNCTION("""COMPUTED_VALUE"""),"FEMENINO")</f>
        <v>FEMENINO</v>
      </c>
      <c r="AN410" s="1">
        <f>IFERROR(__xludf.DUMMYFUNCTION("""COMPUTED_VALUE"""),1600.0)</f>
        <v>1600</v>
      </c>
      <c r="AO410" s="1">
        <f>IFERROR(__xludf.DUMMYFUNCTION("""COMPUTED_VALUE"""),300.0)</f>
        <v>300</v>
      </c>
      <c r="AP410" s="1" t="str">
        <f>IFERROR(__xludf.DUMMYFUNCTION("""COMPUTED_VALUE"""),"FORMULARIO")</f>
        <v>FORMULARIO</v>
      </c>
      <c r="AQ410" s="1" t="str">
        <f>IFERROR(__xludf.DUMMYFUNCTION("""COMPUTED_VALUE"""),"SEARCH MARCA")</f>
        <v>SEARCH MARCA</v>
      </c>
      <c r="AR410" s="1" t="str">
        <f>IFERROR(__xludf.DUMMYFUNCTION("""COMPUTED_VALUE"""),"HEREDADO")</f>
        <v>HEREDADO</v>
      </c>
      <c r="AS410" s="1" t="str">
        <f>IFERROR(__xludf.DUMMYFUNCTION("""COMPUTED_VALUE"""),"ucal-pg-performance-sedes-abierta-cpl-search_conversion_marca-20240401")</f>
        <v>ucal-pg-performance-sedes-abierta-cpl-search_conversion_marca-20240401</v>
      </c>
      <c r="AT410" s="2">
        <f>IFERROR(__xludf.DUMMYFUNCTION("""COMPUTED_VALUE"""),45675.0)</f>
        <v>45675</v>
      </c>
      <c r="AU410" s="1">
        <f>IFERROR(__xludf.DUMMYFUNCTION("""COMPUTED_VALUE"""),1.0)</f>
        <v>1</v>
      </c>
      <c r="AV410" s="1" t="str">
        <f>IFERROR(__xludf.DUMMYFUNCTION("""COMPUTED_VALUE"""),"NUEVO")</f>
        <v>NUEVO</v>
      </c>
      <c r="AW410" s="1" t="str">
        <f>IFERROR(__xludf.DUMMYFUNCTION("""COMPUTED_VALUE"""),"SI")</f>
        <v>SI</v>
      </c>
      <c r="AX410" s="1"/>
      <c r="AY410" s="1" t="str">
        <f>IFERROR(__xludf.DUMMYFUNCTION("""COMPUTED_VALUE"""),"PAGO COMPLETO")</f>
        <v>PAGO COMPLETO</v>
      </c>
      <c r="AZ410" s="5">
        <f>IFERROR(__xludf.DUMMYFUNCTION("""COMPUTED_VALUE"""),45682.0)</f>
        <v>45682</v>
      </c>
      <c r="BA410" s="1">
        <f>IFERROR(__xludf.DUMMYFUNCTION("""COMPUTED_VALUE"""),0.0)</f>
        <v>0</v>
      </c>
      <c r="BB410" s="1">
        <f>IFERROR(__xludf.DUMMYFUNCTION("""COMPUTED_VALUE"""),0.0)</f>
        <v>0</v>
      </c>
      <c r="BC410" s="4">
        <f>IFERROR(__xludf.DUMMYFUNCTION("""COMPUTED_VALUE"""),0.0)</f>
        <v>0</v>
      </c>
      <c r="BD410" s="4">
        <f>IFERROR(__xludf.DUMMYFUNCTION("""COMPUTED_VALUE"""),0.0)</f>
        <v>0</v>
      </c>
      <c r="BE410" s="1">
        <f>IFERROR(__xludf.DUMMYFUNCTION("""COMPUTED_VALUE"""),1.0)</f>
        <v>1</v>
      </c>
      <c r="BF410" s="6">
        <f>IFERROR(__xludf.DUMMYFUNCTION("""COMPUTED_VALUE"""),1.0)</f>
        <v>1</v>
      </c>
      <c r="BG410" s="1">
        <f>IFERROR(__xludf.DUMMYFUNCTION("""COMPUTED_VALUE"""),1.0)</f>
        <v>1</v>
      </c>
      <c r="BH410" s="1" t="str">
        <f>IFERROR(__xludf.DUMMYFUNCTION("""COMPUTED_VALUE"""),"0")</f>
        <v>0</v>
      </c>
      <c r="BI410" s="4">
        <f>IFERROR(__xludf.DUMMYFUNCTION("""COMPUTED_VALUE"""),0.0)</f>
        <v>0</v>
      </c>
      <c r="BJ410" s="1">
        <f>IFERROR(__xludf.DUMMYFUNCTION("""COMPUTED_VALUE"""),0.0)</f>
        <v>0</v>
      </c>
      <c r="BK410" s="4">
        <f>IFERROR(__xludf.DUMMYFUNCTION("""COMPUTED_VALUE"""),0.0)</f>
        <v>0</v>
      </c>
      <c r="BL410" s="1">
        <f>IFERROR(__xludf.DUMMYFUNCTION("""COMPUTED_VALUE"""),800.0)</f>
        <v>800</v>
      </c>
      <c r="BM410" s="1">
        <f>IFERROR(__xludf.DUMMYFUNCTION("""COMPUTED_VALUE"""),4.0)</f>
        <v>4</v>
      </c>
      <c r="BN410" s="2">
        <f>IFERROR(__xludf.DUMMYFUNCTION("""COMPUTED_VALUE"""),45677.0)</f>
        <v>45677</v>
      </c>
      <c r="BO410" s="1">
        <f>IFERROR(__xludf.DUMMYFUNCTION("""COMPUTED_VALUE"""),1.0)</f>
        <v>1</v>
      </c>
      <c r="BP410" s="1">
        <f>IFERROR(__xludf.DUMMYFUNCTION("""COMPUTED_VALUE"""),2025.0)</f>
        <v>2025</v>
      </c>
    </row>
    <row r="411">
      <c r="A411" s="1">
        <f>IFERROR(__xludf.DUMMYFUNCTION("""COMPUTED_VALUE"""),410.0)</f>
        <v>410</v>
      </c>
      <c r="B411" s="1">
        <f>IFERROR(__xludf.DUMMYFUNCTION("""COMPUTED_VALUE"""),1049564.0)</f>
        <v>1049564</v>
      </c>
      <c r="C411" s="1" t="str">
        <f>IFERROR(__xludf.DUMMYFUNCTION("""COMPUTED_VALUE"""),"2025-1")</f>
        <v>2025-1</v>
      </c>
      <c r="D411" s="1" t="str">
        <f>IFERROR(__xludf.DUMMYFUNCTION("""COMPUTED_VALUE"""),"Admisión Extraordinaria (Traslados)")</f>
        <v>Admisión Extraordinaria (Traslados)</v>
      </c>
      <c r="E411" s="2">
        <f>IFERROR(__xludf.DUMMYFUNCTION("""COMPUTED_VALUE"""),45682.0)</f>
        <v>45682</v>
      </c>
      <c r="F411" s="1" t="str">
        <f>IFERROR(__xludf.DUMMYFUNCTION("""COMPUTED_VALUE"""),"CAMILA ALESSANDRA ")</f>
        <v>CAMILA ALESSANDRA </v>
      </c>
      <c r="G411" s="1" t="str">
        <f>IFERROR(__xludf.DUMMYFUNCTION("""COMPUTED_VALUE"""),"CACERES ALVAREZ")</f>
        <v>CACERES ALVAREZ</v>
      </c>
      <c r="H411" s="1" t="str">
        <f>IFERROR(__xludf.DUMMYFUNCTION("""COMPUTED_VALUE"""),"Arquitectura")</f>
        <v>Arquitectura</v>
      </c>
      <c r="I411" s="1" t="str">
        <f>IFERROR(__xludf.DUMMYFUNCTION("""COMPUTED_VALUE"""),"Pago Link")</f>
        <v>Pago Link</v>
      </c>
      <c r="J411" s="1" t="str">
        <f>IFERROR(__xludf.DUMMYFUNCTION("""COMPUTED_VALUE"""),"Diurno")</f>
        <v>Diurno</v>
      </c>
      <c r="K411" s="1" t="str">
        <f>IFERROR(__xludf.DUMMYFUNCTION("""COMPUTED_VALUE"""),"TRASLADO")</f>
        <v>TRASLADO</v>
      </c>
      <c r="L411" s="1">
        <f>IFERROR(__xludf.DUMMYFUNCTION("""COMPUTED_VALUE"""),1.0)</f>
        <v>1</v>
      </c>
      <c r="M411" s="1">
        <f>IFERROR(__xludf.DUMMYFUNCTION("""COMPUTED_VALUE"""),0.0)</f>
        <v>0</v>
      </c>
      <c r="N411" s="1" t="str">
        <f>IFERROR(__xludf.DUMMYFUNCTION("""COMPUTED_VALUE"""),"RECA")</f>
        <v>RECA</v>
      </c>
      <c r="O411" s="1" t="str">
        <f>IFERROR(__xludf.DUMMYFUNCTION("""COMPUTED_VALUE"""),"RECA TRASLADO CON CONVA")</f>
        <v>RECA TRASLADO CON CONVA</v>
      </c>
      <c r="P411" s="4">
        <f>IFERROR(__xludf.DUMMYFUNCTION("""COMPUTED_VALUE"""),0.0)</f>
        <v>0</v>
      </c>
      <c r="Q411" s="4">
        <f>IFERROR(__xludf.DUMMYFUNCTION("""COMPUTED_VALUE"""),0.0)</f>
        <v>0</v>
      </c>
      <c r="R411" s="4">
        <f>IFERROR(__xludf.DUMMYFUNCTION("""COMPUTED_VALUE"""),1600.0)</f>
        <v>1600</v>
      </c>
      <c r="S411" s="4">
        <f>IFERROR(__xludf.DUMMYFUNCTION("""COMPUTED_VALUE"""),1600.0)</f>
        <v>1600</v>
      </c>
      <c r="T411" s="1" t="str">
        <f>IFERROR(__xludf.DUMMYFUNCTION("""COMPUTED_VALUE"""),"NINGUNO")</f>
        <v>NINGUNO</v>
      </c>
      <c r="U411" s="1" t="str">
        <f>IFERROR(__xludf.DUMMYFUNCTION("""COMPUTED_VALUE"""),"FABIOLA")</f>
        <v>FABIOLA</v>
      </c>
      <c r="V411" s="1" t="str">
        <f>IFERROR(__xludf.DUMMYFUNCTION("""COMPUTED_VALUE"""),"Ninguno")</f>
        <v>Ninguno</v>
      </c>
      <c r="W411" s="1" t="str">
        <f>IFERROR(__xludf.DUMMYFUNCTION("""COMPUTED_VALUE"""),"Flexibilidad de horarios")</f>
        <v>Flexibilidad de horarios</v>
      </c>
      <c r="X411" s="1" t="str">
        <f>IFERROR(__xludf.DUMMYFUNCTION("""COMPUTED_VALUE"""),"0")</f>
        <v>0</v>
      </c>
      <c r="Y411" s="1" t="str">
        <f>IFERROR(__xludf.DUMMYFUNCTION("""COMPUTED_VALUE"""),"PAGO COMPLETO")</f>
        <v>PAGO COMPLETO</v>
      </c>
      <c r="Z411" s="1"/>
      <c r="AA411" s="1"/>
      <c r="AB411" s="1">
        <f>IFERROR(__xludf.DUMMYFUNCTION("""COMPUTED_VALUE"""),0.0)</f>
        <v>0</v>
      </c>
      <c r="AC411" s="1">
        <f>IFERROR(__xludf.DUMMYFUNCTION("""COMPUTED_VALUE"""),0.0)</f>
        <v>0</v>
      </c>
      <c r="AD411" s="1" t="str">
        <f>IFERROR(__xludf.DUMMYFUNCTION("""COMPUTED_VALUE"""),"Andrea Araujo Antara")</f>
        <v>Andrea Araujo Antara</v>
      </c>
      <c r="AE411" s="1" t="str">
        <f>IFERROR(__xludf.DUMMYFUNCTION("""COMPUTED_VALUE"""),"Universidad Peruana De Ciencias Aplicadas(UPC)")</f>
        <v>Universidad Peruana De Ciencias Aplicadas(UPC)</v>
      </c>
      <c r="AF411" s="1">
        <f>IFERROR(__xludf.DUMMYFUNCTION("""COMPUTED_VALUE"""),0.0)</f>
        <v>0</v>
      </c>
      <c r="AG411" s="1">
        <f>IFERROR(__xludf.DUMMYFUNCTION("""COMPUTED_VALUE"""),314500.0)</f>
        <v>314500</v>
      </c>
      <c r="AH411" s="1">
        <f>IFERROR(__xludf.DUMMYFUNCTION("""COMPUTED_VALUE"""),26.0)</f>
        <v>26</v>
      </c>
      <c r="AI411" s="1" t="str">
        <f>IFERROR(__xludf.DUMMYFUNCTION("""COMPUTED_VALUE"""),"0000411518")</f>
        <v>0000411518</v>
      </c>
      <c r="AJ411" s="1">
        <f>IFERROR(__xludf.DUMMYFUNCTION("""COMPUTED_VALUE"""),7.3327548E7)</f>
        <v>73327548</v>
      </c>
      <c r="AK411" s="1">
        <f>IFERROR(__xludf.DUMMYFUNCTION("""COMPUTED_VALUE"""),9.99996969E8)</f>
        <v>999996969</v>
      </c>
      <c r="AL411" s="1" t="str">
        <f>IFERROR(__xludf.DUMMYFUNCTION("""COMPUTED_VALUE"""),"camila.caal.1102@gmail.com")</f>
        <v>camila.caal.1102@gmail.com</v>
      </c>
      <c r="AM411" s="1" t="str">
        <f>IFERROR(__xludf.DUMMYFUNCTION("""COMPUTED_VALUE"""),"FEMENINO")</f>
        <v>FEMENINO</v>
      </c>
      <c r="AN411" s="1">
        <f>IFERROR(__xludf.DUMMYFUNCTION("""COMPUTED_VALUE"""),1525.0)</f>
        <v>1525</v>
      </c>
      <c r="AO411" s="1">
        <f>IFERROR(__xludf.DUMMYFUNCTION("""COMPUTED_VALUE"""),185.0)</f>
        <v>185</v>
      </c>
      <c r="AP411" s="1" t="str">
        <f>IFERROR(__xludf.DUMMYFUNCTION("""COMPUTED_VALUE"""),"BIDIRECCIONAL")</f>
        <v>BIDIRECCIONAL</v>
      </c>
      <c r="AQ411" s="1" t="str">
        <f>IFERROR(__xludf.DUMMYFUNCTION("""COMPUTED_VALUE"""),"ORGANICO")</f>
        <v>ORGANICO</v>
      </c>
      <c r="AR411" s="1" t="str">
        <f>IFERROR(__xludf.DUMMYFUNCTION("""COMPUTED_VALUE"""),"NUEVO")</f>
        <v>NUEVO</v>
      </c>
      <c r="AS411" s="1"/>
      <c r="AT411" s="2">
        <f>IFERROR(__xludf.DUMMYFUNCTION("""COMPUTED_VALUE"""),45682.0)</f>
        <v>45682</v>
      </c>
      <c r="AU411" s="1">
        <f>IFERROR(__xludf.DUMMYFUNCTION("""COMPUTED_VALUE"""),1.0)</f>
        <v>1</v>
      </c>
      <c r="AV411" s="1" t="str">
        <f>IFERROR(__xludf.DUMMYFUNCTION("""COMPUTED_VALUE"""),"TRASLADO")</f>
        <v>TRASLADO</v>
      </c>
      <c r="AW411" s="1" t="str">
        <f>IFERROR(__xludf.DUMMYFUNCTION("""COMPUTED_VALUE"""),"SI")</f>
        <v>SI</v>
      </c>
      <c r="AX411" s="1"/>
      <c r="AY411" s="1" t="str">
        <f>IFERROR(__xludf.DUMMYFUNCTION("""COMPUTED_VALUE"""),"PAGO COMPLETO")</f>
        <v>PAGO COMPLETO</v>
      </c>
      <c r="AZ411" s="5">
        <f>IFERROR(__xludf.DUMMYFUNCTION("""COMPUTED_VALUE"""),45682.0)</f>
        <v>45682</v>
      </c>
      <c r="BA411" s="1">
        <f>IFERROR(__xludf.DUMMYFUNCTION("""COMPUTED_VALUE"""),0.0)</f>
        <v>0</v>
      </c>
      <c r="BB411" s="1">
        <f>IFERROR(__xludf.DUMMYFUNCTION("""COMPUTED_VALUE"""),0.0)</f>
        <v>0</v>
      </c>
      <c r="BC411" s="4">
        <f>IFERROR(__xludf.DUMMYFUNCTION("""COMPUTED_VALUE"""),0.0)</f>
        <v>0</v>
      </c>
      <c r="BD411" s="4">
        <f>IFERROR(__xludf.DUMMYFUNCTION("""COMPUTED_VALUE"""),0.0)</f>
        <v>0</v>
      </c>
      <c r="BE411" s="1">
        <f>IFERROR(__xludf.DUMMYFUNCTION("""COMPUTED_VALUE"""),1.0)</f>
        <v>1</v>
      </c>
      <c r="BF411" s="6">
        <f>IFERROR(__xludf.DUMMYFUNCTION("""COMPUTED_VALUE"""),1.0)</f>
        <v>1</v>
      </c>
      <c r="BG411" s="1">
        <f>IFERROR(__xludf.DUMMYFUNCTION("""COMPUTED_VALUE"""),1.0)</f>
        <v>1</v>
      </c>
      <c r="BH411" s="1" t="str">
        <f>IFERROR(__xludf.DUMMYFUNCTION("""COMPUTED_VALUE"""),"1")</f>
        <v>1</v>
      </c>
      <c r="BI411" s="4">
        <f>IFERROR(__xludf.DUMMYFUNCTION("""COMPUTED_VALUE"""),0.0)</f>
        <v>0</v>
      </c>
      <c r="BJ411" s="1">
        <f>IFERROR(__xludf.DUMMYFUNCTION("""COMPUTED_VALUE"""),0.0)</f>
        <v>0</v>
      </c>
      <c r="BK411" s="4">
        <f>IFERROR(__xludf.DUMMYFUNCTION("""COMPUTED_VALUE"""),0.0)</f>
        <v>0</v>
      </c>
      <c r="BL411" s="1">
        <f>IFERROR(__xludf.DUMMYFUNCTION("""COMPUTED_VALUE"""),1600.0)</f>
        <v>1600</v>
      </c>
      <c r="BM411" s="1">
        <f>IFERROR(__xludf.DUMMYFUNCTION("""COMPUTED_VALUE"""),4.0)</f>
        <v>4</v>
      </c>
      <c r="BN411" s="2">
        <f>IFERROR(__xludf.DUMMYFUNCTION("""COMPUTED_VALUE"""),45677.0)</f>
        <v>45677</v>
      </c>
      <c r="BO411" s="1">
        <f>IFERROR(__xludf.DUMMYFUNCTION("""COMPUTED_VALUE"""),1.0)</f>
        <v>1</v>
      </c>
      <c r="BP411" s="1">
        <f>IFERROR(__xludf.DUMMYFUNCTION("""COMPUTED_VALUE"""),2025.0)</f>
        <v>2025</v>
      </c>
    </row>
    <row r="412">
      <c r="A412" s="1">
        <f>IFERROR(__xludf.DUMMYFUNCTION("""COMPUTED_VALUE"""),411.0)</f>
        <v>411</v>
      </c>
      <c r="B412" s="1">
        <f>IFERROR(__xludf.DUMMYFUNCTION("""COMPUTED_VALUE"""),712328.0)</f>
        <v>712328</v>
      </c>
      <c r="C412" s="1" t="str">
        <f>IFERROR(__xludf.DUMMYFUNCTION("""COMPUTED_VALUE"""),"2025-1")</f>
        <v>2025-1</v>
      </c>
      <c r="D412" s="1" t="str">
        <f>IFERROR(__xludf.DUMMYFUNCTION("""COMPUTED_VALUE"""),"Admisión Extraordinaria (Traslados)")</f>
        <v>Admisión Extraordinaria (Traslados)</v>
      </c>
      <c r="E412" s="2">
        <f>IFERROR(__xludf.DUMMYFUNCTION("""COMPUTED_VALUE"""),45682.0)</f>
        <v>45682</v>
      </c>
      <c r="F412" s="1" t="str">
        <f>IFERROR(__xludf.DUMMYFUNCTION("""COMPUTED_VALUE"""),"IVAN RICARDO ")</f>
        <v>IVAN RICARDO </v>
      </c>
      <c r="G412" s="1" t="str">
        <f>IFERROR(__xludf.DUMMYFUNCTION("""COMPUTED_VALUE"""),"REMY MONTERO")</f>
        <v>REMY MONTERO</v>
      </c>
      <c r="H412" s="1" t="str">
        <f>IFERROR(__xludf.DUMMYFUNCTION("""COMPUTED_VALUE"""),"Arquitectura")</f>
        <v>Arquitectura</v>
      </c>
      <c r="I412" s="1" t="str">
        <f>IFERROR(__xludf.DUMMYFUNCTION("""COMPUTED_VALUE"""),"Pago Link")</f>
        <v>Pago Link</v>
      </c>
      <c r="J412" s="1" t="str">
        <f>IFERROR(__xludf.DUMMYFUNCTION("""COMPUTED_VALUE"""),"Diurno")</f>
        <v>Diurno</v>
      </c>
      <c r="K412" s="1" t="str">
        <f>IFERROR(__xludf.DUMMYFUNCTION("""COMPUTED_VALUE"""),"TRASLADO")</f>
        <v>TRASLADO</v>
      </c>
      <c r="L412" s="1">
        <f>IFERROR(__xludf.DUMMYFUNCTION("""COMPUTED_VALUE"""),1.0)</f>
        <v>1</v>
      </c>
      <c r="M412" s="1">
        <f>IFERROR(__xludf.DUMMYFUNCTION("""COMPUTED_VALUE"""),0.0)</f>
        <v>0</v>
      </c>
      <c r="N412" s="1" t="str">
        <f>IFERROR(__xludf.DUMMYFUNCTION("""COMPUTED_VALUE"""),"RECA")</f>
        <v>RECA</v>
      </c>
      <c r="O412" s="1" t="str">
        <f>IFERROR(__xludf.DUMMYFUNCTION("""COMPUTED_VALUE"""),"RECA TRASLADO CON CONVA")</f>
        <v>RECA TRASLADO CON CONVA</v>
      </c>
      <c r="P412" s="4">
        <f>IFERROR(__xludf.DUMMYFUNCTION("""COMPUTED_VALUE"""),0.0)</f>
        <v>0</v>
      </c>
      <c r="Q412" s="4">
        <f>IFERROR(__xludf.DUMMYFUNCTION("""COMPUTED_VALUE"""),0.0)</f>
        <v>0</v>
      </c>
      <c r="R412" s="4">
        <f>IFERROR(__xludf.DUMMYFUNCTION("""COMPUTED_VALUE"""),1600.0)</f>
        <v>1600</v>
      </c>
      <c r="S412" s="4">
        <f>IFERROR(__xludf.DUMMYFUNCTION("""COMPUTED_VALUE"""),1600.0)</f>
        <v>1600</v>
      </c>
      <c r="T412" s="1" t="str">
        <f>IFERROR(__xludf.DUMMYFUNCTION("""COMPUTED_VALUE"""),"NINGUNO")</f>
        <v>NINGUNO</v>
      </c>
      <c r="U412" s="1" t="str">
        <f>IFERROR(__xludf.DUMMYFUNCTION("""COMPUTED_VALUE"""),"FABIOLA")</f>
        <v>FABIOLA</v>
      </c>
      <c r="V412" s="1" t="str">
        <f>IFERROR(__xludf.DUMMYFUNCTION("""COMPUTED_VALUE"""),"Ninguno")</f>
        <v>Ninguno</v>
      </c>
      <c r="W412" s="1" t="str">
        <f>IFERROR(__xludf.DUMMYFUNCTION("""COMPUTED_VALUE"""),"Otros")</f>
        <v>Otros</v>
      </c>
      <c r="X412" s="1" t="str">
        <f>IFERROR(__xludf.DUMMYFUNCTION("""COMPUTED_VALUE"""),"0")</f>
        <v>0</v>
      </c>
      <c r="Y412" s="1" t="str">
        <f>IFERROR(__xludf.DUMMYFUNCTION("""COMPUTED_VALUE"""),"PAGO FRACCIONADO")</f>
        <v>PAGO FRACCIONADO</v>
      </c>
      <c r="Z412" s="1">
        <f>IFERROR(__xludf.DUMMYFUNCTION("""COMPUTED_VALUE"""),800.0)</f>
        <v>800</v>
      </c>
      <c r="AA412" s="1" t="str">
        <f>IFERROR(__xludf.DUMMYFUNCTION("""COMPUTED_VALUE"""),"30/01/2025")</f>
        <v>30/01/2025</v>
      </c>
      <c r="AB412" s="1">
        <f>IFERROR(__xludf.DUMMYFUNCTION("""COMPUTED_VALUE"""),1.0)</f>
        <v>1</v>
      </c>
      <c r="AC412" s="1">
        <f>IFERROR(__xludf.DUMMYFUNCTION("""COMPUTED_VALUE"""),1.0)</f>
        <v>1</v>
      </c>
      <c r="AD412" s="1" t="str">
        <f>IFERROR(__xludf.DUMMYFUNCTION("""COMPUTED_VALUE"""),"Andrea Araujo Antara")</f>
        <v>Andrea Araujo Antara</v>
      </c>
      <c r="AE412" s="1" t="str">
        <f>IFERROR(__xludf.DUMMYFUNCTION("""COMPUTED_VALUE"""),"Universidad Peruana De Ciencias Aplicadas(UPC)")</f>
        <v>Universidad Peruana De Ciencias Aplicadas(UPC)</v>
      </c>
      <c r="AF412" s="1">
        <f>IFERROR(__xludf.DUMMYFUNCTION("""COMPUTED_VALUE"""),2020.0)</f>
        <v>2020</v>
      </c>
      <c r="AG412" s="1">
        <f>IFERROR(__xludf.DUMMYFUNCTION("""COMPUTED_VALUE"""),0.0)</f>
        <v>0</v>
      </c>
      <c r="AH412" s="1">
        <f>IFERROR(__xludf.DUMMYFUNCTION("""COMPUTED_VALUE"""),31.0)</f>
        <v>31</v>
      </c>
      <c r="AI412" s="1" t="str">
        <f>IFERROR(__xludf.DUMMYFUNCTION("""COMPUTED_VALUE"""),"0000411515")</f>
        <v>0000411515</v>
      </c>
      <c r="AJ412" s="1">
        <f>IFERROR(__xludf.DUMMYFUNCTION("""COMPUTED_VALUE"""),4.8948833E7)</f>
        <v>48948833</v>
      </c>
      <c r="AK412" s="1">
        <f>IFERROR(__xludf.DUMMYFUNCTION("""COMPUTED_VALUE"""),9.97190903E8)</f>
        <v>997190903</v>
      </c>
      <c r="AL412" s="1" t="str">
        <f>IFERROR(__xludf.DUMMYFUNCTION("""COMPUTED_VALUE"""),"ivanremymontero@gmail.com")</f>
        <v>ivanremymontero@gmail.com</v>
      </c>
      <c r="AM412" s="1" t="str">
        <f>IFERROR(__xludf.DUMMYFUNCTION("""COMPUTED_VALUE"""),"MASCULINO")</f>
        <v>MASCULINO</v>
      </c>
      <c r="AN412" s="1">
        <f>IFERROR(__xludf.DUMMYFUNCTION("""COMPUTED_VALUE"""),1350.0)</f>
        <v>1350</v>
      </c>
      <c r="AO412" s="1">
        <f>IFERROR(__xludf.DUMMYFUNCTION("""COMPUTED_VALUE"""),0.0)</f>
        <v>0</v>
      </c>
      <c r="AP412" s="1" t="str">
        <f>IFERROR(__xludf.DUMMYFUNCTION("""COMPUTED_VALUE"""),"BIDIRECCIONAL")</f>
        <v>BIDIRECCIONAL</v>
      </c>
      <c r="AQ412" s="1" t="str">
        <f>IFERROR(__xludf.DUMMYFUNCTION("""COMPUTED_VALUE"""),"ORGANICO")</f>
        <v>ORGANICO</v>
      </c>
      <c r="AR412" s="1" t="str">
        <f>IFERROR(__xludf.DUMMYFUNCTION("""COMPUTED_VALUE"""),"NUEVO")</f>
        <v>NUEVO</v>
      </c>
      <c r="AS412" s="1"/>
      <c r="AT412" s="2">
        <f>IFERROR(__xludf.DUMMYFUNCTION("""COMPUTED_VALUE"""),45682.0)</f>
        <v>45682</v>
      </c>
      <c r="AU412" s="1">
        <f>IFERROR(__xludf.DUMMYFUNCTION("""COMPUTED_VALUE"""),1.0)</f>
        <v>1</v>
      </c>
      <c r="AV412" s="1" t="str">
        <f>IFERROR(__xludf.DUMMYFUNCTION("""COMPUTED_VALUE"""),"TRASLADO")</f>
        <v>TRASLADO</v>
      </c>
      <c r="AW412" s="1" t="str">
        <f>IFERROR(__xludf.DUMMYFUNCTION("""COMPUTED_VALUE"""),"SI")</f>
        <v>SI</v>
      </c>
      <c r="AX412" s="1"/>
      <c r="AY412" s="1" t="str">
        <f>IFERROR(__xludf.DUMMYFUNCTION("""COMPUTED_VALUE"""),"PAGO COMPLETO")</f>
        <v>PAGO COMPLETO</v>
      </c>
      <c r="AZ412" s="5">
        <f>IFERROR(__xludf.DUMMYFUNCTION("""COMPUTED_VALUE"""),45688.0)</f>
        <v>45688</v>
      </c>
      <c r="BA412" s="1">
        <f>IFERROR(__xludf.DUMMYFUNCTION("""COMPUTED_VALUE"""),800.0)</f>
        <v>800</v>
      </c>
      <c r="BB412" s="1">
        <f>IFERROR(__xludf.DUMMYFUNCTION("""COMPUTED_VALUE"""),0.0)</f>
        <v>0</v>
      </c>
      <c r="BC412" s="4">
        <f>IFERROR(__xludf.DUMMYFUNCTION("""COMPUTED_VALUE"""),0.0)</f>
        <v>0</v>
      </c>
      <c r="BD412" s="4">
        <f>IFERROR(__xludf.DUMMYFUNCTION("""COMPUTED_VALUE"""),0.0)</f>
        <v>0</v>
      </c>
      <c r="BE412" s="1">
        <f>IFERROR(__xludf.DUMMYFUNCTION("""COMPUTED_VALUE"""),1.0)</f>
        <v>1</v>
      </c>
      <c r="BF412" s="6">
        <f>IFERROR(__xludf.DUMMYFUNCTION("""COMPUTED_VALUE"""),1.0)</f>
        <v>1</v>
      </c>
      <c r="BG412" s="1">
        <f>IFERROR(__xludf.DUMMYFUNCTION("""COMPUTED_VALUE"""),1.0)</f>
        <v>1</v>
      </c>
      <c r="BH412" s="1" t="str">
        <f>IFERROR(__xludf.DUMMYFUNCTION("""COMPUTED_VALUE"""),"1")</f>
        <v>1</v>
      </c>
      <c r="BI412" s="4">
        <f>IFERROR(__xludf.DUMMYFUNCTION("""COMPUTED_VALUE"""),1600.0)</f>
        <v>1600</v>
      </c>
      <c r="BJ412" s="1">
        <f>IFERROR(__xludf.DUMMYFUNCTION("""COMPUTED_VALUE"""),0.0)</f>
        <v>0</v>
      </c>
      <c r="BK412" s="4">
        <f>IFERROR(__xludf.DUMMYFUNCTION("""COMPUTED_VALUE"""),0.0)</f>
        <v>0</v>
      </c>
      <c r="BL412" s="1">
        <f>IFERROR(__xludf.DUMMYFUNCTION("""COMPUTED_VALUE"""),1600.0)</f>
        <v>1600</v>
      </c>
      <c r="BM412" s="1">
        <f>IFERROR(__xludf.DUMMYFUNCTION("""COMPUTED_VALUE"""),4.0)</f>
        <v>4</v>
      </c>
      <c r="BN412" s="2">
        <f>IFERROR(__xludf.DUMMYFUNCTION("""COMPUTED_VALUE"""),45677.0)</f>
        <v>45677</v>
      </c>
      <c r="BO412" s="1">
        <f>IFERROR(__xludf.DUMMYFUNCTION("""COMPUTED_VALUE"""),1.0)</f>
        <v>1</v>
      </c>
      <c r="BP412" s="1">
        <f>IFERROR(__xludf.DUMMYFUNCTION("""COMPUTED_VALUE"""),2025.0)</f>
        <v>2025</v>
      </c>
    </row>
    <row r="413">
      <c r="A413" s="1">
        <f>IFERROR(__xludf.DUMMYFUNCTION("""COMPUTED_VALUE"""),412.0)</f>
        <v>412</v>
      </c>
      <c r="B413" s="1">
        <f>IFERROR(__xludf.DUMMYFUNCTION("""COMPUTED_VALUE"""),1225021.0)</f>
        <v>1225021</v>
      </c>
      <c r="C413" s="1" t="str">
        <f>IFERROR(__xludf.DUMMYFUNCTION("""COMPUTED_VALUE"""),"2025-1")</f>
        <v>2025-1</v>
      </c>
      <c r="D413" s="1" t="str">
        <f>IFERROR(__xludf.DUMMYFUNCTION("""COMPUTED_VALUE"""),"Admisión Ordinaria")</f>
        <v>Admisión Ordinaria</v>
      </c>
      <c r="E413" s="2">
        <f>IFERROR(__xludf.DUMMYFUNCTION("""COMPUTED_VALUE"""),45682.0)</f>
        <v>45682</v>
      </c>
      <c r="F413" s="1" t="str">
        <f>IFERROR(__xludf.DUMMYFUNCTION("""COMPUTED_VALUE"""),"RENZO JOSE")</f>
        <v>RENZO JOSE</v>
      </c>
      <c r="G413" s="1" t="str">
        <f>IFERROR(__xludf.DUMMYFUNCTION("""COMPUTED_VALUE"""),"TELLO REYES")</f>
        <v>TELLO REYES</v>
      </c>
      <c r="H413" s="1" t="str">
        <f>IFERROR(__xludf.DUMMYFUNCTION("""COMPUTED_VALUE"""),"Psicología")</f>
        <v>Psicología</v>
      </c>
      <c r="I413" s="1" t="str">
        <f>IFERROR(__xludf.DUMMYFUNCTION("""COMPUTED_VALUE"""),"CARGO")</f>
        <v>CARGO</v>
      </c>
      <c r="J413" s="1" t="str">
        <f>IFERROR(__xludf.DUMMYFUNCTION("""COMPUTED_VALUE"""),"Diurno")</f>
        <v>Diurno</v>
      </c>
      <c r="K413" s="1" t="str">
        <f>IFERROR(__xludf.DUMMYFUNCTION("""COMPUTED_VALUE"""),"NUEVO")</f>
        <v>NUEVO</v>
      </c>
      <c r="L413" s="1">
        <f>IFERROR(__xludf.DUMMYFUNCTION("""COMPUTED_VALUE"""),0.0)</f>
        <v>0</v>
      </c>
      <c r="M413" s="1">
        <f>IFERROR(__xludf.DUMMYFUNCTION("""COMPUTED_VALUE"""),0.0)</f>
        <v>0</v>
      </c>
      <c r="N413" s="1" t="str">
        <f>IFERROR(__xludf.DUMMYFUNCTION("""COMPUTED_VALUE"""),"BECA")</f>
        <v>BECA</v>
      </c>
      <c r="O413" s="1" t="str">
        <f>IFERROR(__xludf.DUMMYFUNCTION("""COMPUTED_VALUE"""),"BECA CONGELADA DE 2 AÑOS")</f>
        <v>BECA CONGELADA DE 2 AÑOS</v>
      </c>
      <c r="P413" s="4">
        <f>IFERROR(__xludf.DUMMYFUNCTION("""COMPUTED_VALUE"""),0.0)</f>
        <v>0</v>
      </c>
      <c r="Q413" s="4">
        <f>IFERROR(__xludf.DUMMYFUNCTION("""COMPUTED_VALUE"""),0.0)</f>
        <v>0</v>
      </c>
      <c r="R413" s="4">
        <f>IFERROR(__xludf.DUMMYFUNCTION("""COMPUTED_VALUE"""),1150.0)</f>
        <v>1150</v>
      </c>
      <c r="S413" s="4">
        <f>IFERROR(__xludf.DUMMYFUNCTION("""COMPUTED_VALUE"""),950.0)</f>
        <v>950</v>
      </c>
      <c r="T413" s="1" t="str">
        <f>IFERROR(__xludf.DUMMYFUNCTION("""COMPUTED_VALUE"""),"NINGUNO")</f>
        <v>NINGUNO</v>
      </c>
      <c r="U413" s="1" t="str">
        <f>IFERROR(__xludf.DUMMYFUNCTION("""COMPUTED_VALUE"""),"FABIOLA")</f>
        <v>FABIOLA</v>
      </c>
      <c r="V413" s="1" t="str">
        <f>IFERROR(__xludf.DUMMYFUNCTION("""COMPUTED_VALUE"""),"Ninguno")</f>
        <v>Ninguno</v>
      </c>
      <c r="W413" s="1" t="str">
        <f>IFERROR(__xludf.DUMMYFUNCTION("""COMPUTED_VALUE"""),"Malla curricular")</f>
        <v>Malla curricular</v>
      </c>
      <c r="X413" s="1"/>
      <c r="Y413" s="1" t="str">
        <f>IFERROR(__xludf.DUMMYFUNCTION("""COMPUTED_VALUE"""),"PAGO COMPLETO")</f>
        <v>PAGO COMPLETO</v>
      </c>
      <c r="Z413" s="1"/>
      <c r="AA413" s="1"/>
      <c r="AB413" s="1">
        <f>IFERROR(__xludf.DUMMYFUNCTION("""COMPUTED_VALUE"""),0.0)</f>
        <v>0</v>
      </c>
      <c r="AC413" s="1">
        <f>IFERROR(__xludf.DUMMYFUNCTION("""COMPUTED_VALUE"""),0.0)</f>
        <v>0</v>
      </c>
      <c r="AD413" s="1" t="str">
        <f>IFERROR(__xludf.DUMMYFUNCTION("""COMPUTED_VALUE"""),"Angelica Iparraguirre")</f>
        <v>Angelica Iparraguirre</v>
      </c>
      <c r="AE413" s="1" t="str">
        <f>IFERROR(__xludf.DUMMYFUNCTION("""COMPUTED_VALUE"""),"0")</f>
        <v>0</v>
      </c>
      <c r="AF413" s="1">
        <f>IFERROR(__xludf.DUMMYFUNCTION("""COMPUTED_VALUE"""),2018.0)</f>
        <v>2018</v>
      </c>
      <c r="AG413" s="1">
        <f>IFERROR(__xludf.DUMMYFUNCTION("""COMPUTED_VALUE"""),1040393.0)</f>
        <v>1040393</v>
      </c>
      <c r="AH413" s="1">
        <f>IFERROR(__xludf.DUMMYFUNCTION("""COMPUTED_VALUE"""),24.0)</f>
        <v>24</v>
      </c>
      <c r="AI413" s="1" t="str">
        <f>IFERROR(__xludf.DUMMYFUNCTION("""COMPUTED_VALUE"""),"2020003132")</f>
        <v>2020003132</v>
      </c>
      <c r="AJ413" s="1">
        <f>IFERROR(__xludf.DUMMYFUNCTION("""COMPUTED_VALUE"""),7.6396263E7)</f>
        <v>76396263</v>
      </c>
      <c r="AK413" s="1">
        <f>IFERROR(__xludf.DUMMYFUNCTION("""COMPUTED_VALUE"""),9.23424072E8)</f>
        <v>923424072</v>
      </c>
      <c r="AL413" s="1" t="str">
        <f>IFERROR(__xludf.DUMMYFUNCTION("""COMPUTED_VALUE"""),"renzotello2@gmail.com")</f>
        <v>renzotello2@gmail.com</v>
      </c>
      <c r="AM413" s="1" t="str">
        <f>IFERROR(__xludf.DUMMYFUNCTION("""COMPUTED_VALUE"""),"MASCULINO")</f>
        <v>MASCULINO</v>
      </c>
      <c r="AN413" s="1">
        <f>IFERROR(__xludf.DUMMYFUNCTION("""COMPUTED_VALUE"""),1525.0)</f>
        <v>1525</v>
      </c>
      <c r="AO413" s="1">
        <f>IFERROR(__xludf.DUMMYFUNCTION("""COMPUTED_VALUE"""),150.0)</f>
        <v>150</v>
      </c>
      <c r="AP413" s="1" t="str">
        <f>IFERROR(__xludf.DUMMYFUNCTION("""COMPUTED_VALUE"""),"FORMULARIO")</f>
        <v>FORMULARIO</v>
      </c>
      <c r="AQ413" s="1" t="str">
        <f>IFERROR(__xludf.DUMMYFUNCTION("""COMPUTED_VALUE"""),"SEARCH CARRERA")</f>
        <v>SEARCH CARRERA</v>
      </c>
      <c r="AR413" s="1" t="str">
        <f>IFERROR(__xludf.DUMMYFUNCTION("""COMPUTED_VALUE"""),"HEREDADO")</f>
        <v>HEREDADO</v>
      </c>
      <c r="AS413" s="1" t="str">
        <f>IFERROR(__xludf.DUMMYFUNCTION("""COMPUTED_VALUE"""),"ucal-pg-performance-sedes-abierta-cpl-search_conversion_mundo_psicologia_reactivacion-20241105")</f>
        <v>ucal-pg-performance-sedes-abierta-cpl-search_conversion_mundo_psicologia_reactivacion-20241105</v>
      </c>
      <c r="AT413" s="2">
        <f>IFERROR(__xludf.DUMMYFUNCTION("""COMPUTED_VALUE"""),45682.0)</f>
        <v>45682</v>
      </c>
      <c r="AU413" s="1">
        <f>IFERROR(__xludf.DUMMYFUNCTION("""COMPUTED_VALUE"""),1.0)</f>
        <v>1</v>
      </c>
      <c r="AV413" s="1" t="str">
        <f>IFERROR(__xludf.DUMMYFUNCTION("""COMPUTED_VALUE"""),"NUEVO")</f>
        <v>NUEVO</v>
      </c>
      <c r="AW413" s="1" t="str">
        <f>IFERROR(__xludf.DUMMYFUNCTION("""COMPUTED_VALUE"""),"SI")</f>
        <v>SI</v>
      </c>
      <c r="AX413" s="1"/>
      <c r="AY413" s="1" t="str">
        <f>IFERROR(__xludf.DUMMYFUNCTION("""COMPUTED_VALUE"""),"PAGO COMPLETO")</f>
        <v>PAGO COMPLETO</v>
      </c>
      <c r="AZ413" s="5">
        <f>IFERROR(__xludf.DUMMYFUNCTION("""COMPUTED_VALUE"""),45682.0)</f>
        <v>45682</v>
      </c>
      <c r="BA413" s="1">
        <f>IFERROR(__xludf.DUMMYFUNCTION("""COMPUTED_VALUE"""),0.0)</f>
        <v>0</v>
      </c>
      <c r="BB413" s="1">
        <f>IFERROR(__xludf.DUMMYFUNCTION("""COMPUTED_VALUE"""),0.0)</f>
        <v>0</v>
      </c>
      <c r="BC413" s="4">
        <f>IFERROR(__xludf.DUMMYFUNCTION("""COMPUTED_VALUE"""),0.0)</f>
        <v>0</v>
      </c>
      <c r="BD413" s="4">
        <f>IFERROR(__xludf.DUMMYFUNCTION("""COMPUTED_VALUE"""),0.0)</f>
        <v>0</v>
      </c>
      <c r="BE413" s="1">
        <f>IFERROR(__xludf.DUMMYFUNCTION("""COMPUTED_VALUE"""),1.0)</f>
        <v>1</v>
      </c>
      <c r="BF413" s="6">
        <f>IFERROR(__xludf.DUMMYFUNCTION("""COMPUTED_VALUE"""),1.0)</f>
        <v>1</v>
      </c>
      <c r="BG413" s="1">
        <f>IFERROR(__xludf.DUMMYFUNCTION("""COMPUTED_VALUE"""),1.0)</f>
        <v>1</v>
      </c>
      <c r="BH413" s="1" t="str">
        <f>IFERROR(__xludf.DUMMYFUNCTION("""COMPUTED_VALUE"""),"0")</f>
        <v>0</v>
      </c>
      <c r="BI413" s="4">
        <f>IFERROR(__xludf.DUMMYFUNCTION("""COMPUTED_VALUE"""),0.0)</f>
        <v>0</v>
      </c>
      <c r="BJ413" s="1">
        <f>IFERROR(__xludf.DUMMYFUNCTION("""COMPUTED_VALUE"""),0.0)</f>
        <v>0</v>
      </c>
      <c r="BK413" s="4">
        <f>IFERROR(__xludf.DUMMYFUNCTION("""COMPUTED_VALUE"""),0.0)</f>
        <v>0</v>
      </c>
      <c r="BL413" s="1">
        <f>IFERROR(__xludf.DUMMYFUNCTION("""COMPUTED_VALUE"""),950.0)</f>
        <v>950</v>
      </c>
      <c r="BM413" s="1">
        <f>IFERROR(__xludf.DUMMYFUNCTION("""COMPUTED_VALUE"""),4.0)</f>
        <v>4</v>
      </c>
      <c r="BN413" s="2">
        <f>IFERROR(__xludf.DUMMYFUNCTION("""COMPUTED_VALUE"""),45677.0)</f>
        <v>45677</v>
      </c>
      <c r="BO413" s="1">
        <f>IFERROR(__xludf.DUMMYFUNCTION("""COMPUTED_VALUE"""),1.0)</f>
        <v>1</v>
      </c>
      <c r="BP413" s="1">
        <f>IFERROR(__xludf.DUMMYFUNCTION("""COMPUTED_VALUE"""),2025.0)</f>
        <v>2025</v>
      </c>
    </row>
    <row r="414">
      <c r="A414" s="1">
        <f>IFERROR(__xludf.DUMMYFUNCTION("""COMPUTED_VALUE"""),413.0)</f>
        <v>413</v>
      </c>
      <c r="B414" s="1">
        <f>IFERROR(__xludf.DUMMYFUNCTION("""COMPUTED_VALUE"""),3337927.0)</f>
        <v>3337927</v>
      </c>
      <c r="C414" s="1" t="str">
        <f>IFERROR(__xludf.DUMMYFUNCTION("""COMPUTED_VALUE"""),"2025-1")</f>
        <v>2025-1</v>
      </c>
      <c r="D414" s="1" t="str">
        <f>IFERROR(__xludf.DUMMYFUNCTION("""COMPUTED_VALUE"""),"Admisión de Alto Rendimiento")</f>
        <v>Admisión de Alto Rendimiento</v>
      </c>
      <c r="E414" s="2">
        <f>IFERROR(__xludf.DUMMYFUNCTION("""COMPUTED_VALUE"""),45684.0)</f>
        <v>45684</v>
      </c>
      <c r="F414" s="1" t="str">
        <f>IFERROR(__xludf.DUMMYFUNCTION("""COMPUTED_VALUE"""),"LUIS ANGEL")</f>
        <v>LUIS ANGEL</v>
      </c>
      <c r="G414" s="1" t="str">
        <f>IFERROR(__xludf.DUMMYFUNCTION("""COMPUTED_VALUE"""),"TICONA COLQUE")</f>
        <v>TICONA COLQUE</v>
      </c>
      <c r="H414" s="1" t="str">
        <f>IFERROR(__xludf.DUMMYFUNCTION("""COMPUTED_VALUE"""),"Diseño Gráfico Publicitario")</f>
        <v>Diseño Gráfico Publicitario</v>
      </c>
      <c r="I414" s="1" t="str">
        <f>IFERROR(__xludf.DUMMYFUNCTION("""COMPUTED_VALUE"""),"POS")</f>
        <v>POS</v>
      </c>
      <c r="J414" s="1" t="str">
        <f>IFERROR(__xludf.DUMMYFUNCTION("""COMPUTED_VALUE"""),"Diurno")</f>
        <v>Diurno</v>
      </c>
      <c r="K414" s="1" t="str">
        <f>IFERROR(__xludf.DUMMYFUNCTION("""COMPUTED_VALUE"""),"NUEVO")</f>
        <v>NUEVO</v>
      </c>
      <c r="L414" s="1">
        <f>IFERROR(__xludf.DUMMYFUNCTION("""COMPUTED_VALUE"""),0.0)</f>
        <v>0</v>
      </c>
      <c r="M414" s="1">
        <f>IFERROR(__xludf.DUMMYFUNCTION("""COMPUTED_VALUE"""),0.0)</f>
        <v>0</v>
      </c>
      <c r="N414" s="1" t="str">
        <f>IFERROR(__xludf.DUMMYFUNCTION("""COMPUTED_VALUE"""),"BECA")</f>
        <v>BECA</v>
      </c>
      <c r="O414" s="1" t="str">
        <f>IFERROR(__xludf.DUMMYFUNCTION("""COMPUTED_VALUE"""),"BECA CARRERAS CORE")</f>
        <v>BECA CARRERAS CORE</v>
      </c>
      <c r="P414" s="4">
        <f>IFERROR(__xludf.DUMMYFUNCTION("""COMPUTED_VALUE"""),0.0)</f>
        <v>0</v>
      </c>
      <c r="Q414" s="4">
        <f>IFERROR(__xludf.DUMMYFUNCTION("""COMPUTED_VALUE"""),0.0)</f>
        <v>0</v>
      </c>
      <c r="R414" s="4">
        <f>IFERROR(__xludf.DUMMYFUNCTION("""COMPUTED_VALUE"""),1150.0)</f>
        <v>1150</v>
      </c>
      <c r="S414" s="4">
        <f>IFERROR(__xludf.DUMMYFUNCTION("""COMPUTED_VALUE"""),950.0)</f>
        <v>950</v>
      </c>
      <c r="T414" s="1" t="str">
        <f>IFERROR(__xludf.DUMMYFUNCTION("""COMPUTED_VALUE"""),"NINGUNO")</f>
        <v>NINGUNO</v>
      </c>
      <c r="U414" s="1"/>
      <c r="V414" s="1" t="str">
        <f>IFERROR(__xludf.DUMMYFUNCTION("""COMPUTED_VALUE"""),"Leandro Urbina")</f>
        <v>Leandro Urbina</v>
      </c>
      <c r="W414" s="1" t="str">
        <f>IFERROR(__xludf.DUMMYFUNCTION("""COMPUTED_VALUE"""),"Beca")</f>
        <v>Beca</v>
      </c>
      <c r="X414" s="1" t="str">
        <f>IFERROR(__xludf.DUMMYFUNCTION("""COMPUTED_VALUE"""),"le gusta la carrera ")</f>
        <v>le gusta la carrera </v>
      </c>
      <c r="Y414" s="1" t="str">
        <f>IFERROR(__xludf.DUMMYFUNCTION("""COMPUTED_VALUE"""),"PAGO COMPLETO")</f>
        <v>PAGO COMPLETO</v>
      </c>
      <c r="Z414" s="1"/>
      <c r="AA414" s="1"/>
      <c r="AB414" s="1">
        <f>IFERROR(__xludf.DUMMYFUNCTION("""COMPUTED_VALUE"""),0.0)</f>
        <v>0</v>
      </c>
      <c r="AC414" s="1">
        <f>IFERROR(__xludf.DUMMYFUNCTION("""COMPUTED_VALUE"""),0.0)</f>
        <v>0</v>
      </c>
      <c r="AD414" s="1" t="str">
        <f>IFERROR(__xludf.DUMMYFUNCTION("""COMPUTED_VALUE"""),"Daniel Zapata")</f>
        <v>Daniel Zapata</v>
      </c>
      <c r="AE414" s="1" t="str">
        <f>IFERROR(__xludf.DUMMYFUNCTION("""COMPUTED_VALUE"""),"0")</f>
        <v>0</v>
      </c>
      <c r="AF414" s="1">
        <f>IFERROR(__xludf.DUMMYFUNCTION("""COMPUTED_VALUE"""),2024.0)</f>
        <v>2024</v>
      </c>
      <c r="AG414" s="1">
        <f>IFERROR(__xludf.DUMMYFUNCTION("""COMPUTED_VALUE"""),1066679.0)</f>
        <v>1066679</v>
      </c>
      <c r="AH414" s="1">
        <f>IFERROR(__xludf.DUMMYFUNCTION("""COMPUTED_VALUE"""),18.0)</f>
        <v>18</v>
      </c>
      <c r="AI414" s="1" t="str">
        <f>IFERROR(__xludf.DUMMYFUNCTION("""COMPUTED_VALUE"""),"0000411669")</f>
        <v>0000411669</v>
      </c>
      <c r="AJ414" s="1">
        <f>IFERROR(__xludf.DUMMYFUNCTION("""COMPUTED_VALUE"""),6.1047087E7)</f>
        <v>61047087</v>
      </c>
      <c r="AK414" s="1">
        <f>IFERROR(__xludf.DUMMYFUNCTION("""COMPUTED_VALUE"""),9.46159236E8)</f>
        <v>946159236</v>
      </c>
      <c r="AL414" s="1" t="str">
        <f>IFERROR(__xludf.DUMMYFUNCTION("""COMPUTED_VALUE"""),"luisangelticona96@gmail.com")</f>
        <v>luisangelticona96@gmail.com</v>
      </c>
      <c r="AM414" s="1" t="str">
        <f>IFERROR(__xludf.DUMMYFUNCTION("""COMPUTED_VALUE"""),"MASCULINO")</f>
        <v>MASCULINO</v>
      </c>
      <c r="AN414" s="1">
        <f>IFERROR(__xludf.DUMMYFUNCTION("""COMPUTED_VALUE"""),1350.0)</f>
        <v>1350</v>
      </c>
      <c r="AO414" s="1">
        <f>IFERROR(__xludf.DUMMYFUNCTION("""COMPUTED_VALUE"""),0.0)</f>
        <v>0</v>
      </c>
      <c r="AP414" s="1" t="str">
        <f>IFERROR(__xludf.DUMMYFUNCTION("""COMPUTED_VALUE"""),"COLEGIOS")</f>
        <v>COLEGIOS</v>
      </c>
      <c r="AQ414" s="1" t="str">
        <f>IFERROR(__xludf.DUMMYFUNCTION("""COMPUTED_VALUE"""),"COLEGIOS")</f>
        <v>COLEGIOS</v>
      </c>
      <c r="AR414" s="1" t="str">
        <f>IFERROR(__xludf.DUMMYFUNCTION("""COMPUTED_VALUE"""),"NUEVO")</f>
        <v>NUEVO</v>
      </c>
      <c r="AS414" s="1"/>
      <c r="AT414" s="2">
        <f>IFERROR(__xludf.DUMMYFUNCTION("""COMPUTED_VALUE"""),45463.0)</f>
        <v>45463</v>
      </c>
      <c r="AU414" s="1">
        <f>IFERROR(__xludf.DUMMYFUNCTION("""COMPUTED_VALUE"""),1.0)</f>
        <v>1</v>
      </c>
      <c r="AV414" s="1" t="str">
        <f>IFERROR(__xludf.DUMMYFUNCTION("""COMPUTED_VALUE"""),"NUEVO")</f>
        <v>NUEVO</v>
      </c>
      <c r="AW414" s="1" t="str">
        <f>IFERROR(__xludf.DUMMYFUNCTION("""COMPUTED_VALUE"""),"SI")</f>
        <v>SI</v>
      </c>
      <c r="AX414" s="1"/>
      <c r="AY414" s="1" t="str">
        <f>IFERROR(__xludf.DUMMYFUNCTION("""COMPUTED_VALUE"""),"PAGO COMPLETO")</f>
        <v>PAGO COMPLETO</v>
      </c>
      <c r="AZ414" s="5">
        <f>IFERROR(__xludf.DUMMYFUNCTION("""COMPUTED_VALUE"""),45684.0)</f>
        <v>45684</v>
      </c>
      <c r="BA414" s="1">
        <f>IFERROR(__xludf.DUMMYFUNCTION("""COMPUTED_VALUE"""),0.0)</f>
        <v>0</v>
      </c>
      <c r="BB414" s="1">
        <f>IFERROR(__xludf.DUMMYFUNCTION("""COMPUTED_VALUE"""),0.0)</f>
        <v>0</v>
      </c>
      <c r="BC414" s="4">
        <f>IFERROR(__xludf.DUMMYFUNCTION("""COMPUTED_VALUE"""),0.0)</f>
        <v>0</v>
      </c>
      <c r="BD414" s="4">
        <f>IFERROR(__xludf.DUMMYFUNCTION("""COMPUTED_VALUE"""),0.0)</f>
        <v>0</v>
      </c>
      <c r="BE414" s="1">
        <f>IFERROR(__xludf.DUMMYFUNCTION("""COMPUTED_VALUE"""),1.0)</f>
        <v>1</v>
      </c>
      <c r="BF414" s="6">
        <f>IFERROR(__xludf.DUMMYFUNCTION("""COMPUTED_VALUE"""),1.0)</f>
        <v>1</v>
      </c>
      <c r="BG414" s="1">
        <f>IFERROR(__xludf.DUMMYFUNCTION("""COMPUTED_VALUE"""),1.0)</f>
        <v>1</v>
      </c>
      <c r="BH414" s="1" t="str">
        <f>IFERROR(__xludf.DUMMYFUNCTION("""COMPUTED_VALUE"""),"0")</f>
        <v>0</v>
      </c>
      <c r="BI414" s="4">
        <f>IFERROR(__xludf.DUMMYFUNCTION("""COMPUTED_VALUE"""),0.0)</f>
        <v>0</v>
      </c>
      <c r="BJ414" s="1">
        <f>IFERROR(__xludf.DUMMYFUNCTION("""COMPUTED_VALUE"""),0.0)</f>
        <v>0</v>
      </c>
      <c r="BK414" s="4">
        <f>IFERROR(__xludf.DUMMYFUNCTION("""COMPUTED_VALUE"""),0.0)</f>
        <v>0</v>
      </c>
      <c r="BL414" s="1">
        <f>IFERROR(__xludf.DUMMYFUNCTION("""COMPUTED_VALUE"""),950.0)</f>
        <v>950</v>
      </c>
      <c r="BM414" s="1">
        <f>IFERROR(__xludf.DUMMYFUNCTION("""COMPUTED_VALUE"""),5.0)</f>
        <v>5</v>
      </c>
      <c r="BN414" s="2">
        <f>IFERROR(__xludf.DUMMYFUNCTION("""COMPUTED_VALUE"""),45684.0)</f>
        <v>45684</v>
      </c>
      <c r="BO414" s="1">
        <f>IFERROR(__xludf.DUMMYFUNCTION("""COMPUTED_VALUE"""),1.0)</f>
        <v>1</v>
      </c>
      <c r="BP414" s="1">
        <f>IFERROR(__xludf.DUMMYFUNCTION("""COMPUTED_VALUE"""),2025.0)</f>
        <v>2025</v>
      </c>
    </row>
    <row r="415">
      <c r="A415" s="1">
        <f>IFERROR(__xludf.DUMMYFUNCTION("""COMPUTED_VALUE"""),414.0)</f>
        <v>414</v>
      </c>
      <c r="B415" s="1">
        <f>IFERROR(__xludf.DUMMYFUNCTION("""COMPUTED_VALUE"""),1671026.0)</f>
        <v>1671026</v>
      </c>
      <c r="C415" s="1" t="str">
        <f>IFERROR(__xludf.DUMMYFUNCTION("""COMPUTED_VALUE"""),"2025-1")</f>
        <v>2025-1</v>
      </c>
      <c r="D415" s="1" t="str">
        <f>IFERROR(__xludf.DUMMYFUNCTION("""COMPUTED_VALUE"""),"Admisión Extraordinaria (Traslados)")</f>
        <v>Admisión Extraordinaria (Traslados)</v>
      </c>
      <c r="E415" s="2">
        <f>IFERROR(__xludf.DUMMYFUNCTION("""COMPUTED_VALUE"""),45684.0)</f>
        <v>45684</v>
      </c>
      <c r="F415" s="1" t="str">
        <f>IFERROR(__xludf.DUMMYFUNCTION("""COMPUTED_VALUE"""),"ABBY GISELLE")</f>
        <v>ABBY GISELLE</v>
      </c>
      <c r="G415" s="1" t="str">
        <f>IFERROR(__xludf.DUMMYFUNCTION("""COMPUTED_VALUE""")," HIDALGO GORDIANO")</f>
        <v> HIDALGO GORDIANO</v>
      </c>
      <c r="H415" s="1" t="str">
        <f>IFERROR(__xludf.DUMMYFUNCTION("""COMPUTED_VALUE"""),"Diseño Gráfico Publicitario")</f>
        <v>Diseño Gráfico Publicitario</v>
      </c>
      <c r="I415" s="1" t="str">
        <f>IFERROR(__xludf.DUMMYFUNCTION("""COMPUTED_VALUE"""),"CARGO")</f>
        <v>CARGO</v>
      </c>
      <c r="J415" s="1" t="str">
        <f>IFERROR(__xludf.DUMMYFUNCTION("""COMPUTED_VALUE"""),"Diurno")</f>
        <v>Diurno</v>
      </c>
      <c r="K415" s="1" t="str">
        <f>IFERROR(__xludf.DUMMYFUNCTION("""COMPUTED_VALUE"""),"TRASLADO")</f>
        <v>TRASLADO</v>
      </c>
      <c r="L415" s="1">
        <f>IFERROR(__xludf.DUMMYFUNCTION("""COMPUTED_VALUE"""),1.0)</f>
        <v>1</v>
      </c>
      <c r="M415" s="1">
        <f>IFERROR(__xludf.DUMMYFUNCTION("""COMPUTED_VALUE"""),0.0)</f>
        <v>0</v>
      </c>
      <c r="N415" s="1" t="str">
        <f>IFERROR(__xludf.DUMMYFUNCTION("""COMPUTED_VALUE"""),"RECA")</f>
        <v>RECA</v>
      </c>
      <c r="O415" s="1" t="str">
        <f>IFERROR(__xludf.DUMMYFUNCTION("""COMPUTED_VALUE"""),"RECA TRASLADO CON CONVA")</f>
        <v>RECA TRASLADO CON CONVA</v>
      </c>
      <c r="P415" s="4">
        <f>IFERROR(__xludf.DUMMYFUNCTION("""COMPUTED_VALUE"""),0.0)</f>
        <v>0</v>
      </c>
      <c r="Q415" s="4">
        <f>IFERROR(__xludf.DUMMYFUNCTION("""COMPUTED_VALUE"""),0.0)</f>
        <v>0</v>
      </c>
      <c r="R415" s="4">
        <f>IFERROR(__xludf.DUMMYFUNCTION("""COMPUTED_VALUE"""),850.0)</f>
        <v>850</v>
      </c>
      <c r="S415" s="4">
        <f>IFERROR(__xludf.DUMMYFUNCTION("""COMPUTED_VALUE"""),800.0)</f>
        <v>800</v>
      </c>
      <c r="T415" s="1" t="str">
        <f>IFERROR(__xludf.DUMMYFUNCTION("""COMPUTED_VALUE"""),"NINGUNO")</f>
        <v>NINGUNO</v>
      </c>
      <c r="U415" s="1"/>
      <c r="V415" s="1" t="str">
        <f>IFERROR(__xludf.DUMMYFUNCTION("""COMPUTED_VALUE"""),"Ninguno")</f>
        <v>Ninguno</v>
      </c>
      <c r="W415" s="1" t="str">
        <f>IFERROR(__xludf.DUMMYFUNCTION("""COMPUTED_VALUE"""),"Metodología de enseñanza")</f>
        <v>Metodología de enseñanza</v>
      </c>
      <c r="X415" s="1" t="str">
        <f>IFERROR(__xludf.DUMMYFUNCTION("""COMPUTED_VALUE"""),"es reca 800 , viene de tls")</f>
        <v>es reca 800 , viene de tls</v>
      </c>
      <c r="Y415" s="1" t="str">
        <f>IFERROR(__xludf.DUMMYFUNCTION("""COMPUTED_VALUE"""),"PAGO COMPLETO")</f>
        <v>PAGO COMPLETO</v>
      </c>
      <c r="Z415" s="1"/>
      <c r="AA415" s="1"/>
      <c r="AB415" s="1">
        <f>IFERROR(__xludf.DUMMYFUNCTION("""COMPUTED_VALUE"""),0.0)</f>
        <v>0</v>
      </c>
      <c r="AC415" s="1">
        <f>IFERROR(__xludf.DUMMYFUNCTION("""COMPUTED_VALUE"""),0.0)</f>
        <v>0</v>
      </c>
      <c r="AD415" s="1" t="str">
        <f>IFERROR(__xludf.DUMMYFUNCTION("""COMPUTED_VALUE"""),"Ingrid Guillermo Rivera")</f>
        <v>Ingrid Guillermo Rivera</v>
      </c>
      <c r="AE415" s="1" t="str">
        <f>IFERROR(__xludf.DUMMYFUNCTION("""COMPUTED_VALUE"""),"Instituto de Educación Superior Tecnológico Privado Toulouse Lautrec")</f>
        <v>Instituto de Educación Superior Tecnológico Privado Toulouse Lautrec</v>
      </c>
      <c r="AF415" s="1">
        <f>IFERROR(__xludf.DUMMYFUNCTION("""COMPUTED_VALUE"""),2022.0)</f>
        <v>2022</v>
      </c>
      <c r="AG415" s="1">
        <f>IFERROR(__xludf.DUMMYFUNCTION("""COMPUTED_VALUE"""),0.0)</f>
        <v>0</v>
      </c>
      <c r="AH415" s="1">
        <f>IFERROR(__xludf.DUMMYFUNCTION("""COMPUTED_VALUE"""),19.0)</f>
        <v>19</v>
      </c>
      <c r="AI415" s="1" t="str">
        <f>IFERROR(__xludf.DUMMYFUNCTION("""COMPUTED_VALUE"""),"0000035733")</f>
        <v>0000035733</v>
      </c>
      <c r="AJ415" s="1">
        <f>IFERROR(__xludf.DUMMYFUNCTION("""COMPUTED_VALUE"""),7.5889268E7)</f>
        <v>75889268</v>
      </c>
      <c r="AK415" s="1">
        <f>IFERROR(__xludf.DUMMYFUNCTION("""COMPUTED_VALUE"""),9.83127105E8)</f>
        <v>983127105</v>
      </c>
      <c r="AL415" s="1" t="str">
        <f>IFERROR(__xludf.DUMMYFUNCTION("""COMPUTED_VALUE"""),"abbyhidalgo123456789@gmail.com")</f>
        <v>abbyhidalgo123456789@gmail.com</v>
      </c>
      <c r="AM415" s="1" t="str">
        <f>IFERROR(__xludf.DUMMYFUNCTION("""COMPUTED_VALUE"""),"FEMENINO")</f>
        <v>FEMENINO</v>
      </c>
      <c r="AN415" s="1">
        <f>IFERROR(__xludf.DUMMYFUNCTION("""COMPUTED_VALUE"""),1775.0)</f>
        <v>1775</v>
      </c>
      <c r="AO415" s="1">
        <f>IFERROR(__xludf.DUMMYFUNCTION("""COMPUTED_VALUE"""),0.0)</f>
        <v>0</v>
      </c>
      <c r="AP415" s="1" t="str">
        <f>IFERROR(__xludf.DUMMYFUNCTION("""COMPUTED_VALUE"""),"FORMULARIO")</f>
        <v>FORMULARIO</v>
      </c>
      <c r="AQ415" s="1" t="str">
        <f>IFERROR(__xludf.DUMMYFUNCTION("""COMPUTED_VALUE"""),"ORGANICO")</f>
        <v>ORGANICO</v>
      </c>
      <c r="AR415" s="1" t="str">
        <f>IFERROR(__xludf.DUMMYFUNCTION("""COMPUTED_VALUE"""),"HEREDADO")</f>
        <v>HEREDADO</v>
      </c>
      <c r="AS415" s="1"/>
      <c r="AT415" s="2">
        <f>IFERROR(__xludf.DUMMYFUNCTION("""COMPUTED_VALUE"""),45683.0)</f>
        <v>45683</v>
      </c>
      <c r="AU415" s="1">
        <f>IFERROR(__xludf.DUMMYFUNCTION("""COMPUTED_VALUE"""),1.0)</f>
        <v>1</v>
      </c>
      <c r="AV415" s="1" t="str">
        <f>IFERROR(__xludf.DUMMYFUNCTION("""COMPUTED_VALUE"""),"TRASLADO")</f>
        <v>TRASLADO</v>
      </c>
      <c r="AW415" s="1" t="str">
        <f>IFERROR(__xludf.DUMMYFUNCTION("""COMPUTED_VALUE"""),"SI")</f>
        <v>SI</v>
      </c>
      <c r="AX415" s="1"/>
      <c r="AY415" s="1" t="str">
        <f>IFERROR(__xludf.DUMMYFUNCTION("""COMPUTED_VALUE"""),"PAGO COMPLETO")</f>
        <v>PAGO COMPLETO</v>
      </c>
      <c r="AZ415" s="5">
        <f>IFERROR(__xludf.DUMMYFUNCTION("""COMPUTED_VALUE"""),45684.0)</f>
        <v>45684</v>
      </c>
      <c r="BA415" s="1">
        <f>IFERROR(__xludf.DUMMYFUNCTION("""COMPUTED_VALUE"""),0.0)</f>
        <v>0</v>
      </c>
      <c r="BB415" s="1">
        <f>IFERROR(__xludf.DUMMYFUNCTION("""COMPUTED_VALUE"""),0.0)</f>
        <v>0</v>
      </c>
      <c r="BC415" s="4">
        <f>IFERROR(__xludf.DUMMYFUNCTION("""COMPUTED_VALUE"""),0.0)</f>
        <v>0</v>
      </c>
      <c r="BD415" s="4">
        <f>IFERROR(__xludf.DUMMYFUNCTION("""COMPUTED_VALUE"""),0.0)</f>
        <v>0</v>
      </c>
      <c r="BE415" s="1">
        <f>IFERROR(__xludf.DUMMYFUNCTION("""COMPUTED_VALUE"""),1.0)</f>
        <v>1</v>
      </c>
      <c r="BF415" s="6">
        <f>IFERROR(__xludf.DUMMYFUNCTION("""COMPUTED_VALUE"""),1.0)</f>
        <v>1</v>
      </c>
      <c r="BG415" s="1">
        <f>IFERROR(__xludf.DUMMYFUNCTION("""COMPUTED_VALUE"""),1.0)</f>
        <v>1</v>
      </c>
      <c r="BH415" s="1" t="str">
        <f>IFERROR(__xludf.DUMMYFUNCTION("""COMPUTED_VALUE"""),"1")</f>
        <v>1</v>
      </c>
      <c r="BI415" s="4">
        <f>IFERROR(__xludf.DUMMYFUNCTION("""COMPUTED_VALUE"""),0.0)</f>
        <v>0</v>
      </c>
      <c r="BJ415" s="1">
        <f>IFERROR(__xludf.DUMMYFUNCTION("""COMPUTED_VALUE"""),0.0)</f>
        <v>0</v>
      </c>
      <c r="BK415" s="4">
        <f>IFERROR(__xludf.DUMMYFUNCTION("""COMPUTED_VALUE"""),0.0)</f>
        <v>0</v>
      </c>
      <c r="BL415" s="1">
        <f>IFERROR(__xludf.DUMMYFUNCTION("""COMPUTED_VALUE"""),800.0)</f>
        <v>800</v>
      </c>
      <c r="BM415" s="1">
        <f>IFERROR(__xludf.DUMMYFUNCTION("""COMPUTED_VALUE"""),5.0)</f>
        <v>5</v>
      </c>
      <c r="BN415" s="2">
        <f>IFERROR(__xludf.DUMMYFUNCTION("""COMPUTED_VALUE"""),45684.0)</f>
        <v>45684</v>
      </c>
      <c r="BO415" s="1">
        <f>IFERROR(__xludf.DUMMYFUNCTION("""COMPUTED_VALUE"""),1.0)</f>
        <v>1</v>
      </c>
      <c r="BP415" s="1">
        <f>IFERROR(__xludf.DUMMYFUNCTION("""COMPUTED_VALUE"""),2025.0)</f>
        <v>2025</v>
      </c>
    </row>
    <row r="416">
      <c r="A416" s="1">
        <f>IFERROR(__xludf.DUMMYFUNCTION("""COMPUTED_VALUE"""),415.0)</f>
        <v>415</v>
      </c>
      <c r="B416" s="1">
        <f>IFERROR(__xludf.DUMMYFUNCTION("""COMPUTED_VALUE"""),3255202.0)</f>
        <v>3255202</v>
      </c>
      <c r="C416" s="1" t="str">
        <f>IFERROR(__xludf.DUMMYFUNCTION("""COMPUTED_VALUE"""),"2025-1")</f>
        <v>2025-1</v>
      </c>
      <c r="D416" s="1" t="str">
        <f>IFERROR(__xludf.DUMMYFUNCTION("""COMPUTED_VALUE"""),"Admisión de Alto Rendimiento")</f>
        <v>Admisión de Alto Rendimiento</v>
      </c>
      <c r="E416" s="2">
        <f>IFERROR(__xludf.DUMMYFUNCTION("""COMPUTED_VALUE"""),45684.0)</f>
        <v>45684</v>
      </c>
      <c r="F416" s="1" t="str">
        <f>IFERROR(__xludf.DUMMYFUNCTION("""COMPUTED_VALUE"""),"ALEEZA BELEN ")</f>
        <v>ALEEZA BELEN </v>
      </c>
      <c r="G416" s="1" t="str">
        <f>IFERROR(__xludf.DUMMYFUNCTION("""COMPUTED_VALUE"""),"ALARCON AGUILAR")</f>
        <v>ALARCON AGUILAR</v>
      </c>
      <c r="H416" s="1" t="str">
        <f>IFERROR(__xludf.DUMMYFUNCTION("""COMPUTED_VALUE"""),"Comunicación Audiovisual y Cine")</f>
        <v>Comunicación Audiovisual y Cine</v>
      </c>
      <c r="I416" s="1" t="str">
        <f>IFERROR(__xludf.DUMMYFUNCTION("""COMPUTED_VALUE"""),"POS")</f>
        <v>POS</v>
      </c>
      <c r="J416" s="1" t="str">
        <f>IFERROR(__xludf.DUMMYFUNCTION("""COMPUTED_VALUE"""),"Diurno")</f>
        <v>Diurno</v>
      </c>
      <c r="K416" s="1" t="str">
        <f>IFERROR(__xludf.DUMMYFUNCTION("""COMPUTED_VALUE"""),"NUEVO")</f>
        <v>NUEVO</v>
      </c>
      <c r="L416" s="1">
        <f>IFERROR(__xludf.DUMMYFUNCTION("""COMPUTED_VALUE"""),0.0)</f>
        <v>0</v>
      </c>
      <c r="M416" s="1">
        <f>IFERROR(__xludf.DUMMYFUNCTION("""COMPUTED_VALUE"""),0.0)</f>
        <v>0</v>
      </c>
      <c r="N416" s="1" t="str">
        <f>IFERROR(__xludf.DUMMYFUNCTION("""COMPUTED_VALUE"""),"BECA")</f>
        <v>BECA</v>
      </c>
      <c r="O416" s="1" t="str">
        <f>IFERROR(__xludf.DUMMYFUNCTION("""COMPUTED_VALUE"""),"BECA CARRERAS CORE")</f>
        <v>BECA CARRERAS CORE</v>
      </c>
      <c r="P416" s="4">
        <f>IFERROR(__xludf.DUMMYFUNCTION("""COMPUTED_VALUE"""),0.0)</f>
        <v>0</v>
      </c>
      <c r="Q416" s="4">
        <f>IFERROR(__xludf.DUMMYFUNCTION("""COMPUTED_VALUE"""),0.0)</f>
        <v>0</v>
      </c>
      <c r="R416" s="4">
        <f>IFERROR(__xludf.DUMMYFUNCTION("""COMPUTED_VALUE"""),1250.0)</f>
        <v>1250</v>
      </c>
      <c r="S416" s="4">
        <f>IFERROR(__xludf.DUMMYFUNCTION("""COMPUTED_VALUE"""),1050.0)</f>
        <v>1050</v>
      </c>
      <c r="T416" s="1" t="str">
        <f>IFERROR(__xludf.DUMMYFUNCTION("""COMPUTED_VALUE"""),"Visita Guiada")</f>
        <v>Visita Guiada</v>
      </c>
      <c r="U416" s="1"/>
      <c r="V416" s="1" t="str">
        <f>IFERROR(__xludf.DUMMYFUNCTION("""COMPUTED_VALUE"""),"Ninguno")</f>
        <v>Ninguno</v>
      </c>
      <c r="W416" s="1" t="str">
        <f>IFERROR(__xludf.DUMMYFUNCTION("""COMPUTED_VALUE"""),"Metodología de enseñanza")</f>
        <v>Metodología de enseñanza</v>
      </c>
      <c r="X416" s="1"/>
      <c r="Y416" s="1" t="str">
        <f>IFERROR(__xludf.DUMMYFUNCTION("""COMPUTED_VALUE"""),"PAGO COMPLETO")</f>
        <v>PAGO COMPLETO</v>
      </c>
      <c r="Z416" s="1"/>
      <c r="AA416" s="1"/>
      <c r="AB416" s="1">
        <f>IFERROR(__xludf.DUMMYFUNCTION("""COMPUTED_VALUE"""),0.0)</f>
        <v>0</v>
      </c>
      <c r="AC416" s="1">
        <f>IFERROR(__xludf.DUMMYFUNCTION("""COMPUTED_VALUE"""),0.0)</f>
        <v>0</v>
      </c>
      <c r="AD416" s="1" t="str">
        <f>IFERROR(__xludf.DUMMYFUNCTION("""COMPUTED_VALUE"""),"Ingrid Guillermo Rivera")</f>
        <v>Ingrid Guillermo Rivera</v>
      </c>
      <c r="AE416" s="1" t="str">
        <f>IFERROR(__xludf.DUMMYFUNCTION("""COMPUTED_VALUE"""),"0")</f>
        <v>0</v>
      </c>
      <c r="AF416" s="1">
        <f>IFERROR(__xludf.DUMMYFUNCTION("""COMPUTED_VALUE"""),2023.0)</f>
        <v>2023</v>
      </c>
      <c r="AG416" s="1">
        <f>IFERROR(__xludf.DUMMYFUNCTION("""COMPUTED_VALUE"""),1046184.0)</f>
        <v>1046184</v>
      </c>
      <c r="AH416" s="1">
        <f>IFERROR(__xludf.DUMMYFUNCTION("""COMPUTED_VALUE"""),19.0)</f>
        <v>19</v>
      </c>
      <c r="AI416" s="1" t="str">
        <f>IFERROR(__xludf.DUMMYFUNCTION("""COMPUTED_VALUE"""),"0000411664")</f>
        <v>0000411664</v>
      </c>
      <c r="AJ416" s="1">
        <f>IFERROR(__xludf.DUMMYFUNCTION("""COMPUTED_VALUE"""),7.0527252E7)</f>
        <v>70527252</v>
      </c>
      <c r="AK416" s="1">
        <f>IFERROR(__xludf.DUMMYFUNCTION("""COMPUTED_VALUE"""),9.32454423E8)</f>
        <v>932454423</v>
      </c>
      <c r="AL416" s="1" t="str">
        <f>IFERROR(__xludf.DUMMYFUNCTION("""COMPUTED_VALUE"""),"ALEEZAALARCONAGUILAR2019@gmail.com")</f>
        <v>ALEEZAALARCONAGUILAR2019@gmail.com</v>
      </c>
      <c r="AM416" s="1" t="str">
        <f>IFERROR(__xludf.DUMMYFUNCTION("""COMPUTED_VALUE"""),"FEMENINO")</f>
        <v>FEMENINO</v>
      </c>
      <c r="AN416" s="1">
        <f>IFERROR(__xludf.DUMMYFUNCTION("""COMPUTED_VALUE"""),1775.0)</f>
        <v>1775</v>
      </c>
      <c r="AO416" s="1">
        <f>IFERROR(__xludf.DUMMYFUNCTION("""COMPUTED_VALUE"""),390.0)</f>
        <v>390</v>
      </c>
      <c r="AP416" s="1" t="str">
        <f>IFERROR(__xludf.DUMMYFUNCTION("""COMPUTED_VALUE"""),"VISITA")</f>
        <v>VISITA</v>
      </c>
      <c r="AQ416" s="1" t="str">
        <f>IFERROR(__xludf.DUMMYFUNCTION("""COMPUTED_VALUE"""),"VISITA")</f>
        <v>VISITA</v>
      </c>
      <c r="AR416" s="1" t="str">
        <f>IFERROR(__xludf.DUMMYFUNCTION("""COMPUTED_VALUE"""),"NUEVO")</f>
        <v>NUEVO</v>
      </c>
      <c r="AS416" s="1"/>
      <c r="AT416" s="2">
        <f>IFERROR(__xludf.DUMMYFUNCTION("""COMPUTED_VALUE"""),45684.0)</f>
        <v>45684</v>
      </c>
      <c r="AU416" s="1">
        <f>IFERROR(__xludf.DUMMYFUNCTION("""COMPUTED_VALUE"""),1.0)</f>
        <v>1</v>
      </c>
      <c r="AV416" s="1" t="str">
        <f>IFERROR(__xludf.DUMMYFUNCTION("""COMPUTED_VALUE"""),"NUEVO")</f>
        <v>NUEVO</v>
      </c>
      <c r="AW416" s="1" t="str">
        <f>IFERROR(__xludf.DUMMYFUNCTION("""COMPUTED_VALUE"""),"SI")</f>
        <v>SI</v>
      </c>
      <c r="AX416" s="1"/>
      <c r="AY416" s="1" t="str">
        <f>IFERROR(__xludf.DUMMYFUNCTION("""COMPUTED_VALUE"""),"PAGO COMPLETO")</f>
        <v>PAGO COMPLETO</v>
      </c>
      <c r="AZ416" s="5">
        <f>IFERROR(__xludf.DUMMYFUNCTION("""COMPUTED_VALUE"""),45684.0)</f>
        <v>45684</v>
      </c>
      <c r="BA416" s="1">
        <f>IFERROR(__xludf.DUMMYFUNCTION("""COMPUTED_VALUE"""),0.0)</f>
        <v>0</v>
      </c>
      <c r="BB416" s="1">
        <f>IFERROR(__xludf.DUMMYFUNCTION("""COMPUTED_VALUE"""),0.0)</f>
        <v>0</v>
      </c>
      <c r="BC416" s="4">
        <f>IFERROR(__xludf.DUMMYFUNCTION("""COMPUTED_VALUE"""),0.0)</f>
        <v>0</v>
      </c>
      <c r="BD416" s="4">
        <f>IFERROR(__xludf.DUMMYFUNCTION("""COMPUTED_VALUE"""),100.0)</f>
        <v>100</v>
      </c>
      <c r="BE416" s="1">
        <f>IFERROR(__xludf.DUMMYFUNCTION("""COMPUTED_VALUE"""),1.0)</f>
        <v>1</v>
      </c>
      <c r="BF416" s="6">
        <f>IFERROR(__xludf.DUMMYFUNCTION("""COMPUTED_VALUE"""),1.0)</f>
        <v>1</v>
      </c>
      <c r="BG416" s="1">
        <f>IFERROR(__xludf.DUMMYFUNCTION("""COMPUTED_VALUE"""),1.0)</f>
        <v>1</v>
      </c>
      <c r="BH416" s="1" t="str">
        <f>IFERROR(__xludf.DUMMYFUNCTION("""COMPUTED_VALUE"""),"0")</f>
        <v>0</v>
      </c>
      <c r="BI416" s="4">
        <f>IFERROR(__xludf.DUMMYFUNCTION("""COMPUTED_VALUE"""),100.0)</f>
        <v>100</v>
      </c>
      <c r="BJ416" s="1">
        <f>IFERROR(__xludf.DUMMYFUNCTION("""COMPUTED_VALUE"""),0.0)</f>
        <v>0</v>
      </c>
      <c r="BK416" s="4">
        <f>IFERROR(__xludf.DUMMYFUNCTION("""COMPUTED_VALUE"""),100.0)</f>
        <v>100</v>
      </c>
      <c r="BL416" s="1">
        <f>IFERROR(__xludf.DUMMYFUNCTION("""COMPUTED_VALUE"""),1030.0)</f>
        <v>1030</v>
      </c>
      <c r="BM416" s="1">
        <f>IFERROR(__xludf.DUMMYFUNCTION("""COMPUTED_VALUE"""),5.0)</f>
        <v>5</v>
      </c>
      <c r="BN416" s="2">
        <f>IFERROR(__xludf.DUMMYFUNCTION("""COMPUTED_VALUE"""),45684.0)</f>
        <v>45684</v>
      </c>
      <c r="BO416" s="1">
        <f>IFERROR(__xludf.DUMMYFUNCTION("""COMPUTED_VALUE"""),1.0)</f>
        <v>1</v>
      </c>
      <c r="BP416" s="1">
        <f>IFERROR(__xludf.DUMMYFUNCTION("""COMPUTED_VALUE"""),2025.0)</f>
        <v>2025</v>
      </c>
    </row>
    <row r="417">
      <c r="A417" s="1">
        <f>IFERROR(__xludf.DUMMYFUNCTION("""COMPUTED_VALUE"""),416.0)</f>
        <v>416</v>
      </c>
      <c r="B417" s="1">
        <f>IFERROR(__xludf.DUMMYFUNCTION("""COMPUTED_VALUE"""),4966392.0)</f>
        <v>4966392</v>
      </c>
      <c r="C417" s="1" t="str">
        <f>IFERROR(__xludf.DUMMYFUNCTION("""COMPUTED_VALUE"""),"2025-1")</f>
        <v>2025-1</v>
      </c>
      <c r="D417" s="1" t="str">
        <f>IFERROR(__xludf.DUMMYFUNCTION("""COMPUTED_VALUE"""),"Admisión de Alto Rendimiento")</f>
        <v>Admisión de Alto Rendimiento</v>
      </c>
      <c r="E417" s="2">
        <f>IFERROR(__xludf.DUMMYFUNCTION("""COMPUTED_VALUE"""),45684.0)</f>
        <v>45684</v>
      </c>
      <c r="F417" s="1" t="str">
        <f>IFERROR(__xludf.DUMMYFUNCTION("""COMPUTED_VALUE"""),"ENOC JULIO ")</f>
        <v>ENOC JULIO </v>
      </c>
      <c r="G417" s="1" t="str">
        <f>IFERROR(__xludf.DUMMYFUNCTION("""COMPUTED_VALUE"""),"BARTOLO FIGUEROA")</f>
        <v>BARTOLO FIGUEROA</v>
      </c>
      <c r="H417" s="1" t="str">
        <f>IFERROR(__xludf.DUMMYFUNCTION("""COMPUTED_VALUE"""),"Comunicación Audiovisual y Cine")</f>
        <v>Comunicación Audiovisual y Cine</v>
      </c>
      <c r="I417" s="1" t="str">
        <f>IFERROR(__xludf.DUMMYFUNCTION("""COMPUTED_VALUE"""),"POS")</f>
        <v>POS</v>
      </c>
      <c r="J417" s="1" t="str">
        <f>IFERROR(__xludf.DUMMYFUNCTION("""COMPUTED_VALUE"""),"Diurno")</f>
        <v>Diurno</v>
      </c>
      <c r="K417" s="1" t="str">
        <f>IFERROR(__xludf.DUMMYFUNCTION("""COMPUTED_VALUE"""),"NUEVO")</f>
        <v>NUEVO</v>
      </c>
      <c r="L417" s="1">
        <f>IFERROR(__xludf.DUMMYFUNCTION("""COMPUTED_VALUE"""),0.0)</f>
        <v>0</v>
      </c>
      <c r="M417" s="1">
        <f>IFERROR(__xludf.DUMMYFUNCTION("""COMPUTED_VALUE"""),0.0)</f>
        <v>0</v>
      </c>
      <c r="N417" s="1" t="str">
        <f>IFERROR(__xludf.DUMMYFUNCTION("""COMPUTED_VALUE"""),"BECA")</f>
        <v>BECA</v>
      </c>
      <c r="O417" s="1" t="str">
        <f>IFERROR(__xludf.DUMMYFUNCTION("""COMPUTED_VALUE"""),"BECA CONGELADA DE 2 AÑOS")</f>
        <v>BECA CONGELADA DE 2 AÑOS</v>
      </c>
      <c r="P417" s="4">
        <f>IFERROR(__xludf.DUMMYFUNCTION("""COMPUTED_VALUE"""),0.0)</f>
        <v>0</v>
      </c>
      <c r="Q417" s="4">
        <f>IFERROR(__xludf.DUMMYFUNCTION("""COMPUTED_VALUE"""),0.0)</f>
        <v>0</v>
      </c>
      <c r="R417" s="4">
        <f>IFERROR(__xludf.DUMMYFUNCTION("""COMPUTED_VALUE"""),1000.0)</f>
        <v>1000</v>
      </c>
      <c r="S417" s="4">
        <f>IFERROR(__xludf.DUMMYFUNCTION("""COMPUTED_VALUE"""),850.0)</f>
        <v>850</v>
      </c>
      <c r="T417" s="1" t="str">
        <f>IFERROR(__xludf.DUMMYFUNCTION("""COMPUTED_VALUE"""),"NINGUNO")</f>
        <v>NINGUNO</v>
      </c>
      <c r="U417" s="1" t="str">
        <f>IFERROR(__xludf.DUMMYFUNCTION("""COMPUTED_VALUE"""),"RODRIGO")</f>
        <v>RODRIGO</v>
      </c>
      <c r="V417" s="1" t="str">
        <f>IFERROR(__xludf.DUMMYFUNCTION("""COMPUTED_VALUE"""),"Ninguno")</f>
        <v>Ninguno</v>
      </c>
      <c r="W417" s="1" t="str">
        <f>IFERROR(__xludf.DUMMYFUNCTION("""COMPUTED_VALUE"""),"Convenios internacionales")</f>
        <v>Convenios internacionales</v>
      </c>
      <c r="X417" s="1"/>
      <c r="Y417" s="1" t="str">
        <f>IFERROR(__xludf.DUMMYFUNCTION("""COMPUTED_VALUE"""),"PAGO FRACCIONADO")</f>
        <v>PAGO FRACCIONADO</v>
      </c>
      <c r="Z417" s="1">
        <f>IFERROR(__xludf.DUMMYFUNCTION("""COMPUTED_VALUE"""),425.0)</f>
        <v>425</v>
      </c>
      <c r="AA417" s="1" t="str">
        <f>IFERROR(__xludf.DUMMYFUNCTION("""COMPUTED_VALUE"""),"27/01/2025")</f>
        <v>27/01/2025</v>
      </c>
      <c r="AB417" s="1">
        <f>IFERROR(__xludf.DUMMYFUNCTION("""COMPUTED_VALUE"""),0.0)</f>
        <v>0</v>
      </c>
      <c r="AC417" s="1">
        <f>IFERROR(__xludf.DUMMYFUNCTION("""COMPUTED_VALUE"""),0.0)</f>
        <v>0</v>
      </c>
      <c r="AD417" s="1" t="str">
        <f>IFERROR(__xludf.DUMMYFUNCTION("""COMPUTED_VALUE"""),"Angelica Iparraguirre")</f>
        <v>Angelica Iparraguirre</v>
      </c>
      <c r="AE417" s="1" t="str">
        <f>IFERROR(__xludf.DUMMYFUNCTION("""COMPUTED_VALUE"""),"0")</f>
        <v>0</v>
      </c>
      <c r="AF417" s="1">
        <f>IFERROR(__xludf.DUMMYFUNCTION("""COMPUTED_VALUE"""),2024.0)</f>
        <v>2024</v>
      </c>
      <c r="AG417" s="1">
        <f>IFERROR(__xludf.DUMMYFUNCTION("""COMPUTED_VALUE"""),373399.0)</f>
        <v>373399</v>
      </c>
      <c r="AH417" s="1">
        <f>IFERROR(__xludf.DUMMYFUNCTION("""COMPUTED_VALUE"""),18.0)</f>
        <v>18</v>
      </c>
      <c r="AI417" s="1" t="str">
        <f>IFERROR(__xludf.DUMMYFUNCTION("""COMPUTED_VALUE"""),"0000411528")</f>
        <v>0000411528</v>
      </c>
      <c r="AJ417" s="1">
        <f>IFERROR(__xludf.DUMMYFUNCTION("""COMPUTED_VALUE"""),6.1111657E7)</f>
        <v>61111657</v>
      </c>
      <c r="AK417" s="1">
        <f>IFERROR(__xludf.DUMMYFUNCTION("""COMPUTED_VALUE"""),9.25376354E8)</f>
        <v>925376354</v>
      </c>
      <c r="AL417" s="1" t="str">
        <f>IFERROR(__xludf.DUMMYFUNCTION("""COMPUTED_VALUE"""),"bartolofigueroaenoc@gmail.com")</f>
        <v>bartolofigueroaenoc@gmail.com</v>
      </c>
      <c r="AM417" s="1" t="str">
        <f>IFERROR(__xludf.DUMMYFUNCTION("""COMPUTED_VALUE"""),"MASCULINO")</f>
        <v>MASCULINO</v>
      </c>
      <c r="AN417" s="1">
        <f>IFERROR(__xludf.DUMMYFUNCTION("""COMPUTED_VALUE"""),1350.0)</f>
        <v>1350</v>
      </c>
      <c r="AO417" s="1">
        <f>IFERROR(__xludf.DUMMYFUNCTION("""COMPUTED_VALUE"""),0.0)</f>
        <v>0</v>
      </c>
      <c r="AP417" s="1" t="str">
        <f>IFERROR(__xludf.DUMMYFUNCTION("""COMPUTED_VALUE"""),"BIDIRECCIONAL")</f>
        <v>BIDIRECCIONAL</v>
      </c>
      <c r="AQ417" s="1" t="str">
        <f>IFERROR(__xludf.DUMMYFUNCTION("""COMPUTED_VALUE"""),"SEARCH CARRERA")</f>
        <v>SEARCH CARRERA</v>
      </c>
      <c r="AR417" s="1" t="str">
        <f>IFERROR(__xludf.DUMMYFUNCTION("""COMPUTED_VALUE"""),"NUEVO")</f>
        <v>NUEVO</v>
      </c>
      <c r="AS417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417" s="2">
        <f>IFERROR(__xludf.DUMMYFUNCTION("""COMPUTED_VALUE"""),45679.0)</f>
        <v>45679</v>
      </c>
      <c r="AU417" s="1">
        <f>IFERROR(__xludf.DUMMYFUNCTION("""COMPUTED_VALUE"""),1.0)</f>
        <v>1</v>
      </c>
      <c r="AV417" s="1" t="str">
        <f>IFERROR(__xludf.DUMMYFUNCTION("""COMPUTED_VALUE"""),"NUEVO")</f>
        <v>NUEVO</v>
      </c>
      <c r="AW417" s="1" t="str">
        <f>IFERROR(__xludf.DUMMYFUNCTION("""COMPUTED_VALUE"""),"SI")</f>
        <v>SI</v>
      </c>
      <c r="AX417" s="1"/>
      <c r="AY417" s="1" t="str">
        <f>IFERROR(__xludf.DUMMYFUNCTION("""COMPUTED_VALUE"""),"PAGO COMPLETO")</f>
        <v>PAGO COMPLETO</v>
      </c>
      <c r="AZ417" s="5">
        <f>IFERROR(__xludf.DUMMYFUNCTION("""COMPUTED_VALUE"""),45688.0)</f>
        <v>45688</v>
      </c>
      <c r="BA417" s="1">
        <f>IFERROR(__xludf.DUMMYFUNCTION("""COMPUTED_VALUE"""),425.0)</f>
        <v>425</v>
      </c>
      <c r="BB417" s="1">
        <f>IFERROR(__xludf.DUMMYFUNCTION("""COMPUTED_VALUE"""),0.0)</f>
        <v>0</v>
      </c>
      <c r="BC417" s="4">
        <f>IFERROR(__xludf.DUMMYFUNCTION("""COMPUTED_VALUE"""),0.0)</f>
        <v>0</v>
      </c>
      <c r="BD417" s="4">
        <f>IFERROR(__xludf.DUMMYFUNCTION("""COMPUTED_VALUE"""),0.0)</f>
        <v>0</v>
      </c>
      <c r="BE417" s="1">
        <f>IFERROR(__xludf.DUMMYFUNCTION("""COMPUTED_VALUE"""),1.0)</f>
        <v>1</v>
      </c>
      <c r="BF417" s="6">
        <f>IFERROR(__xludf.DUMMYFUNCTION("""COMPUTED_VALUE"""),1.0)</f>
        <v>1</v>
      </c>
      <c r="BG417" s="1">
        <f>IFERROR(__xludf.DUMMYFUNCTION("""COMPUTED_VALUE"""),1.0)</f>
        <v>1</v>
      </c>
      <c r="BH417" s="1" t="str">
        <f>IFERROR(__xludf.DUMMYFUNCTION("""COMPUTED_VALUE"""),"0")</f>
        <v>0</v>
      </c>
      <c r="BI417" s="4">
        <f>IFERROR(__xludf.DUMMYFUNCTION("""COMPUTED_VALUE"""),850.0)</f>
        <v>850</v>
      </c>
      <c r="BJ417" s="1">
        <f>IFERROR(__xludf.DUMMYFUNCTION("""COMPUTED_VALUE"""),0.0)</f>
        <v>0</v>
      </c>
      <c r="BK417" s="4">
        <f>IFERROR(__xludf.DUMMYFUNCTION("""COMPUTED_VALUE"""),0.0)</f>
        <v>0</v>
      </c>
      <c r="BL417" s="1">
        <f>IFERROR(__xludf.DUMMYFUNCTION("""COMPUTED_VALUE"""),850.0)</f>
        <v>850</v>
      </c>
      <c r="BM417" s="1">
        <f>IFERROR(__xludf.DUMMYFUNCTION("""COMPUTED_VALUE"""),5.0)</f>
        <v>5</v>
      </c>
      <c r="BN417" s="2">
        <f>IFERROR(__xludf.DUMMYFUNCTION("""COMPUTED_VALUE"""),45684.0)</f>
        <v>45684</v>
      </c>
      <c r="BO417" s="1">
        <f>IFERROR(__xludf.DUMMYFUNCTION("""COMPUTED_VALUE"""),1.0)</f>
        <v>1</v>
      </c>
      <c r="BP417" s="1">
        <f>IFERROR(__xludf.DUMMYFUNCTION("""COMPUTED_VALUE"""),2025.0)</f>
        <v>2025</v>
      </c>
    </row>
    <row r="418">
      <c r="A418" s="1">
        <f>IFERROR(__xludf.DUMMYFUNCTION("""COMPUTED_VALUE"""),417.0)</f>
        <v>417</v>
      </c>
      <c r="B418" s="1">
        <f>IFERROR(__xludf.DUMMYFUNCTION("""COMPUTED_VALUE"""),4976575.0)</f>
        <v>4976575</v>
      </c>
      <c r="C418" s="1" t="str">
        <f>IFERROR(__xludf.DUMMYFUNCTION("""COMPUTED_VALUE"""),"2025-1")</f>
        <v>2025-1</v>
      </c>
      <c r="D418" s="1" t="str">
        <f>IFERROR(__xludf.DUMMYFUNCTION("""COMPUTED_VALUE"""),"Admisión de Alto Rendimiento")</f>
        <v>Admisión de Alto Rendimiento</v>
      </c>
      <c r="E418" s="2">
        <f>IFERROR(__xludf.DUMMYFUNCTION("""COMPUTED_VALUE"""),45685.0)</f>
        <v>45685</v>
      </c>
      <c r="F418" s="1" t="str">
        <f>IFERROR(__xludf.DUMMYFUNCTION("""COMPUTED_VALUE"""),"MARYURI MEY")</f>
        <v>MARYURI MEY</v>
      </c>
      <c r="G418" s="1" t="str">
        <f>IFERROR(__xludf.DUMMYFUNCTION("""COMPUTED_VALUE"""),"MISAICO HUAPAYA")</f>
        <v>MISAICO HUAPAYA</v>
      </c>
      <c r="H418" s="1" t="str">
        <f>IFERROR(__xludf.DUMMYFUNCTION("""COMPUTED_VALUE"""),"Administración y Negocios Internacionales")</f>
        <v>Administración y Negocios Internacionales</v>
      </c>
      <c r="I418" s="1" t="str">
        <f>IFERROR(__xludf.DUMMYFUNCTION("""COMPUTED_VALUE"""),"CARGO")</f>
        <v>CARGO</v>
      </c>
      <c r="J418" s="1" t="str">
        <f>IFERROR(__xludf.DUMMYFUNCTION("""COMPUTED_VALUE"""),"Nocturno - A distancia")</f>
        <v>Nocturno - A distancia</v>
      </c>
      <c r="K418" s="1" t="str">
        <f>IFERROR(__xludf.DUMMYFUNCTION("""COMPUTED_VALUE"""),"NUEVO")</f>
        <v>NUEVO</v>
      </c>
      <c r="L418" s="1">
        <f>IFERROR(__xludf.DUMMYFUNCTION("""COMPUTED_VALUE"""),0.0)</f>
        <v>0</v>
      </c>
      <c r="M418" s="1">
        <f>IFERROR(__xludf.DUMMYFUNCTION("""COMPUTED_VALUE"""),0.0)</f>
        <v>0</v>
      </c>
      <c r="N418" s="1" t="str">
        <f>IFERROR(__xludf.DUMMYFUNCTION("""COMPUTED_VALUE"""),"ESCALA DISTANCIA")</f>
        <v>ESCALA DISTANCIA</v>
      </c>
      <c r="O418" s="1" t="str">
        <f>IFERROR(__xludf.DUMMYFUNCTION("""COMPUTED_VALUE"""),"ESCALA DISTANCIA REGULAR")</f>
        <v>ESCALA DISTANCIA REGULAR</v>
      </c>
      <c r="P418" s="4">
        <f>IFERROR(__xludf.DUMMYFUNCTION("""COMPUTED_VALUE"""),0.0)</f>
        <v>0</v>
      </c>
      <c r="Q418" s="4">
        <f>IFERROR(__xludf.DUMMYFUNCTION("""COMPUTED_VALUE"""),0.0)</f>
        <v>0</v>
      </c>
      <c r="R418" s="4">
        <f>IFERROR(__xludf.DUMMYFUNCTION("""COMPUTED_VALUE"""),1000.0)</f>
        <v>1000</v>
      </c>
      <c r="S418" s="4">
        <f>IFERROR(__xludf.DUMMYFUNCTION("""COMPUTED_VALUE"""),700.0)</f>
        <v>700</v>
      </c>
      <c r="T418" s="1" t="str">
        <f>IFERROR(__xludf.DUMMYFUNCTION("""COMPUTED_VALUE"""),"Refirio")</f>
        <v>Refirio</v>
      </c>
      <c r="U418" s="1" t="str">
        <f>IFERROR(__xludf.DUMMYFUNCTION("""COMPUTED_VALUE"""),"RODRIGO")</f>
        <v>RODRIGO</v>
      </c>
      <c r="V418" s="1" t="str">
        <f>IFERROR(__xludf.DUMMYFUNCTION("""COMPUTED_VALUE"""),"Ninguno")</f>
        <v>Ninguno</v>
      </c>
      <c r="W418" s="1" t="str">
        <f>IFERROR(__xludf.DUMMYFUNCTION("""COMPUTED_VALUE"""),"Beca")</f>
        <v>Beca</v>
      </c>
      <c r="X418" s="1"/>
      <c r="Y418" s="1" t="str">
        <f>IFERROR(__xludf.DUMMYFUNCTION("""COMPUTED_VALUE"""),"PAGO COMPLETO")</f>
        <v>PAGO COMPLETO</v>
      </c>
      <c r="Z418" s="1"/>
      <c r="AA418" s="1"/>
      <c r="AB418" s="1">
        <f>IFERROR(__xludf.DUMMYFUNCTION("""COMPUTED_VALUE"""),0.0)</f>
        <v>0</v>
      </c>
      <c r="AC418" s="1">
        <f>IFERROR(__xludf.DUMMYFUNCTION("""COMPUTED_VALUE"""),0.0)</f>
        <v>0</v>
      </c>
      <c r="AD418" s="1" t="str">
        <f>IFERROR(__xludf.DUMMYFUNCTION("""COMPUTED_VALUE"""),"Erwyn Terie Vital Avila")</f>
        <v>Erwyn Terie Vital Avila</v>
      </c>
      <c r="AE418" s="1" t="str">
        <f>IFERROR(__xludf.DUMMYFUNCTION("""COMPUTED_VALUE"""),"0")</f>
        <v>0</v>
      </c>
      <c r="AF418" s="1">
        <f>IFERROR(__xludf.DUMMYFUNCTION("""COMPUTED_VALUE"""),2019.0)</f>
        <v>2019</v>
      </c>
      <c r="AG418" s="1">
        <f>IFERROR(__xludf.DUMMYFUNCTION("""COMPUTED_VALUE"""),584839.0)</f>
        <v>584839</v>
      </c>
      <c r="AH418" s="1">
        <f>IFERROR(__xludf.DUMMYFUNCTION("""COMPUTED_VALUE"""),22.0)</f>
        <v>22</v>
      </c>
      <c r="AI418" s="1" t="str">
        <f>IFERROR(__xludf.DUMMYFUNCTION("""COMPUTED_VALUE"""),"0000411816")</f>
        <v>0000411816</v>
      </c>
      <c r="AJ418" s="1">
        <f>IFERROR(__xludf.DUMMYFUNCTION("""COMPUTED_VALUE"""),7.3342667E7)</f>
        <v>73342667</v>
      </c>
      <c r="AK418" s="1">
        <f>IFERROR(__xludf.DUMMYFUNCTION("""COMPUTED_VALUE"""),9.40371906E8)</f>
        <v>940371906</v>
      </c>
      <c r="AL418" s="1" t="str">
        <f>IFERROR(__xludf.DUMMYFUNCTION("""COMPUTED_VALUE"""),"maryurimisaico09@gmail.com")</f>
        <v>maryurimisaico09@gmail.com</v>
      </c>
      <c r="AM418" s="1" t="str">
        <f>IFERROR(__xludf.DUMMYFUNCTION("""COMPUTED_VALUE"""),"FEMENINO")</f>
        <v>FEMENINO</v>
      </c>
      <c r="AN418" s="1">
        <f>IFERROR(__xludf.DUMMYFUNCTION("""COMPUTED_VALUE"""),1350.0)</f>
        <v>1350</v>
      </c>
      <c r="AO418" s="1">
        <f>IFERROR(__xludf.DUMMYFUNCTION("""COMPUTED_VALUE"""),0.0)</f>
        <v>0</v>
      </c>
      <c r="AP418" s="1" t="str">
        <f>IFERROR(__xludf.DUMMYFUNCTION("""COMPUTED_VALUE"""),"BIDIRECCIONAL")</f>
        <v>BIDIRECCIONAL</v>
      </c>
      <c r="AQ418" s="1" t="str">
        <f>IFERROR(__xludf.DUMMYFUNCTION("""COMPUTED_VALUE"""),"ORGANICO")</f>
        <v>ORGANICO</v>
      </c>
      <c r="AR418" s="1" t="str">
        <f>IFERROR(__xludf.DUMMYFUNCTION("""COMPUTED_VALUE"""),"NUEVO")</f>
        <v>NUEVO</v>
      </c>
      <c r="AS418" s="1"/>
      <c r="AT418" s="2">
        <f>IFERROR(__xludf.DUMMYFUNCTION("""COMPUTED_VALUE"""),45684.0)</f>
        <v>45684</v>
      </c>
      <c r="AU418" s="1">
        <f>IFERROR(__xludf.DUMMYFUNCTION("""COMPUTED_VALUE"""),1.0)</f>
        <v>1</v>
      </c>
      <c r="AV418" s="1" t="str">
        <f>IFERROR(__xludf.DUMMYFUNCTION("""COMPUTED_VALUE"""),"NUEVO")</f>
        <v>NUEVO</v>
      </c>
      <c r="AW418" s="1" t="str">
        <f>IFERROR(__xludf.DUMMYFUNCTION("""COMPUTED_VALUE"""),"SI")</f>
        <v>SI</v>
      </c>
      <c r="AX418" s="1"/>
      <c r="AY418" s="1" t="str">
        <f>IFERROR(__xludf.DUMMYFUNCTION("""COMPUTED_VALUE"""),"PAGO COMPLETO")</f>
        <v>PAGO COMPLETO</v>
      </c>
      <c r="AZ418" s="5">
        <f>IFERROR(__xludf.DUMMYFUNCTION("""COMPUTED_VALUE"""),45685.0)</f>
        <v>45685</v>
      </c>
      <c r="BA418" s="1">
        <f>IFERROR(__xludf.DUMMYFUNCTION("""COMPUTED_VALUE"""),0.0)</f>
        <v>0</v>
      </c>
      <c r="BB418" s="1">
        <f>IFERROR(__xludf.DUMMYFUNCTION("""COMPUTED_VALUE"""),0.0)</f>
        <v>0</v>
      </c>
      <c r="BC418" s="4">
        <f>IFERROR(__xludf.DUMMYFUNCTION("""COMPUTED_VALUE"""),0.0)</f>
        <v>0</v>
      </c>
      <c r="BD418" s="4">
        <f>IFERROR(__xludf.DUMMYFUNCTION("""COMPUTED_VALUE"""),0.0)</f>
        <v>0</v>
      </c>
      <c r="BE418" s="1">
        <f>IFERROR(__xludf.DUMMYFUNCTION("""COMPUTED_VALUE"""),1.0)</f>
        <v>1</v>
      </c>
      <c r="BF418" s="6">
        <f>IFERROR(__xludf.DUMMYFUNCTION("""COMPUTED_VALUE"""),1.0)</f>
        <v>1</v>
      </c>
      <c r="BG418" s="1">
        <f>IFERROR(__xludf.DUMMYFUNCTION("""COMPUTED_VALUE"""),1.0)</f>
        <v>1</v>
      </c>
      <c r="BH418" s="1" t="str">
        <f>IFERROR(__xludf.DUMMYFUNCTION("""COMPUTED_VALUE"""),"0")</f>
        <v>0</v>
      </c>
      <c r="BI418" s="4">
        <f>IFERROR(__xludf.DUMMYFUNCTION("""COMPUTED_VALUE"""),0.0)</f>
        <v>0</v>
      </c>
      <c r="BJ418" s="1">
        <f>IFERROR(__xludf.DUMMYFUNCTION("""COMPUTED_VALUE"""),0.0)</f>
        <v>0</v>
      </c>
      <c r="BK418" s="4">
        <f>IFERROR(__xludf.DUMMYFUNCTION("""COMPUTED_VALUE"""),700.0)</f>
        <v>700</v>
      </c>
      <c r="BL418" s="1">
        <f>IFERROR(__xludf.DUMMYFUNCTION("""COMPUTED_VALUE"""),560.0)</f>
        <v>560</v>
      </c>
      <c r="BM418" s="1">
        <f>IFERROR(__xludf.DUMMYFUNCTION("""COMPUTED_VALUE"""),5.0)</f>
        <v>5</v>
      </c>
      <c r="BN418" s="2">
        <f>IFERROR(__xludf.DUMMYFUNCTION("""COMPUTED_VALUE"""),45684.0)</f>
        <v>45684</v>
      </c>
      <c r="BO418" s="1">
        <f>IFERROR(__xludf.DUMMYFUNCTION("""COMPUTED_VALUE"""),1.0)</f>
        <v>1</v>
      </c>
      <c r="BP418" s="1">
        <f>IFERROR(__xludf.DUMMYFUNCTION("""COMPUTED_VALUE"""),2025.0)</f>
        <v>2025</v>
      </c>
    </row>
    <row r="419">
      <c r="A419" s="1">
        <f>IFERROR(__xludf.DUMMYFUNCTION("""COMPUTED_VALUE"""),418.0)</f>
        <v>418</v>
      </c>
      <c r="B419" s="1">
        <f>IFERROR(__xludf.DUMMYFUNCTION("""COMPUTED_VALUE"""),1816101.0)</f>
        <v>1816101</v>
      </c>
      <c r="C419" s="1" t="str">
        <f>IFERROR(__xludf.DUMMYFUNCTION("""COMPUTED_VALUE"""),"2025-1")</f>
        <v>2025-1</v>
      </c>
      <c r="D419" s="1" t="str">
        <f>IFERROR(__xludf.DUMMYFUNCTION("""COMPUTED_VALUE"""),"Admisión Ordinaria")</f>
        <v>Admisión Ordinaria</v>
      </c>
      <c r="E419" s="2">
        <f>IFERROR(__xludf.DUMMYFUNCTION("""COMPUTED_VALUE"""),45685.0)</f>
        <v>45685</v>
      </c>
      <c r="F419" s="1" t="str">
        <f>IFERROR(__xludf.DUMMYFUNCTION("""COMPUTED_VALUE"""),"NICOLAS GABRIEL ")</f>
        <v>NICOLAS GABRIEL </v>
      </c>
      <c r="G419" s="1" t="str">
        <f>IFERROR(__xludf.DUMMYFUNCTION("""COMPUTED_VALUE"""),"CASTRO CHAVEZ")</f>
        <v>CASTRO CHAVEZ</v>
      </c>
      <c r="H419" s="1" t="str">
        <f>IFERROR(__xludf.DUMMYFUNCTION("""COMPUTED_VALUE"""),"Psicología")</f>
        <v>Psicología</v>
      </c>
      <c r="I419" s="1" t="str">
        <f>IFERROR(__xludf.DUMMYFUNCTION("""COMPUTED_VALUE"""),"POS")</f>
        <v>POS</v>
      </c>
      <c r="J419" s="1" t="str">
        <f>IFERROR(__xludf.DUMMYFUNCTION("""COMPUTED_VALUE"""),"Nocturno - A distancia")</f>
        <v>Nocturno - A distancia</v>
      </c>
      <c r="K419" s="1" t="str">
        <f>IFERROR(__xludf.DUMMYFUNCTION("""COMPUTED_VALUE"""),"NUEVO")</f>
        <v>NUEVO</v>
      </c>
      <c r="L419" s="1">
        <f>IFERROR(__xludf.DUMMYFUNCTION("""COMPUTED_VALUE"""),0.0)</f>
        <v>0</v>
      </c>
      <c r="M419" s="1">
        <f>IFERROR(__xludf.DUMMYFUNCTION("""COMPUTED_VALUE"""),0.0)</f>
        <v>0</v>
      </c>
      <c r="N419" s="1" t="str">
        <f>IFERROR(__xludf.DUMMYFUNCTION("""COMPUTED_VALUE"""),"ESCALA DISTANCIA")</f>
        <v>ESCALA DISTANCIA</v>
      </c>
      <c r="O419" s="1" t="str">
        <f>IFERROR(__xludf.DUMMYFUNCTION("""COMPUTED_VALUE"""),"ESCALA DISTANCIA REGULAR")</f>
        <v>ESCALA DISTANCIA REGULAR</v>
      </c>
      <c r="P419" s="4">
        <f>IFERROR(__xludf.DUMMYFUNCTION("""COMPUTED_VALUE"""),0.0)</f>
        <v>0</v>
      </c>
      <c r="Q419" s="4">
        <f>IFERROR(__xludf.DUMMYFUNCTION("""COMPUTED_VALUE"""),0.0)</f>
        <v>0</v>
      </c>
      <c r="R419" s="4">
        <f>IFERROR(__xludf.DUMMYFUNCTION("""COMPUTED_VALUE"""),700.0)</f>
        <v>700</v>
      </c>
      <c r="S419" s="4">
        <f>IFERROR(__xludf.DUMMYFUNCTION("""COMPUTED_VALUE"""),700.0)</f>
        <v>700</v>
      </c>
      <c r="T419" s="1" t="str">
        <f>IFERROR(__xludf.DUMMYFUNCTION("""COMPUTED_VALUE"""),"NINGUNO")</f>
        <v>NINGUNO</v>
      </c>
      <c r="U419" s="1"/>
      <c r="V419" s="1" t="str">
        <f>IFERROR(__xludf.DUMMYFUNCTION("""COMPUTED_VALUE"""),"Ninguno")</f>
        <v>Ninguno</v>
      </c>
      <c r="W419" s="1" t="str">
        <f>IFERROR(__xludf.DUMMYFUNCTION("""COMPUTED_VALUE"""),"Prestigio de la institución")</f>
        <v>Prestigio de la institución</v>
      </c>
      <c r="X419" s="1" t="str">
        <f>IFERROR(__xludf.DUMMYFUNCTION("""COMPUTED_VALUE"""),"0")</f>
        <v>0</v>
      </c>
      <c r="Y419" s="1" t="str">
        <f>IFERROR(__xludf.DUMMYFUNCTION("""COMPUTED_VALUE"""),"PAGO COMPLETO")</f>
        <v>PAGO COMPLETO</v>
      </c>
      <c r="Z419" s="1"/>
      <c r="AA419" s="1"/>
      <c r="AB419" s="1">
        <f>IFERROR(__xludf.DUMMYFUNCTION("""COMPUTED_VALUE"""),0.0)</f>
        <v>0</v>
      </c>
      <c r="AC419" s="1">
        <f>IFERROR(__xludf.DUMMYFUNCTION("""COMPUTED_VALUE"""),0.0)</f>
        <v>0</v>
      </c>
      <c r="AD419" s="1" t="str">
        <f>IFERROR(__xludf.DUMMYFUNCTION("""COMPUTED_VALUE"""),"Andrea Araujo Antara")</f>
        <v>Andrea Araujo Antara</v>
      </c>
      <c r="AE419" s="1" t="str">
        <f>IFERROR(__xludf.DUMMYFUNCTION("""COMPUTED_VALUE"""),"0")</f>
        <v>0</v>
      </c>
      <c r="AF419" s="1">
        <f>IFERROR(__xludf.DUMMYFUNCTION("""COMPUTED_VALUE"""),2022.0)</f>
        <v>2022</v>
      </c>
      <c r="AG419" s="1">
        <f>IFERROR(__xludf.DUMMYFUNCTION("""COMPUTED_VALUE"""),1506948.0)</f>
        <v>1506948</v>
      </c>
      <c r="AH419" s="1">
        <f>IFERROR(__xludf.DUMMYFUNCTION("""COMPUTED_VALUE"""),20.0)</f>
        <v>20</v>
      </c>
      <c r="AI419" s="1" t="str">
        <f>IFERROR(__xludf.DUMMYFUNCTION("""COMPUTED_VALUE"""),"0000411868")</f>
        <v>0000411868</v>
      </c>
      <c r="AJ419" s="1">
        <f>IFERROR(__xludf.DUMMYFUNCTION("""COMPUTED_VALUE"""),7.2900701E7)</f>
        <v>72900701</v>
      </c>
      <c r="AK419" s="1">
        <f>IFERROR(__xludf.DUMMYFUNCTION("""COMPUTED_VALUE"""),9.4975076E8)</f>
        <v>949750760</v>
      </c>
      <c r="AL419" s="1" t="str">
        <f>IFERROR(__xludf.DUMMYFUNCTION("""COMPUTED_VALUE"""),"castronicolas.vr@gmail.com")</f>
        <v>castronicolas.vr@gmail.com</v>
      </c>
      <c r="AM419" s="1" t="str">
        <f>IFERROR(__xludf.DUMMYFUNCTION("""COMPUTED_VALUE"""),"MASCULINO")</f>
        <v>MASCULINO</v>
      </c>
      <c r="AN419" s="1">
        <f>IFERROR(__xludf.DUMMYFUNCTION("""COMPUTED_VALUE"""),1775.0)</f>
        <v>1775</v>
      </c>
      <c r="AO419" s="1">
        <f>IFERROR(__xludf.DUMMYFUNCTION("""COMPUTED_VALUE"""),480.0)</f>
        <v>480</v>
      </c>
      <c r="AP419" s="1" t="str">
        <f>IFERROR(__xludf.DUMMYFUNCTION("""COMPUTED_VALUE"""),"OUTBOUND")</f>
        <v>OUTBOUND</v>
      </c>
      <c r="AQ419" s="1" t="str">
        <f>IFERROR(__xludf.DUMMYFUNCTION("""COMPUTED_VALUE"""),"OUTBOUND")</f>
        <v>OUTBOUND</v>
      </c>
      <c r="AR419" s="1" t="str">
        <f>IFERROR(__xludf.DUMMYFUNCTION("""COMPUTED_VALUE"""),"HEREDADO")</f>
        <v>HEREDADO</v>
      </c>
      <c r="AS419" s="1"/>
      <c r="AT419" s="2">
        <f>IFERROR(__xludf.DUMMYFUNCTION("""COMPUTED_VALUE"""),45626.0)</f>
        <v>45626</v>
      </c>
      <c r="AU419" s="1">
        <f>IFERROR(__xludf.DUMMYFUNCTION("""COMPUTED_VALUE"""),1.0)</f>
        <v>1</v>
      </c>
      <c r="AV419" s="1" t="str">
        <f>IFERROR(__xludf.DUMMYFUNCTION("""COMPUTED_VALUE"""),"NUEVO")</f>
        <v>NUEVO</v>
      </c>
      <c r="AW419" s="1" t="str">
        <f>IFERROR(__xludf.DUMMYFUNCTION("""COMPUTED_VALUE"""),"SI")</f>
        <v>SI</v>
      </c>
      <c r="AX419" s="1"/>
      <c r="AY419" s="1" t="str">
        <f>IFERROR(__xludf.DUMMYFUNCTION("""COMPUTED_VALUE"""),"PAGO COMPLETO")</f>
        <v>PAGO COMPLETO</v>
      </c>
      <c r="AZ419" s="5">
        <f>IFERROR(__xludf.DUMMYFUNCTION("""COMPUTED_VALUE"""),45685.0)</f>
        <v>45685</v>
      </c>
      <c r="BA419" s="1">
        <f>IFERROR(__xludf.DUMMYFUNCTION("""COMPUTED_VALUE"""),0.0)</f>
        <v>0</v>
      </c>
      <c r="BB419" s="1">
        <f>IFERROR(__xludf.DUMMYFUNCTION("""COMPUTED_VALUE"""),0.0)</f>
        <v>0</v>
      </c>
      <c r="BC419" s="4">
        <f>IFERROR(__xludf.DUMMYFUNCTION("""COMPUTED_VALUE"""),0.0)</f>
        <v>0</v>
      </c>
      <c r="BD419" s="4">
        <f>IFERROR(__xludf.DUMMYFUNCTION("""COMPUTED_VALUE"""),0.0)</f>
        <v>0</v>
      </c>
      <c r="BE419" s="1">
        <f>IFERROR(__xludf.DUMMYFUNCTION("""COMPUTED_VALUE"""),1.0)</f>
        <v>1</v>
      </c>
      <c r="BF419" s="6">
        <f>IFERROR(__xludf.DUMMYFUNCTION("""COMPUTED_VALUE"""),1.0)</f>
        <v>1</v>
      </c>
      <c r="BG419" s="1">
        <f>IFERROR(__xludf.DUMMYFUNCTION("""COMPUTED_VALUE"""),1.0)</f>
        <v>1</v>
      </c>
      <c r="BH419" s="1" t="str">
        <f>IFERROR(__xludf.DUMMYFUNCTION("""COMPUTED_VALUE"""),"0")</f>
        <v>0</v>
      </c>
      <c r="BI419" s="4">
        <f>IFERROR(__xludf.DUMMYFUNCTION("""COMPUTED_VALUE"""),0.0)</f>
        <v>0</v>
      </c>
      <c r="BJ419" s="1">
        <f>IFERROR(__xludf.DUMMYFUNCTION("""COMPUTED_VALUE"""),0.0)</f>
        <v>0</v>
      </c>
      <c r="BK419" s="4">
        <f>IFERROR(__xludf.DUMMYFUNCTION("""COMPUTED_VALUE"""),0.0)</f>
        <v>0</v>
      </c>
      <c r="BL419" s="1">
        <f>IFERROR(__xludf.DUMMYFUNCTION("""COMPUTED_VALUE"""),700.0)</f>
        <v>700</v>
      </c>
      <c r="BM419" s="1">
        <f>IFERROR(__xludf.DUMMYFUNCTION("""COMPUTED_VALUE"""),5.0)</f>
        <v>5</v>
      </c>
      <c r="BN419" s="2">
        <f>IFERROR(__xludf.DUMMYFUNCTION("""COMPUTED_VALUE"""),45684.0)</f>
        <v>45684</v>
      </c>
      <c r="BO419" s="1">
        <f>IFERROR(__xludf.DUMMYFUNCTION("""COMPUTED_VALUE"""),1.0)</f>
        <v>1</v>
      </c>
      <c r="BP419" s="1">
        <f>IFERROR(__xludf.DUMMYFUNCTION("""COMPUTED_VALUE"""),2025.0)</f>
        <v>2025</v>
      </c>
    </row>
    <row r="420">
      <c r="A420" s="1">
        <f>IFERROR(__xludf.DUMMYFUNCTION("""COMPUTED_VALUE"""),419.0)</f>
        <v>419</v>
      </c>
      <c r="B420" s="1">
        <f>IFERROR(__xludf.DUMMYFUNCTION("""COMPUTED_VALUE"""),4979802.0)</f>
        <v>4979802</v>
      </c>
      <c r="C420" s="1" t="str">
        <f>IFERROR(__xludf.DUMMYFUNCTION("""COMPUTED_VALUE"""),"2025-1")</f>
        <v>2025-1</v>
      </c>
      <c r="D420" s="1" t="str">
        <f>IFERROR(__xludf.DUMMYFUNCTION("""COMPUTED_VALUE"""),"Admisión Ordinaria")</f>
        <v>Admisión Ordinaria</v>
      </c>
      <c r="E420" s="2">
        <f>IFERROR(__xludf.DUMMYFUNCTION("""COMPUTED_VALUE"""),45686.0)</f>
        <v>45686</v>
      </c>
      <c r="F420" s="1" t="str">
        <f>IFERROR(__xludf.DUMMYFUNCTION("""COMPUTED_VALUE"""),"JOE ALBERTO ")</f>
        <v>JOE ALBERTO </v>
      </c>
      <c r="G420" s="1" t="str">
        <f>IFERROR(__xludf.DUMMYFUNCTION("""COMPUTED_VALUE"""),"CALAGUA CUBA")</f>
        <v>CALAGUA CUBA</v>
      </c>
      <c r="H420" s="1" t="str">
        <f>IFERROR(__xludf.DUMMYFUNCTION("""COMPUTED_VALUE"""),"Administración y Negocios Internacionales")</f>
        <v>Administración y Negocios Internacionales</v>
      </c>
      <c r="I420" s="1" t="str">
        <f>IFERROR(__xludf.DUMMYFUNCTION("""COMPUTED_VALUE"""),"CARGO")</f>
        <v>CARGO</v>
      </c>
      <c r="J420" s="1" t="str">
        <f>IFERROR(__xludf.DUMMYFUNCTION("""COMPUTED_VALUE"""),"Nocturno - A distancia")</f>
        <v>Nocturno - A distancia</v>
      </c>
      <c r="K420" s="1" t="str">
        <f>IFERROR(__xludf.DUMMYFUNCTION("""COMPUTED_VALUE"""),"NUEVO")</f>
        <v>NUEVO</v>
      </c>
      <c r="L420" s="1">
        <f>IFERROR(__xludf.DUMMYFUNCTION("""COMPUTED_VALUE"""),0.0)</f>
        <v>0</v>
      </c>
      <c r="M420" s="1">
        <f>IFERROR(__xludf.DUMMYFUNCTION("""COMPUTED_VALUE"""),0.0)</f>
        <v>0</v>
      </c>
      <c r="N420" s="1" t="str">
        <f>IFERROR(__xludf.DUMMYFUNCTION("""COMPUTED_VALUE"""),"ESCALA DISTANCIA")</f>
        <v>ESCALA DISTANCIA</v>
      </c>
      <c r="O420" s="1" t="str">
        <f>IFERROR(__xludf.DUMMYFUNCTION("""COMPUTED_VALUE"""),"ESCALA DISTANCIA REGULAR")</f>
        <v>ESCALA DISTANCIA REGULAR</v>
      </c>
      <c r="P420" s="4">
        <f>IFERROR(__xludf.DUMMYFUNCTION("""COMPUTED_VALUE"""),0.0)</f>
        <v>0</v>
      </c>
      <c r="Q420" s="4">
        <f>IFERROR(__xludf.DUMMYFUNCTION("""COMPUTED_VALUE"""),0.0)</f>
        <v>0</v>
      </c>
      <c r="R420" s="4">
        <f>IFERROR(__xludf.DUMMYFUNCTION("""COMPUTED_VALUE"""),1000.0)</f>
        <v>1000</v>
      </c>
      <c r="S420" s="4">
        <f>IFERROR(__xludf.DUMMYFUNCTION("""COMPUTED_VALUE"""),700.0)</f>
        <v>700</v>
      </c>
      <c r="T420" s="1" t="str">
        <f>IFERROR(__xludf.DUMMYFUNCTION("""COMPUTED_VALUE"""),"Palanca 700 - Refirio")</f>
        <v>Palanca 700 - Refirio</v>
      </c>
      <c r="U420" s="1" t="str">
        <f>IFERROR(__xludf.DUMMYFUNCTION("""COMPUTED_VALUE"""),"RODRIGO")</f>
        <v>RODRIGO</v>
      </c>
      <c r="V420" s="1" t="str">
        <f>IFERROR(__xludf.DUMMYFUNCTION("""COMPUTED_VALUE"""),"Ninguno")</f>
        <v>Ninguno</v>
      </c>
      <c r="W420" s="1" t="str">
        <f>IFERROR(__xludf.DUMMYFUNCTION("""COMPUTED_VALUE"""),"Beca")</f>
        <v>Beca</v>
      </c>
      <c r="X420" s="1"/>
      <c r="Y420" s="1" t="str">
        <f>IFERROR(__xludf.DUMMYFUNCTION("""COMPUTED_VALUE"""),"PAGO COMPLETO")</f>
        <v>PAGO COMPLETO</v>
      </c>
      <c r="Z420" s="1"/>
      <c r="AA420" s="1"/>
      <c r="AB420" s="1">
        <f>IFERROR(__xludf.DUMMYFUNCTION("""COMPUTED_VALUE"""),1.0)</f>
        <v>1</v>
      </c>
      <c r="AC420" s="1">
        <f>IFERROR(__xludf.DUMMYFUNCTION("""COMPUTED_VALUE"""),0.0)</f>
        <v>0</v>
      </c>
      <c r="AD420" s="1" t="str">
        <f>IFERROR(__xludf.DUMMYFUNCTION("""COMPUTED_VALUE"""),"Erwyn Terie Vital Avila")</f>
        <v>Erwyn Terie Vital Avila</v>
      </c>
      <c r="AE420" s="1" t="str">
        <f>IFERROR(__xludf.DUMMYFUNCTION("""COMPUTED_VALUE"""),"0")</f>
        <v>0</v>
      </c>
      <c r="AF420" s="1">
        <f>IFERROR(__xludf.DUMMYFUNCTION("""COMPUTED_VALUE"""),2019.0)</f>
        <v>2019</v>
      </c>
      <c r="AG420" s="1">
        <f>IFERROR(__xludf.DUMMYFUNCTION("""COMPUTED_VALUE"""),285783.0)</f>
        <v>285783</v>
      </c>
      <c r="AH420" s="1">
        <f>IFERROR(__xludf.DUMMYFUNCTION("""COMPUTED_VALUE"""),23.0)</f>
        <v>23</v>
      </c>
      <c r="AI420" s="1" t="str">
        <f>IFERROR(__xludf.DUMMYFUNCTION("""COMPUTED_VALUE"""),"0000411975")</f>
        <v>0000411975</v>
      </c>
      <c r="AJ420" s="1">
        <f>IFERROR(__xludf.DUMMYFUNCTION("""COMPUTED_VALUE"""),7.1741618E7)</f>
        <v>71741618</v>
      </c>
      <c r="AK420" s="1">
        <f>IFERROR(__xludf.DUMMYFUNCTION("""COMPUTED_VALUE"""),9.26703107E8)</f>
        <v>926703107</v>
      </c>
      <c r="AL420" s="1" t="str">
        <f>IFERROR(__xludf.DUMMYFUNCTION("""COMPUTED_VALUE"""),"azvlito.05@gmail.com")</f>
        <v>azvlito.05@gmail.com</v>
      </c>
      <c r="AM420" s="1" t="str">
        <f>IFERROR(__xludf.DUMMYFUNCTION("""COMPUTED_VALUE"""),"MASCULINO")</f>
        <v>MASCULINO</v>
      </c>
      <c r="AN420" s="1">
        <f>IFERROR(__xludf.DUMMYFUNCTION("""COMPUTED_VALUE"""),1350.0)</f>
        <v>1350</v>
      </c>
      <c r="AO420" s="1">
        <f>IFERROR(__xludf.DUMMYFUNCTION("""COMPUTED_VALUE"""),0.0)</f>
        <v>0</v>
      </c>
      <c r="AP420" s="1" t="str">
        <f>IFERROR(__xludf.DUMMYFUNCTION("""COMPUTED_VALUE"""),"OUTBOUND")</f>
        <v>OUTBOUND</v>
      </c>
      <c r="AQ420" s="1" t="str">
        <f>IFERROR(__xludf.DUMMYFUNCTION("""COMPUTED_VALUE"""),"OUTBOUND")</f>
        <v>OUTBOUND</v>
      </c>
      <c r="AR420" s="1" t="str">
        <f>IFERROR(__xludf.DUMMYFUNCTION("""COMPUTED_VALUE"""),"NUEVO")</f>
        <v>NUEVO</v>
      </c>
      <c r="AS420" s="1"/>
      <c r="AT420" s="2">
        <f>IFERROR(__xludf.DUMMYFUNCTION("""COMPUTED_VALUE"""),45686.0)</f>
        <v>45686</v>
      </c>
      <c r="AU420" s="1">
        <f>IFERROR(__xludf.DUMMYFUNCTION("""COMPUTED_VALUE"""),1.0)</f>
        <v>1</v>
      </c>
      <c r="AV420" s="1" t="str">
        <f>IFERROR(__xludf.DUMMYFUNCTION("""COMPUTED_VALUE"""),"NUEVO")</f>
        <v>NUEVO</v>
      </c>
      <c r="AW420" s="1" t="str">
        <f>IFERROR(__xludf.DUMMYFUNCTION("""COMPUTED_VALUE"""),"SI")</f>
        <v>SI</v>
      </c>
      <c r="AX420" s="1"/>
      <c r="AY420" s="1" t="str">
        <f>IFERROR(__xludf.DUMMYFUNCTION("""COMPUTED_VALUE"""),"PAGO COMPLETO")</f>
        <v>PAGO COMPLETO</v>
      </c>
      <c r="AZ420" s="5">
        <f>IFERROR(__xludf.DUMMYFUNCTION("""COMPUTED_VALUE"""),45686.0)</f>
        <v>45686</v>
      </c>
      <c r="BA420" s="1">
        <f>IFERROR(__xludf.DUMMYFUNCTION("""COMPUTED_VALUE"""),0.0)</f>
        <v>0</v>
      </c>
      <c r="BB420" s="1">
        <f>IFERROR(__xludf.DUMMYFUNCTION("""COMPUTED_VALUE"""),0.0)</f>
        <v>0</v>
      </c>
      <c r="BC420" s="4">
        <f>IFERROR(__xludf.DUMMYFUNCTION("""COMPUTED_VALUE"""),0.0)</f>
        <v>0</v>
      </c>
      <c r="BD420" s="4">
        <f>IFERROR(__xludf.DUMMYFUNCTION("""COMPUTED_VALUE"""),0.0)</f>
        <v>0</v>
      </c>
      <c r="BE420" s="1">
        <f>IFERROR(__xludf.DUMMYFUNCTION("""COMPUTED_VALUE"""),1.0)</f>
        <v>1</v>
      </c>
      <c r="BF420" s="6">
        <f>IFERROR(__xludf.DUMMYFUNCTION("""COMPUTED_VALUE"""),1.0)</f>
        <v>1</v>
      </c>
      <c r="BG420" s="1">
        <f>IFERROR(__xludf.DUMMYFUNCTION("""COMPUTED_VALUE"""),1.0)</f>
        <v>1</v>
      </c>
      <c r="BH420" s="1" t="str">
        <f>IFERROR(__xludf.DUMMYFUNCTION("""COMPUTED_VALUE"""),"0")</f>
        <v>0</v>
      </c>
      <c r="BI420" s="4">
        <f>IFERROR(__xludf.DUMMYFUNCTION("""COMPUTED_VALUE"""),0.0)</f>
        <v>0</v>
      </c>
      <c r="BJ420" s="1">
        <f>IFERROR(__xludf.DUMMYFUNCTION("""COMPUTED_VALUE"""),0.0)</f>
        <v>0</v>
      </c>
      <c r="BK420" s="4">
        <f>IFERROR(__xludf.DUMMYFUNCTION("""COMPUTED_VALUE"""),700.0)</f>
        <v>700</v>
      </c>
      <c r="BL420" s="1">
        <f>IFERROR(__xludf.DUMMYFUNCTION("""COMPUTED_VALUE"""),560.0)</f>
        <v>560</v>
      </c>
      <c r="BM420" s="1">
        <f>IFERROR(__xludf.DUMMYFUNCTION("""COMPUTED_VALUE"""),5.0)</f>
        <v>5</v>
      </c>
      <c r="BN420" s="2">
        <f>IFERROR(__xludf.DUMMYFUNCTION("""COMPUTED_VALUE"""),45684.0)</f>
        <v>45684</v>
      </c>
      <c r="BO420" s="1">
        <f>IFERROR(__xludf.DUMMYFUNCTION("""COMPUTED_VALUE"""),1.0)</f>
        <v>1</v>
      </c>
      <c r="BP420" s="1">
        <f>IFERROR(__xludf.DUMMYFUNCTION("""COMPUTED_VALUE"""),2025.0)</f>
        <v>2025</v>
      </c>
    </row>
    <row r="421">
      <c r="A421" s="1">
        <f>IFERROR(__xludf.DUMMYFUNCTION("""COMPUTED_VALUE"""),420.0)</f>
        <v>420</v>
      </c>
      <c r="B421" s="1">
        <f>IFERROR(__xludf.DUMMYFUNCTION("""COMPUTED_VALUE"""),1395175.0)</f>
        <v>1395175</v>
      </c>
      <c r="C421" s="1" t="str">
        <f>IFERROR(__xludf.DUMMYFUNCTION("""COMPUTED_VALUE"""),"2025-1")</f>
        <v>2025-1</v>
      </c>
      <c r="D421" s="1" t="str">
        <f>IFERROR(__xludf.DUMMYFUNCTION("""COMPUTED_VALUE"""),"Admisión Extraordinaria (Traslados)")</f>
        <v>Admisión Extraordinaria (Traslados)</v>
      </c>
      <c r="E421" s="2">
        <f>IFERROR(__xludf.DUMMYFUNCTION("""COMPUTED_VALUE"""),45686.0)</f>
        <v>45686</v>
      </c>
      <c r="F421" s="1" t="str">
        <f>IFERROR(__xludf.DUMMYFUNCTION("""COMPUTED_VALUE"""),"ANA LUCIA ")</f>
        <v>ANA LUCIA </v>
      </c>
      <c r="G421" s="1" t="str">
        <f>IFERROR(__xludf.DUMMYFUNCTION("""COMPUTED_VALUE"""),"MALAGA GUILLEN")</f>
        <v>MALAGA GUILLEN</v>
      </c>
      <c r="H421" s="1" t="str">
        <f>IFERROR(__xludf.DUMMYFUNCTION("""COMPUTED_VALUE"""),"Arquitectura")</f>
        <v>Arquitectura</v>
      </c>
      <c r="I421" s="1" t="str">
        <f>IFERROR(__xludf.DUMMYFUNCTION("""COMPUTED_VALUE"""),"CARGO")</f>
        <v>CARGO</v>
      </c>
      <c r="J421" s="1" t="str">
        <f>IFERROR(__xludf.DUMMYFUNCTION("""COMPUTED_VALUE"""),"Diurno")</f>
        <v>Diurno</v>
      </c>
      <c r="K421" s="1" t="str">
        <f>IFERROR(__xludf.DUMMYFUNCTION("""COMPUTED_VALUE"""),"TRASLADO")</f>
        <v>TRASLADO</v>
      </c>
      <c r="L421" s="1">
        <f>IFERROR(__xludf.DUMMYFUNCTION("""COMPUTED_VALUE"""),1.0)</f>
        <v>1</v>
      </c>
      <c r="M421" s="1">
        <f>IFERROR(__xludf.DUMMYFUNCTION("""COMPUTED_VALUE"""),0.0)</f>
        <v>0</v>
      </c>
      <c r="N421" s="1" t="str">
        <f>IFERROR(__xludf.DUMMYFUNCTION("""COMPUTED_VALUE"""),"RECA")</f>
        <v>RECA</v>
      </c>
      <c r="O421" s="1" t="str">
        <f>IFERROR(__xludf.DUMMYFUNCTION("""COMPUTED_VALUE"""),"RECA TRASLADO CON CONVA")</f>
        <v>RECA TRASLADO CON CONVA</v>
      </c>
      <c r="P421" s="4">
        <f>IFERROR(__xludf.DUMMYFUNCTION("""COMPUTED_VALUE"""),0.0)</f>
        <v>0</v>
      </c>
      <c r="Q421" s="4">
        <f>IFERROR(__xludf.DUMMYFUNCTION("""COMPUTED_VALUE"""),0.0)</f>
        <v>0</v>
      </c>
      <c r="R421" s="4">
        <f>IFERROR(__xludf.DUMMYFUNCTION("""COMPUTED_VALUE"""),1600.0)</f>
        <v>1600</v>
      </c>
      <c r="S421" s="4">
        <f>IFERROR(__xludf.DUMMYFUNCTION("""COMPUTED_VALUE"""),1350.0)</f>
        <v>1350</v>
      </c>
      <c r="T421" s="1" t="str">
        <f>IFERROR(__xludf.DUMMYFUNCTION("""COMPUTED_VALUE"""),"NINGUNO")</f>
        <v>NINGUNO</v>
      </c>
      <c r="U421" s="1"/>
      <c r="V421" s="1" t="str">
        <f>IFERROR(__xludf.DUMMYFUNCTION("""COMPUTED_VALUE"""),"Ninguno")</f>
        <v>Ninguno</v>
      </c>
      <c r="W421" s="1" t="str">
        <f>IFERROR(__xludf.DUMMYFUNCTION("""COMPUTED_VALUE"""),"Convenios internacionales")</f>
        <v>Convenios internacionales</v>
      </c>
      <c r="X421" s="1" t="str">
        <f>IFERROR(__xludf.DUMMYFUNCTION("""COMPUTED_VALUE"""),"LE GUSTA LA UNIVERSIDAD ")</f>
        <v>LE GUSTA LA UNIVERSIDAD </v>
      </c>
      <c r="Y421" s="1" t="str">
        <f>IFERROR(__xludf.DUMMYFUNCTION("""COMPUTED_VALUE"""),"PAGO COMPLETO")</f>
        <v>PAGO COMPLETO</v>
      </c>
      <c r="Z421" s="1"/>
      <c r="AA421" s="1"/>
      <c r="AB421" s="1">
        <f>IFERROR(__xludf.DUMMYFUNCTION("""COMPUTED_VALUE"""),0.0)</f>
        <v>0</v>
      </c>
      <c r="AC421" s="1">
        <f>IFERROR(__xludf.DUMMYFUNCTION("""COMPUTED_VALUE"""),0.0)</f>
        <v>0</v>
      </c>
      <c r="AD421" s="1" t="str">
        <f>IFERROR(__xludf.DUMMYFUNCTION("""COMPUTED_VALUE"""),"Daniel Zapata")</f>
        <v>Daniel Zapata</v>
      </c>
      <c r="AE421" s="1" t="str">
        <f>IFERROR(__xludf.DUMMYFUNCTION("""COMPUTED_VALUE"""),"Instituto de Educación Superior Tecnológico Privado Toulouse Lautrec")</f>
        <v>Instituto de Educación Superior Tecnológico Privado Toulouse Lautrec</v>
      </c>
      <c r="AF421" s="1">
        <f>IFERROR(__xludf.DUMMYFUNCTION("""COMPUTED_VALUE"""),2021.0)</f>
        <v>2021</v>
      </c>
      <c r="AG421" s="1">
        <f>IFERROR(__xludf.DUMMYFUNCTION("""COMPUTED_VALUE"""),0.0)</f>
        <v>0</v>
      </c>
      <c r="AH421" s="1">
        <f>IFERROR(__xludf.DUMMYFUNCTION("""COMPUTED_VALUE"""),21.0)</f>
        <v>21</v>
      </c>
      <c r="AI421" s="1" t="str">
        <f>IFERROR(__xludf.DUMMYFUNCTION("""COMPUTED_VALUE"""),"0000035243")</f>
        <v>0000035243</v>
      </c>
      <c r="AJ421" s="1">
        <f>IFERROR(__xludf.DUMMYFUNCTION("""COMPUTED_VALUE"""),7.0997866E7)</f>
        <v>70997866</v>
      </c>
      <c r="AK421" s="1">
        <f>IFERROR(__xludf.DUMMYFUNCTION("""COMPUTED_VALUE"""),9.3811268E8)</f>
        <v>938112680</v>
      </c>
      <c r="AL421" s="1" t="str">
        <f>IFERROR(__xludf.DUMMYFUNCTION("""COMPUTED_VALUE"""),"analumalaga@gmail.com")</f>
        <v>analumalaga@gmail.com</v>
      </c>
      <c r="AM421" s="1" t="str">
        <f>IFERROR(__xludf.DUMMYFUNCTION("""COMPUTED_VALUE"""),"FEMENINO")</f>
        <v>FEMENINO</v>
      </c>
      <c r="AN421" s="1">
        <f>IFERROR(__xludf.DUMMYFUNCTION("""COMPUTED_VALUE"""),1350.0)</f>
        <v>1350</v>
      </c>
      <c r="AO421" s="1">
        <f>IFERROR(__xludf.DUMMYFUNCTION("""COMPUTED_VALUE"""),0.0)</f>
        <v>0</v>
      </c>
      <c r="AP421" s="1" t="str">
        <f>IFERROR(__xludf.DUMMYFUNCTION("""COMPUTED_VALUE"""),"FORMULARIO")</f>
        <v>FORMULARIO</v>
      </c>
      <c r="AQ421" s="1" t="str">
        <f>IFERROR(__xludf.DUMMYFUNCTION("""COMPUTED_VALUE"""),"ORGANICO")</f>
        <v>ORGANICO</v>
      </c>
      <c r="AR421" s="1" t="str">
        <f>IFERROR(__xludf.DUMMYFUNCTION("""COMPUTED_VALUE"""),"HEREDADO")</f>
        <v>HEREDADO</v>
      </c>
      <c r="AS421" s="1"/>
      <c r="AT421" s="2">
        <f>IFERROR(__xludf.DUMMYFUNCTION("""COMPUTED_VALUE"""),45685.0)</f>
        <v>45685</v>
      </c>
      <c r="AU421" s="1">
        <f>IFERROR(__xludf.DUMMYFUNCTION("""COMPUTED_VALUE"""),1.0)</f>
        <v>1</v>
      </c>
      <c r="AV421" s="1" t="str">
        <f>IFERROR(__xludf.DUMMYFUNCTION("""COMPUTED_VALUE"""),"TRASLADO")</f>
        <v>TRASLADO</v>
      </c>
      <c r="AW421" s="1" t="str">
        <f>IFERROR(__xludf.DUMMYFUNCTION("""COMPUTED_VALUE"""),"SI")</f>
        <v>SI</v>
      </c>
      <c r="AX421" s="1"/>
      <c r="AY421" s="1" t="str">
        <f>IFERROR(__xludf.DUMMYFUNCTION("""COMPUTED_VALUE"""),"PAGO COMPLETO")</f>
        <v>PAGO COMPLETO</v>
      </c>
      <c r="AZ421" s="5">
        <f>IFERROR(__xludf.DUMMYFUNCTION("""COMPUTED_VALUE"""),45686.0)</f>
        <v>45686</v>
      </c>
      <c r="BA421" s="1">
        <f>IFERROR(__xludf.DUMMYFUNCTION("""COMPUTED_VALUE"""),0.0)</f>
        <v>0</v>
      </c>
      <c r="BB421" s="1">
        <f>IFERROR(__xludf.DUMMYFUNCTION("""COMPUTED_VALUE"""),0.0)</f>
        <v>0</v>
      </c>
      <c r="BC421" s="4">
        <f>IFERROR(__xludf.DUMMYFUNCTION("""COMPUTED_VALUE"""),0.0)</f>
        <v>0</v>
      </c>
      <c r="BD421" s="4">
        <f>IFERROR(__xludf.DUMMYFUNCTION("""COMPUTED_VALUE"""),0.0)</f>
        <v>0</v>
      </c>
      <c r="BE421" s="1">
        <f>IFERROR(__xludf.DUMMYFUNCTION("""COMPUTED_VALUE"""),1.0)</f>
        <v>1</v>
      </c>
      <c r="BF421" s="6">
        <f>IFERROR(__xludf.DUMMYFUNCTION("""COMPUTED_VALUE"""),1.0)</f>
        <v>1</v>
      </c>
      <c r="BG421" s="1">
        <f>IFERROR(__xludf.DUMMYFUNCTION("""COMPUTED_VALUE"""),1.0)</f>
        <v>1</v>
      </c>
      <c r="BH421" s="1" t="str">
        <f>IFERROR(__xludf.DUMMYFUNCTION("""COMPUTED_VALUE"""),"1")</f>
        <v>1</v>
      </c>
      <c r="BI421" s="4">
        <f>IFERROR(__xludf.DUMMYFUNCTION("""COMPUTED_VALUE"""),0.0)</f>
        <v>0</v>
      </c>
      <c r="BJ421" s="1">
        <f>IFERROR(__xludf.DUMMYFUNCTION("""COMPUTED_VALUE"""),0.0)</f>
        <v>0</v>
      </c>
      <c r="BK421" s="4">
        <f>IFERROR(__xludf.DUMMYFUNCTION("""COMPUTED_VALUE"""),0.0)</f>
        <v>0</v>
      </c>
      <c r="BL421" s="1">
        <f>IFERROR(__xludf.DUMMYFUNCTION("""COMPUTED_VALUE"""),1350.0)</f>
        <v>1350</v>
      </c>
      <c r="BM421" s="1">
        <f>IFERROR(__xludf.DUMMYFUNCTION("""COMPUTED_VALUE"""),5.0)</f>
        <v>5</v>
      </c>
      <c r="BN421" s="2">
        <f>IFERROR(__xludf.DUMMYFUNCTION("""COMPUTED_VALUE"""),45684.0)</f>
        <v>45684</v>
      </c>
      <c r="BO421" s="1">
        <f>IFERROR(__xludf.DUMMYFUNCTION("""COMPUTED_VALUE"""),1.0)</f>
        <v>1</v>
      </c>
      <c r="BP421" s="1">
        <f>IFERROR(__xludf.DUMMYFUNCTION("""COMPUTED_VALUE"""),2025.0)</f>
        <v>2025</v>
      </c>
    </row>
    <row r="422">
      <c r="A422" s="1">
        <f>IFERROR(__xludf.DUMMYFUNCTION("""COMPUTED_VALUE"""),421.0)</f>
        <v>421</v>
      </c>
      <c r="B422" s="1">
        <f>IFERROR(__xludf.DUMMYFUNCTION("""COMPUTED_VALUE"""),4929285.0)</f>
        <v>4929285</v>
      </c>
      <c r="C422" s="1" t="str">
        <f>IFERROR(__xludf.DUMMYFUNCTION("""COMPUTED_VALUE"""),"2025-1")</f>
        <v>2025-1</v>
      </c>
      <c r="D422" s="1" t="str">
        <f>IFERROR(__xludf.DUMMYFUNCTION("""COMPUTED_VALUE"""),"Admisión de Alto Rendimiento")</f>
        <v>Admisión de Alto Rendimiento</v>
      </c>
      <c r="E422" s="2">
        <f>IFERROR(__xludf.DUMMYFUNCTION("""COMPUTED_VALUE"""),45686.0)</f>
        <v>45686</v>
      </c>
      <c r="F422" s="1" t="str">
        <f>IFERROR(__xludf.DUMMYFUNCTION("""COMPUTED_VALUE""")," JUAN PABLO ")</f>
        <v> JUAN PABLO </v>
      </c>
      <c r="G422" s="1" t="str">
        <f>IFERROR(__xludf.DUMMYFUNCTION("""COMPUTED_VALUE"""),"FERNÁNDEZ SILVA")</f>
        <v>FERNÁNDEZ SILVA</v>
      </c>
      <c r="H422" s="1" t="str">
        <f>IFERROR(__xludf.DUMMYFUNCTION("""COMPUTED_VALUE"""),"Comunicación Audiovisual y Cine")</f>
        <v>Comunicación Audiovisual y Cine</v>
      </c>
      <c r="I422" s="1" t="str">
        <f>IFERROR(__xludf.DUMMYFUNCTION("""COMPUTED_VALUE"""),"CARGO")</f>
        <v>CARGO</v>
      </c>
      <c r="J422" s="1" t="str">
        <f>IFERROR(__xludf.DUMMYFUNCTION("""COMPUTED_VALUE"""),"Diurno")</f>
        <v>Diurno</v>
      </c>
      <c r="K422" s="1" t="str">
        <f>IFERROR(__xludf.DUMMYFUNCTION("""COMPUTED_VALUE"""),"NUEVO")</f>
        <v>NUEVO</v>
      </c>
      <c r="L422" s="1">
        <f>IFERROR(__xludf.DUMMYFUNCTION("""COMPUTED_VALUE"""),0.0)</f>
        <v>0</v>
      </c>
      <c r="M422" s="1">
        <f>IFERROR(__xludf.DUMMYFUNCTION("""COMPUTED_VALUE"""),0.0)</f>
        <v>0</v>
      </c>
      <c r="N422" s="1" t="str">
        <f>IFERROR(__xludf.DUMMYFUNCTION("""COMPUTED_VALUE"""),"BECA")</f>
        <v>BECA</v>
      </c>
      <c r="O422" s="1" t="str">
        <f>IFERROR(__xludf.DUMMYFUNCTION("""COMPUTED_VALUE"""),"BECA EXCELENCIA ACADÉMICA")</f>
        <v>BECA EXCELENCIA ACADÉMICA</v>
      </c>
      <c r="P422" s="4">
        <f>IFERROR(__xludf.DUMMYFUNCTION("""COMPUTED_VALUE"""),0.0)</f>
        <v>0</v>
      </c>
      <c r="Q422" s="4">
        <f>IFERROR(__xludf.DUMMYFUNCTION("""COMPUTED_VALUE"""),0.0)</f>
        <v>0</v>
      </c>
      <c r="R422" s="4">
        <f>IFERROR(__xludf.DUMMYFUNCTION("""COMPUTED_VALUE"""),1050.0)</f>
        <v>1050</v>
      </c>
      <c r="S422" s="4">
        <f>IFERROR(__xludf.DUMMYFUNCTION("""COMPUTED_VALUE"""),600.0)</f>
        <v>600</v>
      </c>
      <c r="T422" s="1" t="str">
        <f>IFERROR(__xludf.DUMMYFUNCTION("""COMPUTED_VALUE"""),"NINGUNO")</f>
        <v>NINGUNO</v>
      </c>
      <c r="U422" s="1"/>
      <c r="V422" s="1" t="str">
        <f>IFERROR(__xludf.DUMMYFUNCTION("""COMPUTED_VALUE"""),"Ninguno")</f>
        <v>Ninguno</v>
      </c>
      <c r="W422" s="1" t="str">
        <f>IFERROR(__xludf.DUMMYFUNCTION("""COMPUTED_VALUE"""),"Metodología de enseñanza")</f>
        <v>Metodología de enseñanza</v>
      </c>
      <c r="X422" s="1"/>
      <c r="Y422" s="1" t="str">
        <f>IFERROR(__xludf.DUMMYFUNCTION("""COMPUTED_VALUE"""),"PAGO COMPLETO")</f>
        <v>PAGO COMPLETO</v>
      </c>
      <c r="Z422" s="1"/>
      <c r="AA422" s="1"/>
      <c r="AB422" s="1">
        <f>IFERROR(__xludf.DUMMYFUNCTION("""COMPUTED_VALUE"""),0.0)</f>
        <v>0</v>
      </c>
      <c r="AC422" s="1">
        <f>IFERROR(__xludf.DUMMYFUNCTION("""COMPUTED_VALUE"""),0.0)</f>
        <v>0</v>
      </c>
      <c r="AD422" s="1" t="str">
        <f>IFERROR(__xludf.DUMMYFUNCTION("""COMPUTED_VALUE"""),"Ingrid Guillermo Rivera")</f>
        <v>Ingrid Guillermo Rivera</v>
      </c>
      <c r="AE422" s="1" t="str">
        <f>IFERROR(__xludf.DUMMYFUNCTION("""COMPUTED_VALUE"""),"0")</f>
        <v>0</v>
      </c>
      <c r="AF422" s="1">
        <f>IFERROR(__xludf.DUMMYFUNCTION("""COMPUTED_VALUE"""),2024.0)</f>
        <v>2024</v>
      </c>
      <c r="AG422" s="1">
        <f>IFERROR(__xludf.DUMMYFUNCTION("""COMPUTED_VALUE"""),1082973.0)</f>
        <v>1082973</v>
      </c>
      <c r="AH422" s="1">
        <f>IFERROR(__xludf.DUMMYFUNCTION("""COMPUTED_VALUE"""),18.0)</f>
        <v>18</v>
      </c>
      <c r="AI422" s="1" t="str">
        <f>IFERROR(__xludf.DUMMYFUNCTION("""COMPUTED_VALUE"""),"0000411858")</f>
        <v>0000411858</v>
      </c>
      <c r="AJ422" s="1">
        <f>IFERROR(__xludf.DUMMYFUNCTION("""COMPUTED_VALUE"""),7.0712781E7)</f>
        <v>70712781</v>
      </c>
      <c r="AK422" s="1">
        <f>IFERROR(__xludf.DUMMYFUNCTION("""COMPUTED_VALUE"""),9.33728728E8)</f>
        <v>933728728</v>
      </c>
      <c r="AL422" s="1" t="str">
        <f>IFERROR(__xludf.DUMMYFUNCTION("""COMPUTED_VALUE"""),"juanpablofernandezsilva1107@gmail.com")</f>
        <v>juanpablofernandezsilva1107@gmail.com</v>
      </c>
      <c r="AM422" s="1" t="str">
        <f>IFERROR(__xludf.DUMMYFUNCTION("""COMPUTED_VALUE"""),"MASCULINO")</f>
        <v>MASCULINO</v>
      </c>
      <c r="AN422" s="1">
        <f>IFERROR(__xludf.DUMMYFUNCTION("""COMPUTED_VALUE"""),1350.0)</f>
        <v>1350</v>
      </c>
      <c r="AO422" s="1">
        <f>IFERROR(__xludf.DUMMYFUNCTION("""COMPUTED_VALUE"""),0.0)</f>
        <v>0</v>
      </c>
      <c r="AP422" s="1" t="str">
        <f>IFERROR(__xludf.DUMMYFUNCTION("""COMPUTED_VALUE"""),"VISITA")</f>
        <v>VISITA</v>
      </c>
      <c r="AQ422" s="1" t="str">
        <f>IFERROR(__xludf.DUMMYFUNCTION("""COMPUTED_VALUE"""),"VISITA")</f>
        <v>VISITA</v>
      </c>
      <c r="AR422" s="1" t="str">
        <f>IFERROR(__xludf.DUMMYFUNCTION("""COMPUTED_VALUE"""),"NUEVO")</f>
        <v>NUEVO</v>
      </c>
      <c r="AS422" s="1"/>
      <c r="AT422" s="2">
        <f>IFERROR(__xludf.DUMMYFUNCTION("""COMPUTED_VALUE"""),45685.0)</f>
        <v>45685</v>
      </c>
      <c r="AU422" s="1">
        <f>IFERROR(__xludf.DUMMYFUNCTION("""COMPUTED_VALUE"""),1.0)</f>
        <v>1</v>
      </c>
      <c r="AV422" s="1" t="str">
        <f>IFERROR(__xludf.DUMMYFUNCTION("""COMPUTED_VALUE"""),"NUEVO")</f>
        <v>NUEVO</v>
      </c>
      <c r="AW422" s="1" t="str">
        <f>IFERROR(__xludf.DUMMYFUNCTION("""COMPUTED_VALUE"""),"SI")</f>
        <v>SI</v>
      </c>
      <c r="AX422" s="1"/>
      <c r="AY422" s="1" t="str">
        <f>IFERROR(__xludf.DUMMYFUNCTION("""COMPUTED_VALUE"""),"PAGO COMPLETO")</f>
        <v>PAGO COMPLETO</v>
      </c>
      <c r="AZ422" s="5">
        <f>IFERROR(__xludf.DUMMYFUNCTION("""COMPUTED_VALUE"""),45686.0)</f>
        <v>45686</v>
      </c>
      <c r="BA422" s="1">
        <f>IFERROR(__xludf.DUMMYFUNCTION("""COMPUTED_VALUE"""),0.0)</f>
        <v>0</v>
      </c>
      <c r="BB422" s="1">
        <f>IFERROR(__xludf.DUMMYFUNCTION("""COMPUTED_VALUE"""),0.0)</f>
        <v>0</v>
      </c>
      <c r="BC422" s="4">
        <f>IFERROR(__xludf.DUMMYFUNCTION("""COMPUTED_VALUE"""),0.0)</f>
        <v>0</v>
      </c>
      <c r="BD422" s="4">
        <f>IFERROR(__xludf.DUMMYFUNCTION("""COMPUTED_VALUE"""),0.0)</f>
        <v>0</v>
      </c>
      <c r="BE422" s="1">
        <f>IFERROR(__xludf.DUMMYFUNCTION("""COMPUTED_VALUE"""),1.0)</f>
        <v>1</v>
      </c>
      <c r="BF422" s="6">
        <f>IFERROR(__xludf.DUMMYFUNCTION("""COMPUTED_VALUE"""),1.0)</f>
        <v>1</v>
      </c>
      <c r="BG422" s="1">
        <f>IFERROR(__xludf.DUMMYFUNCTION("""COMPUTED_VALUE"""),1.0)</f>
        <v>1</v>
      </c>
      <c r="BH422" s="1" t="str">
        <f>IFERROR(__xludf.DUMMYFUNCTION("""COMPUTED_VALUE"""),"0")</f>
        <v>0</v>
      </c>
      <c r="BI422" s="4">
        <f>IFERROR(__xludf.DUMMYFUNCTION("""COMPUTED_VALUE"""),0.0)</f>
        <v>0</v>
      </c>
      <c r="BJ422" s="1">
        <f>IFERROR(__xludf.DUMMYFUNCTION("""COMPUTED_VALUE"""),0.0)</f>
        <v>0</v>
      </c>
      <c r="BK422" s="4">
        <f>IFERROR(__xludf.DUMMYFUNCTION("""COMPUTED_VALUE"""),0.0)</f>
        <v>0</v>
      </c>
      <c r="BL422" s="1">
        <f>IFERROR(__xludf.DUMMYFUNCTION("""COMPUTED_VALUE"""),600.0)</f>
        <v>600</v>
      </c>
      <c r="BM422" s="1">
        <f>IFERROR(__xludf.DUMMYFUNCTION("""COMPUTED_VALUE"""),5.0)</f>
        <v>5</v>
      </c>
      <c r="BN422" s="2">
        <f>IFERROR(__xludf.DUMMYFUNCTION("""COMPUTED_VALUE"""),45684.0)</f>
        <v>45684</v>
      </c>
      <c r="BO422" s="1">
        <f>IFERROR(__xludf.DUMMYFUNCTION("""COMPUTED_VALUE"""),1.0)</f>
        <v>1</v>
      </c>
      <c r="BP422" s="1">
        <f>IFERROR(__xludf.DUMMYFUNCTION("""COMPUTED_VALUE"""),2025.0)</f>
        <v>2025</v>
      </c>
    </row>
    <row r="423">
      <c r="A423" s="1">
        <f>IFERROR(__xludf.DUMMYFUNCTION("""COMPUTED_VALUE"""),422.0)</f>
        <v>422</v>
      </c>
      <c r="B423" s="1">
        <f>IFERROR(__xludf.DUMMYFUNCTION("""COMPUTED_VALUE"""),1264469.0)</f>
        <v>1264469</v>
      </c>
      <c r="C423" s="1" t="str">
        <f>IFERROR(__xludf.DUMMYFUNCTION("""COMPUTED_VALUE"""),"2025-1")</f>
        <v>2025-1</v>
      </c>
      <c r="D423" s="1" t="str">
        <f>IFERROR(__xludf.DUMMYFUNCTION("""COMPUTED_VALUE"""),"Admisión Extraordinaria (Traslados)")</f>
        <v>Admisión Extraordinaria (Traslados)</v>
      </c>
      <c r="E423" s="2">
        <f>IFERROR(__xludf.DUMMYFUNCTION("""COMPUTED_VALUE"""),45686.0)</f>
        <v>45686</v>
      </c>
      <c r="F423" s="1" t="str">
        <f>IFERROR(__xludf.DUMMYFUNCTION("""COMPUTED_VALUE""")," ALEXANDRA VERONICA ")</f>
        <v> ALEXANDRA VERONICA </v>
      </c>
      <c r="G423" s="1" t="str">
        <f>IFERROR(__xludf.DUMMYFUNCTION("""COMPUTED_VALUE"""),"LEON ALANOCA")</f>
        <v>LEON ALANOCA</v>
      </c>
      <c r="H423" s="1" t="str">
        <f>IFERROR(__xludf.DUMMYFUNCTION("""COMPUTED_VALUE"""),"Diseño Gráfico Publicitario")</f>
        <v>Diseño Gráfico Publicitario</v>
      </c>
      <c r="I423" s="1" t="str">
        <f>IFERROR(__xludf.DUMMYFUNCTION("""COMPUTED_VALUE"""),"Pago Link")</f>
        <v>Pago Link</v>
      </c>
      <c r="J423" s="1" t="str">
        <f>IFERROR(__xludf.DUMMYFUNCTION("""COMPUTED_VALUE"""),"Diurno")</f>
        <v>Diurno</v>
      </c>
      <c r="K423" s="1" t="str">
        <f>IFERROR(__xludf.DUMMYFUNCTION("""COMPUTED_VALUE"""),"TRASLADO")</f>
        <v>TRASLADO</v>
      </c>
      <c r="L423" s="1">
        <f>IFERROR(__xludf.DUMMYFUNCTION("""COMPUTED_VALUE"""),1.0)</f>
        <v>1</v>
      </c>
      <c r="M423" s="1">
        <f>IFERROR(__xludf.DUMMYFUNCTION("""COMPUTED_VALUE"""),0.0)</f>
        <v>0</v>
      </c>
      <c r="N423" s="1" t="str">
        <f>IFERROR(__xludf.DUMMYFUNCTION("""COMPUTED_VALUE"""),"RECA")</f>
        <v>RECA</v>
      </c>
      <c r="O423" s="1" t="str">
        <f>IFERROR(__xludf.DUMMYFUNCTION("""COMPUTED_VALUE"""),"RECA TRASLADO CON CONVA")</f>
        <v>RECA TRASLADO CON CONVA</v>
      </c>
      <c r="P423" s="4">
        <f>IFERROR(__xludf.DUMMYFUNCTION("""COMPUTED_VALUE"""),0.0)</f>
        <v>0</v>
      </c>
      <c r="Q423" s="4">
        <f>IFERROR(__xludf.DUMMYFUNCTION("""COMPUTED_VALUE"""),0.0)</f>
        <v>0</v>
      </c>
      <c r="R423" s="4">
        <f>IFERROR(__xludf.DUMMYFUNCTION("""COMPUTED_VALUE"""),900.0)</f>
        <v>900</v>
      </c>
      <c r="S423" s="4">
        <f>IFERROR(__xludf.DUMMYFUNCTION("""COMPUTED_VALUE"""),900.0)</f>
        <v>900</v>
      </c>
      <c r="T423" s="1" t="str">
        <f>IFERROR(__xludf.DUMMYFUNCTION("""COMPUTED_VALUE"""),"NINGUNO")</f>
        <v>NINGUNO</v>
      </c>
      <c r="U423" s="1" t="str">
        <f>IFERROR(__xludf.DUMMYFUNCTION("""COMPUTED_VALUE"""),"RODRIGO")</f>
        <v>RODRIGO</v>
      </c>
      <c r="V423" s="1" t="str">
        <f>IFERROR(__xludf.DUMMYFUNCTION("""COMPUTED_VALUE"""),"Ninguno")</f>
        <v>Ninguno</v>
      </c>
      <c r="W423" s="1" t="str">
        <f>IFERROR(__xludf.DUMMYFUNCTION("""COMPUTED_VALUE"""),"Prestigio de la institución")</f>
        <v>Prestigio de la institución</v>
      </c>
      <c r="X423" s="1" t="str">
        <f>IFERROR(__xludf.DUMMYFUNCTION("""COMPUTED_VALUE"""),"0")</f>
        <v>0</v>
      </c>
      <c r="Y423" s="1" t="str">
        <f>IFERROR(__xludf.DUMMYFUNCTION("""COMPUTED_VALUE"""),"PAGO COMPLETO")</f>
        <v>PAGO COMPLETO</v>
      </c>
      <c r="Z423" s="1"/>
      <c r="AA423" s="1"/>
      <c r="AB423" s="1">
        <f>IFERROR(__xludf.DUMMYFUNCTION("""COMPUTED_VALUE"""),0.0)</f>
        <v>0</v>
      </c>
      <c r="AC423" s="1">
        <f>IFERROR(__xludf.DUMMYFUNCTION("""COMPUTED_VALUE"""),0.0)</f>
        <v>0</v>
      </c>
      <c r="AD423" s="1" t="str">
        <f>IFERROR(__xludf.DUMMYFUNCTION("""COMPUTED_VALUE"""),"Andrea Araujo Antara")</f>
        <v>Andrea Araujo Antara</v>
      </c>
      <c r="AE423" s="1" t="str">
        <f>IFERROR(__xludf.DUMMYFUNCTION("""COMPUTED_VALUE"""),"Universidad Peruana De Ciencias Aplicadas(UPC)")</f>
        <v>Universidad Peruana De Ciencias Aplicadas(UPC)</v>
      </c>
      <c r="AF423" s="1">
        <f>IFERROR(__xludf.DUMMYFUNCTION("""COMPUTED_VALUE"""),2021.0)</f>
        <v>2021</v>
      </c>
      <c r="AG423" s="1">
        <f>IFERROR(__xludf.DUMMYFUNCTION("""COMPUTED_VALUE"""),1656081.0)</f>
        <v>1656081</v>
      </c>
      <c r="AH423" s="1">
        <f>IFERROR(__xludf.DUMMYFUNCTION("""COMPUTED_VALUE"""),22.0)</f>
        <v>22</v>
      </c>
      <c r="AI423" s="1" t="str">
        <f>IFERROR(__xludf.DUMMYFUNCTION("""COMPUTED_VALUE"""),"0000011896")</f>
        <v>0000011896</v>
      </c>
      <c r="AJ423" s="1">
        <f>IFERROR(__xludf.DUMMYFUNCTION("""COMPUTED_VALUE"""),7.2759262E7)</f>
        <v>72759262</v>
      </c>
      <c r="AK423" s="1">
        <f>IFERROR(__xludf.DUMMYFUNCTION("""COMPUTED_VALUE"""),9.47274595E8)</f>
        <v>947274595</v>
      </c>
      <c r="AL423" s="1" t="str">
        <f>IFERROR(__xludf.DUMMYFUNCTION("""COMPUTED_VALUE"""),"alexandra.leon.alanoca@gmail.com")</f>
        <v>alexandra.leon.alanoca@gmail.com</v>
      </c>
      <c r="AM423" s="1" t="str">
        <f>IFERROR(__xludf.DUMMYFUNCTION("""COMPUTED_VALUE"""),"FEMENINO")</f>
        <v>FEMENINO</v>
      </c>
      <c r="AN423" s="1">
        <f>IFERROR(__xludf.DUMMYFUNCTION("""COMPUTED_VALUE"""),1850.0)</f>
        <v>1850</v>
      </c>
      <c r="AO423" s="1">
        <f>IFERROR(__xludf.DUMMYFUNCTION("""COMPUTED_VALUE"""),565.0)</f>
        <v>565</v>
      </c>
      <c r="AP423" s="1" t="str">
        <f>IFERROR(__xludf.DUMMYFUNCTION("""COMPUTED_VALUE"""),"BIDIRECCIONAL")</f>
        <v>BIDIRECCIONAL</v>
      </c>
      <c r="AQ423" s="1" t="str">
        <f>IFERROR(__xludf.DUMMYFUNCTION("""COMPUTED_VALUE"""),"ORGANICO")</f>
        <v>ORGANICO</v>
      </c>
      <c r="AR423" s="1" t="str">
        <f>IFERROR(__xludf.DUMMYFUNCTION("""COMPUTED_VALUE"""),"NUEVO")</f>
        <v>NUEVO</v>
      </c>
      <c r="AS423" s="1"/>
      <c r="AT423" s="2">
        <f>IFERROR(__xludf.DUMMYFUNCTION("""COMPUTED_VALUE"""),45679.0)</f>
        <v>45679</v>
      </c>
      <c r="AU423" s="1">
        <f>IFERROR(__xludf.DUMMYFUNCTION("""COMPUTED_VALUE"""),1.0)</f>
        <v>1</v>
      </c>
      <c r="AV423" s="1" t="str">
        <f>IFERROR(__xludf.DUMMYFUNCTION("""COMPUTED_VALUE"""),"TRASLADO")</f>
        <v>TRASLADO</v>
      </c>
      <c r="AW423" s="1" t="str">
        <f>IFERROR(__xludf.DUMMYFUNCTION("""COMPUTED_VALUE"""),"SI")</f>
        <v>SI</v>
      </c>
      <c r="AX423" s="1"/>
      <c r="AY423" s="1" t="str">
        <f>IFERROR(__xludf.DUMMYFUNCTION("""COMPUTED_VALUE"""),"PAGO COMPLETO")</f>
        <v>PAGO COMPLETO</v>
      </c>
      <c r="AZ423" s="5">
        <f>IFERROR(__xludf.DUMMYFUNCTION("""COMPUTED_VALUE"""),45686.0)</f>
        <v>45686</v>
      </c>
      <c r="BA423" s="1">
        <f>IFERROR(__xludf.DUMMYFUNCTION("""COMPUTED_VALUE"""),0.0)</f>
        <v>0</v>
      </c>
      <c r="BB423" s="1">
        <f>IFERROR(__xludf.DUMMYFUNCTION("""COMPUTED_VALUE"""),0.0)</f>
        <v>0</v>
      </c>
      <c r="BC423" s="4">
        <f>IFERROR(__xludf.DUMMYFUNCTION("""COMPUTED_VALUE"""),0.0)</f>
        <v>0</v>
      </c>
      <c r="BD423" s="4">
        <f>IFERROR(__xludf.DUMMYFUNCTION("""COMPUTED_VALUE"""),0.0)</f>
        <v>0</v>
      </c>
      <c r="BE423" s="1">
        <f>IFERROR(__xludf.DUMMYFUNCTION("""COMPUTED_VALUE"""),1.0)</f>
        <v>1</v>
      </c>
      <c r="BF423" s="6">
        <f>IFERROR(__xludf.DUMMYFUNCTION("""COMPUTED_VALUE"""),1.0)</f>
        <v>1</v>
      </c>
      <c r="BG423" s="1">
        <f>IFERROR(__xludf.DUMMYFUNCTION("""COMPUTED_VALUE"""),1.0)</f>
        <v>1</v>
      </c>
      <c r="BH423" s="1" t="str">
        <f>IFERROR(__xludf.DUMMYFUNCTION("""COMPUTED_VALUE"""),"1")</f>
        <v>1</v>
      </c>
      <c r="BI423" s="4">
        <f>IFERROR(__xludf.DUMMYFUNCTION("""COMPUTED_VALUE"""),0.0)</f>
        <v>0</v>
      </c>
      <c r="BJ423" s="1">
        <f>IFERROR(__xludf.DUMMYFUNCTION("""COMPUTED_VALUE"""),0.0)</f>
        <v>0</v>
      </c>
      <c r="BK423" s="4">
        <f>IFERROR(__xludf.DUMMYFUNCTION("""COMPUTED_VALUE"""),0.0)</f>
        <v>0</v>
      </c>
      <c r="BL423" s="1">
        <f>IFERROR(__xludf.DUMMYFUNCTION("""COMPUTED_VALUE"""),900.0)</f>
        <v>900</v>
      </c>
      <c r="BM423" s="1">
        <f>IFERROR(__xludf.DUMMYFUNCTION("""COMPUTED_VALUE"""),5.0)</f>
        <v>5</v>
      </c>
      <c r="BN423" s="2">
        <f>IFERROR(__xludf.DUMMYFUNCTION("""COMPUTED_VALUE"""),45684.0)</f>
        <v>45684</v>
      </c>
      <c r="BO423" s="1">
        <f>IFERROR(__xludf.DUMMYFUNCTION("""COMPUTED_VALUE"""),1.0)</f>
        <v>1</v>
      </c>
      <c r="BP423" s="1">
        <f>IFERROR(__xludf.DUMMYFUNCTION("""COMPUTED_VALUE"""),2025.0)</f>
        <v>2025</v>
      </c>
    </row>
    <row r="424">
      <c r="A424" s="1">
        <f>IFERROR(__xludf.DUMMYFUNCTION("""COMPUTED_VALUE"""),423.0)</f>
        <v>423</v>
      </c>
      <c r="B424" s="1">
        <f>IFERROR(__xludf.DUMMYFUNCTION("""COMPUTED_VALUE"""),1781865.0)</f>
        <v>1781865</v>
      </c>
      <c r="C424" s="1" t="str">
        <f>IFERROR(__xludf.DUMMYFUNCTION("""COMPUTED_VALUE"""),"2025-1")</f>
        <v>2025-1</v>
      </c>
      <c r="D424" s="1" t="str">
        <f>IFERROR(__xludf.DUMMYFUNCTION("""COMPUTED_VALUE"""),"Admisión Extraordinaria (Traslados)")</f>
        <v>Admisión Extraordinaria (Traslados)</v>
      </c>
      <c r="E424" s="2">
        <f>IFERROR(__xludf.DUMMYFUNCTION("""COMPUTED_VALUE"""),45686.0)</f>
        <v>45686</v>
      </c>
      <c r="F424" s="1" t="str">
        <f>IFERROR(__xludf.DUMMYFUNCTION("""COMPUTED_VALUE"""),"SALETH JERMAYORI")</f>
        <v>SALETH JERMAYORI</v>
      </c>
      <c r="G424" s="1" t="str">
        <f>IFERROR(__xludf.DUMMYFUNCTION("""COMPUTED_VALUE"""),"BAEZ PONCE")</f>
        <v>BAEZ PONCE</v>
      </c>
      <c r="H424" s="1" t="str">
        <f>IFERROR(__xludf.DUMMYFUNCTION("""COMPUTED_VALUE"""),"Psicología")</f>
        <v>Psicología</v>
      </c>
      <c r="I424" s="1" t="str">
        <f>IFERROR(__xludf.DUMMYFUNCTION("""COMPUTED_VALUE"""),"CARGO")</f>
        <v>CARGO</v>
      </c>
      <c r="J424" s="1" t="str">
        <f>IFERROR(__xludf.DUMMYFUNCTION("""COMPUTED_VALUE"""),"Diurno")</f>
        <v>Diurno</v>
      </c>
      <c r="K424" s="1" t="str">
        <f>IFERROR(__xludf.DUMMYFUNCTION("""COMPUTED_VALUE"""),"TRASLADO")</f>
        <v>TRASLADO</v>
      </c>
      <c r="L424" s="1">
        <f>IFERROR(__xludf.DUMMYFUNCTION("""COMPUTED_VALUE"""),1.0)</f>
        <v>1</v>
      </c>
      <c r="M424" s="1">
        <f>IFERROR(__xludf.DUMMYFUNCTION("""COMPUTED_VALUE"""),0.0)</f>
        <v>0</v>
      </c>
      <c r="N424" s="1" t="str">
        <f>IFERROR(__xludf.DUMMYFUNCTION("""COMPUTED_VALUE"""),"RECA")</f>
        <v>RECA</v>
      </c>
      <c r="O424" s="1" t="str">
        <f>IFERROR(__xludf.DUMMYFUNCTION("""COMPUTED_VALUE"""),"RECA TRASLADO CON CONVA")</f>
        <v>RECA TRASLADO CON CONVA</v>
      </c>
      <c r="P424" s="4">
        <f>IFERROR(__xludf.DUMMYFUNCTION("""COMPUTED_VALUE"""),0.0)</f>
        <v>0</v>
      </c>
      <c r="Q424" s="4">
        <f>IFERROR(__xludf.DUMMYFUNCTION("""COMPUTED_VALUE"""),0.0)</f>
        <v>0</v>
      </c>
      <c r="R424" s="4">
        <f>IFERROR(__xludf.DUMMYFUNCTION("""COMPUTED_VALUE"""),1150.0)</f>
        <v>1150</v>
      </c>
      <c r="S424" s="4">
        <f>IFERROR(__xludf.DUMMYFUNCTION("""COMPUTED_VALUE"""),800.0)</f>
        <v>800</v>
      </c>
      <c r="T424" s="1" t="str">
        <f>IFERROR(__xludf.DUMMYFUNCTION("""COMPUTED_VALUE"""),"NINGUNO")</f>
        <v>NINGUNO</v>
      </c>
      <c r="U424" s="1"/>
      <c r="V424" s="1" t="str">
        <f>IFERROR(__xludf.DUMMYFUNCTION("""COMPUTED_VALUE"""),"Ninguno")</f>
        <v>Ninguno</v>
      </c>
      <c r="W424" s="1" t="str">
        <f>IFERROR(__xludf.DUMMYFUNCTION("""COMPUTED_VALUE"""),"Malla curricular")</f>
        <v>Malla curricular</v>
      </c>
      <c r="X424" s="1" t="str">
        <f>IFERROR(__xludf.DUMMYFUNCTION("""COMPUTED_VALUE"""),"le gusta la universidad ")</f>
        <v>le gusta la universidad </v>
      </c>
      <c r="Y424" s="1" t="str">
        <f>IFERROR(__xludf.DUMMYFUNCTION("""COMPUTED_VALUE"""),"PAGO COMPLETO")</f>
        <v>PAGO COMPLETO</v>
      </c>
      <c r="Z424" s="1"/>
      <c r="AA424" s="1"/>
      <c r="AB424" s="1">
        <f>IFERROR(__xludf.DUMMYFUNCTION("""COMPUTED_VALUE"""),0.0)</f>
        <v>0</v>
      </c>
      <c r="AC424" s="1">
        <f>IFERROR(__xludf.DUMMYFUNCTION("""COMPUTED_VALUE"""),0.0)</f>
        <v>0</v>
      </c>
      <c r="AD424" s="1" t="str">
        <f>IFERROR(__xludf.DUMMYFUNCTION("""COMPUTED_VALUE"""),"Daniel Zapata")</f>
        <v>Daniel Zapata</v>
      </c>
      <c r="AE424" s="1" t="str">
        <f>IFERROR(__xludf.DUMMYFUNCTION("""COMPUTED_VALUE"""),"Universidad Femenina del Sagrado Corazón (UNIFE)")</f>
        <v>Universidad Femenina del Sagrado Corazón (UNIFE)</v>
      </c>
      <c r="AF424" s="1">
        <f>IFERROR(__xludf.DUMMYFUNCTION("""COMPUTED_VALUE"""),2022.0)</f>
        <v>2022</v>
      </c>
      <c r="AG424" s="1">
        <f>IFERROR(__xludf.DUMMYFUNCTION("""COMPUTED_VALUE"""),0.0)</f>
        <v>0</v>
      </c>
      <c r="AH424" s="1">
        <f>IFERROR(__xludf.DUMMYFUNCTION("""COMPUTED_VALUE"""),19.0)</f>
        <v>19</v>
      </c>
      <c r="AI424" s="1" t="str">
        <f>IFERROR(__xludf.DUMMYFUNCTION("""COMPUTED_VALUE"""),"0000412144")</f>
        <v>0000412144</v>
      </c>
      <c r="AJ424" s="1">
        <f>IFERROR(__xludf.DUMMYFUNCTION("""COMPUTED_VALUE"""),6.078479E7)</f>
        <v>60784790</v>
      </c>
      <c r="AK424" s="1">
        <f>IFERROR(__xludf.DUMMYFUNCTION("""COMPUTED_VALUE"""),9.46289019E8)</f>
        <v>946289019</v>
      </c>
      <c r="AL424" s="1" t="str">
        <f>IFERROR(__xludf.DUMMYFUNCTION("""COMPUTED_VALUE"""),"salethbaez5@gmail.com")</f>
        <v>salethbaez5@gmail.com</v>
      </c>
      <c r="AM424" s="1" t="str">
        <f>IFERROR(__xludf.DUMMYFUNCTION("""COMPUTED_VALUE"""),"FEMENINO")</f>
        <v>FEMENINO</v>
      </c>
      <c r="AN424" s="1">
        <f>IFERROR(__xludf.DUMMYFUNCTION("""COMPUTED_VALUE"""),0.0)</f>
        <v>0</v>
      </c>
      <c r="AO424" s="1">
        <f>IFERROR(__xludf.DUMMYFUNCTION("""COMPUTED_VALUE"""),0.0)</f>
        <v>0</v>
      </c>
      <c r="AP424" s="1" t="str">
        <f>IFERROR(__xludf.DUMMYFUNCTION("""COMPUTED_VALUE"""),"FORMULARIO")</f>
        <v>FORMULARIO</v>
      </c>
      <c r="AQ424" s="1" t="str">
        <f>IFERROR(__xludf.DUMMYFUNCTION("""COMPUTED_VALUE"""),"NO SUFICIENCIA")</f>
        <v>NO SUFICIENCIA</v>
      </c>
      <c r="AR424" s="1" t="str">
        <f>IFERROR(__xludf.DUMMYFUNCTION("""COMPUTED_VALUE"""),"HEREDADO")</f>
        <v>HEREDADO</v>
      </c>
      <c r="AS424" s="1" t="str">
        <f>IFERROR(__xludf.DUMMYFUNCTION("""COMPUTED_VALUE"""),"ucal-pg-branding-sedes-demografico-cpm-alcance_branding_traslados-20241104")</f>
        <v>ucal-pg-branding-sedes-demografico-cpm-alcance_branding_traslados-20241104</v>
      </c>
      <c r="AT424" s="2">
        <f>IFERROR(__xludf.DUMMYFUNCTION("""COMPUTED_VALUE"""),45680.0)</f>
        <v>45680</v>
      </c>
      <c r="AU424" s="1">
        <f>IFERROR(__xludf.DUMMYFUNCTION("""COMPUTED_VALUE"""),1.0)</f>
        <v>1</v>
      </c>
      <c r="AV424" s="1" t="str">
        <f>IFERROR(__xludf.DUMMYFUNCTION("""COMPUTED_VALUE"""),"TRASLADO")</f>
        <v>TRASLADO</v>
      </c>
      <c r="AW424" s="1" t="str">
        <f>IFERROR(__xludf.DUMMYFUNCTION("""COMPUTED_VALUE"""),"SI")</f>
        <v>SI</v>
      </c>
      <c r="AX424" s="1"/>
      <c r="AY424" s="1" t="str">
        <f>IFERROR(__xludf.DUMMYFUNCTION("""COMPUTED_VALUE"""),"PAGO COMPLETO")</f>
        <v>PAGO COMPLETO</v>
      </c>
      <c r="AZ424" s="5">
        <f>IFERROR(__xludf.DUMMYFUNCTION("""COMPUTED_VALUE"""),45686.0)</f>
        <v>45686</v>
      </c>
      <c r="BA424" s="1">
        <f>IFERROR(__xludf.DUMMYFUNCTION("""COMPUTED_VALUE"""),0.0)</f>
        <v>0</v>
      </c>
      <c r="BB424" s="1">
        <f>IFERROR(__xludf.DUMMYFUNCTION("""COMPUTED_VALUE"""),0.0)</f>
        <v>0</v>
      </c>
      <c r="BC424" s="4">
        <f>IFERROR(__xludf.DUMMYFUNCTION("""COMPUTED_VALUE"""),0.0)</f>
        <v>0</v>
      </c>
      <c r="BD424" s="4">
        <f>IFERROR(__xludf.DUMMYFUNCTION("""COMPUTED_VALUE"""),0.0)</f>
        <v>0</v>
      </c>
      <c r="BE424" s="1">
        <f>IFERROR(__xludf.DUMMYFUNCTION("""COMPUTED_VALUE"""),1.0)</f>
        <v>1</v>
      </c>
      <c r="BF424" s="6">
        <f>IFERROR(__xludf.DUMMYFUNCTION("""COMPUTED_VALUE"""),1.0)</f>
        <v>1</v>
      </c>
      <c r="BG424" s="1">
        <f>IFERROR(__xludf.DUMMYFUNCTION("""COMPUTED_VALUE"""),1.0)</f>
        <v>1</v>
      </c>
      <c r="BH424" s="1" t="str">
        <f>IFERROR(__xludf.DUMMYFUNCTION("""COMPUTED_VALUE"""),"1")</f>
        <v>1</v>
      </c>
      <c r="BI424" s="4">
        <f>IFERROR(__xludf.DUMMYFUNCTION("""COMPUTED_VALUE"""),0.0)</f>
        <v>0</v>
      </c>
      <c r="BJ424" s="1">
        <f>IFERROR(__xludf.DUMMYFUNCTION("""COMPUTED_VALUE"""),0.0)</f>
        <v>0</v>
      </c>
      <c r="BK424" s="4">
        <f>IFERROR(__xludf.DUMMYFUNCTION("""COMPUTED_VALUE"""),0.0)</f>
        <v>0</v>
      </c>
      <c r="BL424" s="1">
        <f>IFERROR(__xludf.DUMMYFUNCTION("""COMPUTED_VALUE"""),800.0)</f>
        <v>800</v>
      </c>
      <c r="BM424" s="1">
        <f>IFERROR(__xludf.DUMMYFUNCTION("""COMPUTED_VALUE"""),5.0)</f>
        <v>5</v>
      </c>
      <c r="BN424" s="2">
        <f>IFERROR(__xludf.DUMMYFUNCTION("""COMPUTED_VALUE"""),45684.0)</f>
        <v>45684</v>
      </c>
      <c r="BO424" s="1">
        <f>IFERROR(__xludf.DUMMYFUNCTION("""COMPUTED_VALUE"""),1.0)</f>
        <v>1</v>
      </c>
      <c r="BP424" s="1">
        <f>IFERROR(__xludf.DUMMYFUNCTION("""COMPUTED_VALUE"""),2025.0)</f>
        <v>2025</v>
      </c>
    </row>
    <row r="425">
      <c r="A425" s="1">
        <f>IFERROR(__xludf.DUMMYFUNCTION("""COMPUTED_VALUE"""),424.0)</f>
        <v>424</v>
      </c>
      <c r="B425" s="1">
        <f>IFERROR(__xludf.DUMMYFUNCTION("""COMPUTED_VALUE"""),723799.0)</f>
        <v>723799</v>
      </c>
      <c r="C425" s="1" t="str">
        <f>IFERROR(__xludf.DUMMYFUNCTION("""COMPUTED_VALUE"""),"2025-1")</f>
        <v>2025-1</v>
      </c>
      <c r="D425" s="1" t="str">
        <f>IFERROR(__xludf.DUMMYFUNCTION("""COMPUTED_VALUE"""),"Admisión Ordinaria")</f>
        <v>Admisión Ordinaria</v>
      </c>
      <c r="E425" s="2">
        <f>IFERROR(__xludf.DUMMYFUNCTION("""COMPUTED_VALUE"""),45686.0)</f>
        <v>45686</v>
      </c>
      <c r="F425" s="1" t="str">
        <f>IFERROR(__xludf.DUMMYFUNCTION("""COMPUTED_VALUE"""),"JENNY EDITH ")</f>
        <v>JENNY EDITH </v>
      </c>
      <c r="G425" s="1" t="str">
        <f>IFERROR(__xludf.DUMMYFUNCTION("""COMPUTED_VALUE"""),"BALDEON JACOBE")</f>
        <v>BALDEON JACOBE</v>
      </c>
      <c r="H425" s="1" t="str">
        <f>IFERROR(__xludf.DUMMYFUNCTION("""COMPUTED_VALUE"""),"Arquitectura")</f>
        <v>Arquitectura</v>
      </c>
      <c r="I425" s="1" t="str">
        <f>IFERROR(__xludf.DUMMYFUNCTION("""COMPUTED_VALUE"""),"CARGO")</f>
        <v>CARGO</v>
      </c>
      <c r="J425" s="1" t="str">
        <f>IFERROR(__xludf.DUMMYFUNCTION("""COMPUTED_VALUE"""),"Diurno")</f>
        <v>Diurno</v>
      </c>
      <c r="K425" s="1" t="str">
        <f>IFERROR(__xludf.DUMMYFUNCTION("""COMPUTED_VALUE"""),"NUEVO")</f>
        <v>NUEVO</v>
      </c>
      <c r="L425" s="1">
        <f>IFERROR(__xludf.DUMMYFUNCTION("""COMPUTED_VALUE"""),0.0)</f>
        <v>0</v>
      </c>
      <c r="M425" s="1">
        <f>IFERROR(__xludf.DUMMYFUNCTION("""COMPUTED_VALUE"""),0.0)</f>
        <v>0</v>
      </c>
      <c r="N425" s="1" t="str">
        <f>IFERROR(__xludf.DUMMYFUNCTION("""COMPUTED_VALUE"""),"BECA")</f>
        <v>BECA</v>
      </c>
      <c r="O425" s="1" t="str">
        <f>IFERROR(__xludf.DUMMYFUNCTION("""COMPUTED_VALUE"""),"BECA CARRERAS CORE")</f>
        <v>BECA CARRERAS CORE</v>
      </c>
      <c r="P425" s="4">
        <f>IFERROR(__xludf.DUMMYFUNCTION("""COMPUTED_VALUE"""),0.0)</f>
        <v>0</v>
      </c>
      <c r="Q425" s="4">
        <f>IFERROR(__xludf.DUMMYFUNCTION("""COMPUTED_VALUE"""),0.0)</f>
        <v>0</v>
      </c>
      <c r="R425" s="4">
        <f>IFERROR(__xludf.DUMMYFUNCTION("""COMPUTED_VALUE"""),1050.0)</f>
        <v>1050</v>
      </c>
      <c r="S425" s="4">
        <f>IFERROR(__xludf.DUMMYFUNCTION("""COMPUTED_VALUE"""),900.0)</f>
        <v>900</v>
      </c>
      <c r="T425" s="1" t="str">
        <f>IFERROR(__xludf.DUMMYFUNCTION("""COMPUTED_VALUE"""),"NINGUNO")</f>
        <v>NINGUNO</v>
      </c>
      <c r="U425" s="1"/>
      <c r="V425" s="1" t="str">
        <f>IFERROR(__xludf.DUMMYFUNCTION("""COMPUTED_VALUE"""),"Ninguno")</f>
        <v>Ninguno</v>
      </c>
      <c r="W425" s="1" t="str">
        <f>IFERROR(__xludf.DUMMYFUNCTION("""COMPUTED_VALUE"""),"Metodología de enseñanza")</f>
        <v>Metodología de enseñanza</v>
      </c>
      <c r="X425" s="1"/>
      <c r="Y425" s="1" t="str">
        <f>IFERROR(__xludf.DUMMYFUNCTION("""COMPUTED_VALUE"""),"PAGO COMPLETO")</f>
        <v>PAGO COMPLETO</v>
      </c>
      <c r="Z425" s="1"/>
      <c r="AA425" s="1"/>
      <c r="AB425" s="1">
        <f>IFERROR(__xludf.DUMMYFUNCTION("""COMPUTED_VALUE"""),0.0)</f>
        <v>0</v>
      </c>
      <c r="AC425" s="1">
        <f>IFERROR(__xludf.DUMMYFUNCTION("""COMPUTED_VALUE"""),0.0)</f>
        <v>0</v>
      </c>
      <c r="AD425" s="1" t="str">
        <f>IFERROR(__xludf.DUMMYFUNCTION("""COMPUTED_VALUE"""),"César Alberto Loayza Gutiérrez")</f>
        <v>César Alberto Loayza Gutiérrez</v>
      </c>
      <c r="AE425" s="1" t="str">
        <f>IFERROR(__xludf.DUMMYFUNCTION("""COMPUTED_VALUE"""),"0")</f>
        <v>0</v>
      </c>
      <c r="AF425" s="1">
        <f>IFERROR(__xludf.DUMMYFUNCTION("""COMPUTED_VALUE"""),2021.0)</f>
        <v>2021</v>
      </c>
      <c r="AG425" s="1">
        <f>IFERROR(__xludf.DUMMYFUNCTION("""COMPUTED_VALUE"""),874206.0)</f>
        <v>874206</v>
      </c>
      <c r="AH425" s="1">
        <f>IFERROR(__xludf.DUMMYFUNCTION("""COMPUTED_VALUE"""),34.0)</f>
        <v>34</v>
      </c>
      <c r="AI425" s="1" t="str">
        <f>IFERROR(__xludf.DUMMYFUNCTION("""COMPUTED_VALUE"""),"0000039481")</f>
        <v>0000039481</v>
      </c>
      <c r="AJ425" s="1">
        <f>IFERROR(__xludf.DUMMYFUNCTION("""COMPUTED_VALUE"""),4.7027361E7)</f>
        <v>47027361</v>
      </c>
      <c r="AK425" s="1">
        <f>IFERROR(__xludf.DUMMYFUNCTION("""COMPUTED_VALUE"""),9.59118843E8)</f>
        <v>959118843</v>
      </c>
      <c r="AL425" s="1" t="str">
        <f>IFERROR(__xludf.DUMMYFUNCTION("""COMPUTED_VALUE"""),"jbaldeon01@gmail.com")</f>
        <v>jbaldeon01@gmail.com</v>
      </c>
      <c r="AM425" s="1" t="str">
        <f>IFERROR(__xludf.DUMMYFUNCTION("""COMPUTED_VALUE"""),"FEMENINO")</f>
        <v>FEMENINO</v>
      </c>
      <c r="AN425" s="1">
        <f>IFERROR(__xludf.DUMMYFUNCTION("""COMPUTED_VALUE"""),1350.0)</f>
        <v>1350</v>
      </c>
      <c r="AO425" s="1">
        <f>IFERROR(__xludf.DUMMYFUNCTION("""COMPUTED_VALUE"""),0.0)</f>
        <v>0</v>
      </c>
      <c r="AP425" s="1" t="str">
        <f>IFERROR(__xludf.DUMMYFUNCTION("""COMPUTED_VALUE"""),"BIDIRECCIONAL")</f>
        <v>BIDIRECCIONAL</v>
      </c>
      <c r="AQ425" s="1" t="str">
        <f>IFERROR(__xludf.DUMMYFUNCTION("""COMPUTED_VALUE"""),"ORGANICO")</f>
        <v>ORGANICO</v>
      </c>
      <c r="AR425" s="1" t="str">
        <f>IFERROR(__xludf.DUMMYFUNCTION("""COMPUTED_VALUE"""),"HEREDADO")</f>
        <v>HEREDADO</v>
      </c>
      <c r="AS425" s="1"/>
      <c r="AT425" s="2">
        <f>IFERROR(__xludf.DUMMYFUNCTION("""COMPUTED_VALUE"""),45677.0)</f>
        <v>45677</v>
      </c>
      <c r="AU425" s="1">
        <f>IFERROR(__xludf.DUMMYFUNCTION("""COMPUTED_VALUE"""),1.0)</f>
        <v>1</v>
      </c>
      <c r="AV425" s="1" t="str">
        <f>IFERROR(__xludf.DUMMYFUNCTION("""COMPUTED_VALUE"""),"NUEVO")</f>
        <v>NUEVO</v>
      </c>
      <c r="AW425" s="1" t="str">
        <f>IFERROR(__xludf.DUMMYFUNCTION("""COMPUTED_VALUE"""),"SI")</f>
        <v>SI</v>
      </c>
      <c r="AX425" s="1"/>
      <c r="AY425" s="1" t="str">
        <f>IFERROR(__xludf.DUMMYFUNCTION("""COMPUTED_VALUE"""),"PAGO COMPLETO")</f>
        <v>PAGO COMPLETO</v>
      </c>
      <c r="AZ425" s="5">
        <f>IFERROR(__xludf.DUMMYFUNCTION("""COMPUTED_VALUE"""),45686.0)</f>
        <v>45686</v>
      </c>
      <c r="BA425" s="1">
        <f>IFERROR(__xludf.DUMMYFUNCTION("""COMPUTED_VALUE"""),0.0)</f>
        <v>0</v>
      </c>
      <c r="BB425" s="1">
        <f>IFERROR(__xludf.DUMMYFUNCTION("""COMPUTED_VALUE"""),0.0)</f>
        <v>0</v>
      </c>
      <c r="BC425" s="4">
        <f>IFERROR(__xludf.DUMMYFUNCTION("""COMPUTED_VALUE"""),0.0)</f>
        <v>0</v>
      </c>
      <c r="BD425" s="4">
        <f>IFERROR(__xludf.DUMMYFUNCTION("""COMPUTED_VALUE"""),0.0)</f>
        <v>0</v>
      </c>
      <c r="BE425" s="1">
        <f>IFERROR(__xludf.DUMMYFUNCTION("""COMPUTED_VALUE"""),1.0)</f>
        <v>1</v>
      </c>
      <c r="BF425" s="6">
        <f>IFERROR(__xludf.DUMMYFUNCTION("""COMPUTED_VALUE"""),1.0)</f>
        <v>1</v>
      </c>
      <c r="BG425" s="1">
        <f>IFERROR(__xludf.DUMMYFUNCTION("""COMPUTED_VALUE"""),1.0)</f>
        <v>1</v>
      </c>
      <c r="BH425" s="1" t="str">
        <f>IFERROR(__xludf.DUMMYFUNCTION("""COMPUTED_VALUE"""),"0")</f>
        <v>0</v>
      </c>
      <c r="BI425" s="4">
        <f>IFERROR(__xludf.DUMMYFUNCTION("""COMPUTED_VALUE"""),0.0)</f>
        <v>0</v>
      </c>
      <c r="BJ425" s="1">
        <f>IFERROR(__xludf.DUMMYFUNCTION("""COMPUTED_VALUE"""),0.0)</f>
        <v>0</v>
      </c>
      <c r="BK425" s="4">
        <f>IFERROR(__xludf.DUMMYFUNCTION("""COMPUTED_VALUE"""),0.0)</f>
        <v>0</v>
      </c>
      <c r="BL425" s="1">
        <f>IFERROR(__xludf.DUMMYFUNCTION("""COMPUTED_VALUE"""),900.0)</f>
        <v>900</v>
      </c>
      <c r="BM425" s="1">
        <f>IFERROR(__xludf.DUMMYFUNCTION("""COMPUTED_VALUE"""),5.0)</f>
        <v>5</v>
      </c>
      <c r="BN425" s="2">
        <f>IFERROR(__xludf.DUMMYFUNCTION("""COMPUTED_VALUE"""),45684.0)</f>
        <v>45684</v>
      </c>
      <c r="BO425" s="1">
        <f>IFERROR(__xludf.DUMMYFUNCTION("""COMPUTED_VALUE"""),1.0)</f>
        <v>1</v>
      </c>
      <c r="BP425" s="1">
        <f>IFERROR(__xludf.DUMMYFUNCTION("""COMPUTED_VALUE"""),2025.0)</f>
        <v>2025</v>
      </c>
    </row>
    <row r="426">
      <c r="A426" s="1">
        <f>IFERROR(__xludf.DUMMYFUNCTION("""COMPUTED_VALUE"""),425.0)</f>
        <v>425</v>
      </c>
      <c r="B426" s="1">
        <f>IFERROR(__xludf.DUMMYFUNCTION("""COMPUTED_VALUE"""),4953037.0)</f>
        <v>4953037</v>
      </c>
      <c r="C426" s="1" t="str">
        <f>IFERROR(__xludf.DUMMYFUNCTION("""COMPUTED_VALUE"""),"2025-1")</f>
        <v>2025-1</v>
      </c>
      <c r="D426" s="1" t="str">
        <f>IFERROR(__xludf.DUMMYFUNCTION("""COMPUTED_VALUE"""),"Admisión Ordinaria")</f>
        <v>Admisión Ordinaria</v>
      </c>
      <c r="E426" s="2">
        <f>IFERROR(__xludf.DUMMYFUNCTION("""COMPUTED_VALUE"""),45687.0)</f>
        <v>45687</v>
      </c>
      <c r="F426" s="1" t="str">
        <f>IFERROR(__xludf.DUMMYFUNCTION("""COMPUTED_VALUE"""),"EDUARDA REBECA")</f>
        <v>EDUARDA REBECA</v>
      </c>
      <c r="G426" s="1" t="str">
        <f>IFERROR(__xludf.DUMMYFUNCTION("""COMPUTED_VALUE"""),"GONZALES CARDENAS")</f>
        <v>GONZALES CARDENAS</v>
      </c>
      <c r="H426" s="1" t="str">
        <f>IFERROR(__xludf.DUMMYFUNCTION("""COMPUTED_VALUE"""),"Comunicación Audiovisual y Cine")</f>
        <v>Comunicación Audiovisual y Cine</v>
      </c>
      <c r="I426" s="1" t="str">
        <f>IFERROR(__xludf.DUMMYFUNCTION("""COMPUTED_VALUE"""),"CARGO")</f>
        <v>CARGO</v>
      </c>
      <c r="J426" s="1" t="str">
        <f>IFERROR(__xludf.DUMMYFUNCTION("""COMPUTED_VALUE"""),"Diurno")</f>
        <v>Diurno</v>
      </c>
      <c r="K426" s="1" t="str">
        <f>IFERROR(__xludf.DUMMYFUNCTION("""COMPUTED_VALUE"""),"TRASLADO")</f>
        <v>TRASLADO</v>
      </c>
      <c r="L426" s="1">
        <f>IFERROR(__xludf.DUMMYFUNCTION("""COMPUTED_VALUE"""),0.0)</f>
        <v>0</v>
      </c>
      <c r="M426" s="1">
        <f>IFERROR(__xludf.DUMMYFUNCTION("""COMPUTED_VALUE"""),0.0)</f>
        <v>0</v>
      </c>
      <c r="N426" s="1" t="str">
        <f>IFERROR(__xludf.DUMMYFUNCTION("""COMPUTED_VALUE"""),"RECA")</f>
        <v>RECA</v>
      </c>
      <c r="O426" s="1" t="str">
        <f>IFERROR(__xludf.DUMMYFUNCTION("""COMPUTED_VALUE"""),"RECA TRASLADO SIN CONVA")</f>
        <v>RECA TRASLADO SIN CONVA</v>
      </c>
      <c r="P426" s="4">
        <f>IFERROR(__xludf.DUMMYFUNCTION("""COMPUTED_VALUE"""),0.0)</f>
        <v>0</v>
      </c>
      <c r="Q426" s="4">
        <f>IFERROR(__xludf.DUMMYFUNCTION("""COMPUTED_VALUE"""),0.0)</f>
        <v>0</v>
      </c>
      <c r="R426" s="4">
        <f>IFERROR(__xludf.DUMMYFUNCTION("""COMPUTED_VALUE"""),1400.0)</f>
        <v>1400</v>
      </c>
      <c r="S426" s="4">
        <f>IFERROR(__xludf.DUMMYFUNCTION("""COMPUTED_VALUE"""),1100.0)</f>
        <v>1100</v>
      </c>
      <c r="T426" s="1" t="str">
        <f>IFERROR(__xludf.DUMMYFUNCTION("""COMPUTED_VALUE"""),"NINGUNO")</f>
        <v>NINGUNO</v>
      </c>
      <c r="U426" s="1" t="str">
        <f>IFERROR(__xludf.DUMMYFUNCTION("""COMPUTED_VALUE"""),"FABIOLA")</f>
        <v>FABIOLA</v>
      </c>
      <c r="V426" s="1" t="str">
        <f>IFERROR(__xludf.DUMMYFUNCTION("""COMPUTED_VALUE"""),"Ninguno")</f>
        <v>Ninguno</v>
      </c>
      <c r="W426" s="1" t="str">
        <f>IFERROR(__xludf.DUMMYFUNCTION("""COMPUTED_VALUE"""),"Malla curricular")</f>
        <v>Malla curricular</v>
      </c>
      <c r="X426" s="1"/>
      <c r="Y426" s="1" t="str">
        <f>IFERROR(__xludf.DUMMYFUNCTION("""COMPUTED_VALUE"""),"PAGO COMPLETO")</f>
        <v>PAGO COMPLETO</v>
      </c>
      <c r="Z426" s="1"/>
      <c r="AA426" s="1"/>
      <c r="AB426" s="1">
        <f>IFERROR(__xludf.DUMMYFUNCTION("""COMPUTED_VALUE"""),0.0)</f>
        <v>0</v>
      </c>
      <c r="AC426" s="1">
        <f>IFERROR(__xludf.DUMMYFUNCTION("""COMPUTED_VALUE"""),0.0)</f>
        <v>0</v>
      </c>
      <c r="AD426" s="1" t="str">
        <f>IFERROR(__xludf.DUMMYFUNCTION("""COMPUTED_VALUE"""),"Angelica Iparraguirre")</f>
        <v>Angelica Iparraguirre</v>
      </c>
      <c r="AE426" s="1" t="str">
        <f>IFERROR(__xludf.DUMMYFUNCTION("""COMPUTED_VALUE"""),"Universidad Católica de Santa María (Arequipa)")</f>
        <v>Universidad Católica de Santa María (Arequipa)</v>
      </c>
      <c r="AF426" s="1">
        <f>IFERROR(__xludf.DUMMYFUNCTION("""COMPUTED_VALUE"""),2017.0)</f>
        <v>2017</v>
      </c>
      <c r="AG426" s="1">
        <f>IFERROR(__xludf.DUMMYFUNCTION("""COMPUTED_VALUE"""),1640937.0)</f>
        <v>1640937</v>
      </c>
      <c r="AH426" s="1">
        <f>IFERROR(__xludf.DUMMYFUNCTION("""COMPUTED_VALUE"""),24.0)</f>
        <v>24</v>
      </c>
      <c r="AI426" s="1" t="str">
        <f>IFERROR(__xludf.DUMMYFUNCTION("""COMPUTED_VALUE"""),"0000412120")</f>
        <v>0000412120</v>
      </c>
      <c r="AJ426" s="1">
        <f>IFERROR(__xludf.DUMMYFUNCTION("""COMPUTED_VALUE"""),7.0746666E7)</f>
        <v>70746666</v>
      </c>
      <c r="AK426" s="1">
        <f>IFERROR(__xludf.DUMMYFUNCTION("""COMPUTED_VALUE"""),9.46642857E8)</f>
        <v>946642857</v>
      </c>
      <c r="AL426" s="1" t="str">
        <f>IFERROR(__xludf.DUMMYFUNCTION("""COMPUTED_VALUE"""),"becafilm25@gmail.com")</f>
        <v>becafilm25@gmail.com</v>
      </c>
      <c r="AM426" s="1" t="str">
        <f>IFERROR(__xludf.DUMMYFUNCTION("""COMPUTED_VALUE"""),"FEMENINO")</f>
        <v>FEMENINO</v>
      </c>
      <c r="AN426" s="1">
        <f>IFERROR(__xludf.DUMMYFUNCTION("""COMPUTED_VALUE"""),1850.0)</f>
        <v>1850</v>
      </c>
      <c r="AO426" s="1">
        <f>IFERROR(__xludf.DUMMYFUNCTION("""COMPUTED_VALUE"""),580.0)</f>
        <v>580</v>
      </c>
      <c r="AP426" s="1" t="str">
        <f>IFERROR(__xludf.DUMMYFUNCTION("""COMPUTED_VALUE"""),"BIDIRECCIONAL")</f>
        <v>BIDIRECCIONAL</v>
      </c>
      <c r="AQ426" s="1" t="str">
        <f>IFERROR(__xludf.DUMMYFUNCTION("""COMPUTED_VALUE"""),"ORGANICO")</f>
        <v>ORGANICO</v>
      </c>
      <c r="AR426" s="1" t="str">
        <f>IFERROR(__xludf.DUMMYFUNCTION("""COMPUTED_VALUE"""),"NUEVO")</f>
        <v>NUEVO</v>
      </c>
      <c r="AS426" s="1"/>
      <c r="AT426" s="2">
        <f>IFERROR(__xludf.DUMMYFUNCTION("""COMPUTED_VALUE"""),45673.0)</f>
        <v>45673</v>
      </c>
      <c r="AU426" s="1">
        <f>IFERROR(__xludf.DUMMYFUNCTION("""COMPUTED_VALUE"""),1.0)</f>
        <v>1</v>
      </c>
      <c r="AV426" s="1" t="str">
        <f>IFERROR(__xludf.DUMMYFUNCTION("""COMPUTED_VALUE"""),"NUEVO")</f>
        <v>NUEVO</v>
      </c>
      <c r="AW426" s="1" t="str">
        <f>IFERROR(__xludf.DUMMYFUNCTION("""COMPUTED_VALUE"""),"SI")</f>
        <v>SI</v>
      </c>
      <c r="AX426" s="1"/>
      <c r="AY426" s="1" t="str">
        <f>IFERROR(__xludf.DUMMYFUNCTION("""COMPUTED_VALUE"""),"PAGO COMPLETO")</f>
        <v>PAGO COMPLETO</v>
      </c>
      <c r="AZ426" s="5">
        <f>IFERROR(__xludf.DUMMYFUNCTION("""COMPUTED_VALUE"""),45687.0)</f>
        <v>45687</v>
      </c>
      <c r="BA426" s="1">
        <f>IFERROR(__xludf.DUMMYFUNCTION("""COMPUTED_VALUE"""),0.0)</f>
        <v>0</v>
      </c>
      <c r="BB426" s="1">
        <f>IFERROR(__xludf.DUMMYFUNCTION("""COMPUTED_VALUE"""),0.0)</f>
        <v>0</v>
      </c>
      <c r="BC426" s="4">
        <f>IFERROR(__xludf.DUMMYFUNCTION("""COMPUTED_VALUE"""),0.0)</f>
        <v>0</v>
      </c>
      <c r="BD426" s="4">
        <f>IFERROR(__xludf.DUMMYFUNCTION("""COMPUTED_VALUE"""),0.0)</f>
        <v>0</v>
      </c>
      <c r="BE426" s="1">
        <f>IFERROR(__xludf.DUMMYFUNCTION("""COMPUTED_VALUE"""),1.0)</f>
        <v>1</v>
      </c>
      <c r="BF426" s="6">
        <f>IFERROR(__xludf.DUMMYFUNCTION("""COMPUTED_VALUE"""),1.0)</f>
        <v>1</v>
      </c>
      <c r="BG426" s="1">
        <f>IFERROR(__xludf.DUMMYFUNCTION("""COMPUTED_VALUE"""),1.0)</f>
        <v>1</v>
      </c>
      <c r="BH426" s="1" t="str">
        <f>IFERROR(__xludf.DUMMYFUNCTION("""COMPUTED_VALUE"""),"0")</f>
        <v>0</v>
      </c>
      <c r="BI426" s="4">
        <f>IFERROR(__xludf.DUMMYFUNCTION("""COMPUTED_VALUE"""),0.0)</f>
        <v>0</v>
      </c>
      <c r="BJ426" s="1">
        <f>IFERROR(__xludf.DUMMYFUNCTION("""COMPUTED_VALUE"""),0.0)</f>
        <v>0</v>
      </c>
      <c r="BK426" s="4">
        <f>IFERROR(__xludf.DUMMYFUNCTION("""COMPUTED_VALUE"""),0.0)</f>
        <v>0</v>
      </c>
      <c r="BL426" s="1">
        <f>IFERROR(__xludf.DUMMYFUNCTION("""COMPUTED_VALUE"""),1100.0)</f>
        <v>1100</v>
      </c>
      <c r="BM426" s="1">
        <f>IFERROR(__xludf.DUMMYFUNCTION("""COMPUTED_VALUE"""),5.0)</f>
        <v>5</v>
      </c>
      <c r="BN426" s="2">
        <f>IFERROR(__xludf.DUMMYFUNCTION("""COMPUTED_VALUE"""),45684.0)</f>
        <v>45684</v>
      </c>
      <c r="BO426" s="1">
        <f>IFERROR(__xludf.DUMMYFUNCTION("""COMPUTED_VALUE"""),1.0)</f>
        <v>1</v>
      </c>
      <c r="BP426" s="1">
        <f>IFERROR(__xludf.DUMMYFUNCTION("""COMPUTED_VALUE"""),2025.0)</f>
        <v>2025</v>
      </c>
    </row>
    <row r="427">
      <c r="A427" s="1">
        <f>IFERROR(__xludf.DUMMYFUNCTION("""COMPUTED_VALUE"""),426.0)</f>
        <v>426</v>
      </c>
      <c r="B427" s="1">
        <f>IFERROR(__xludf.DUMMYFUNCTION("""COMPUTED_VALUE"""),2036984.0)</f>
        <v>2036984</v>
      </c>
      <c r="C427" s="1" t="str">
        <f>IFERROR(__xludf.DUMMYFUNCTION("""COMPUTED_VALUE"""),"2025-1")</f>
        <v>2025-1</v>
      </c>
      <c r="D427" s="1" t="str">
        <f>IFERROR(__xludf.DUMMYFUNCTION("""COMPUTED_VALUE"""),"Admisión Ordinaria")</f>
        <v>Admisión Ordinaria</v>
      </c>
      <c r="E427" s="2">
        <f>IFERROR(__xludf.DUMMYFUNCTION("""COMPUTED_VALUE"""),45687.0)</f>
        <v>45687</v>
      </c>
      <c r="F427" s="1" t="str">
        <f>IFERROR(__xludf.DUMMYFUNCTION("""COMPUTED_VALUE"""),"MARIA LUCIA ")</f>
        <v>MARIA LUCIA </v>
      </c>
      <c r="G427" s="1" t="str">
        <f>IFERROR(__xludf.DUMMYFUNCTION("""COMPUTED_VALUE"""),"HUANCA JANAMPA")</f>
        <v>HUANCA JANAMPA</v>
      </c>
      <c r="H427" s="1" t="str">
        <f>IFERROR(__xludf.DUMMYFUNCTION("""COMPUTED_VALUE"""),"Diseño Gráfico Publicitario")</f>
        <v>Diseño Gráfico Publicitario</v>
      </c>
      <c r="I427" s="1" t="str">
        <f>IFERROR(__xludf.DUMMYFUNCTION("""COMPUTED_VALUE"""),"Pago Link")</f>
        <v>Pago Link</v>
      </c>
      <c r="J427" s="1" t="str">
        <f>IFERROR(__xludf.DUMMYFUNCTION("""COMPUTED_VALUE"""),"Diurno")</f>
        <v>Diurno</v>
      </c>
      <c r="K427" s="1" t="str">
        <f>IFERROR(__xludf.DUMMYFUNCTION("""COMPUTED_VALUE"""),"NUEVO")</f>
        <v>NUEVO</v>
      </c>
      <c r="L427" s="1">
        <f>IFERROR(__xludf.DUMMYFUNCTION("""COMPUTED_VALUE"""),0.0)</f>
        <v>0</v>
      </c>
      <c r="M427" s="1">
        <f>IFERROR(__xludf.DUMMYFUNCTION("""COMPUTED_VALUE"""),0.0)</f>
        <v>0</v>
      </c>
      <c r="N427" s="1" t="str">
        <f>IFERROR(__xludf.DUMMYFUNCTION("""COMPUTED_VALUE"""),"BECA")</f>
        <v>BECA</v>
      </c>
      <c r="O427" s="1" t="str">
        <f>IFERROR(__xludf.DUMMYFUNCTION("""COMPUTED_VALUE"""),"BECA CARRERAS CORE")</f>
        <v>BECA CARRERAS CORE</v>
      </c>
      <c r="P427" s="4">
        <f>IFERROR(__xludf.DUMMYFUNCTION("""COMPUTED_VALUE"""),0.0)</f>
        <v>0</v>
      </c>
      <c r="Q427" s="4">
        <f>IFERROR(__xludf.DUMMYFUNCTION("""COMPUTED_VALUE"""),0.0)</f>
        <v>0</v>
      </c>
      <c r="R427" s="4">
        <f>IFERROR(__xludf.DUMMYFUNCTION("""COMPUTED_VALUE"""),950.0)</f>
        <v>950</v>
      </c>
      <c r="S427" s="4">
        <f>IFERROR(__xludf.DUMMYFUNCTION("""COMPUTED_VALUE"""),800.0)</f>
        <v>800</v>
      </c>
      <c r="T427" s="1" t="str">
        <f>IFERROR(__xludf.DUMMYFUNCTION("""COMPUTED_VALUE"""),"PALANCA 500")</f>
        <v>PALANCA 500</v>
      </c>
      <c r="U427" s="1" t="str">
        <f>IFERROR(__xludf.DUMMYFUNCTION("""COMPUTED_VALUE"""),"RODRIGO")</f>
        <v>RODRIGO</v>
      </c>
      <c r="V427" s="1" t="str">
        <f>IFERROR(__xludf.DUMMYFUNCTION("""COMPUTED_VALUE"""),"Ninguno")</f>
        <v>Ninguno</v>
      </c>
      <c r="W427" s="1" t="str">
        <f>IFERROR(__xludf.DUMMYFUNCTION("""COMPUTED_VALUE"""),"Malla curricular")</f>
        <v>Malla curricular</v>
      </c>
      <c r="X427" s="1"/>
      <c r="Y427" s="1" t="str">
        <f>IFERROR(__xludf.DUMMYFUNCTION("""COMPUTED_VALUE"""),"PAGO COMPLETO")</f>
        <v>PAGO COMPLETO</v>
      </c>
      <c r="Z427" s="1"/>
      <c r="AA427" s="1"/>
      <c r="AB427" s="1">
        <f>IFERROR(__xludf.DUMMYFUNCTION("""COMPUTED_VALUE"""),0.0)</f>
        <v>0</v>
      </c>
      <c r="AC427" s="1">
        <f>IFERROR(__xludf.DUMMYFUNCTION("""COMPUTED_VALUE"""),0.0)</f>
        <v>0</v>
      </c>
      <c r="AD427" s="1" t="str">
        <f>IFERROR(__xludf.DUMMYFUNCTION("""COMPUTED_VALUE"""),"Ingrid Guillermo Rivera")</f>
        <v>Ingrid Guillermo Rivera</v>
      </c>
      <c r="AE427" s="1" t="str">
        <f>IFERROR(__xludf.DUMMYFUNCTION("""COMPUTED_VALUE"""),"0")</f>
        <v>0</v>
      </c>
      <c r="AF427" s="1">
        <f>IFERROR(__xludf.DUMMYFUNCTION("""COMPUTED_VALUE"""),2021.0)</f>
        <v>2021</v>
      </c>
      <c r="AG427" s="1">
        <f>IFERROR(__xludf.DUMMYFUNCTION("""COMPUTED_VALUE"""),340349.0)</f>
        <v>340349</v>
      </c>
      <c r="AH427" s="1">
        <f>IFERROR(__xludf.DUMMYFUNCTION("""COMPUTED_VALUE"""),20.0)</f>
        <v>20</v>
      </c>
      <c r="AI427" s="1" t="str">
        <f>IFERROR(__xludf.DUMMYFUNCTION("""COMPUTED_VALUE"""),"0000398049")</f>
        <v>0000398049</v>
      </c>
      <c r="AJ427" s="1">
        <f>IFERROR(__xludf.DUMMYFUNCTION("""COMPUTED_VALUE"""),7.4900108E7)</f>
        <v>74900108</v>
      </c>
      <c r="AK427" s="1">
        <f>IFERROR(__xludf.DUMMYFUNCTION("""COMPUTED_VALUE"""),9.5166253E8)</f>
        <v>951662530</v>
      </c>
      <c r="AL427" s="1" t="str">
        <f>IFERROR(__xludf.DUMMYFUNCTION("""COMPUTED_VALUE"""),"luciama.hj29@gmail.com")</f>
        <v>luciama.hj29@gmail.com</v>
      </c>
      <c r="AM427" s="1" t="str">
        <f>IFERROR(__xludf.DUMMYFUNCTION("""COMPUTED_VALUE"""),"FEMENINO")</f>
        <v>FEMENINO</v>
      </c>
      <c r="AN427" s="1">
        <f>IFERROR(__xludf.DUMMYFUNCTION("""COMPUTED_VALUE"""),0.0)</f>
        <v>0</v>
      </c>
      <c r="AO427" s="1">
        <f>IFERROR(__xludf.DUMMYFUNCTION("""COMPUTED_VALUE"""),0.0)</f>
        <v>0</v>
      </c>
      <c r="AP427" s="1" t="str">
        <f>IFERROR(__xludf.DUMMYFUNCTION("""COMPUTED_VALUE"""),"EVENTOS")</f>
        <v>EVENTOS</v>
      </c>
      <c r="AQ427" s="1" t="str">
        <f>IFERROR(__xludf.DUMMYFUNCTION("""COMPUTED_VALUE"""),"EVENTOS")</f>
        <v>EVENTOS</v>
      </c>
      <c r="AR427" s="1" t="str">
        <f>IFERROR(__xludf.DUMMYFUNCTION("""COMPUTED_VALUE"""),"HEREDADO")</f>
        <v>HEREDADO</v>
      </c>
      <c r="AS427" s="1" t="str">
        <f>IFERROR(__xludf.DUMMYFUNCTION("""COMPUTED_VALUE"""),"ucal-pg-branding-sedes-abierta-lead_ads-lead_ads_branding_talleres_vivenciales-20250106")</f>
        <v>ucal-pg-branding-sedes-abierta-lead_ads-lead_ads_branding_talleres_vivenciales-20250106</v>
      </c>
      <c r="AT427" s="2">
        <f>IFERROR(__xludf.DUMMYFUNCTION("""COMPUTED_VALUE"""),45685.0)</f>
        <v>45685</v>
      </c>
      <c r="AU427" s="1">
        <f>IFERROR(__xludf.DUMMYFUNCTION("""COMPUTED_VALUE"""),1.0)</f>
        <v>1</v>
      </c>
      <c r="AV427" s="1" t="str">
        <f>IFERROR(__xludf.DUMMYFUNCTION("""COMPUTED_VALUE"""),"NUEVO")</f>
        <v>NUEVO</v>
      </c>
      <c r="AW427" s="1" t="str">
        <f>IFERROR(__xludf.DUMMYFUNCTION("""COMPUTED_VALUE"""),"SI")</f>
        <v>SI</v>
      </c>
      <c r="AX427" s="1"/>
      <c r="AY427" s="1" t="str">
        <f>IFERROR(__xludf.DUMMYFUNCTION("""COMPUTED_VALUE"""),"PAGO COMPLETO")</f>
        <v>PAGO COMPLETO</v>
      </c>
      <c r="AZ427" s="5">
        <f>IFERROR(__xludf.DUMMYFUNCTION("""COMPUTED_VALUE"""),45687.0)</f>
        <v>45687</v>
      </c>
      <c r="BA427" s="1">
        <f>IFERROR(__xludf.DUMMYFUNCTION("""COMPUTED_VALUE"""),0.0)</f>
        <v>0</v>
      </c>
      <c r="BB427" s="1">
        <f>IFERROR(__xludf.DUMMYFUNCTION("""COMPUTED_VALUE"""),0.0)</f>
        <v>0</v>
      </c>
      <c r="BC427" s="4">
        <f>IFERROR(__xludf.DUMMYFUNCTION("""COMPUTED_VALUE"""),0.0)</f>
        <v>0</v>
      </c>
      <c r="BD427" s="4">
        <f>IFERROR(__xludf.DUMMYFUNCTION("""COMPUTED_VALUE"""),300.0)</f>
        <v>300</v>
      </c>
      <c r="BE427" s="1">
        <f>IFERROR(__xludf.DUMMYFUNCTION("""COMPUTED_VALUE"""),1.0)</f>
        <v>1</v>
      </c>
      <c r="BF427" s="6">
        <f>IFERROR(__xludf.DUMMYFUNCTION("""COMPUTED_VALUE"""),1.0)</f>
        <v>1</v>
      </c>
      <c r="BG427" s="1">
        <f>IFERROR(__xludf.DUMMYFUNCTION("""COMPUTED_VALUE"""),1.0)</f>
        <v>1</v>
      </c>
      <c r="BH427" s="1" t="str">
        <f>IFERROR(__xludf.DUMMYFUNCTION("""COMPUTED_VALUE"""),"0")</f>
        <v>0</v>
      </c>
      <c r="BI427" s="4">
        <f>IFERROR(__xludf.DUMMYFUNCTION("""COMPUTED_VALUE"""),300.0)</f>
        <v>300</v>
      </c>
      <c r="BJ427" s="1">
        <f>IFERROR(__xludf.DUMMYFUNCTION("""COMPUTED_VALUE"""),0.0)</f>
        <v>0</v>
      </c>
      <c r="BK427" s="4">
        <f>IFERROR(__xludf.DUMMYFUNCTION("""COMPUTED_VALUE"""),300.0)</f>
        <v>300</v>
      </c>
      <c r="BL427" s="1">
        <f>IFERROR(__xludf.DUMMYFUNCTION("""COMPUTED_VALUE"""),740.0)</f>
        <v>740</v>
      </c>
      <c r="BM427" s="1">
        <f>IFERROR(__xludf.DUMMYFUNCTION("""COMPUTED_VALUE"""),5.0)</f>
        <v>5</v>
      </c>
      <c r="BN427" s="2">
        <f>IFERROR(__xludf.DUMMYFUNCTION("""COMPUTED_VALUE"""),45684.0)</f>
        <v>45684</v>
      </c>
      <c r="BO427" s="1">
        <f>IFERROR(__xludf.DUMMYFUNCTION("""COMPUTED_VALUE"""),1.0)</f>
        <v>1</v>
      </c>
      <c r="BP427" s="1">
        <f>IFERROR(__xludf.DUMMYFUNCTION("""COMPUTED_VALUE"""),2025.0)</f>
        <v>2025</v>
      </c>
    </row>
    <row r="428">
      <c r="A428" s="1">
        <f>IFERROR(__xludf.DUMMYFUNCTION("""COMPUTED_VALUE"""),427.0)</f>
        <v>427</v>
      </c>
      <c r="B428" s="1">
        <f>IFERROR(__xludf.DUMMYFUNCTION("""COMPUTED_VALUE"""),4979297.0)</f>
        <v>4979297</v>
      </c>
      <c r="C428" s="1" t="str">
        <f>IFERROR(__xludf.DUMMYFUNCTION("""COMPUTED_VALUE"""),"2025-1")</f>
        <v>2025-1</v>
      </c>
      <c r="D428" s="1" t="str">
        <f>IFERROR(__xludf.DUMMYFUNCTION("""COMPUTED_VALUE"""),"Admisión Ordinaria")</f>
        <v>Admisión Ordinaria</v>
      </c>
      <c r="E428" s="2">
        <f>IFERROR(__xludf.DUMMYFUNCTION("""COMPUTED_VALUE"""),45687.0)</f>
        <v>45687</v>
      </c>
      <c r="F428" s="1" t="str">
        <f>IFERROR(__xludf.DUMMYFUNCTION("""COMPUTED_VALUE"""),"HAROLD LEONARDO")</f>
        <v>HAROLD LEONARDO</v>
      </c>
      <c r="G428" s="1" t="str">
        <f>IFERROR(__xludf.DUMMYFUNCTION("""COMPUTED_VALUE"""),"JARAMILLO VIGILIO")</f>
        <v>JARAMILLO VIGILIO</v>
      </c>
      <c r="H428" s="1" t="str">
        <f>IFERROR(__xludf.DUMMYFUNCTION("""COMPUTED_VALUE"""),"Arquitectura")</f>
        <v>Arquitectura</v>
      </c>
      <c r="I428" s="1" t="str">
        <f>IFERROR(__xludf.DUMMYFUNCTION("""COMPUTED_VALUE"""),"CARGO")</f>
        <v>CARGO</v>
      </c>
      <c r="J428" s="1" t="str">
        <f>IFERROR(__xludf.DUMMYFUNCTION("""COMPUTED_VALUE"""),"Diurno")</f>
        <v>Diurno</v>
      </c>
      <c r="K428" s="1" t="str">
        <f>IFERROR(__xludf.DUMMYFUNCTION("""COMPUTED_VALUE"""),"NUEVO")</f>
        <v>NUEVO</v>
      </c>
      <c r="L428" s="1">
        <f>IFERROR(__xludf.DUMMYFUNCTION("""COMPUTED_VALUE"""),0.0)</f>
        <v>0</v>
      </c>
      <c r="M428" s="1">
        <f>IFERROR(__xludf.DUMMYFUNCTION("""COMPUTED_VALUE"""),0.0)</f>
        <v>0</v>
      </c>
      <c r="N428" s="1" t="str">
        <f>IFERROR(__xludf.DUMMYFUNCTION("""COMPUTED_VALUE"""),"BECA")</f>
        <v>BECA</v>
      </c>
      <c r="O428" s="1" t="str">
        <f>IFERROR(__xludf.DUMMYFUNCTION("""COMPUTED_VALUE"""),"BECA CONGELADA DE 2 AÑOS")</f>
        <v>BECA CONGELADA DE 2 AÑOS</v>
      </c>
      <c r="P428" s="4">
        <f>IFERROR(__xludf.DUMMYFUNCTION("""COMPUTED_VALUE"""),0.0)</f>
        <v>0</v>
      </c>
      <c r="Q428" s="4">
        <f>IFERROR(__xludf.DUMMYFUNCTION("""COMPUTED_VALUE"""),0.0)</f>
        <v>0</v>
      </c>
      <c r="R428" s="4">
        <f>IFERROR(__xludf.DUMMYFUNCTION("""COMPUTED_VALUE"""),1250.0)</f>
        <v>1250</v>
      </c>
      <c r="S428" s="4">
        <f>IFERROR(__xludf.DUMMYFUNCTION("""COMPUTED_VALUE"""),1050.0)</f>
        <v>1050</v>
      </c>
      <c r="T428" s="1" t="str">
        <f>IFERROR(__xludf.DUMMYFUNCTION("""COMPUTED_VALUE"""),"Refirio")</f>
        <v>Refirio</v>
      </c>
      <c r="U428" s="1" t="str">
        <f>IFERROR(__xludf.DUMMYFUNCTION("""COMPUTED_VALUE"""),"RODRIGO")</f>
        <v>RODRIGO</v>
      </c>
      <c r="V428" s="1" t="str">
        <f>IFERROR(__xludf.DUMMYFUNCTION("""COMPUTED_VALUE"""),"Ninguno")</f>
        <v>Ninguno</v>
      </c>
      <c r="W428" s="1" t="str">
        <f>IFERROR(__xludf.DUMMYFUNCTION("""COMPUTED_VALUE"""),"Beca")</f>
        <v>Beca</v>
      </c>
      <c r="X428" s="1"/>
      <c r="Y428" s="1" t="str">
        <f>IFERROR(__xludf.DUMMYFUNCTION("""COMPUTED_VALUE"""),"PAGO COMPLETO")</f>
        <v>PAGO COMPLETO</v>
      </c>
      <c r="Z428" s="1"/>
      <c r="AA428" s="1"/>
      <c r="AB428" s="1">
        <f>IFERROR(__xludf.DUMMYFUNCTION("""COMPUTED_VALUE"""),0.0)</f>
        <v>0</v>
      </c>
      <c r="AC428" s="1">
        <f>IFERROR(__xludf.DUMMYFUNCTION("""COMPUTED_VALUE"""),0.0)</f>
        <v>0</v>
      </c>
      <c r="AD428" s="1" t="str">
        <f>IFERROR(__xludf.DUMMYFUNCTION("""COMPUTED_VALUE"""),"Erwyn Terie Vital Avila")</f>
        <v>Erwyn Terie Vital Avila</v>
      </c>
      <c r="AE428" s="1" t="str">
        <f>IFERROR(__xludf.DUMMYFUNCTION("""COMPUTED_VALUE"""),"0")</f>
        <v>0</v>
      </c>
      <c r="AF428" s="1">
        <f>IFERROR(__xludf.DUMMYFUNCTION("""COMPUTED_VALUE"""),2017.0)</f>
        <v>2017</v>
      </c>
      <c r="AG428" s="1">
        <f>IFERROR(__xludf.DUMMYFUNCTION("""COMPUTED_VALUE"""),1731728.0)</f>
        <v>1731728</v>
      </c>
      <c r="AH428" s="1">
        <f>IFERROR(__xludf.DUMMYFUNCTION("""COMPUTED_VALUE"""),24.0)</f>
        <v>24</v>
      </c>
      <c r="AI428" s="1" t="str">
        <f>IFERROR(__xludf.DUMMYFUNCTION("""COMPUTED_VALUE"""),"0000412171")</f>
        <v>0000412171</v>
      </c>
      <c r="AJ428" s="1">
        <f>IFERROR(__xludf.DUMMYFUNCTION("""COMPUTED_VALUE"""),6.100374E7)</f>
        <v>61003740</v>
      </c>
      <c r="AK428" s="1">
        <f>IFERROR(__xludf.DUMMYFUNCTION("""COMPUTED_VALUE"""),9.71261261E8)</f>
        <v>971261261</v>
      </c>
      <c r="AL428" s="1" t="str">
        <f>IFERROR(__xludf.DUMMYFUNCTION("""COMPUTED_VALUE"""),"haroljv29@gmail.com")</f>
        <v>haroljv29@gmail.com</v>
      </c>
      <c r="AM428" s="1" t="str">
        <f>IFERROR(__xludf.DUMMYFUNCTION("""COMPUTED_VALUE"""),"MASCULINO")</f>
        <v>MASCULINO</v>
      </c>
      <c r="AN428" s="1">
        <f>IFERROR(__xludf.DUMMYFUNCTION("""COMPUTED_VALUE"""),1600.0)</f>
        <v>1600</v>
      </c>
      <c r="AO428" s="1">
        <f>IFERROR(__xludf.DUMMYFUNCTION("""COMPUTED_VALUE"""),300.0)</f>
        <v>300</v>
      </c>
      <c r="AP428" s="1" t="str">
        <f>IFERROR(__xludf.DUMMYFUNCTION("""COMPUTED_VALUE"""),"FORMULARIO")</f>
        <v>FORMULARIO</v>
      </c>
      <c r="AQ428" s="1" t="str">
        <f>IFERROR(__xludf.DUMMYFUNCTION("""COMPUTED_VALUE"""),"SEARCH MARCA")</f>
        <v>SEARCH MARCA</v>
      </c>
      <c r="AR428" s="1" t="str">
        <f>IFERROR(__xludf.DUMMYFUNCTION("""COMPUTED_VALUE"""),"NUEVO")</f>
        <v>NUEVO</v>
      </c>
      <c r="AS428" s="1" t="str">
        <f>IFERROR(__xludf.DUMMYFUNCTION("""COMPUTED_VALUE"""),"ucal-pg-performance-sedes-abierta-cpl-search_conversion_marca_carreras-20240702")</f>
        <v>ucal-pg-performance-sedes-abierta-cpl-search_conversion_marca_carreras-20240702</v>
      </c>
      <c r="AT428" s="2">
        <f>IFERROR(__xludf.DUMMYFUNCTION("""COMPUTED_VALUE"""),45685.0)</f>
        <v>45685</v>
      </c>
      <c r="AU428" s="1">
        <f>IFERROR(__xludf.DUMMYFUNCTION("""COMPUTED_VALUE"""),1.0)</f>
        <v>1</v>
      </c>
      <c r="AV428" s="1" t="str">
        <f>IFERROR(__xludf.DUMMYFUNCTION("""COMPUTED_VALUE"""),"NUEVO")</f>
        <v>NUEVO</v>
      </c>
      <c r="AW428" s="1" t="str">
        <f>IFERROR(__xludf.DUMMYFUNCTION("""COMPUTED_VALUE"""),"SI")</f>
        <v>SI</v>
      </c>
      <c r="AX428" s="1"/>
      <c r="AY428" s="1" t="str">
        <f>IFERROR(__xludf.DUMMYFUNCTION("""COMPUTED_VALUE"""),"PAGO COMPLETO")</f>
        <v>PAGO COMPLETO</v>
      </c>
      <c r="AZ428" s="5">
        <f>IFERROR(__xludf.DUMMYFUNCTION("""COMPUTED_VALUE"""),45687.0)</f>
        <v>45687</v>
      </c>
      <c r="BA428" s="1">
        <f>IFERROR(__xludf.DUMMYFUNCTION("""COMPUTED_VALUE"""),0.0)</f>
        <v>0</v>
      </c>
      <c r="BB428" s="1">
        <f>IFERROR(__xludf.DUMMYFUNCTION("""COMPUTED_VALUE"""),0.0)</f>
        <v>0</v>
      </c>
      <c r="BC428" s="4">
        <f>IFERROR(__xludf.DUMMYFUNCTION("""COMPUTED_VALUE"""),0.0)</f>
        <v>0</v>
      </c>
      <c r="BD428" s="4">
        <f>IFERROR(__xludf.DUMMYFUNCTION("""COMPUTED_VALUE"""),0.0)</f>
        <v>0</v>
      </c>
      <c r="BE428" s="1">
        <f>IFERROR(__xludf.DUMMYFUNCTION("""COMPUTED_VALUE"""),1.0)</f>
        <v>1</v>
      </c>
      <c r="BF428" s="6">
        <f>IFERROR(__xludf.DUMMYFUNCTION("""COMPUTED_VALUE"""),1.0)</f>
        <v>1</v>
      </c>
      <c r="BG428" s="1">
        <f>IFERROR(__xludf.DUMMYFUNCTION("""COMPUTED_VALUE"""),1.0)</f>
        <v>1</v>
      </c>
      <c r="BH428" s="1" t="str">
        <f>IFERROR(__xludf.DUMMYFUNCTION("""COMPUTED_VALUE"""),"0")</f>
        <v>0</v>
      </c>
      <c r="BI428" s="4">
        <f>IFERROR(__xludf.DUMMYFUNCTION("""COMPUTED_VALUE"""),0.0)</f>
        <v>0</v>
      </c>
      <c r="BJ428" s="1">
        <f>IFERROR(__xludf.DUMMYFUNCTION("""COMPUTED_VALUE"""),0.0)</f>
        <v>0</v>
      </c>
      <c r="BK428" s="4">
        <f>IFERROR(__xludf.DUMMYFUNCTION("""COMPUTED_VALUE"""),1050.0)</f>
        <v>1050</v>
      </c>
      <c r="BL428" s="1">
        <f>IFERROR(__xludf.DUMMYFUNCTION("""COMPUTED_VALUE"""),840.0)</f>
        <v>840</v>
      </c>
      <c r="BM428" s="1">
        <f>IFERROR(__xludf.DUMMYFUNCTION("""COMPUTED_VALUE"""),5.0)</f>
        <v>5</v>
      </c>
      <c r="BN428" s="2">
        <f>IFERROR(__xludf.DUMMYFUNCTION("""COMPUTED_VALUE"""),45684.0)</f>
        <v>45684</v>
      </c>
      <c r="BO428" s="1">
        <f>IFERROR(__xludf.DUMMYFUNCTION("""COMPUTED_VALUE"""),1.0)</f>
        <v>1</v>
      </c>
      <c r="BP428" s="1">
        <f>IFERROR(__xludf.DUMMYFUNCTION("""COMPUTED_VALUE"""),2025.0)</f>
        <v>2025</v>
      </c>
    </row>
    <row r="429">
      <c r="A429" s="1">
        <f>IFERROR(__xludf.DUMMYFUNCTION("""COMPUTED_VALUE"""),428.0)</f>
        <v>428</v>
      </c>
      <c r="B429" s="1">
        <f>IFERROR(__xludf.DUMMYFUNCTION("""COMPUTED_VALUE"""),2635848.0)</f>
        <v>2635848</v>
      </c>
      <c r="C429" s="1" t="str">
        <f>IFERROR(__xludf.DUMMYFUNCTION("""COMPUTED_VALUE"""),"2025-1")</f>
        <v>2025-1</v>
      </c>
      <c r="D429" s="1" t="str">
        <f>IFERROR(__xludf.DUMMYFUNCTION("""COMPUTED_VALUE"""),"Admisión de Alto Rendimiento")</f>
        <v>Admisión de Alto Rendimiento</v>
      </c>
      <c r="E429" s="2">
        <f>IFERROR(__xludf.DUMMYFUNCTION("""COMPUTED_VALUE"""),45687.0)</f>
        <v>45687</v>
      </c>
      <c r="F429" s="1" t="str">
        <f>IFERROR(__xludf.DUMMYFUNCTION("""COMPUTED_VALUE"""),"HELEN ALEXANDRA ")</f>
        <v>HELEN ALEXANDRA </v>
      </c>
      <c r="G429" s="1" t="str">
        <f>IFERROR(__xludf.DUMMYFUNCTION("""COMPUTED_VALUE"""),"AGUIRRE PADILLA")</f>
        <v>AGUIRRE PADILLA</v>
      </c>
      <c r="H429" s="1" t="str">
        <f>IFERROR(__xludf.DUMMYFUNCTION("""COMPUTED_VALUE"""),"Arquitectura")</f>
        <v>Arquitectura</v>
      </c>
      <c r="I429" s="1" t="str">
        <f>IFERROR(__xludf.DUMMYFUNCTION("""COMPUTED_VALUE"""),"POS")</f>
        <v>POS</v>
      </c>
      <c r="J429" s="1" t="str">
        <f>IFERROR(__xludf.DUMMYFUNCTION("""COMPUTED_VALUE"""),"Diurno")</f>
        <v>Diurno</v>
      </c>
      <c r="K429" s="1" t="str">
        <f>IFERROR(__xludf.DUMMYFUNCTION("""COMPUTED_VALUE"""),"NUEVO")</f>
        <v>NUEVO</v>
      </c>
      <c r="L429" s="1">
        <f>IFERROR(__xludf.DUMMYFUNCTION("""COMPUTED_VALUE"""),0.0)</f>
        <v>0</v>
      </c>
      <c r="M429" s="1">
        <f>IFERROR(__xludf.DUMMYFUNCTION("""COMPUTED_VALUE"""),0.0)</f>
        <v>0</v>
      </c>
      <c r="N429" s="1" t="str">
        <f>IFERROR(__xludf.DUMMYFUNCTION("""COMPUTED_VALUE"""),"BECA")</f>
        <v>BECA</v>
      </c>
      <c r="O429" s="1" t="str">
        <f>IFERROR(__xludf.DUMMYFUNCTION("""COMPUTED_VALUE"""),"BECA CONGELADA DE 2 AÑOS")</f>
        <v>BECA CONGELADA DE 2 AÑOS</v>
      </c>
      <c r="P429" s="4">
        <f>IFERROR(__xludf.DUMMYFUNCTION("""COMPUTED_VALUE"""),0.0)</f>
        <v>0</v>
      </c>
      <c r="Q429" s="4">
        <f>IFERROR(__xludf.DUMMYFUNCTION("""COMPUTED_VALUE"""),0.0)</f>
        <v>0</v>
      </c>
      <c r="R429" s="4">
        <f>IFERROR(__xludf.DUMMYFUNCTION("""COMPUTED_VALUE"""),1050.0)</f>
        <v>1050</v>
      </c>
      <c r="S429" s="4">
        <f>IFERROR(__xludf.DUMMYFUNCTION("""COMPUTED_VALUE"""),900.0)</f>
        <v>900</v>
      </c>
      <c r="T429" s="1" t="str">
        <f>IFERROR(__xludf.DUMMYFUNCTION("""COMPUTED_VALUE"""),"Visita guiada - referido")</f>
        <v>Visita guiada - referido</v>
      </c>
      <c r="U429" s="1" t="str">
        <f>IFERROR(__xludf.DUMMYFUNCTION("""COMPUTED_VALUE"""),"FABIOLA")</f>
        <v>FABIOLA</v>
      </c>
      <c r="V429" s="1" t="str">
        <f>IFERROR(__xludf.DUMMYFUNCTION("""COMPUTED_VALUE"""),"Ninguno")</f>
        <v>Ninguno</v>
      </c>
      <c r="W429" s="1" t="str">
        <f>IFERROR(__xludf.DUMMYFUNCTION("""COMPUTED_VALUE"""),"Equipos e instalaciones")</f>
        <v>Equipos e instalaciones</v>
      </c>
      <c r="X429" s="1"/>
      <c r="Y429" s="1" t="str">
        <f>IFERROR(__xludf.DUMMYFUNCTION("""COMPUTED_VALUE"""),"PAGO COMPLETO")</f>
        <v>PAGO COMPLETO</v>
      </c>
      <c r="Z429" s="1"/>
      <c r="AA429" s="1"/>
      <c r="AB429" s="1">
        <f>IFERROR(__xludf.DUMMYFUNCTION("""COMPUTED_VALUE"""),0.0)</f>
        <v>0</v>
      </c>
      <c r="AC429" s="1">
        <f>IFERROR(__xludf.DUMMYFUNCTION("""COMPUTED_VALUE"""),0.0)</f>
        <v>0</v>
      </c>
      <c r="AD429" s="1" t="str">
        <f>IFERROR(__xludf.DUMMYFUNCTION("""COMPUTED_VALUE"""),"Fiorella Lanegra")</f>
        <v>Fiorella Lanegra</v>
      </c>
      <c r="AE429" s="1" t="str">
        <f>IFERROR(__xludf.DUMMYFUNCTION("""COMPUTED_VALUE"""),"0")</f>
        <v>0</v>
      </c>
      <c r="AF429" s="1">
        <f>IFERROR(__xludf.DUMMYFUNCTION("""COMPUTED_VALUE"""),2024.0)</f>
        <v>2024</v>
      </c>
      <c r="AG429" s="1">
        <f>IFERROR(__xludf.DUMMYFUNCTION("""COMPUTED_VALUE"""),765370.0)</f>
        <v>765370</v>
      </c>
      <c r="AH429" s="1">
        <f>IFERROR(__xludf.DUMMYFUNCTION("""COMPUTED_VALUE"""),17.0)</f>
        <v>17</v>
      </c>
      <c r="AI429" s="1" t="str">
        <f>IFERROR(__xludf.DUMMYFUNCTION("""COMPUTED_VALUE"""),"0000412375")</f>
        <v>0000412375</v>
      </c>
      <c r="AJ429" s="1">
        <f>IFERROR(__xludf.DUMMYFUNCTION("""COMPUTED_VALUE"""),7.1687157E7)</f>
        <v>71687157</v>
      </c>
      <c r="AK429" s="1">
        <f>IFERROR(__xludf.DUMMYFUNCTION("""COMPUTED_VALUE"""),9.53892187E8)</f>
        <v>953892187</v>
      </c>
      <c r="AL429" s="1" t="str">
        <f>IFERROR(__xludf.DUMMYFUNCTION("""COMPUTED_VALUE"""),"helenalexandraaguirrepadilla@gmail.com")</f>
        <v>helenalexandraaguirrepadilla@gmail.com</v>
      </c>
      <c r="AM429" s="1" t="str">
        <f>IFERROR(__xludf.DUMMYFUNCTION("""COMPUTED_VALUE"""),"FEMENINO")</f>
        <v>FEMENINO</v>
      </c>
      <c r="AN429" s="1">
        <f>IFERROR(__xludf.DUMMYFUNCTION("""COMPUTED_VALUE"""),1350.0)</f>
        <v>1350</v>
      </c>
      <c r="AO429" s="1">
        <f>IFERROR(__xludf.DUMMYFUNCTION("""COMPUTED_VALUE"""),0.0)</f>
        <v>0</v>
      </c>
      <c r="AP429" s="1" t="str">
        <f>IFERROR(__xludf.DUMMYFUNCTION("""COMPUTED_VALUE"""),"FORMULARIO")</f>
        <v>FORMULARIO</v>
      </c>
      <c r="AQ429" s="1" t="str">
        <f>IFERROR(__xludf.DUMMYFUNCTION("""COMPUTED_VALUE"""),"SEARCH MARCA")</f>
        <v>SEARCH MARCA</v>
      </c>
      <c r="AR429" s="1" t="str">
        <f>IFERROR(__xludf.DUMMYFUNCTION("""COMPUTED_VALUE"""),"NUEVO")</f>
        <v>NUEVO</v>
      </c>
      <c r="AS429" s="1" t="str">
        <f>IFERROR(__xludf.DUMMYFUNCTION("""COMPUTED_VALUE"""),"ucal-pg-performance-sedes-abierta-cpl-2024_1_search_conversion_marca-20230901")</f>
        <v>ucal-pg-performance-sedes-abierta-cpl-2024_1_search_conversion_marca-20230901</v>
      </c>
      <c r="AT429" s="2">
        <f>IFERROR(__xludf.DUMMYFUNCTION("""COMPUTED_VALUE"""),45379.0)</f>
        <v>45379</v>
      </c>
      <c r="AU429" s="1">
        <f>IFERROR(__xludf.DUMMYFUNCTION("""COMPUTED_VALUE"""),1.0)</f>
        <v>1</v>
      </c>
      <c r="AV429" s="1" t="str">
        <f>IFERROR(__xludf.DUMMYFUNCTION("""COMPUTED_VALUE"""),"NUEVO")</f>
        <v>NUEVO</v>
      </c>
      <c r="AW429" s="1" t="str">
        <f>IFERROR(__xludf.DUMMYFUNCTION("""COMPUTED_VALUE"""),"SI")</f>
        <v>SI</v>
      </c>
      <c r="AX429" s="1"/>
      <c r="AY429" s="1" t="str">
        <f>IFERROR(__xludf.DUMMYFUNCTION("""COMPUTED_VALUE"""),"PAGO COMPLETO")</f>
        <v>PAGO COMPLETO</v>
      </c>
      <c r="AZ429" s="5">
        <f>IFERROR(__xludf.DUMMYFUNCTION("""COMPUTED_VALUE"""),45687.0)</f>
        <v>45687</v>
      </c>
      <c r="BA429" s="1">
        <f>IFERROR(__xludf.DUMMYFUNCTION("""COMPUTED_VALUE"""),0.0)</f>
        <v>0</v>
      </c>
      <c r="BB429" s="1">
        <f>IFERROR(__xludf.DUMMYFUNCTION("""COMPUTED_VALUE"""),0.0)</f>
        <v>0</v>
      </c>
      <c r="BC429" s="4">
        <f>IFERROR(__xludf.DUMMYFUNCTION("""COMPUTED_VALUE"""),0.0)</f>
        <v>0</v>
      </c>
      <c r="BD429" s="4">
        <f>IFERROR(__xludf.DUMMYFUNCTION("""COMPUTED_VALUE"""),100.0)</f>
        <v>100</v>
      </c>
      <c r="BE429" s="1">
        <f>IFERROR(__xludf.DUMMYFUNCTION("""COMPUTED_VALUE"""),1.0)</f>
        <v>1</v>
      </c>
      <c r="BF429" s="6">
        <f>IFERROR(__xludf.DUMMYFUNCTION("""COMPUTED_VALUE"""),1.0)</f>
        <v>1</v>
      </c>
      <c r="BG429" s="1">
        <f>IFERROR(__xludf.DUMMYFUNCTION("""COMPUTED_VALUE"""),1.0)</f>
        <v>1</v>
      </c>
      <c r="BH429" s="1" t="str">
        <f>IFERROR(__xludf.DUMMYFUNCTION("""COMPUTED_VALUE"""),"0")</f>
        <v>0</v>
      </c>
      <c r="BI429" s="4">
        <f>IFERROR(__xludf.DUMMYFUNCTION("""COMPUTED_VALUE"""),100.0)</f>
        <v>100</v>
      </c>
      <c r="BJ429" s="1">
        <f>IFERROR(__xludf.DUMMYFUNCTION("""COMPUTED_VALUE"""),0.0)</f>
        <v>0</v>
      </c>
      <c r="BK429" s="4">
        <f>IFERROR(__xludf.DUMMYFUNCTION("""COMPUTED_VALUE"""),550.0)</f>
        <v>550</v>
      </c>
      <c r="BL429" s="1">
        <f>IFERROR(__xludf.DUMMYFUNCTION("""COMPUTED_VALUE"""),790.0)</f>
        <v>790</v>
      </c>
      <c r="BM429" s="1">
        <f>IFERROR(__xludf.DUMMYFUNCTION("""COMPUTED_VALUE"""),5.0)</f>
        <v>5</v>
      </c>
      <c r="BN429" s="2">
        <f>IFERROR(__xludf.DUMMYFUNCTION("""COMPUTED_VALUE"""),45684.0)</f>
        <v>45684</v>
      </c>
      <c r="BO429" s="1">
        <f>IFERROR(__xludf.DUMMYFUNCTION("""COMPUTED_VALUE"""),1.0)</f>
        <v>1</v>
      </c>
      <c r="BP429" s="1">
        <f>IFERROR(__xludf.DUMMYFUNCTION("""COMPUTED_VALUE"""),2025.0)</f>
        <v>2025</v>
      </c>
    </row>
    <row r="430">
      <c r="A430" s="1">
        <f>IFERROR(__xludf.DUMMYFUNCTION("""COMPUTED_VALUE"""),429.0)</f>
        <v>429</v>
      </c>
      <c r="B430" s="1">
        <f>IFERROR(__xludf.DUMMYFUNCTION("""COMPUTED_VALUE"""),2082962.0)</f>
        <v>2082962</v>
      </c>
      <c r="C430" s="1" t="str">
        <f>IFERROR(__xludf.DUMMYFUNCTION("""COMPUTED_VALUE"""),"2025-1")</f>
        <v>2025-1</v>
      </c>
      <c r="D430" s="1" t="str">
        <f>IFERROR(__xludf.DUMMYFUNCTION("""COMPUTED_VALUE"""),"Admisión de Alto Rendimiento")</f>
        <v>Admisión de Alto Rendimiento</v>
      </c>
      <c r="E430" s="2">
        <f>IFERROR(__xludf.DUMMYFUNCTION("""COMPUTED_VALUE"""),45687.0)</f>
        <v>45687</v>
      </c>
      <c r="F430" s="1" t="str">
        <f>IFERROR(__xludf.DUMMYFUNCTION("""COMPUTED_VALUE"""),"MITCA JAASIEL")</f>
        <v>MITCA JAASIEL</v>
      </c>
      <c r="G430" s="1" t="str">
        <f>IFERROR(__xludf.DUMMYFUNCTION("""COMPUTED_VALUE"""),"ARELLANO PISFIL")</f>
        <v>ARELLANO PISFIL</v>
      </c>
      <c r="H430" s="1" t="str">
        <f>IFERROR(__xludf.DUMMYFUNCTION("""COMPUTED_VALUE"""),"Administración y Marketing")</f>
        <v>Administración y Marketing</v>
      </c>
      <c r="I430" s="1" t="str">
        <f>IFERROR(__xludf.DUMMYFUNCTION("""COMPUTED_VALUE"""),"Pago Link")</f>
        <v>Pago Link</v>
      </c>
      <c r="J430" s="1" t="str">
        <f>IFERROR(__xludf.DUMMYFUNCTION("""COMPUTED_VALUE"""),"Diurno")</f>
        <v>Diurno</v>
      </c>
      <c r="K430" s="1" t="str">
        <f>IFERROR(__xludf.DUMMYFUNCTION("""COMPUTED_VALUE"""),"NUEVO")</f>
        <v>NUEVO</v>
      </c>
      <c r="L430" s="1">
        <f>IFERROR(__xludf.DUMMYFUNCTION("""COMPUTED_VALUE"""),0.0)</f>
        <v>0</v>
      </c>
      <c r="M430" s="1">
        <f>IFERROR(__xludf.DUMMYFUNCTION("""COMPUTED_VALUE"""),0.0)</f>
        <v>0</v>
      </c>
      <c r="N430" s="1" t="str">
        <f>IFERROR(__xludf.DUMMYFUNCTION("""COMPUTED_VALUE"""),"BECA")</f>
        <v>BECA</v>
      </c>
      <c r="O430" s="1" t="str">
        <f>IFERROR(__xludf.DUMMYFUNCTION("""COMPUTED_VALUE"""),"BECA CARRERAS NUEVAS")</f>
        <v>BECA CARRERAS NUEVAS</v>
      </c>
      <c r="P430" s="4">
        <f>IFERROR(__xludf.DUMMYFUNCTION("""COMPUTED_VALUE"""),0.0)</f>
        <v>0</v>
      </c>
      <c r="Q430" s="4">
        <f>IFERROR(__xludf.DUMMYFUNCTION("""COMPUTED_VALUE"""),0.0)</f>
        <v>0</v>
      </c>
      <c r="R430" s="4">
        <f>IFERROR(__xludf.DUMMYFUNCTION("""COMPUTED_VALUE"""),1000.0)</f>
        <v>1000</v>
      </c>
      <c r="S430" s="4">
        <f>IFERROR(__xludf.DUMMYFUNCTION("""COMPUTED_VALUE"""),850.0)</f>
        <v>850</v>
      </c>
      <c r="T430" s="1" t="str">
        <f>IFERROR(__xludf.DUMMYFUNCTION("""COMPUTED_VALUE"""),"Refirio")</f>
        <v>Refirio</v>
      </c>
      <c r="U430" s="1"/>
      <c r="V430" s="1" t="str">
        <f>IFERROR(__xludf.DUMMYFUNCTION("""COMPUTED_VALUE"""),"Ninguno")</f>
        <v>Ninguno</v>
      </c>
      <c r="W430" s="1" t="str">
        <f>IFERROR(__xludf.DUMMYFUNCTION("""COMPUTED_VALUE"""),"Beca")</f>
        <v>Beca</v>
      </c>
      <c r="X430" s="1" t="str">
        <f>IFERROR(__xludf.DUMMYFUNCTION("""COMPUTED_VALUE"""),"le gusta la universidad ")</f>
        <v>le gusta la universidad </v>
      </c>
      <c r="Y430" s="1" t="str">
        <f>IFERROR(__xludf.DUMMYFUNCTION("""COMPUTED_VALUE"""),"PAGO FRACCIONADO")</f>
        <v>PAGO FRACCIONADO</v>
      </c>
      <c r="Z430" s="1">
        <f>IFERROR(__xludf.DUMMYFUNCTION("""COMPUTED_VALUE"""),350.0)</f>
        <v>350</v>
      </c>
      <c r="AA430" s="1" t="str">
        <f>IFERROR(__xludf.DUMMYFUNCTION("""COMPUTED_VALUE"""),"07/02/2025")</f>
        <v>07/02/2025</v>
      </c>
      <c r="AB430" s="1">
        <f>IFERROR(__xludf.DUMMYFUNCTION("""COMPUTED_VALUE"""),0.0)</f>
        <v>0</v>
      </c>
      <c r="AC430" s="1">
        <f>IFERROR(__xludf.DUMMYFUNCTION("""COMPUTED_VALUE"""),0.0)</f>
        <v>0</v>
      </c>
      <c r="AD430" s="1" t="str">
        <f>IFERROR(__xludf.DUMMYFUNCTION("""COMPUTED_VALUE"""),"Daniel Zapata")</f>
        <v>Daniel Zapata</v>
      </c>
      <c r="AE430" s="1" t="str">
        <f>IFERROR(__xludf.DUMMYFUNCTION("""COMPUTED_VALUE"""),"0")</f>
        <v>0</v>
      </c>
      <c r="AF430" s="1">
        <f>IFERROR(__xludf.DUMMYFUNCTION("""COMPUTED_VALUE"""),2024.0)</f>
        <v>2024</v>
      </c>
      <c r="AG430" s="1">
        <f>IFERROR(__xludf.DUMMYFUNCTION("""COMPUTED_VALUE"""),743807.0)</f>
        <v>743807</v>
      </c>
      <c r="AH430" s="1">
        <f>IFERROR(__xludf.DUMMYFUNCTION("""COMPUTED_VALUE"""),19.0)</f>
        <v>19</v>
      </c>
      <c r="AI430" s="1" t="str">
        <f>IFERROR(__xludf.DUMMYFUNCTION("""COMPUTED_VALUE"""),"0000387308")</f>
        <v>0000387308</v>
      </c>
      <c r="AJ430" s="1">
        <f>IFERROR(__xludf.DUMMYFUNCTION("""COMPUTED_VALUE"""),7.0590351E7)</f>
        <v>70590351</v>
      </c>
      <c r="AK430" s="1">
        <f>IFERROR(__xludf.DUMMYFUNCTION("""COMPUTED_VALUE"""),9.54163549E8)</f>
        <v>954163549</v>
      </c>
      <c r="AL430" s="1" t="str">
        <f>IFERROR(__xludf.DUMMYFUNCTION("""COMPUTED_VALUE"""),"jaasielare0812@gmail.com")</f>
        <v>jaasielare0812@gmail.com</v>
      </c>
      <c r="AM430" s="1" t="str">
        <f>IFERROR(__xludf.DUMMYFUNCTION("""COMPUTED_VALUE"""),"FEMENINO")</f>
        <v>FEMENINO</v>
      </c>
      <c r="AN430" s="1">
        <f>IFERROR(__xludf.DUMMYFUNCTION("""COMPUTED_VALUE"""),1350.0)</f>
        <v>1350</v>
      </c>
      <c r="AO430" s="1">
        <f>IFERROR(__xludf.DUMMYFUNCTION("""COMPUTED_VALUE"""),0.0)</f>
        <v>0</v>
      </c>
      <c r="AP430" s="1" t="str">
        <f>IFERROR(__xludf.DUMMYFUNCTION("""COMPUTED_VALUE"""),"FORMULARIO")</f>
        <v>FORMULARIO</v>
      </c>
      <c r="AQ430" s="1" t="str">
        <f>IFERROR(__xludf.DUMMYFUNCTION("""COMPUTED_VALUE"""),"SEARCH CARRERA")</f>
        <v>SEARCH CARRERA</v>
      </c>
      <c r="AR430" s="1" t="str">
        <f>IFERROR(__xludf.DUMMYFUNCTION("""COMPUTED_VALUE"""),"NUEVO")</f>
        <v>NUEVO</v>
      </c>
      <c r="AS430" s="1" t="str">
        <f>IFERROR(__xludf.DUMMYFUNCTION("""COMPUTED_VALUE"""),"ucal-pg-performance-sedes-abierta-cpl-search_conversion_mundo_diseno-20240401")</f>
        <v>ucal-pg-performance-sedes-abierta-cpl-search_conversion_mundo_diseno-20240401</v>
      </c>
      <c r="AT430" s="2">
        <f>IFERROR(__xludf.DUMMYFUNCTION("""COMPUTED_VALUE"""),45412.0)</f>
        <v>45412</v>
      </c>
      <c r="AU430" s="1">
        <f>IFERROR(__xludf.DUMMYFUNCTION("""COMPUTED_VALUE"""),1.0)</f>
        <v>1</v>
      </c>
      <c r="AV430" s="1" t="str">
        <f>IFERROR(__xludf.DUMMYFUNCTION("""COMPUTED_VALUE"""),"NUEVO")</f>
        <v>NUEVO</v>
      </c>
      <c r="AW430" s="1" t="str">
        <f>IFERROR(__xludf.DUMMYFUNCTION("""COMPUTED_VALUE"""),"SI")</f>
        <v>SI</v>
      </c>
      <c r="AX430" s="1"/>
      <c r="AY430" s="1" t="str">
        <f>IFERROR(__xludf.DUMMYFUNCTION("""COMPUTED_VALUE"""),"PAGO COMPLETO")</f>
        <v>PAGO COMPLETO</v>
      </c>
      <c r="AZ430" s="5">
        <f>IFERROR(__xludf.DUMMYFUNCTION("""COMPUTED_VALUE"""),45694.0)</f>
        <v>45694</v>
      </c>
      <c r="BA430" s="1">
        <f>IFERROR(__xludf.DUMMYFUNCTION("""COMPUTED_VALUE"""),500.0)</f>
        <v>500</v>
      </c>
      <c r="BB430" s="1">
        <f>IFERROR(__xludf.DUMMYFUNCTION("""COMPUTED_VALUE"""),0.0)</f>
        <v>0</v>
      </c>
      <c r="BC430" s="4">
        <f>IFERROR(__xludf.DUMMYFUNCTION("""COMPUTED_VALUE"""),0.0)</f>
        <v>0</v>
      </c>
      <c r="BD430" s="4">
        <f>IFERROR(__xludf.DUMMYFUNCTION("""COMPUTED_VALUE"""),0.0)</f>
        <v>0</v>
      </c>
      <c r="BE430" s="1">
        <f>IFERROR(__xludf.DUMMYFUNCTION("""COMPUTED_VALUE"""),1.0)</f>
        <v>1</v>
      </c>
      <c r="BF430" s="6">
        <f>IFERROR(__xludf.DUMMYFUNCTION("""COMPUTED_VALUE"""),1.0)</f>
        <v>1</v>
      </c>
      <c r="BG430" s="1">
        <f>IFERROR(__xludf.DUMMYFUNCTION("""COMPUTED_VALUE"""),0.0)</f>
        <v>0</v>
      </c>
      <c r="BH430" s="1" t="str">
        <f>IFERROR(__xludf.DUMMYFUNCTION("""COMPUTED_VALUE"""),"0")</f>
        <v>0</v>
      </c>
      <c r="BI430" s="4">
        <f>IFERROR(__xludf.DUMMYFUNCTION("""COMPUTED_VALUE"""),850.0)</f>
        <v>850</v>
      </c>
      <c r="BJ430" s="1">
        <f>IFERROR(__xludf.DUMMYFUNCTION("""COMPUTED_VALUE"""),0.0)</f>
        <v>0</v>
      </c>
      <c r="BK430" s="4">
        <f>IFERROR(__xludf.DUMMYFUNCTION("""COMPUTED_VALUE"""),850.0)</f>
        <v>850</v>
      </c>
      <c r="BL430" s="1">
        <f>IFERROR(__xludf.DUMMYFUNCTION("""COMPUTED_VALUE"""),680.0)</f>
        <v>680</v>
      </c>
      <c r="BM430" s="1">
        <f>IFERROR(__xludf.DUMMYFUNCTION("""COMPUTED_VALUE"""),5.0)</f>
        <v>5</v>
      </c>
      <c r="BN430" s="2">
        <f>IFERROR(__xludf.DUMMYFUNCTION("""COMPUTED_VALUE"""),45684.0)</f>
        <v>45684</v>
      </c>
      <c r="BO430" s="1">
        <f>IFERROR(__xludf.DUMMYFUNCTION("""COMPUTED_VALUE"""),1.0)</f>
        <v>1</v>
      </c>
      <c r="BP430" s="1">
        <f>IFERROR(__xludf.DUMMYFUNCTION("""COMPUTED_VALUE"""),2025.0)</f>
        <v>2025</v>
      </c>
    </row>
    <row r="431">
      <c r="A431" s="1">
        <f>IFERROR(__xludf.DUMMYFUNCTION("""COMPUTED_VALUE"""),430.0)</f>
        <v>430</v>
      </c>
      <c r="B431" s="1">
        <f>IFERROR(__xludf.DUMMYFUNCTION("""COMPUTED_VALUE"""),4972815.0)</f>
        <v>4972815</v>
      </c>
      <c r="C431" s="1" t="str">
        <f>IFERROR(__xludf.DUMMYFUNCTION("""COMPUTED_VALUE"""),"2025-1")</f>
        <v>2025-1</v>
      </c>
      <c r="D431" s="1" t="str">
        <f>IFERROR(__xludf.DUMMYFUNCTION("""COMPUTED_VALUE"""),"Admisión Ordinaria")</f>
        <v>Admisión Ordinaria</v>
      </c>
      <c r="E431" s="2">
        <f>IFERROR(__xludf.DUMMYFUNCTION("""COMPUTED_VALUE"""),45688.0)</f>
        <v>45688</v>
      </c>
      <c r="F431" s="1" t="str">
        <f>IFERROR(__xludf.DUMMYFUNCTION("""COMPUTED_VALUE"""),"FLAVIA BELEN ")</f>
        <v>FLAVIA BELEN </v>
      </c>
      <c r="G431" s="1" t="str">
        <f>IFERROR(__xludf.DUMMYFUNCTION("""COMPUTED_VALUE"""),"FERNANDEZ VERA")</f>
        <v>FERNANDEZ VERA</v>
      </c>
      <c r="H431" s="1" t="str">
        <f>IFERROR(__xludf.DUMMYFUNCTION("""COMPUTED_VALUE"""),"Psicología")</f>
        <v>Psicología</v>
      </c>
      <c r="I431" s="1" t="str">
        <f>IFERROR(__xludf.DUMMYFUNCTION("""COMPUTED_VALUE"""),"CARGO")</f>
        <v>CARGO</v>
      </c>
      <c r="J431" s="1" t="str">
        <f>IFERROR(__xludf.DUMMYFUNCTION("""COMPUTED_VALUE"""),"Diurno")</f>
        <v>Diurno</v>
      </c>
      <c r="K431" s="1" t="str">
        <f>IFERROR(__xludf.DUMMYFUNCTION("""COMPUTED_VALUE"""),"NUEVO")</f>
        <v>NUEVO</v>
      </c>
      <c r="L431" s="1">
        <f>IFERROR(__xludf.DUMMYFUNCTION("""COMPUTED_VALUE"""),0.0)</f>
        <v>0</v>
      </c>
      <c r="M431" s="1">
        <f>IFERROR(__xludf.DUMMYFUNCTION("""COMPUTED_VALUE"""),0.0)</f>
        <v>0</v>
      </c>
      <c r="N431" s="1" t="str">
        <f>IFERROR(__xludf.DUMMYFUNCTION("""COMPUTED_VALUE"""),"BECA")</f>
        <v>BECA</v>
      </c>
      <c r="O431" s="1" t="str">
        <f>IFERROR(__xludf.DUMMYFUNCTION("""COMPUTED_VALUE"""),"BECA CARRERAS NUEVAS")</f>
        <v>BECA CARRERAS NUEVAS</v>
      </c>
      <c r="P431" s="4">
        <f>IFERROR(__xludf.DUMMYFUNCTION("""COMPUTED_VALUE"""),0.0)</f>
        <v>0</v>
      </c>
      <c r="Q431" s="4">
        <f>IFERROR(__xludf.DUMMYFUNCTION("""COMPUTED_VALUE"""),0.0)</f>
        <v>0</v>
      </c>
      <c r="R431" s="4">
        <f>IFERROR(__xludf.DUMMYFUNCTION("""COMPUTED_VALUE"""),1000.0)</f>
        <v>1000</v>
      </c>
      <c r="S431" s="4">
        <f>IFERROR(__xludf.DUMMYFUNCTION("""COMPUTED_VALUE"""),950.0)</f>
        <v>950</v>
      </c>
      <c r="T431" s="1" t="str">
        <f>IFERROR(__xludf.DUMMYFUNCTION("""COMPUTED_VALUE"""),"NINGUNO")</f>
        <v>NINGUNO</v>
      </c>
      <c r="U431" s="1" t="str">
        <f>IFERROR(__xludf.DUMMYFUNCTION("""COMPUTED_VALUE"""),"RODRIGO")</f>
        <v>RODRIGO</v>
      </c>
      <c r="V431" s="1" t="str">
        <f>IFERROR(__xludf.DUMMYFUNCTION("""COMPUTED_VALUE"""),"Ninguno")</f>
        <v>Ninguno</v>
      </c>
      <c r="W431" s="1" t="str">
        <f>IFERROR(__xludf.DUMMYFUNCTION("""COMPUTED_VALUE"""),"Prestigio de la institución")</f>
        <v>Prestigio de la institución</v>
      </c>
      <c r="X431" s="1" t="str">
        <f>IFERROR(__xludf.DUMMYFUNCTION("""COMPUTED_VALUE"""),"0")</f>
        <v>0</v>
      </c>
      <c r="Y431" s="1" t="str">
        <f>IFERROR(__xludf.DUMMYFUNCTION("""COMPUTED_VALUE"""),"PAGO COMPLETO")</f>
        <v>PAGO COMPLETO</v>
      </c>
      <c r="Z431" s="1"/>
      <c r="AA431" s="1"/>
      <c r="AB431" s="1">
        <f>IFERROR(__xludf.DUMMYFUNCTION("""COMPUTED_VALUE"""),0.0)</f>
        <v>0</v>
      </c>
      <c r="AC431" s="1">
        <f>IFERROR(__xludf.DUMMYFUNCTION("""COMPUTED_VALUE"""),0.0)</f>
        <v>0</v>
      </c>
      <c r="AD431" s="1" t="str">
        <f>IFERROR(__xludf.DUMMYFUNCTION("""COMPUTED_VALUE"""),"Andrea Araujo Antara")</f>
        <v>Andrea Araujo Antara</v>
      </c>
      <c r="AE431" s="1" t="str">
        <f>IFERROR(__xludf.DUMMYFUNCTION("""COMPUTED_VALUE"""),"0")</f>
        <v>0</v>
      </c>
      <c r="AF431" s="1">
        <f>IFERROR(__xludf.DUMMYFUNCTION("""COMPUTED_VALUE"""),2023.0)</f>
        <v>2023</v>
      </c>
      <c r="AG431" s="1">
        <f>IFERROR(__xludf.DUMMYFUNCTION("""COMPUTED_VALUE"""),1039460.0)</f>
        <v>1039460</v>
      </c>
      <c r="AH431" s="1">
        <f>IFERROR(__xludf.DUMMYFUNCTION("""COMPUTED_VALUE"""),19.0)</f>
        <v>19</v>
      </c>
      <c r="AI431" s="1" t="str">
        <f>IFERROR(__xludf.DUMMYFUNCTION("""COMPUTED_VALUE"""),"0000412418")</f>
        <v>0000412418</v>
      </c>
      <c r="AJ431" s="1">
        <f>IFERROR(__xludf.DUMMYFUNCTION("""COMPUTED_VALUE"""),7.5016543E7)</f>
        <v>75016543</v>
      </c>
      <c r="AK431" s="1">
        <f>IFERROR(__xludf.DUMMYFUNCTION("""COMPUTED_VALUE"""),9.36423518E8)</f>
        <v>936423518</v>
      </c>
      <c r="AL431" s="1" t="str">
        <f>IFERROR(__xludf.DUMMYFUNCTION("""COMPUTED_VALUE"""),"flaviaaveraa@gmail.com")</f>
        <v>flaviaaveraa@gmail.com</v>
      </c>
      <c r="AM431" s="1" t="str">
        <f>IFERROR(__xludf.DUMMYFUNCTION("""COMPUTED_VALUE"""),"FEMENINO")</f>
        <v>FEMENINO</v>
      </c>
      <c r="AN431" s="1">
        <f>IFERROR(__xludf.DUMMYFUNCTION("""COMPUTED_VALUE"""),0.0)</f>
        <v>0</v>
      </c>
      <c r="AO431" s="1">
        <f>IFERROR(__xludf.DUMMYFUNCTION("""COMPUTED_VALUE"""),810.0)</f>
        <v>810</v>
      </c>
      <c r="AP431" s="1" t="str">
        <f>IFERROR(__xludf.DUMMYFUNCTION("""COMPUTED_VALUE"""),"BIDIRECCIONAL")</f>
        <v>BIDIRECCIONAL</v>
      </c>
      <c r="AQ431" s="1" t="str">
        <f>IFERROR(__xludf.DUMMYFUNCTION("""COMPUTED_VALUE"""),"SEARCH CARRERA")</f>
        <v>SEARCH CARRERA</v>
      </c>
      <c r="AR431" s="1" t="str">
        <f>IFERROR(__xludf.DUMMYFUNCTION("""COMPUTED_VALUE"""),"NUEVO")</f>
        <v>NUEVO</v>
      </c>
      <c r="AS431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431" s="2">
        <f>IFERROR(__xludf.DUMMYFUNCTION("""COMPUTED_VALUE"""),45682.0)</f>
        <v>45682</v>
      </c>
      <c r="AU431" s="1">
        <f>IFERROR(__xludf.DUMMYFUNCTION("""COMPUTED_VALUE"""),1.0)</f>
        <v>1</v>
      </c>
      <c r="AV431" s="1" t="str">
        <f>IFERROR(__xludf.DUMMYFUNCTION("""COMPUTED_VALUE"""),"NUEVO")</f>
        <v>NUEVO</v>
      </c>
      <c r="AW431" s="1" t="str">
        <f>IFERROR(__xludf.DUMMYFUNCTION("""COMPUTED_VALUE"""),"SI")</f>
        <v>SI</v>
      </c>
      <c r="AX431" s="1"/>
      <c r="AY431" s="1" t="str">
        <f>IFERROR(__xludf.DUMMYFUNCTION("""COMPUTED_VALUE"""),"PAGO COMPLETO")</f>
        <v>PAGO COMPLETO</v>
      </c>
      <c r="AZ431" s="5">
        <f>IFERROR(__xludf.DUMMYFUNCTION("""COMPUTED_VALUE"""),45688.0)</f>
        <v>45688</v>
      </c>
      <c r="BA431" s="1">
        <f>IFERROR(__xludf.DUMMYFUNCTION("""COMPUTED_VALUE"""),0.0)</f>
        <v>0</v>
      </c>
      <c r="BB431" s="1">
        <f>IFERROR(__xludf.DUMMYFUNCTION("""COMPUTED_VALUE"""),0.0)</f>
        <v>0</v>
      </c>
      <c r="BC431" s="4">
        <f>IFERROR(__xludf.DUMMYFUNCTION("""COMPUTED_VALUE"""),0.0)</f>
        <v>0</v>
      </c>
      <c r="BD431" s="4">
        <f>IFERROR(__xludf.DUMMYFUNCTION("""COMPUTED_VALUE"""),0.0)</f>
        <v>0</v>
      </c>
      <c r="BE431" s="1">
        <f>IFERROR(__xludf.DUMMYFUNCTION("""COMPUTED_VALUE"""),1.0)</f>
        <v>1</v>
      </c>
      <c r="BF431" s="6">
        <f>IFERROR(__xludf.DUMMYFUNCTION("""COMPUTED_VALUE"""),1.0)</f>
        <v>1</v>
      </c>
      <c r="BG431" s="1">
        <f>IFERROR(__xludf.DUMMYFUNCTION("""COMPUTED_VALUE"""),1.0)</f>
        <v>1</v>
      </c>
      <c r="BH431" s="1" t="str">
        <f>IFERROR(__xludf.DUMMYFUNCTION("""COMPUTED_VALUE"""),"0")</f>
        <v>0</v>
      </c>
      <c r="BI431" s="4">
        <f>IFERROR(__xludf.DUMMYFUNCTION("""COMPUTED_VALUE"""),0.0)</f>
        <v>0</v>
      </c>
      <c r="BJ431" s="1">
        <f>IFERROR(__xludf.DUMMYFUNCTION("""COMPUTED_VALUE"""),0.0)</f>
        <v>0</v>
      </c>
      <c r="BK431" s="4">
        <f>IFERROR(__xludf.DUMMYFUNCTION("""COMPUTED_VALUE"""),0.0)</f>
        <v>0</v>
      </c>
      <c r="BL431" s="1">
        <f>IFERROR(__xludf.DUMMYFUNCTION("""COMPUTED_VALUE"""),950.0)</f>
        <v>950</v>
      </c>
      <c r="BM431" s="1">
        <f>IFERROR(__xludf.DUMMYFUNCTION("""COMPUTED_VALUE"""),5.0)</f>
        <v>5</v>
      </c>
      <c r="BN431" s="2">
        <f>IFERROR(__xludf.DUMMYFUNCTION("""COMPUTED_VALUE"""),45684.0)</f>
        <v>45684</v>
      </c>
      <c r="BO431" s="1">
        <f>IFERROR(__xludf.DUMMYFUNCTION("""COMPUTED_VALUE"""),1.0)</f>
        <v>1</v>
      </c>
      <c r="BP431" s="1">
        <f>IFERROR(__xludf.DUMMYFUNCTION("""COMPUTED_VALUE"""),2025.0)</f>
        <v>2025</v>
      </c>
    </row>
    <row r="432">
      <c r="A432" s="1">
        <f>IFERROR(__xludf.DUMMYFUNCTION("""COMPUTED_VALUE"""),431.0)</f>
        <v>431</v>
      </c>
      <c r="B432" s="1">
        <f>IFERROR(__xludf.DUMMYFUNCTION("""COMPUTED_VALUE"""),4814550.0)</f>
        <v>4814550</v>
      </c>
      <c r="C432" s="1" t="str">
        <f>IFERROR(__xludf.DUMMYFUNCTION("""COMPUTED_VALUE"""),"2025-1")</f>
        <v>2025-1</v>
      </c>
      <c r="D432" s="1" t="str">
        <f>IFERROR(__xludf.DUMMYFUNCTION("""COMPUTED_VALUE"""),"Admisión Ordinaria")</f>
        <v>Admisión Ordinaria</v>
      </c>
      <c r="E432" s="2">
        <f>IFERROR(__xludf.DUMMYFUNCTION("""COMPUTED_VALUE"""),45688.0)</f>
        <v>45688</v>
      </c>
      <c r="F432" s="1" t="str">
        <f>IFERROR(__xludf.DUMMYFUNCTION("""COMPUTED_VALUE"""),"MARIO RAUL ")</f>
        <v>MARIO RAUL </v>
      </c>
      <c r="G432" s="1" t="str">
        <f>IFERROR(__xludf.DUMMYFUNCTION("""COMPUTED_VALUE"""),"MERGOZA BRAVO")</f>
        <v>MERGOZA BRAVO</v>
      </c>
      <c r="H432" s="1" t="str">
        <f>IFERROR(__xludf.DUMMYFUNCTION("""COMPUTED_VALUE"""),"Arquitectura")</f>
        <v>Arquitectura</v>
      </c>
      <c r="I432" s="1" t="str">
        <f>IFERROR(__xludf.DUMMYFUNCTION("""COMPUTED_VALUE"""),"POS")</f>
        <v>POS</v>
      </c>
      <c r="J432" s="1" t="str">
        <f>IFERROR(__xludf.DUMMYFUNCTION("""COMPUTED_VALUE"""),"Diurno")</f>
        <v>Diurno</v>
      </c>
      <c r="K432" s="1" t="str">
        <f>IFERROR(__xludf.DUMMYFUNCTION("""COMPUTED_VALUE"""),"TRASLADO")</f>
        <v>TRASLADO</v>
      </c>
      <c r="L432" s="1">
        <f>IFERROR(__xludf.DUMMYFUNCTION("""COMPUTED_VALUE"""),0.0)</f>
        <v>0</v>
      </c>
      <c r="M432" s="1">
        <f>IFERROR(__xludf.DUMMYFUNCTION("""COMPUTED_VALUE"""),0.0)</f>
        <v>0</v>
      </c>
      <c r="N432" s="1" t="str">
        <f>IFERROR(__xludf.DUMMYFUNCTION("""COMPUTED_VALUE"""),"RECA")</f>
        <v>RECA</v>
      </c>
      <c r="O432" s="1" t="str">
        <f>IFERROR(__xludf.DUMMYFUNCTION("""COMPUTED_VALUE"""),"RECA TRASLADO SIN CONVA")</f>
        <v>RECA TRASLADO SIN CONVA</v>
      </c>
      <c r="P432" s="4">
        <f>IFERROR(__xludf.DUMMYFUNCTION("""COMPUTED_VALUE"""),0.0)</f>
        <v>0</v>
      </c>
      <c r="Q432" s="4">
        <f>IFERROR(__xludf.DUMMYFUNCTION("""COMPUTED_VALUE"""),0.0)</f>
        <v>0</v>
      </c>
      <c r="R432" s="4">
        <f>IFERROR(__xludf.DUMMYFUNCTION("""COMPUTED_VALUE"""),1000.0)</f>
        <v>1000</v>
      </c>
      <c r="S432" s="4">
        <f>IFERROR(__xludf.DUMMYFUNCTION("""COMPUTED_VALUE"""),900.0)</f>
        <v>900</v>
      </c>
      <c r="T432" s="1" t="str">
        <f>IFERROR(__xludf.DUMMYFUNCTION("""COMPUTED_VALUE"""),"Visita guiada - refirio")</f>
        <v>Visita guiada - refirio</v>
      </c>
      <c r="U432" s="1" t="str">
        <f>IFERROR(__xludf.DUMMYFUNCTION("""COMPUTED_VALUE"""),"RODRIGO")</f>
        <v>RODRIGO</v>
      </c>
      <c r="V432" s="1" t="str">
        <f>IFERROR(__xludf.DUMMYFUNCTION("""COMPUTED_VALUE"""),"Ninguno")</f>
        <v>Ninguno</v>
      </c>
      <c r="W432" s="1" t="str">
        <f>IFERROR(__xludf.DUMMYFUNCTION("""COMPUTED_VALUE"""),"Bolsa Laboral")</f>
        <v>Bolsa Laboral</v>
      </c>
      <c r="X432" s="1" t="str">
        <f>IFERROR(__xludf.DUMMYFUNCTION("""COMPUTED_VALUE"""),"0")</f>
        <v>0</v>
      </c>
      <c r="Y432" s="1" t="str">
        <f>IFERROR(__xludf.DUMMYFUNCTION("""COMPUTED_VALUE"""),"PAGO COMPLETO")</f>
        <v>PAGO COMPLETO</v>
      </c>
      <c r="Z432" s="1"/>
      <c r="AA432" s="1"/>
      <c r="AB432" s="1">
        <f>IFERROR(__xludf.DUMMYFUNCTION("""COMPUTED_VALUE"""),0.0)</f>
        <v>0</v>
      </c>
      <c r="AC432" s="1">
        <f>IFERROR(__xludf.DUMMYFUNCTION("""COMPUTED_VALUE"""),0.0)</f>
        <v>0</v>
      </c>
      <c r="AD432" s="1" t="str">
        <f>IFERROR(__xludf.DUMMYFUNCTION("""COMPUTED_VALUE"""),"Andrea Araujo Antara")</f>
        <v>Andrea Araujo Antara</v>
      </c>
      <c r="AE432" s="1" t="str">
        <f>IFERROR(__xludf.DUMMYFUNCTION("""COMPUTED_VALUE"""),"0")</f>
        <v>0</v>
      </c>
      <c r="AF432" s="1">
        <f>IFERROR(__xludf.DUMMYFUNCTION("""COMPUTED_VALUE"""),2020.0)</f>
        <v>2020</v>
      </c>
      <c r="AG432" s="1"/>
      <c r="AH432" s="1">
        <f>IFERROR(__xludf.DUMMYFUNCTION("""COMPUTED_VALUE"""),32.0)</f>
        <v>32</v>
      </c>
      <c r="AI432" s="1" t="str">
        <f>IFERROR(__xludf.DUMMYFUNCTION("""COMPUTED_VALUE"""),"0000402448")</f>
        <v>0000402448</v>
      </c>
      <c r="AJ432" s="1">
        <f>IFERROR(__xludf.DUMMYFUNCTION("""COMPUTED_VALUE"""),4.7487707E7)</f>
        <v>47487707</v>
      </c>
      <c r="AK432" s="1">
        <f>IFERROR(__xludf.DUMMYFUNCTION("""COMPUTED_VALUE"""),9.33237289E8)</f>
        <v>933237289</v>
      </c>
      <c r="AL432" s="1" t="str">
        <f>IFERROR(__xludf.DUMMYFUNCTION("""COMPUTED_VALUE"""),"mergoza.mwood@gmail.com")</f>
        <v>mergoza.mwood@gmail.com</v>
      </c>
      <c r="AM432" s="1" t="str">
        <f>IFERROR(__xludf.DUMMYFUNCTION("""COMPUTED_VALUE"""),"MASCULINO")</f>
        <v>MASCULINO</v>
      </c>
      <c r="AN432" s="1">
        <f>IFERROR(__xludf.DUMMYFUNCTION("""COMPUTED_VALUE"""),900.0)</f>
        <v>900</v>
      </c>
      <c r="AO432" s="1">
        <f>IFERROR(__xludf.DUMMYFUNCTION("""COMPUTED_VALUE"""),120.0)</f>
        <v>120</v>
      </c>
      <c r="AP432" s="1" t="str">
        <f>IFERROR(__xludf.DUMMYFUNCTION("""COMPUTED_VALUE"""),"BIDIRECCIONAL")</f>
        <v>BIDIRECCIONAL</v>
      </c>
      <c r="AQ432" s="1" t="str">
        <f>IFERROR(__xludf.DUMMYFUNCTION("""COMPUTED_VALUE"""),"ORGANICO")</f>
        <v>ORGANICO</v>
      </c>
      <c r="AR432" s="1" t="str">
        <f>IFERROR(__xludf.DUMMYFUNCTION("""COMPUTED_VALUE"""),"NUEVO")</f>
        <v>NUEVO</v>
      </c>
      <c r="AS432" s="1"/>
      <c r="AT432" s="2">
        <f>IFERROR(__xludf.DUMMYFUNCTION("""COMPUTED_VALUE"""),45685.0)</f>
        <v>45685</v>
      </c>
      <c r="AU432" s="1">
        <f>IFERROR(__xludf.DUMMYFUNCTION("""COMPUTED_VALUE"""),1.0)</f>
        <v>1</v>
      </c>
      <c r="AV432" s="1" t="str">
        <f>IFERROR(__xludf.DUMMYFUNCTION("""COMPUTED_VALUE"""),"NUEVO")</f>
        <v>NUEVO</v>
      </c>
      <c r="AW432" s="1" t="str">
        <f>IFERROR(__xludf.DUMMYFUNCTION("""COMPUTED_VALUE"""),"SI")</f>
        <v>SI</v>
      </c>
      <c r="AX432" s="1"/>
      <c r="AY432" s="1" t="str">
        <f>IFERROR(__xludf.DUMMYFUNCTION("""COMPUTED_VALUE"""),"PAGO COMPLETO")</f>
        <v>PAGO COMPLETO</v>
      </c>
      <c r="AZ432" s="5">
        <f>IFERROR(__xludf.DUMMYFUNCTION("""COMPUTED_VALUE"""),45688.0)</f>
        <v>45688</v>
      </c>
      <c r="BA432" s="1">
        <f>IFERROR(__xludf.DUMMYFUNCTION("""COMPUTED_VALUE"""),0.0)</f>
        <v>0</v>
      </c>
      <c r="BB432" s="1">
        <f>IFERROR(__xludf.DUMMYFUNCTION("""COMPUTED_VALUE"""),0.0)</f>
        <v>0</v>
      </c>
      <c r="BC432" s="4">
        <f>IFERROR(__xludf.DUMMYFUNCTION("""COMPUTED_VALUE"""),0.0)</f>
        <v>0</v>
      </c>
      <c r="BD432" s="4">
        <f>IFERROR(__xludf.DUMMYFUNCTION("""COMPUTED_VALUE"""),100.0)</f>
        <v>100</v>
      </c>
      <c r="BE432" s="1">
        <f>IFERROR(__xludf.DUMMYFUNCTION("""COMPUTED_VALUE"""),1.0)</f>
        <v>1</v>
      </c>
      <c r="BF432" s="6">
        <f>IFERROR(__xludf.DUMMYFUNCTION("""COMPUTED_VALUE"""),1.0)</f>
        <v>1</v>
      </c>
      <c r="BG432" s="1">
        <f>IFERROR(__xludf.DUMMYFUNCTION("""COMPUTED_VALUE"""),1.0)</f>
        <v>1</v>
      </c>
      <c r="BH432" s="1" t="str">
        <f>IFERROR(__xludf.DUMMYFUNCTION("""COMPUTED_VALUE"""),"0")</f>
        <v>0</v>
      </c>
      <c r="BI432" s="4">
        <f>IFERROR(__xludf.DUMMYFUNCTION("""COMPUTED_VALUE"""),100.0)</f>
        <v>100</v>
      </c>
      <c r="BJ432" s="1">
        <f>IFERROR(__xludf.DUMMYFUNCTION("""COMPUTED_VALUE"""),0.0)</f>
        <v>0</v>
      </c>
      <c r="BK432" s="4">
        <f>IFERROR(__xludf.DUMMYFUNCTION("""COMPUTED_VALUE"""),1000.0)</f>
        <v>1000</v>
      </c>
      <c r="BL432" s="1">
        <f>IFERROR(__xludf.DUMMYFUNCTION("""COMPUTED_VALUE"""),700.0)</f>
        <v>700</v>
      </c>
      <c r="BM432" s="1">
        <f>IFERROR(__xludf.DUMMYFUNCTION("""COMPUTED_VALUE"""),5.0)</f>
        <v>5</v>
      </c>
      <c r="BN432" s="2">
        <f>IFERROR(__xludf.DUMMYFUNCTION("""COMPUTED_VALUE"""),45684.0)</f>
        <v>45684</v>
      </c>
      <c r="BO432" s="1">
        <f>IFERROR(__xludf.DUMMYFUNCTION("""COMPUTED_VALUE"""),1.0)</f>
        <v>1</v>
      </c>
      <c r="BP432" s="1">
        <f>IFERROR(__xludf.DUMMYFUNCTION("""COMPUTED_VALUE"""),2025.0)</f>
        <v>2025</v>
      </c>
    </row>
    <row r="433">
      <c r="A433" s="1">
        <f>IFERROR(__xludf.DUMMYFUNCTION("""COMPUTED_VALUE"""),432.0)</f>
        <v>432</v>
      </c>
      <c r="B433" s="1">
        <f>IFERROR(__xludf.DUMMYFUNCTION("""COMPUTED_VALUE"""),2501952.0)</f>
        <v>2501952</v>
      </c>
      <c r="C433" s="1" t="str">
        <f>IFERROR(__xludf.DUMMYFUNCTION("""COMPUTED_VALUE"""),"2025-1")</f>
        <v>2025-1</v>
      </c>
      <c r="D433" s="1" t="str">
        <f>IFERROR(__xludf.DUMMYFUNCTION("""COMPUTED_VALUE"""),"Admisión de Alto Rendimiento")</f>
        <v>Admisión de Alto Rendimiento</v>
      </c>
      <c r="E433" s="2">
        <f>IFERROR(__xludf.DUMMYFUNCTION("""COMPUTED_VALUE"""),45688.0)</f>
        <v>45688</v>
      </c>
      <c r="F433" s="1" t="str">
        <f>IFERROR(__xludf.DUMMYFUNCTION("""COMPUTED_VALUE"""),"JOSE CLAUDIO ")</f>
        <v>JOSE CLAUDIO </v>
      </c>
      <c r="G433" s="1" t="str">
        <f>IFERROR(__xludf.DUMMYFUNCTION("""COMPUTED_VALUE"""),"GUARDIA ZARATE")</f>
        <v>GUARDIA ZARATE</v>
      </c>
      <c r="H433" s="1" t="str">
        <f>IFERROR(__xludf.DUMMYFUNCTION("""COMPUTED_VALUE"""),"Administración y Negocios Internacionales")</f>
        <v>Administración y Negocios Internacionales</v>
      </c>
      <c r="I433" s="1" t="str">
        <f>IFERROR(__xludf.DUMMYFUNCTION("""COMPUTED_VALUE"""),"POS")</f>
        <v>POS</v>
      </c>
      <c r="J433" s="1" t="str">
        <f>IFERROR(__xludf.DUMMYFUNCTION("""COMPUTED_VALUE"""),"Diurno")</f>
        <v>Diurno</v>
      </c>
      <c r="K433" s="1" t="str">
        <f>IFERROR(__xludf.DUMMYFUNCTION("""COMPUTED_VALUE"""),"NUEVO")</f>
        <v>NUEVO</v>
      </c>
      <c r="L433" s="1">
        <f>IFERROR(__xludf.DUMMYFUNCTION("""COMPUTED_VALUE"""),0.0)</f>
        <v>0</v>
      </c>
      <c r="M433" s="1">
        <f>IFERROR(__xludf.DUMMYFUNCTION("""COMPUTED_VALUE"""),0.0)</f>
        <v>0</v>
      </c>
      <c r="N433" s="1" t="str">
        <f>IFERROR(__xludf.DUMMYFUNCTION("""COMPUTED_VALUE"""),"BECA")</f>
        <v>BECA</v>
      </c>
      <c r="O433" s="1" t="str">
        <f>IFERROR(__xludf.DUMMYFUNCTION("""COMPUTED_VALUE"""),"BECA EXCELENCIA ACADÉMICA")</f>
        <v>BECA EXCELENCIA ACADÉMICA</v>
      </c>
      <c r="P433" s="4">
        <f>IFERROR(__xludf.DUMMYFUNCTION("""COMPUTED_VALUE"""),0.0)</f>
        <v>0</v>
      </c>
      <c r="Q433" s="4">
        <f>IFERROR(__xludf.DUMMYFUNCTION("""COMPUTED_VALUE"""),0.0)</f>
        <v>0</v>
      </c>
      <c r="R433" s="4">
        <f>IFERROR(__xludf.DUMMYFUNCTION("""COMPUTED_VALUE"""),1300.0)</f>
        <v>1300</v>
      </c>
      <c r="S433" s="4">
        <f>IFERROR(__xludf.DUMMYFUNCTION("""COMPUTED_VALUE"""),600.0)</f>
        <v>600</v>
      </c>
      <c r="T433" s="1" t="str">
        <f>IFERROR(__xludf.DUMMYFUNCTION("""COMPUTED_VALUE"""),"NINGUNO")</f>
        <v>NINGUNO</v>
      </c>
      <c r="U433" s="1" t="str">
        <f>IFERROR(__xludf.DUMMYFUNCTION("""COMPUTED_VALUE"""),"RODRIGO")</f>
        <v>RODRIGO</v>
      </c>
      <c r="V433" s="1" t="str">
        <f>IFERROR(__xludf.DUMMYFUNCTION("""COMPUTED_VALUE"""),"Ninguno")</f>
        <v>Ninguno</v>
      </c>
      <c r="W433" s="1" t="str">
        <f>IFERROR(__xludf.DUMMYFUNCTION("""COMPUTED_VALUE"""),"Beca")</f>
        <v>Beca</v>
      </c>
      <c r="X433" s="1" t="str">
        <f>IFERROR(__xludf.DUMMYFUNCTION("""COMPUTED_VALUE"""),"excelencia academica ")</f>
        <v>excelencia academica </v>
      </c>
      <c r="Y433" s="1" t="str">
        <f>IFERROR(__xludf.DUMMYFUNCTION("""COMPUTED_VALUE"""),"PAGO COMPLETO")</f>
        <v>PAGO COMPLETO</v>
      </c>
      <c r="Z433" s="1"/>
      <c r="AA433" s="1"/>
      <c r="AB433" s="1">
        <f>IFERROR(__xludf.DUMMYFUNCTION("""COMPUTED_VALUE"""),0.0)</f>
        <v>0</v>
      </c>
      <c r="AC433" s="1">
        <f>IFERROR(__xludf.DUMMYFUNCTION("""COMPUTED_VALUE"""),0.0)</f>
        <v>0</v>
      </c>
      <c r="AD433" s="1" t="str">
        <f>IFERROR(__xludf.DUMMYFUNCTION("""COMPUTED_VALUE"""),"Rosa Ugarte")</f>
        <v>Rosa Ugarte</v>
      </c>
      <c r="AE433" s="1" t="str">
        <f>IFERROR(__xludf.DUMMYFUNCTION("""COMPUTED_VALUE"""),"0")</f>
        <v>0</v>
      </c>
      <c r="AF433" s="1">
        <f>IFERROR(__xludf.DUMMYFUNCTION("""COMPUTED_VALUE"""),2022.0)</f>
        <v>2022</v>
      </c>
      <c r="AG433" s="1">
        <f>IFERROR(__xludf.DUMMYFUNCTION("""COMPUTED_VALUE"""),1535186.0)</f>
        <v>1535186</v>
      </c>
      <c r="AH433" s="1">
        <f>IFERROR(__xludf.DUMMYFUNCTION("""COMPUTED_VALUE"""),18.0)</f>
        <v>18</v>
      </c>
      <c r="AI433" s="1" t="str">
        <f>IFERROR(__xludf.DUMMYFUNCTION("""COMPUTED_VALUE"""),"0000412476")</f>
        <v>0000412476</v>
      </c>
      <c r="AJ433" s="1">
        <f>IFERROR(__xludf.DUMMYFUNCTION("""COMPUTED_VALUE"""),7.5929981E7)</f>
        <v>75929981</v>
      </c>
      <c r="AK433" s="1">
        <f>IFERROR(__xludf.DUMMYFUNCTION("""COMPUTED_VALUE"""),9.54141548E8)</f>
        <v>954141548</v>
      </c>
      <c r="AL433" s="1" t="str">
        <f>IFERROR(__xludf.DUMMYFUNCTION("""COMPUTED_VALUE"""),"joseclaudioguardiazarate@gmail.com")</f>
        <v>joseclaudioguardiazarate@gmail.com</v>
      </c>
      <c r="AM433" s="1" t="str">
        <f>IFERROR(__xludf.DUMMYFUNCTION("""COMPUTED_VALUE"""),"MASCULINO")</f>
        <v>MASCULINO</v>
      </c>
      <c r="AN433" s="1">
        <f>IFERROR(__xludf.DUMMYFUNCTION("""COMPUTED_VALUE"""),1775.0)</f>
        <v>1775</v>
      </c>
      <c r="AO433" s="1">
        <f>IFERROR(__xludf.DUMMYFUNCTION("""COMPUTED_VALUE"""),500.0)</f>
        <v>500</v>
      </c>
      <c r="AP433" s="1" t="str">
        <f>IFERROR(__xludf.DUMMYFUNCTION("""COMPUTED_VALUE"""),"FORMULARIO")</f>
        <v>FORMULARIO</v>
      </c>
      <c r="AQ433" s="1" t="str">
        <f>IFERROR(__xludf.DUMMYFUNCTION("""COMPUTED_VALUE"""),"SEARCH MARCA")</f>
        <v>SEARCH MARCA</v>
      </c>
      <c r="AR433" s="1" t="str">
        <f>IFERROR(__xludf.DUMMYFUNCTION("""COMPUTED_VALUE"""),"NUEVO")</f>
        <v>NUEVO</v>
      </c>
      <c r="AS433" s="1" t="str">
        <f>IFERROR(__xludf.DUMMYFUNCTION("""COMPUTED_VALUE"""),"ucal-pg-performance-sedes-abierta-cpl-search_conversion_marca-20240401")</f>
        <v>ucal-pg-performance-sedes-abierta-cpl-search_conversion_marca-20240401</v>
      </c>
      <c r="AT433" s="2">
        <f>IFERROR(__xludf.DUMMYFUNCTION("""COMPUTED_VALUE"""),45671.0)</f>
        <v>45671</v>
      </c>
      <c r="AU433" s="1">
        <f>IFERROR(__xludf.DUMMYFUNCTION("""COMPUTED_VALUE"""),1.0)</f>
        <v>1</v>
      </c>
      <c r="AV433" s="1" t="str">
        <f>IFERROR(__xludf.DUMMYFUNCTION("""COMPUTED_VALUE"""),"NUEVO")</f>
        <v>NUEVO</v>
      </c>
      <c r="AW433" s="1" t="str">
        <f>IFERROR(__xludf.DUMMYFUNCTION("""COMPUTED_VALUE"""),"SI")</f>
        <v>SI</v>
      </c>
      <c r="AX433" s="1"/>
      <c r="AY433" s="1" t="str">
        <f>IFERROR(__xludf.DUMMYFUNCTION("""COMPUTED_VALUE"""),"PAGO COMPLETO")</f>
        <v>PAGO COMPLETO</v>
      </c>
      <c r="AZ433" s="5">
        <f>IFERROR(__xludf.DUMMYFUNCTION("""COMPUTED_VALUE"""),45688.0)</f>
        <v>45688</v>
      </c>
      <c r="BA433" s="1">
        <f>IFERROR(__xludf.DUMMYFUNCTION("""COMPUTED_VALUE"""),0.0)</f>
        <v>0</v>
      </c>
      <c r="BB433" s="1">
        <f>IFERROR(__xludf.DUMMYFUNCTION("""COMPUTED_VALUE"""),0.0)</f>
        <v>0</v>
      </c>
      <c r="BC433" s="4">
        <f>IFERROR(__xludf.DUMMYFUNCTION("""COMPUTED_VALUE"""),0.0)</f>
        <v>0</v>
      </c>
      <c r="BD433" s="4">
        <f>IFERROR(__xludf.DUMMYFUNCTION("""COMPUTED_VALUE"""),0.0)</f>
        <v>0</v>
      </c>
      <c r="BE433" s="1">
        <f>IFERROR(__xludf.DUMMYFUNCTION("""COMPUTED_VALUE"""),1.0)</f>
        <v>1</v>
      </c>
      <c r="BF433" s="6">
        <f>IFERROR(__xludf.DUMMYFUNCTION("""COMPUTED_VALUE"""),1.0)</f>
        <v>1</v>
      </c>
      <c r="BG433" s="1">
        <f>IFERROR(__xludf.DUMMYFUNCTION("""COMPUTED_VALUE"""),1.0)</f>
        <v>1</v>
      </c>
      <c r="BH433" s="1" t="str">
        <f>IFERROR(__xludf.DUMMYFUNCTION("""COMPUTED_VALUE"""),"0")</f>
        <v>0</v>
      </c>
      <c r="BI433" s="4">
        <f>IFERROR(__xludf.DUMMYFUNCTION("""COMPUTED_VALUE"""),0.0)</f>
        <v>0</v>
      </c>
      <c r="BJ433" s="1">
        <f>IFERROR(__xludf.DUMMYFUNCTION("""COMPUTED_VALUE"""),0.0)</f>
        <v>0</v>
      </c>
      <c r="BK433" s="4">
        <f>IFERROR(__xludf.DUMMYFUNCTION("""COMPUTED_VALUE"""),0.0)</f>
        <v>0</v>
      </c>
      <c r="BL433" s="1">
        <f>IFERROR(__xludf.DUMMYFUNCTION("""COMPUTED_VALUE"""),600.0)</f>
        <v>600</v>
      </c>
      <c r="BM433" s="1">
        <f>IFERROR(__xludf.DUMMYFUNCTION("""COMPUTED_VALUE"""),5.0)</f>
        <v>5</v>
      </c>
      <c r="BN433" s="2">
        <f>IFERROR(__xludf.DUMMYFUNCTION("""COMPUTED_VALUE"""),45684.0)</f>
        <v>45684</v>
      </c>
      <c r="BO433" s="1">
        <f>IFERROR(__xludf.DUMMYFUNCTION("""COMPUTED_VALUE"""),1.0)</f>
        <v>1</v>
      </c>
      <c r="BP433" s="1">
        <f>IFERROR(__xludf.DUMMYFUNCTION("""COMPUTED_VALUE"""),2025.0)</f>
        <v>2025</v>
      </c>
    </row>
    <row r="434">
      <c r="A434" s="1">
        <f>IFERROR(__xludf.DUMMYFUNCTION("""COMPUTED_VALUE"""),433.0)</f>
        <v>433</v>
      </c>
      <c r="B434" s="1">
        <f>IFERROR(__xludf.DUMMYFUNCTION("""COMPUTED_VALUE"""),2806271.0)</f>
        <v>2806271</v>
      </c>
      <c r="C434" s="1" t="str">
        <f>IFERROR(__xludf.DUMMYFUNCTION("""COMPUTED_VALUE"""),"2025-1")</f>
        <v>2025-1</v>
      </c>
      <c r="D434" s="1" t="str">
        <f>IFERROR(__xludf.DUMMYFUNCTION("""COMPUTED_VALUE"""),"Admisión Ordinaria")</f>
        <v>Admisión Ordinaria</v>
      </c>
      <c r="E434" s="2">
        <f>IFERROR(__xludf.DUMMYFUNCTION("""COMPUTED_VALUE"""),45688.0)</f>
        <v>45688</v>
      </c>
      <c r="F434" s="1" t="str">
        <f>IFERROR(__xludf.DUMMYFUNCTION("""COMPUTED_VALUE"""),"LUZ MARIA")</f>
        <v>LUZ MARIA</v>
      </c>
      <c r="G434" s="1" t="str">
        <f>IFERROR(__xludf.DUMMYFUNCTION("""COMPUTED_VALUE"""),"VALENTIN ARCONDO")</f>
        <v>VALENTIN ARCONDO</v>
      </c>
      <c r="H434" s="1" t="str">
        <f>IFERROR(__xludf.DUMMYFUNCTION("""COMPUTED_VALUE"""),"Administración y Negocios Internacionales")</f>
        <v>Administración y Negocios Internacionales</v>
      </c>
      <c r="I434" s="1" t="str">
        <f>IFERROR(__xludf.DUMMYFUNCTION("""COMPUTED_VALUE"""),"CARGO")</f>
        <v>CARGO</v>
      </c>
      <c r="J434" s="1" t="str">
        <f>IFERROR(__xludf.DUMMYFUNCTION("""COMPUTED_VALUE"""),"Nocturno - A distancia")</f>
        <v>Nocturno - A distancia</v>
      </c>
      <c r="K434" s="1" t="str">
        <f>IFERROR(__xludf.DUMMYFUNCTION("""COMPUTED_VALUE"""),"TRASLADO")</f>
        <v>TRASLADO</v>
      </c>
      <c r="L434" s="1">
        <f>IFERROR(__xludf.DUMMYFUNCTION("""COMPUTED_VALUE"""),1.0)</f>
        <v>1</v>
      </c>
      <c r="M434" s="1">
        <f>IFERROR(__xludf.DUMMYFUNCTION("""COMPUTED_VALUE"""),0.0)</f>
        <v>0</v>
      </c>
      <c r="N434" s="1" t="str">
        <f>IFERROR(__xludf.DUMMYFUNCTION("""COMPUTED_VALUE"""),"ESCALA DISTANCIA")</f>
        <v>ESCALA DISTANCIA</v>
      </c>
      <c r="O434" s="1" t="str">
        <f>IFERROR(__xludf.DUMMYFUNCTION("""COMPUTED_VALUE"""),"ESCALA DISTANCIA TRASLADO")</f>
        <v>ESCALA DISTANCIA TRASLADO</v>
      </c>
      <c r="P434" s="4">
        <f>IFERROR(__xludf.DUMMYFUNCTION("""COMPUTED_VALUE"""),0.0)</f>
        <v>0</v>
      </c>
      <c r="Q434" s="4">
        <f>IFERROR(__xludf.DUMMYFUNCTION("""COMPUTED_VALUE"""),0.0)</f>
        <v>0</v>
      </c>
      <c r="R434" s="4">
        <f>IFERROR(__xludf.DUMMYFUNCTION("""COMPUTED_VALUE"""),1000.0)</f>
        <v>1000</v>
      </c>
      <c r="S434" s="4">
        <f>IFERROR(__xludf.DUMMYFUNCTION("""COMPUTED_VALUE"""),700.0)</f>
        <v>700</v>
      </c>
      <c r="T434" s="1" t="str">
        <f>IFERROR(__xludf.DUMMYFUNCTION("""COMPUTED_VALUE"""),"Palanca 700 - Refirio")</f>
        <v>Palanca 700 - Refirio</v>
      </c>
      <c r="U434" s="1" t="str">
        <f>IFERROR(__xludf.DUMMYFUNCTION("""COMPUTED_VALUE"""),"RODRIGO")</f>
        <v>RODRIGO</v>
      </c>
      <c r="V434" s="1" t="str">
        <f>IFERROR(__xludf.DUMMYFUNCTION("""COMPUTED_VALUE"""),"Ninguno")</f>
        <v>Ninguno</v>
      </c>
      <c r="W434" s="1" t="str">
        <f>IFERROR(__xludf.DUMMYFUNCTION("""COMPUTED_VALUE"""),"Otros")</f>
        <v>Otros</v>
      </c>
      <c r="X434" s="1"/>
      <c r="Y434" s="1" t="str">
        <f>IFERROR(__xludf.DUMMYFUNCTION("""COMPUTED_VALUE"""),"PAGO COMPLETO")</f>
        <v>PAGO COMPLETO</v>
      </c>
      <c r="Z434" s="1"/>
      <c r="AA434" s="1"/>
      <c r="AB434" s="1">
        <f>IFERROR(__xludf.DUMMYFUNCTION("""COMPUTED_VALUE"""),1.0)</f>
        <v>1</v>
      </c>
      <c r="AC434" s="1">
        <f>IFERROR(__xludf.DUMMYFUNCTION("""COMPUTED_VALUE"""),0.0)</f>
        <v>0</v>
      </c>
      <c r="AD434" s="1" t="str">
        <f>IFERROR(__xludf.DUMMYFUNCTION("""COMPUTED_VALUE"""),"Erwyn Terie Vital Avila")</f>
        <v>Erwyn Terie Vital Avila</v>
      </c>
      <c r="AE434" s="1" t="str">
        <f>IFERROR(__xludf.DUMMYFUNCTION("""COMPUTED_VALUE"""),"0")</f>
        <v>0</v>
      </c>
      <c r="AF434" s="1">
        <f>IFERROR(__xludf.DUMMYFUNCTION("""COMPUTED_VALUE"""),2017.0)</f>
        <v>2017</v>
      </c>
      <c r="AG434" s="1">
        <f>IFERROR(__xludf.DUMMYFUNCTION("""COMPUTED_VALUE"""),499699.0)</f>
        <v>499699</v>
      </c>
      <c r="AH434" s="1">
        <f>IFERROR(__xludf.DUMMYFUNCTION("""COMPUTED_VALUE"""),24.0)</f>
        <v>24</v>
      </c>
      <c r="AI434" s="1" t="str">
        <f>IFERROR(__xludf.DUMMYFUNCTION("""COMPUTED_VALUE"""),"0000128531")</f>
        <v>0000128531</v>
      </c>
      <c r="AJ434" s="1">
        <f>IFERROR(__xludf.DUMMYFUNCTION("""COMPUTED_VALUE"""),7.5325751E7)</f>
        <v>75325751</v>
      </c>
      <c r="AK434" s="1">
        <f>IFERROR(__xludf.DUMMYFUNCTION("""COMPUTED_VALUE"""),9.71674814E8)</f>
        <v>971674814</v>
      </c>
      <c r="AL434" s="1" t="str">
        <f>IFERROR(__xludf.DUMMYFUNCTION("""COMPUTED_VALUE"""),"valentinarcondo008@gmail.com")</f>
        <v>valentinarcondo008@gmail.com</v>
      </c>
      <c r="AM434" s="1" t="str">
        <f>IFERROR(__xludf.DUMMYFUNCTION("""COMPUTED_VALUE"""),"FEMENINO")</f>
        <v>FEMENINO</v>
      </c>
      <c r="AN434" s="1">
        <f>IFERROR(__xludf.DUMMYFUNCTION("""COMPUTED_VALUE"""),1350.0)</f>
        <v>1350</v>
      </c>
      <c r="AO434" s="1">
        <f>IFERROR(__xludf.DUMMYFUNCTION("""COMPUTED_VALUE"""),0.0)</f>
        <v>0</v>
      </c>
      <c r="AP434" s="1" t="str">
        <f>IFERROR(__xludf.DUMMYFUNCTION("""COMPUTED_VALUE"""),"OUTBOUND")</f>
        <v>OUTBOUND</v>
      </c>
      <c r="AQ434" s="1" t="str">
        <f>IFERROR(__xludf.DUMMYFUNCTION("""COMPUTED_VALUE"""),"OUTBOUND")</f>
        <v>OUTBOUND</v>
      </c>
      <c r="AR434" s="1" t="str">
        <f>IFERROR(__xludf.DUMMYFUNCTION("""COMPUTED_VALUE"""),"NUEVO")</f>
        <v>NUEVO</v>
      </c>
      <c r="AS434" s="1"/>
      <c r="AT434" s="2">
        <f>IFERROR(__xludf.DUMMYFUNCTION("""COMPUTED_VALUE"""),45687.0)</f>
        <v>45687</v>
      </c>
      <c r="AU434" s="1">
        <f>IFERROR(__xludf.DUMMYFUNCTION("""COMPUTED_VALUE"""),1.0)</f>
        <v>1</v>
      </c>
      <c r="AV434" s="1" t="str">
        <f>IFERROR(__xludf.DUMMYFUNCTION("""COMPUTED_VALUE"""),"TRASLADO")</f>
        <v>TRASLADO</v>
      </c>
      <c r="AW434" s="1" t="str">
        <f>IFERROR(__xludf.DUMMYFUNCTION("""COMPUTED_VALUE"""),"SI")</f>
        <v>SI</v>
      </c>
      <c r="AX434" s="1"/>
      <c r="AY434" s="1" t="str">
        <f>IFERROR(__xludf.DUMMYFUNCTION("""COMPUTED_VALUE"""),"PAGO COMPLETO")</f>
        <v>PAGO COMPLETO</v>
      </c>
      <c r="AZ434" s="5">
        <f>IFERROR(__xludf.DUMMYFUNCTION("""COMPUTED_VALUE"""),45688.0)</f>
        <v>45688</v>
      </c>
      <c r="BA434" s="1">
        <f>IFERROR(__xludf.DUMMYFUNCTION("""COMPUTED_VALUE"""),0.0)</f>
        <v>0</v>
      </c>
      <c r="BB434" s="1">
        <f>IFERROR(__xludf.DUMMYFUNCTION("""COMPUTED_VALUE"""),0.0)</f>
        <v>0</v>
      </c>
      <c r="BC434" s="4">
        <f>IFERROR(__xludf.DUMMYFUNCTION("""COMPUTED_VALUE"""),0.0)</f>
        <v>0</v>
      </c>
      <c r="BD434" s="4">
        <f>IFERROR(__xludf.DUMMYFUNCTION("""COMPUTED_VALUE"""),0.0)</f>
        <v>0</v>
      </c>
      <c r="BE434" s="1">
        <f>IFERROR(__xludf.DUMMYFUNCTION("""COMPUTED_VALUE"""),1.0)</f>
        <v>1</v>
      </c>
      <c r="BF434" s="6">
        <f>IFERROR(__xludf.DUMMYFUNCTION("""COMPUTED_VALUE"""),1.0)</f>
        <v>1</v>
      </c>
      <c r="BG434" s="1">
        <f>IFERROR(__xludf.DUMMYFUNCTION("""COMPUTED_VALUE"""),1.0)</f>
        <v>1</v>
      </c>
      <c r="BH434" s="1" t="str">
        <f>IFERROR(__xludf.DUMMYFUNCTION("""COMPUTED_VALUE"""),"1")</f>
        <v>1</v>
      </c>
      <c r="BI434" s="4">
        <f>IFERROR(__xludf.DUMMYFUNCTION("""COMPUTED_VALUE"""),0.0)</f>
        <v>0</v>
      </c>
      <c r="BJ434" s="1">
        <f>IFERROR(__xludf.DUMMYFUNCTION("""COMPUTED_VALUE"""),0.0)</f>
        <v>0</v>
      </c>
      <c r="BK434" s="4">
        <f>IFERROR(__xludf.DUMMYFUNCTION("""COMPUTED_VALUE"""),700.0)</f>
        <v>700</v>
      </c>
      <c r="BL434" s="1">
        <f>IFERROR(__xludf.DUMMYFUNCTION("""COMPUTED_VALUE"""),560.0)</f>
        <v>560</v>
      </c>
      <c r="BM434" s="1">
        <f>IFERROR(__xludf.DUMMYFUNCTION("""COMPUTED_VALUE"""),5.0)</f>
        <v>5</v>
      </c>
      <c r="BN434" s="2">
        <f>IFERROR(__xludf.DUMMYFUNCTION("""COMPUTED_VALUE"""),45684.0)</f>
        <v>45684</v>
      </c>
      <c r="BO434" s="1">
        <f>IFERROR(__xludf.DUMMYFUNCTION("""COMPUTED_VALUE"""),1.0)</f>
        <v>1</v>
      </c>
      <c r="BP434" s="1">
        <f>IFERROR(__xludf.DUMMYFUNCTION("""COMPUTED_VALUE"""),2025.0)</f>
        <v>2025</v>
      </c>
    </row>
    <row r="435">
      <c r="A435" s="1">
        <f>IFERROR(__xludf.DUMMYFUNCTION("""COMPUTED_VALUE"""),434.0)</f>
        <v>434</v>
      </c>
      <c r="B435" s="1">
        <f>IFERROR(__xludf.DUMMYFUNCTION("""COMPUTED_VALUE"""),4860831.0)</f>
        <v>4860831</v>
      </c>
      <c r="C435" s="1" t="str">
        <f>IFERROR(__xludf.DUMMYFUNCTION("""COMPUTED_VALUE"""),"2025-1")</f>
        <v>2025-1</v>
      </c>
      <c r="D435" s="1" t="str">
        <f>IFERROR(__xludf.DUMMYFUNCTION("""COMPUTED_VALUE"""),"Admisión de Alto Rendimiento")</f>
        <v>Admisión de Alto Rendimiento</v>
      </c>
      <c r="E435" s="2">
        <f>IFERROR(__xludf.DUMMYFUNCTION("""COMPUTED_VALUE"""),45688.0)</f>
        <v>45688</v>
      </c>
      <c r="F435" s="1" t="str">
        <f>IFERROR(__xludf.DUMMYFUNCTION("""COMPUTED_VALUE"""),"MATHIAS AARON ")</f>
        <v>MATHIAS AARON </v>
      </c>
      <c r="G435" s="1" t="str">
        <f>IFERROR(__xludf.DUMMYFUNCTION("""COMPUTED_VALUE"""),"FARFAN VIVAR")</f>
        <v>FARFAN VIVAR</v>
      </c>
      <c r="H435" s="1" t="str">
        <f>IFERROR(__xludf.DUMMYFUNCTION("""COMPUTED_VALUE"""),"Diseño Gráfico Publicitario")</f>
        <v>Diseño Gráfico Publicitario</v>
      </c>
      <c r="I435" s="1" t="str">
        <f>IFERROR(__xludf.DUMMYFUNCTION("""COMPUTED_VALUE"""),"POS")</f>
        <v>POS</v>
      </c>
      <c r="J435" s="1" t="str">
        <f>IFERROR(__xludf.DUMMYFUNCTION("""COMPUTED_VALUE"""),"Diurno")</f>
        <v>Diurno</v>
      </c>
      <c r="K435" s="1" t="str">
        <f>IFERROR(__xludf.DUMMYFUNCTION("""COMPUTED_VALUE"""),"NUEVO")</f>
        <v>NUEVO</v>
      </c>
      <c r="L435" s="1">
        <f>IFERROR(__xludf.DUMMYFUNCTION("""COMPUTED_VALUE"""),0.0)</f>
        <v>0</v>
      </c>
      <c r="M435" s="1">
        <f>IFERROR(__xludf.DUMMYFUNCTION("""COMPUTED_VALUE"""),0.0)</f>
        <v>0</v>
      </c>
      <c r="N435" s="1" t="str">
        <f>IFERROR(__xludf.DUMMYFUNCTION("""COMPUTED_VALUE"""),"BECA")</f>
        <v>BECA</v>
      </c>
      <c r="O435" s="1" t="str">
        <f>IFERROR(__xludf.DUMMYFUNCTION("""COMPUTED_VALUE"""),"BECA CONGELADA DE 2 AÑOS")</f>
        <v>BECA CONGELADA DE 2 AÑOS</v>
      </c>
      <c r="P435" s="4">
        <f>IFERROR(__xludf.DUMMYFUNCTION("""COMPUTED_VALUE"""),0.0)</f>
        <v>0</v>
      </c>
      <c r="Q435" s="4">
        <f>IFERROR(__xludf.DUMMYFUNCTION("""COMPUTED_VALUE"""),0.0)</f>
        <v>0</v>
      </c>
      <c r="R435" s="4">
        <f>IFERROR(__xludf.DUMMYFUNCTION("""COMPUTED_VALUE"""),1150.0)</f>
        <v>1150</v>
      </c>
      <c r="S435" s="4">
        <f>IFERROR(__xludf.DUMMYFUNCTION("""COMPUTED_VALUE"""),950.0)</f>
        <v>950</v>
      </c>
      <c r="T435" s="1" t="str">
        <f>IFERROR(__xludf.DUMMYFUNCTION("""COMPUTED_VALUE"""),"Visita Guiada")</f>
        <v>Visita Guiada</v>
      </c>
      <c r="U435" s="1" t="str">
        <f>IFERROR(__xludf.DUMMYFUNCTION("""COMPUTED_VALUE"""),"FABIOLA")</f>
        <v>FABIOLA</v>
      </c>
      <c r="V435" s="1" t="str">
        <f>IFERROR(__xludf.DUMMYFUNCTION("""COMPUTED_VALUE"""),"Ninguno")</f>
        <v>Ninguno</v>
      </c>
      <c r="W435" s="1" t="str">
        <f>IFERROR(__xludf.DUMMYFUNCTION("""COMPUTED_VALUE"""),"Equipos e instalaciones")</f>
        <v>Equipos e instalaciones</v>
      </c>
      <c r="X435" s="1"/>
      <c r="Y435" s="1" t="str">
        <f>IFERROR(__xludf.DUMMYFUNCTION("""COMPUTED_VALUE"""),"PAGO COMPLETO")</f>
        <v>PAGO COMPLETO</v>
      </c>
      <c r="Z435" s="1"/>
      <c r="AA435" s="1"/>
      <c r="AB435" s="1">
        <f>IFERROR(__xludf.DUMMYFUNCTION("""COMPUTED_VALUE"""),1.0)</f>
        <v>1</v>
      </c>
      <c r="AC435" s="1">
        <f>IFERROR(__xludf.DUMMYFUNCTION("""COMPUTED_VALUE"""),0.0)</f>
        <v>0</v>
      </c>
      <c r="AD435" s="1" t="str">
        <f>IFERROR(__xludf.DUMMYFUNCTION("""COMPUTED_VALUE"""),"Fiorella Lanegra")</f>
        <v>Fiorella Lanegra</v>
      </c>
      <c r="AE435" s="1" t="str">
        <f>IFERROR(__xludf.DUMMYFUNCTION("""COMPUTED_VALUE"""),"0")</f>
        <v>0</v>
      </c>
      <c r="AF435" s="1">
        <f>IFERROR(__xludf.DUMMYFUNCTION("""COMPUTED_VALUE"""),2024.0)</f>
        <v>2024</v>
      </c>
      <c r="AG435" s="1">
        <f>IFERROR(__xludf.DUMMYFUNCTION("""COMPUTED_VALUE"""),884890.0)</f>
        <v>884890</v>
      </c>
      <c r="AH435" s="1">
        <f>IFERROR(__xludf.DUMMYFUNCTION("""COMPUTED_VALUE"""),17.0)</f>
        <v>17</v>
      </c>
      <c r="AI435" s="1" t="str">
        <f>IFERROR(__xludf.DUMMYFUNCTION("""COMPUTED_VALUE"""),"0000412601")</f>
        <v>0000412601</v>
      </c>
      <c r="AJ435" s="1">
        <f>IFERROR(__xludf.DUMMYFUNCTION("""COMPUTED_VALUE"""),6.1432957E7)</f>
        <v>61432957</v>
      </c>
      <c r="AK435" s="1">
        <f>IFERROR(__xludf.DUMMYFUNCTION("""COMPUTED_VALUE"""),9.81247145E8)</f>
        <v>981247145</v>
      </c>
      <c r="AL435" s="1" t="str">
        <f>IFERROR(__xludf.DUMMYFUNCTION("""COMPUTED_VALUE"""),"aaronm.fv2008@gmail.com")</f>
        <v>aaronm.fv2008@gmail.com</v>
      </c>
      <c r="AM435" s="1" t="str">
        <f>IFERROR(__xludf.DUMMYFUNCTION("""COMPUTED_VALUE"""),"MASCULINO")</f>
        <v>MASCULINO</v>
      </c>
      <c r="AN435" s="1">
        <f>IFERROR(__xludf.DUMMYFUNCTION("""COMPUTED_VALUE"""),1775.0)</f>
        <v>1775</v>
      </c>
      <c r="AO435" s="1">
        <f>IFERROR(__xludf.DUMMYFUNCTION("""COMPUTED_VALUE"""),350.0)</f>
        <v>350</v>
      </c>
      <c r="AP435" s="1" t="str">
        <f>IFERROR(__xludf.DUMMYFUNCTION("""COMPUTED_VALUE"""),"FORMULARIO")</f>
        <v>FORMULARIO</v>
      </c>
      <c r="AQ435" s="1" t="str">
        <f>IFERROR(__xludf.DUMMYFUNCTION("""COMPUTED_VALUE"""),"ORGANICO")</f>
        <v>ORGANICO</v>
      </c>
      <c r="AR435" s="1" t="str">
        <f>IFERROR(__xludf.DUMMYFUNCTION("""COMPUTED_VALUE"""),"NUEVO")</f>
        <v>NUEVO</v>
      </c>
      <c r="AS435" s="1"/>
      <c r="AT435" s="2">
        <f>IFERROR(__xludf.DUMMYFUNCTION("""COMPUTED_VALUE"""),45561.0)</f>
        <v>45561</v>
      </c>
      <c r="AU435" s="1">
        <f>IFERROR(__xludf.DUMMYFUNCTION("""COMPUTED_VALUE"""),1.0)</f>
        <v>1</v>
      </c>
      <c r="AV435" s="1" t="str">
        <f>IFERROR(__xludf.DUMMYFUNCTION("""COMPUTED_VALUE"""),"NUEVO")</f>
        <v>NUEVO</v>
      </c>
      <c r="AW435" s="1" t="str">
        <f>IFERROR(__xludf.DUMMYFUNCTION("""COMPUTED_VALUE"""),"SI")</f>
        <v>SI</v>
      </c>
      <c r="AX435" s="1"/>
      <c r="AY435" s="1" t="str">
        <f>IFERROR(__xludf.DUMMYFUNCTION("""COMPUTED_VALUE"""),"PAGO COMPLETO")</f>
        <v>PAGO COMPLETO</v>
      </c>
      <c r="AZ435" s="5">
        <f>IFERROR(__xludf.DUMMYFUNCTION("""COMPUTED_VALUE"""),45688.0)</f>
        <v>45688</v>
      </c>
      <c r="BA435" s="1">
        <f>IFERROR(__xludf.DUMMYFUNCTION("""COMPUTED_VALUE"""),0.0)</f>
        <v>0</v>
      </c>
      <c r="BB435" s="1">
        <f>IFERROR(__xludf.DUMMYFUNCTION("""COMPUTED_VALUE"""),0.0)</f>
        <v>0</v>
      </c>
      <c r="BC435" s="4">
        <f>IFERROR(__xludf.DUMMYFUNCTION("""COMPUTED_VALUE"""),0.0)</f>
        <v>0</v>
      </c>
      <c r="BD435" s="4">
        <f>IFERROR(__xludf.DUMMYFUNCTION("""COMPUTED_VALUE"""),100.0)</f>
        <v>100</v>
      </c>
      <c r="BE435" s="1">
        <f>IFERROR(__xludf.DUMMYFUNCTION("""COMPUTED_VALUE"""),1.0)</f>
        <v>1</v>
      </c>
      <c r="BF435" s="6">
        <f>IFERROR(__xludf.DUMMYFUNCTION("""COMPUTED_VALUE"""),1.0)</f>
        <v>1</v>
      </c>
      <c r="BG435" s="1">
        <f>IFERROR(__xludf.DUMMYFUNCTION("""COMPUTED_VALUE"""),1.0)</f>
        <v>1</v>
      </c>
      <c r="BH435" s="1" t="str">
        <f>IFERROR(__xludf.DUMMYFUNCTION("""COMPUTED_VALUE"""),"0")</f>
        <v>0</v>
      </c>
      <c r="BI435" s="4">
        <f>IFERROR(__xludf.DUMMYFUNCTION("""COMPUTED_VALUE"""),100.0)</f>
        <v>100</v>
      </c>
      <c r="BJ435" s="1">
        <f>IFERROR(__xludf.DUMMYFUNCTION("""COMPUTED_VALUE"""),0.0)</f>
        <v>0</v>
      </c>
      <c r="BK435" s="4">
        <f>IFERROR(__xludf.DUMMYFUNCTION("""COMPUTED_VALUE"""),100.0)</f>
        <v>100</v>
      </c>
      <c r="BL435" s="1">
        <f>IFERROR(__xludf.DUMMYFUNCTION("""COMPUTED_VALUE"""),930.0)</f>
        <v>930</v>
      </c>
      <c r="BM435" s="1">
        <f>IFERROR(__xludf.DUMMYFUNCTION("""COMPUTED_VALUE"""),5.0)</f>
        <v>5</v>
      </c>
      <c r="BN435" s="2">
        <f>IFERROR(__xludf.DUMMYFUNCTION("""COMPUTED_VALUE"""),45684.0)</f>
        <v>45684</v>
      </c>
      <c r="BO435" s="1">
        <f>IFERROR(__xludf.DUMMYFUNCTION("""COMPUTED_VALUE"""),1.0)</f>
        <v>1</v>
      </c>
      <c r="BP435" s="1">
        <f>IFERROR(__xludf.DUMMYFUNCTION("""COMPUTED_VALUE"""),2025.0)</f>
        <v>2025</v>
      </c>
    </row>
    <row r="436">
      <c r="A436" s="1">
        <f>IFERROR(__xludf.DUMMYFUNCTION("""COMPUTED_VALUE"""),435.0)</f>
        <v>435</v>
      </c>
      <c r="B436" s="1">
        <f>IFERROR(__xludf.DUMMYFUNCTION("""COMPUTED_VALUE"""),1656803.0)</f>
        <v>1656803</v>
      </c>
      <c r="C436" s="1" t="str">
        <f>IFERROR(__xludf.DUMMYFUNCTION("""COMPUTED_VALUE"""),"2025-1")</f>
        <v>2025-1</v>
      </c>
      <c r="D436" s="1" t="str">
        <f>IFERROR(__xludf.DUMMYFUNCTION("""COMPUTED_VALUE"""),"Admisión Extraordinaria (Traslados)")</f>
        <v>Admisión Extraordinaria (Traslados)</v>
      </c>
      <c r="E436" s="2">
        <f>IFERROR(__xludf.DUMMYFUNCTION("""COMPUTED_VALUE"""),45688.0)</f>
        <v>45688</v>
      </c>
      <c r="F436" s="1" t="str">
        <f>IFERROR(__xludf.DUMMYFUNCTION("""COMPUTED_VALUE"""),"MILAGROS MARIA ")</f>
        <v>MILAGROS MARIA </v>
      </c>
      <c r="G436" s="1" t="str">
        <f>IFERROR(__xludf.DUMMYFUNCTION("""COMPUTED_VALUE"""),"NUÑEZ DEL PRADO VIDAL")</f>
        <v>NUÑEZ DEL PRADO VIDAL</v>
      </c>
      <c r="H436" s="1" t="str">
        <f>IFERROR(__xludf.DUMMYFUNCTION("""COMPUTED_VALUE"""),"Arquitectura de Interiores")</f>
        <v>Arquitectura de Interiores</v>
      </c>
      <c r="I436" s="1" t="str">
        <f>IFERROR(__xludf.DUMMYFUNCTION("""COMPUTED_VALUE"""),"Pago Link")</f>
        <v>Pago Link</v>
      </c>
      <c r="J436" s="1" t="str">
        <f>IFERROR(__xludf.DUMMYFUNCTION("""COMPUTED_VALUE"""),"Diurno")</f>
        <v>Diurno</v>
      </c>
      <c r="K436" s="1" t="str">
        <f>IFERROR(__xludf.DUMMYFUNCTION("""COMPUTED_VALUE"""),"TRASLADO")</f>
        <v>TRASLADO</v>
      </c>
      <c r="L436" s="1">
        <f>IFERROR(__xludf.DUMMYFUNCTION("""COMPUTED_VALUE"""),1.0)</f>
        <v>1</v>
      </c>
      <c r="M436" s="1">
        <f>IFERROR(__xludf.DUMMYFUNCTION("""COMPUTED_VALUE"""),0.0)</f>
        <v>0</v>
      </c>
      <c r="N436" s="1" t="str">
        <f>IFERROR(__xludf.DUMMYFUNCTION("""COMPUTED_VALUE"""),"RECA")</f>
        <v>RECA</v>
      </c>
      <c r="O436" s="1" t="str">
        <f>IFERROR(__xludf.DUMMYFUNCTION("""COMPUTED_VALUE"""),"RECA TRASLADO CON CONVA")</f>
        <v>RECA TRASLADO CON CONVA</v>
      </c>
      <c r="P436" s="4">
        <f>IFERROR(__xludf.DUMMYFUNCTION("""COMPUTED_VALUE"""),0.0)</f>
        <v>0</v>
      </c>
      <c r="Q436" s="4">
        <f>IFERROR(__xludf.DUMMYFUNCTION("""COMPUTED_VALUE"""),0.0)</f>
        <v>0</v>
      </c>
      <c r="R436" s="4">
        <f>IFERROR(__xludf.DUMMYFUNCTION("""COMPUTED_VALUE"""),1600.0)</f>
        <v>1600</v>
      </c>
      <c r="S436" s="4">
        <f>IFERROR(__xludf.DUMMYFUNCTION("""COMPUTED_VALUE"""),750.0)</f>
        <v>750</v>
      </c>
      <c r="T436" s="1" t="str">
        <f>IFERROR(__xludf.DUMMYFUNCTION("""COMPUTED_VALUE"""),"NINGUNO")</f>
        <v>NINGUNO</v>
      </c>
      <c r="U436" s="1" t="str">
        <f>IFERROR(__xludf.DUMMYFUNCTION("""COMPUTED_VALUE"""),"RODRIGO")</f>
        <v>RODRIGO</v>
      </c>
      <c r="V436" s="1" t="str">
        <f>IFERROR(__xludf.DUMMYFUNCTION("""COMPUTED_VALUE"""),"Ninguno")</f>
        <v>Ninguno</v>
      </c>
      <c r="W436" s="1" t="str">
        <f>IFERROR(__xludf.DUMMYFUNCTION("""COMPUTED_VALUE"""),"Malla curricular")</f>
        <v>Malla curricular</v>
      </c>
      <c r="X436" s="1" t="str">
        <f>IFERROR(__xludf.DUMMYFUNCTION("""COMPUTED_VALUE"""),"ninguno")</f>
        <v>ninguno</v>
      </c>
      <c r="Y436" s="1" t="str">
        <f>IFERROR(__xludf.DUMMYFUNCTION("""COMPUTED_VALUE"""),"PAGO FRACCIONADO")</f>
        <v>PAGO FRACCIONADO</v>
      </c>
      <c r="Z436" s="1">
        <f>IFERROR(__xludf.DUMMYFUNCTION("""COMPUTED_VALUE"""),375.0)</f>
        <v>375</v>
      </c>
      <c r="AA436" s="1" t="str">
        <f>IFERROR(__xludf.DUMMYFUNCTION("""COMPUTED_VALUE"""),"07/02/2025")</f>
        <v>07/02/2025</v>
      </c>
      <c r="AB436" s="1">
        <f>IFERROR(__xludf.DUMMYFUNCTION("""COMPUTED_VALUE"""),0.0)</f>
        <v>0</v>
      </c>
      <c r="AC436" s="1">
        <f>IFERROR(__xludf.DUMMYFUNCTION("""COMPUTED_VALUE"""),0.0)</f>
        <v>0</v>
      </c>
      <c r="AD436" s="1" t="str">
        <f>IFERROR(__xludf.DUMMYFUNCTION("""COMPUTED_VALUE"""),"Rosa Ugarte")</f>
        <v>Rosa Ugarte</v>
      </c>
      <c r="AE436" s="1" t="str">
        <f>IFERROR(__xludf.DUMMYFUNCTION("""COMPUTED_VALUE"""),"Universidad Ricardo Palma")</f>
        <v>Universidad Ricardo Palma</v>
      </c>
      <c r="AF436" s="1">
        <f>IFERROR(__xludf.DUMMYFUNCTION("""COMPUTED_VALUE"""),0.0)</f>
        <v>0</v>
      </c>
      <c r="AG436" s="1">
        <f>IFERROR(__xludf.DUMMYFUNCTION("""COMPUTED_VALUE"""),325639.0)</f>
        <v>325639</v>
      </c>
      <c r="AH436" s="1">
        <f>IFERROR(__xludf.DUMMYFUNCTION("""COMPUTED_VALUE"""),45.0)</f>
        <v>45</v>
      </c>
      <c r="AI436" s="1" t="str">
        <f>IFERROR(__xludf.DUMMYFUNCTION("""COMPUTED_VALUE"""),"0000030645")</f>
        <v>0000030645</v>
      </c>
      <c r="AJ436" s="1">
        <f>IFERROR(__xludf.DUMMYFUNCTION("""COMPUTED_VALUE"""),4.0460903E7)</f>
        <v>40460903</v>
      </c>
      <c r="AK436" s="1">
        <f>IFERROR(__xludf.DUMMYFUNCTION("""COMPUTED_VALUE"""),9.86820342E8)</f>
        <v>986820342</v>
      </c>
      <c r="AL436" s="1" t="str">
        <f>IFERROR(__xludf.DUMMYFUNCTION("""COMPUTED_VALUE"""),"zpllen@gmail.com")</f>
        <v>zpllen@gmail.com</v>
      </c>
      <c r="AM436" s="1" t="str">
        <f>IFERROR(__xludf.DUMMYFUNCTION("""COMPUTED_VALUE"""),"FEMENINO")</f>
        <v>FEMENINO</v>
      </c>
      <c r="AN436" s="1">
        <f>IFERROR(__xludf.DUMMYFUNCTION("""COMPUTED_VALUE"""),1350.0)</f>
        <v>1350</v>
      </c>
      <c r="AO436" s="1">
        <f>IFERROR(__xludf.DUMMYFUNCTION("""COMPUTED_VALUE"""),0.0)</f>
        <v>0</v>
      </c>
      <c r="AP436" s="1" t="str">
        <f>IFERROR(__xludf.DUMMYFUNCTION("""COMPUTED_VALUE"""),"OUTBOUND")</f>
        <v>OUTBOUND</v>
      </c>
      <c r="AQ436" s="1" t="str">
        <f>IFERROR(__xludf.DUMMYFUNCTION("""COMPUTED_VALUE"""),"OUTBOUND")</f>
        <v>OUTBOUND</v>
      </c>
      <c r="AR436" s="1" t="str">
        <f>IFERROR(__xludf.DUMMYFUNCTION("""COMPUTED_VALUE"""),"HEREDADO")</f>
        <v>HEREDADO</v>
      </c>
      <c r="AS436" s="1"/>
      <c r="AT436" s="2">
        <f>IFERROR(__xludf.DUMMYFUNCTION("""COMPUTED_VALUE"""),45678.0)</f>
        <v>45678</v>
      </c>
      <c r="AU436" s="1">
        <f>IFERROR(__xludf.DUMMYFUNCTION("""COMPUTED_VALUE"""),1.0)</f>
        <v>1</v>
      </c>
      <c r="AV436" s="1" t="str">
        <f>IFERROR(__xludf.DUMMYFUNCTION("""COMPUTED_VALUE"""),"TRASLADO")</f>
        <v>TRASLADO</v>
      </c>
      <c r="AW436" s="1" t="str">
        <f>IFERROR(__xludf.DUMMYFUNCTION("""COMPUTED_VALUE"""),"SI")</f>
        <v>SI</v>
      </c>
      <c r="AX436" s="1"/>
      <c r="AY436" s="1" t="str">
        <f>IFERROR(__xludf.DUMMYFUNCTION("""COMPUTED_VALUE"""),"PAGO COMPLETO")</f>
        <v>PAGO COMPLETO</v>
      </c>
      <c r="AZ436" s="5">
        <f>IFERROR(__xludf.DUMMYFUNCTION("""COMPUTED_VALUE"""),45694.0)</f>
        <v>45694</v>
      </c>
      <c r="BA436" s="1">
        <f>IFERROR(__xludf.DUMMYFUNCTION("""COMPUTED_VALUE"""),375.0)</f>
        <v>375</v>
      </c>
      <c r="BB436" s="1">
        <f>IFERROR(__xludf.DUMMYFUNCTION("""COMPUTED_VALUE"""),0.0)</f>
        <v>0</v>
      </c>
      <c r="BC436" s="4">
        <f>IFERROR(__xludf.DUMMYFUNCTION("""COMPUTED_VALUE"""),0.0)</f>
        <v>0</v>
      </c>
      <c r="BD436" s="4">
        <f>IFERROR(__xludf.DUMMYFUNCTION("""COMPUTED_VALUE"""),0.0)</f>
        <v>0</v>
      </c>
      <c r="BE436" s="1">
        <f>IFERROR(__xludf.DUMMYFUNCTION("""COMPUTED_VALUE"""),1.0)</f>
        <v>1</v>
      </c>
      <c r="BF436" s="6">
        <f>IFERROR(__xludf.DUMMYFUNCTION("""COMPUTED_VALUE"""),1.0)</f>
        <v>1</v>
      </c>
      <c r="BG436" s="1">
        <f>IFERROR(__xludf.DUMMYFUNCTION("""COMPUTED_VALUE"""),1.0)</f>
        <v>1</v>
      </c>
      <c r="BH436" s="1" t="str">
        <f>IFERROR(__xludf.DUMMYFUNCTION("""COMPUTED_VALUE"""),"1")</f>
        <v>1</v>
      </c>
      <c r="BI436" s="4">
        <f>IFERROR(__xludf.DUMMYFUNCTION("""COMPUTED_VALUE"""),750.0)</f>
        <v>750</v>
      </c>
      <c r="BJ436" s="1">
        <f>IFERROR(__xludf.DUMMYFUNCTION("""COMPUTED_VALUE"""),0.0)</f>
        <v>0</v>
      </c>
      <c r="BK436" s="4">
        <f>IFERROR(__xludf.DUMMYFUNCTION("""COMPUTED_VALUE"""),0.0)</f>
        <v>0</v>
      </c>
      <c r="BL436" s="1">
        <f>IFERROR(__xludf.DUMMYFUNCTION("""COMPUTED_VALUE"""),750.0)</f>
        <v>750</v>
      </c>
      <c r="BM436" s="1">
        <f>IFERROR(__xludf.DUMMYFUNCTION("""COMPUTED_VALUE"""),5.0)</f>
        <v>5</v>
      </c>
      <c r="BN436" s="2">
        <f>IFERROR(__xludf.DUMMYFUNCTION("""COMPUTED_VALUE"""),45684.0)</f>
        <v>45684</v>
      </c>
      <c r="BO436" s="1">
        <f>IFERROR(__xludf.DUMMYFUNCTION("""COMPUTED_VALUE"""),1.0)</f>
        <v>1</v>
      </c>
      <c r="BP436" s="1">
        <f>IFERROR(__xludf.DUMMYFUNCTION("""COMPUTED_VALUE"""),2025.0)</f>
        <v>2025</v>
      </c>
    </row>
    <row r="437">
      <c r="A437" s="1">
        <f>IFERROR(__xludf.DUMMYFUNCTION("""COMPUTED_VALUE"""),436.0)</f>
        <v>436</v>
      </c>
      <c r="B437" s="1">
        <f>IFERROR(__xludf.DUMMYFUNCTION("""COMPUTED_VALUE"""),4578444.0)</f>
        <v>4578444</v>
      </c>
      <c r="C437" s="1" t="str">
        <f>IFERROR(__xludf.DUMMYFUNCTION("""COMPUTED_VALUE"""),"2025-1")</f>
        <v>2025-1</v>
      </c>
      <c r="D437" s="1" t="str">
        <f>IFERROR(__xludf.DUMMYFUNCTION("""COMPUTED_VALUE"""),"Admisión Ordinaria")</f>
        <v>Admisión Ordinaria</v>
      </c>
      <c r="E437" s="2">
        <f>IFERROR(__xludf.DUMMYFUNCTION("""COMPUTED_VALUE"""),45689.0)</f>
        <v>45689</v>
      </c>
      <c r="F437" s="1" t="str">
        <f>IFERROR(__xludf.DUMMYFUNCTION("""COMPUTED_VALUE"""),"DYLAN STEFANO")</f>
        <v>DYLAN STEFANO</v>
      </c>
      <c r="G437" s="1" t="str">
        <f>IFERROR(__xludf.DUMMYFUNCTION("""COMPUTED_VALUE"""),"JARAMILLO VIGILIO")</f>
        <v>JARAMILLO VIGILIO</v>
      </c>
      <c r="H437" s="1" t="str">
        <f>IFERROR(__xludf.DUMMYFUNCTION("""COMPUTED_VALUE"""),"Arquitectura de Interiores")</f>
        <v>Arquitectura de Interiores</v>
      </c>
      <c r="I437" s="1" t="str">
        <f>IFERROR(__xludf.DUMMYFUNCTION("""COMPUTED_VALUE"""),"CARGO")</f>
        <v>CARGO</v>
      </c>
      <c r="J437" s="1" t="str">
        <f>IFERROR(__xludf.DUMMYFUNCTION("""COMPUTED_VALUE"""),"Diurno")</f>
        <v>Diurno</v>
      </c>
      <c r="K437" s="1" t="str">
        <f>IFERROR(__xludf.DUMMYFUNCTION("""COMPUTED_VALUE"""),"NUEVO")</f>
        <v>NUEVO</v>
      </c>
      <c r="L437" s="1">
        <f>IFERROR(__xludf.DUMMYFUNCTION("""COMPUTED_VALUE"""),0.0)</f>
        <v>0</v>
      </c>
      <c r="M437" s="1">
        <f>IFERROR(__xludf.DUMMYFUNCTION("""COMPUTED_VALUE"""),0.0)</f>
        <v>0</v>
      </c>
      <c r="N437" s="1" t="str">
        <f>IFERROR(__xludf.DUMMYFUNCTION("""COMPUTED_VALUE"""),"BECA")</f>
        <v>BECA</v>
      </c>
      <c r="O437" s="1" t="str">
        <f>IFERROR(__xludf.DUMMYFUNCTION("""COMPUTED_VALUE"""),"BECA CARRERAS CORE")</f>
        <v>BECA CARRERAS CORE</v>
      </c>
      <c r="P437" s="4">
        <f>IFERROR(__xludf.DUMMYFUNCTION("""COMPUTED_VALUE"""),0.0)</f>
        <v>0</v>
      </c>
      <c r="Q437" s="4">
        <f>IFERROR(__xludf.DUMMYFUNCTION("""COMPUTED_VALUE"""),0.0)</f>
        <v>0</v>
      </c>
      <c r="R437" s="4">
        <f>IFERROR(__xludf.DUMMYFUNCTION("""COMPUTED_VALUE"""),1250.0)</f>
        <v>1250</v>
      </c>
      <c r="S437" s="4">
        <f>IFERROR(__xludf.DUMMYFUNCTION("""COMPUTED_VALUE"""),1000.0)</f>
        <v>1000</v>
      </c>
      <c r="T437" s="1" t="str">
        <f>IFERROR(__xludf.DUMMYFUNCTION("""COMPUTED_VALUE"""),"Refirio")</f>
        <v>Refirio</v>
      </c>
      <c r="U437" s="1"/>
      <c r="V437" s="1" t="str">
        <f>IFERROR(__xludf.DUMMYFUNCTION("""COMPUTED_VALUE"""),"Ninguno")</f>
        <v>Ninguno</v>
      </c>
      <c r="W437" s="1" t="str">
        <f>IFERROR(__xludf.DUMMYFUNCTION("""COMPUTED_VALUE"""),"Malla curricular")</f>
        <v>Malla curricular</v>
      </c>
      <c r="X437" s="1" t="str">
        <f>IFERROR(__xludf.DUMMYFUNCTION("""COMPUTED_VALUE"""),"LE GUSTA LA MALLA CURRICULAR ")</f>
        <v>LE GUSTA LA MALLA CURRICULAR </v>
      </c>
      <c r="Y437" s="1" t="str">
        <f>IFERROR(__xludf.DUMMYFUNCTION("""COMPUTED_VALUE"""),"PAGO COMPLETO")</f>
        <v>PAGO COMPLETO</v>
      </c>
      <c r="Z437" s="1"/>
      <c r="AA437" s="1"/>
      <c r="AB437" s="1">
        <f>IFERROR(__xludf.DUMMYFUNCTION("""COMPUTED_VALUE"""),0.0)</f>
        <v>0</v>
      </c>
      <c r="AC437" s="1">
        <f>IFERROR(__xludf.DUMMYFUNCTION("""COMPUTED_VALUE"""),0.0)</f>
        <v>0</v>
      </c>
      <c r="AD437" s="1" t="str">
        <f>IFERROR(__xludf.DUMMYFUNCTION("""COMPUTED_VALUE"""),"Daniel Zapata")</f>
        <v>Daniel Zapata</v>
      </c>
      <c r="AE437" s="1" t="str">
        <f>IFERROR(__xludf.DUMMYFUNCTION("""COMPUTED_VALUE"""),"0")</f>
        <v>0</v>
      </c>
      <c r="AF437" s="1">
        <f>IFERROR(__xludf.DUMMYFUNCTION("""COMPUTED_VALUE"""),2021.0)</f>
        <v>2021</v>
      </c>
      <c r="AG437" s="1">
        <f>IFERROR(__xludf.DUMMYFUNCTION("""COMPUTED_VALUE"""),0.0)</f>
        <v>0</v>
      </c>
      <c r="AH437" s="1">
        <f>IFERROR(__xludf.DUMMYFUNCTION("""COMPUTED_VALUE"""),20.0)</f>
        <v>20</v>
      </c>
      <c r="AI437" s="1" t="str">
        <f>IFERROR(__xludf.DUMMYFUNCTION("""COMPUTED_VALUE"""),"0000411977")</f>
        <v>0000411977</v>
      </c>
      <c r="AJ437" s="1">
        <f>IFERROR(__xludf.DUMMYFUNCTION("""COMPUTED_VALUE"""),6.1500245E7)</f>
        <v>61500245</v>
      </c>
      <c r="AK437" s="1">
        <f>IFERROR(__xludf.DUMMYFUNCTION("""COMPUTED_VALUE"""),9.32286635E8)</f>
        <v>932286635</v>
      </c>
      <c r="AL437" s="1" t="str">
        <f>IFERROR(__xludf.DUMMYFUNCTION("""COMPUTED_VALUE"""),"ldylanjaramillo@gmail.com")</f>
        <v>ldylanjaramillo@gmail.com</v>
      </c>
      <c r="AM437" s="1" t="str">
        <f>IFERROR(__xludf.DUMMYFUNCTION("""COMPUTED_VALUE"""),"MASCULINO")</f>
        <v>MASCULINO</v>
      </c>
      <c r="AN437" s="1">
        <f>IFERROR(__xludf.DUMMYFUNCTION("""COMPUTED_VALUE"""),1775.0)</f>
        <v>1775</v>
      </c>
      <c r="AO437" s="1">
        <f>IFERROR(__xludf.DUMMYFUNCTION("""COMPUTED_VALUE"""),310.0)</f>
        <v>310</v>
      </c>
      <c r="AP437" s="1" t="str">
        <f>IFERROR(__xludf.DUMMYFUNCTION("""COMPUTED_VALUE"""),"BIDIRECCIONAL")</f>
        <v>BIDIRECCIONAL</v>
      </c>
      <c r="AQ437" s="1" t="str">
        <f>IFERROR(__xludf.DUMMYFUNCTION("""COMPUTED_VALUE"""),"SEARCH MARCA")</f>
        <v>SEARCH MARCA</v>
      </c>
      <c r="AR437" s="1" t="str">
        <f>IFERROR(__xludf.DUMMYFUNCTION("""COMPUTED_VALUE"""),"NUEVO")</f>
        <v>NUEVO</v>
      </c>
      <c r="AS437" s="1" t="str">
        <f>IFERROR(__xludf.DUMMYFUNCTION("""COMPUTED_VALUE"""),"ucal-pg-performance-sedes-abierta-cpl-search_conversion_marca_carreras-20240702")</f>
        <v>ucal-pg-performance-sedes-abierta-cpl-search_conversion_marca_carreras-20240702</v>
      </c>
      <c r="AT437" s="2">
        <f>IFERROR(__xludf.DUMMYFUNCTION("""COMPUTED_VALUE"""),45685.0)</f>
        <v>45685</v>
      </c>
      <c r="AU437" s="1">
        <f>IFERROR(__xludf.DUMMYFUNCTION("""COMPUTED_VALUE"""),1.0)</f>
        <v>1</v>
      </c>
      <c r="AV437" s="1" t="str">
        <f>IFERROR(__xludf.DUMMYFUNCTION("""COMPUTED_VALUE"""),"NUEVO")</f>
        <v>NUEVO</v>
      </c>
      <c r="AW437" s="1" t="str">
        <f>IFERROR(__xludf.DUMMYFUNCTION("""COMPUTED_VALUE"""),"SI")</f>
        <v>SI</v>
      </c>
      <c r="AX437" s="1"/>
      <c r="AY437" s="1" t="str">
        <f>IFERROR(__xludf.DUMMYFUNCTION("""COMPUTED_VALUE"""),"PAGO COMPLETO")</f>
        <v>PAGO COMPLETO</v>
      </c>
      <c r="AZ437" s="5">
        <f>IFERROR(__xludf.DUMMYFUNCTION("""COMPUTED_VALUE"""),45689.0)</f>
        <v>45689</v>
      </c>
      <c r="BA437" s="1">
        <f>IFERROR(__xludf.DUMMYFUNCTION("""COMPUTED_VALUE"""),0.0)</f>
        <v>0</v>
      </c>
      <c r="BB437" s="1">
        <f>IFERROR(__xludf.DUMMYFUNCTION("""COMPUTED_VALUE"""),0.0)</f>
        <v>0</v>
      </c>
      <c r="BC437" s="4">
        <f>IFERROR(__xludf.DUMMYFUNCTION("""COMPUTED_VALUE"""),0.0)</f>
        <v>0</v>
      </c>
      <c r="BD437" s="4">
        <f>IFERROR(__xludf.DUMMYFUNCTION("""COMPUTED_VALUE"""),0.0)</f>
        <v>0</v>
      </c>
      <c r="BE437" s="1">
        <f>IFERROR(__xludf.DUMMYFUNCTION("""COMPUTED_VALUE"""),2.0)</f>
        <v>2</v>
      </c>
      <c r="BF437" s="6">
        <f>IFERROR(__xludf.DUMMYFUNCTION("""COMPUTED_VALUE"""),1.0)</f>
        <v>1</v>
      </c>
      <c r="BG437" s="1">
        <f>IFERROR(__xludf.DUMMYFUNCTION("""COMPUTED_VALUE"""),1.0)</f>
        <v>1</v>
      </c>
      <c r="BH437" s="1" t="str">
        <f>IFERROR(__xludf.DUMMYFUNCTION("""COMPUTED_VALUE"""),"0")</f>
        <v>0</v>
      </c>
      <c r="BI437" s="4">
        <f>IFERROR(__xludf.DUMMYFUNCTION("""COMPUTED_VALUE"""),0.0)</f>
        <v>0</v>
      </c>
      <c r="BJ437" s="1">
        <f>IFERROR(__xludf.DUMMYFUNCTION("""COMPUTED_VALUE"""),0.0)</f>
        <v>0</v>
      </c>
      <c r="BK437" s="4">
        <f>IFERROR(__xludf.DUMMYFUNCTION("""COMPUTED_VALUE"""),1000.0)</f>
        <v>1000</v>
      </c>
      <c r="BL437" s="1">
        <f>IFERROR(__xludf.DUMMYFUNCTION("""COMPUTED_VALUE"""),800.0)</f>
        <v>800</v>
      </c>
      <c r="BM437" s="1">
        <f>IFERROR(__xludf.DUMMYFUNCTION("""COMPUTED_VALUE"""),5.0)</f>
        <v>5</v>
      </c>
      <c r="BN437" s="2">
        <f>IFERROR(__xludf.DUMMYFUNCTION("""COMPUTED_VALUE"""),45684.0)</f>
        <v>45684</v>
      </c>
      <c r="BO437" s="1">
        <f>IFERROR(__xludf.DUMMYFUNCTION("""COMPUTED_VALUE"""),2.0)</f>
        <v>2</v>
      </c>
      <c r="BP437" s="1">
        <f>IFERROR(__xludf.DUMMYFUNCTION("""COMPUTED_VALUE"""),2025.0)</f>
        <v>2025</v>
      </c>
    </row>
    <row r="438">
      <c r="A438" s="1">
        <f>IFERROR(__xludf.DUMMYFUNCTION("""COMPUTED_VALUE"""),437.0)</f>
        <v>437</v>
      </c>
      <c r="B438" s="1">
        <f>IFERROR(__xludf.DUMMYFUNCTION("""COMPUTED_VALUE"""),4808166.0)</f>
        <v>4808166</v>
      </c>
      <c r="C438" s="1" t="str">
        <f>IFERROR(__xludf.DUMMYFUNCTION("""COMPUTED_VALUE"""),"2025-1")</f>
        <v>2025-1</v>
      </c>
      <c r="D438" s="1" t="str">
        <f>IFERROR(__xludf.DUMMYFUNCTION("""COMPUTED_VALUE"""),"Admisión de Alto Rendimiento")</f>
        <v>Admisión de Alto Rendimiento</v>
      </c>
      <c r="E438" s="2">
        <f>IFERROR(__xludf.DUMMYFUNCTION("""COMPUTED_VALUE"""),45689.0)</f>
        <v>45689</v>
      </c>
      <c r="F438" s="1" t="str">
        <f>IFERROR(__xludf.DUMMYFUNCTION("""COMPUTED_VALUE""")," MAYRON YADIR ")</f>
        <v> MAYRON YADIR </v>
      </c>
      <c r="G438" s="1" t="str">
        <f>IFERROR(__xludf.DUMMYFUNCTION("""COMPUTED_VALUE"""),"ZAPANA MASGO")</f>
        <v>ZAPANA MASGO</v>
      </c>
      <c r="H438" s="1" t="str">
        <f>IFERROR(__xludf.DUMMYFUNCTION("""COMPUTED_VALUE"""),"Comunicación Audiovisual y Cine")</f>
        <v>Comunicación Audiovisual y Cine</v>
      </c>
      <c r="I438" s="1" t="str">
        <f>IFERROR(__xludf.DUMMYFUNCTION("""COMPUTED_VALUE"""),"CARGO")</f>
        <v>CARGO</v>
      </c>
      <c r="J438" s="1" t="str">
        <f>IFERROR(__xludf.DUMMYFUNCTION("""COMPUTED_VALUE"""),"Diurno")</f>
        <v>Diurno</v>
      </c>
      <c r="K438" s="1" t="str">
        <f>IFERROR(__xludf.DUMMYFUNCTION("""COMPUTED_VALUE"""),"NUEVO")</f>
        <v>NUEVO</v>
      </c>
      <c r="L438" s="1">
        <f>IFERROR(__xludf.DUMMYFUNCTION("""COMPUTED_VALUE"""),0.0)</f>
        <v>0</v>
      </c>
      <c r="M438" s="1">
        <f>IFERROR(__xludf.DUMMYFUNCTION("""COMPUTED_VALUE"""),0.0)</f>
        <v>0</v>
      </c>
      <c r="N438" s="1" t="str">
        <f>IFERROR(__xludf.DUMMYFUNCTION("""COMPUTED_VALUE"""),"BECA")</f>
        <v>BECA</v>
      </c>
      <c r="O438" s="1" t="str">
        <f>IFERROR(__xludf.DUMMYFUNCTION("""COMPUTED_VALUE"""),"BECA CARRERAS CORE")</f>
        <v>BECA CARRERAS CORE</v>
      </c>
      <c r="P438" s="4">
        <f>IFERROR(__xludf.DUMMYFUNCTION("""COMPUTED_VALUE"""),0.0)</f>
        <v>0</v>
      </c>
      <c r="Q438" s="4">
        <f>IFERROR(__xludf.DUMMYFUNCTION("""COMPUTED_VALUE"""),0.0)</f>
        <v>0</v>
      </c>
      <c r="R438" s="4">
        <f>IFERROR(__xludf.DUMMYFUNCTION("""COMPUTED_VALUE"""),950.0)</f>
        <v>950</v>
      </c>
      <c r="S438" s="4">
        <f>IFERROR(__xludf.DUMMYFUNCTION("""COMPUTED_VALUE"""),800.0)</f>
        <v>800</v>
      </c>
      <c r="T438" s="1" t="str">
        <f>IFERROR(__xludf.DUMMYFUNCTION("""COMPUTED_VALUE"""),"PALANCA 500")</f>
        <v>PALANCA 500</v>
      </c>
      <c r="U438" s="1" t="str">
        <f>IFERROR(__xludf.DUMMYFUNCTION("""COMPUTED_VALUE"""),"RODRIGO")</f>
        <v>RODRIGO</v>
      </c>
      <c r="V438" s="1" t="str">
        <f>IFERROR(__xludf.DUMMYFUNCTION("""COMPUTED_VALUE"""),"Ninguno")</f>
        <v>Ninguno</v>
      </c>
      <c r="W438" s="1" t="str">
        <f>IFERROR(__xludf.DUMMYFUNCTION("""COMPUTED_VALUE"""),"Metodología de enseñanza")</f>
        <v>Metodología de enseñanza</v>
      </c>
      <c r="X438" s="1"/>
      <c r="Y438" s="1" t="str">
        <f>IFERROR(__xludf.DUMMYFUNCTION("""COMPUTED_VALUE"""),"PAGO COMPLETO")</f>
        <v>PAGO COMPLETO</v>
      </c>
      <c r="Z438" s="1"/>
      <c r="AA438" s="1"/>
      <c r="AB438" s="1">
        <f>IFERROR(__xludf.DUMMYFUNCTION("""COMPUTED_VALUE"""),0.0)</f>
        <v>0</v>
      </c>
      <c r="AC438" s="1">
        <f>IFERROR(__xludf.DUMMYFUNCTION("""COMPUTED_VALUE"""),0.0)</f>
        <v>0</v>
      </c>
      <c r="AD438" s="1" t="str">
        <f>IFERROR(__xludf.DUMMYFUNCTION("""COMPUTED_VALUE"""),"Ingrid Guillermo Rivera")</f>
        <v>Ingrid Guillermo Rivera</v>
      </c>
      <c r="AE438" s="1" t="str">
        <f>IFERROR(__xludf.DUMMYFUNCTION("""COMPUTED_VALUE"""),"0")</f>
        <v>0</v>
      </c>
      <c r="AF438" s="1">
        <f>IFERROR(__xludf.DUMMYFUNCTION("""COMPUTED_VALUE"""),2024.0)</f>
        <v>2024</v>
      </c>
      <c r="AG438" s="1">
        <f>IFERROR(__xludf.DUMMYFUNCTION("""COMPUTED_VALUE"""),762781.0)</f>
        <v>762781</v>
      </c>
      <c r="AH438" s="1">
        <f>IFERROR(__xludf.DUMMYFUNCTION("""COMPUTED_VALUE"""),18.0)</f>
        <v>18</v>
      </c>
      <c r="AI438" s="1" t="str">
        <f>IFERROR(__xludf.DUMMYFUNCTION("""COMPUTED_VALUE"""),"0000412736")</f>
        <v>0000412736</v>
      </c>
      <c r="AJ438" s="1">
        <f>IFERROR(__xludf.DUMMYFUNCTION("""COMPUTED_VALUE"""),7.0949782E7)</f>
        <v>70949782</v>
      </c>
      <c r="AK438" s="1">
        <f>IFERROR(__xludf.DUMMYFUNCTION("""COMPUTED_VALUE"""),9.99836681E8)</f>
        <v>999836681</v>
      </c>
      <c r="AL438" s="1" t="str">
        <f>IFERROR(__xludf.DUMMYFUNCTION("""COMPUTED_VALUE"""),"yadirmayron@gmail.com")</f>
        <v>yadirmayron@gmail.com</v>
      </c>
      <c r="AM438" s="1" t="str">
        <f>IFERROR(__xludf.DUMMYFUNCTION("""COMPUTED_VALUE"""),"MASCULINO")</f>
        <v>MASCULINO</v>
      </c>
      <c r="AN438" s="1">
        <f>IFERROR(__xludf.DUMMYFUNCTION("""COMPUTED_VALUE"""),1350.0)</f>
        <v>1350</v>
      </c>
      <c r="AO438" s="1">
        <f>IFERROR(__xludf.DUMMYFUNCTION("""COMPUTED_VALUE"""),0.0)</f>
        <v>0</v>
      </c>
      <c r="AP438" s="1" t="str">
        <f>IFERROR(__xludf.DUMMYFUNCTION("""COMPUTED_VALUE"""),"FORMULARIO")</f>
        <v>FORMULARIO</v>
      </c>
      <c r="AQ438" s="1" t="str">
        <f>IFERROR(__xludf.DUMMYFUNCTION("""COMPUTED_VALUE"""),"ORGANICO")</f>
        <v>ORGANICO</v>
      </c>
      <c r="AR438" s="1" t="str">
        <f>IFERROR(__xludf.DUMMYFUNCTION("""COMPUTED_VALUE"""),"NUEVO")</f>
        <v>NUEVO</v>
      </c>
      <c r="AS438" s="1"/>
      <c r="AT438" s="2">
        <f>IFERROR(__xludf.DUMMYFUNCTION("""COMPUTED_VALUE"""),45611.0)</f>
        <v>45611</v>
      </c>
      <c r="AU438" s="1">
        <f>IFERROR(__xludf.DUMMYFUNCTION("""COMPUTED_VALUE"""),1.0)</f>
        <v>1</v>
      </c>
      <c r="AV438" s="1" t="str">
        <f>IFERROR(__xludf.DUMMYFUNCTION("""COMPUTED_VALUE"""),"NUEVO")</f>
        <v>NUEVO</v>
      </c>
      <c r="AW438" s="1" t="str">
        <f>IFERROR(__xludf.DUMMYFUNCTION("""COMPUTED_VALUE"""),"SI")</f>
        <v>SI</v>
      </c>
      <c r="AX438" s="1"/>
      <c r="AY438" s="1" t="str">
        <f>IFERROR(__xludf.DUMMYFUNCTION("""COMPUTED_VALUE"""),"PAGO COMPLETO")</f>
        <v>PAGO COMPLETO</v>
      </c>
      <c r="AZ438" s="5">
        <f>IFERROR(__xludf.DUMMYFUNCTION("""COMPUTED_VALUE"""),45689.0)</f>
        <v>45689</v>
      </c>
      <c r="BA438" s="1">
        <f>IFERROR(__xludf.DUMMYFUNCTION("""COMPUTED_VALUE"""),0.0)</f>
        <v>0</v>
      </c>
      <c r="BB438" s="1">
        <f>IFERROR(__xludf.DUMMYFUNCTION("""COMPUTED_VALUE"""),0.0)</f>
        <v>0</v>
      </c>
      <c r="BC438" s="4">
        <f>IFERROR(__xludf.DUMMYFUNCTION("""COMPUTED_VALUE"""),0.0)</f>
        <v>0</v>
      </c>
      <c r="BD438" s="4">
        <f>IFERROR(__xludf.DUMMYFUNCTION("""COMPUTED_VALUE"""),300.0)</f>
        <v>300</v>
      </c>
      <c r="BE438" s="1">
        <f>IFERROR(__xludf.DUMMYFUNCTION("""COMPUTED_VALUE"""),2.0)</f>
        <v>2</v>
      </c>
      <c r="BF438" s="6">
        <f>IFERROR(__xludf.DUMMYFUNCTION("""COMPUTED_VALUE"""),1.0)</f>
        <v>1</v>
      </c>
      <c r="BG438" s="1">
        <f>IFERROR(__xludf.DUMMYFUNCTION("""COMPUTED_VALUE"""),1.0)</f>
        <v>1</v>
      </c>
      <c r="BH438" s="1" t="str">
        <f>IFERROR(__xludf.DUMMYFUNCTION("""COMPUTED_VALUE"""),"0")</f>
        <v>0</v>
      </c>
      <c r="BI438" s="4">
        <f>IFERROR(__xludf.DUMMYFUNCTION("""COMPUTED_VALUE"""),300.0)</f>
        <v>300</v>
      </c>
      <c r="BJ438" s="1">
        <f>IFERROR(__xludf.DUMMYFUNCTION("""COMPUTED_VALUE"""),0.0)</f>
        <v>0</v>
      </c>
      <c r="BK438" s="4">
        <f>IFERROR(__xludf.DUMMYFUNCTION("""COMPUTED_VALUE"""),300.0)</f>
        <v>300</v>
      </c>
      <c r="BL438" s="1">
        <f>IFERROR(__xludf.DUMMYFUNCTION("""COMPUTED_VALUE"""),740.0)</f>
        <v>740</v>
      </c>
      <c r="BM438" s="1">
        <f>IFERROR(__xludf.DUMMYFUNCTION("""COMPUTED_VALUE"""),5.0)</f>
        <v>5</v>
      </c>
      <c r="BN438" s="2">
        <f>IFERROR(__xludf.DUMMYFUNCTION("""COMPUTED_VALUE"""),45684.0)</f>
        <v>45684</v>
      </c>
      <c r="BO438" s="1">
        <f>IFERROR(__xludf.DUMMYFUNCTION("""COMPUTED_VALUE"""),2.0)</f>
        <v>2</v>
      </c>
      <c r="BP438" s="1">
        <f>IFERROR(__xludf.DUMMYFUNCTION("""COMPUTED_VALUE"""),2025.0)</f>
        <v>2025</v>
      </c>
    </row>
    <row r="439">
      <c r="A439" s="1">
        <f>IFERROR(__xludf.DUMMYFUNCTION("""COMPUTED_VALUE"""),438.0)</f>
        <v>438</v>
      </c>
      <c r="B439" s="1">
        <f>IFERROR(__xludf.DUMMYFUNCTION("""COMPUTED_VALUE"""),4975123.0)</f>
        <v>4975123</v>
      </c>
      <c r="C439" s="1" t="str">
        <f>IFERROR(__xludf.DUMMYFUNCTION("""COMPUTED_VALUE"""),"2025-1")</f>
        <v>2025-1</v>
      </c>
      <c r="D439" s="1" t="str">
        <f>IFERROR(__xludf.DUMMYFUNCTION("""COMPUTED_VALUE"""),"Admisión Ordinaria")</f>
        <v>Admisión Ordinaria</v>
      </c>
      <c r="E439" s="2">
        <f>IFERROR(__xludf.DUMMYFUNCTION("""COMPUTED_VALUE"""),45689.0)</f>
        <v>45689</v>
      </c>
      <c r="F439" s="1" t="str">
        <f>IFERROR(__xludf.DUMMYFUNCTION("""COMPUTED_VALUE""")," LUCIANA")</f>
        <v> LUCIANA</v>
      </c>
      <c r="G439" s="1" t="str">
        <f>IFERROR(__xludf.DUMMYFUNCTION("""COMPUTED_VALUE""")," RUIZ HUAMAN")</f>
        <v> RUIZ HUAMAN</v>
      </c>
      <c r="H439" s="1" t="str">
        <f>IFERROR(__xludf.DUMMYFUNCTION("""COMPUTED_VALUE"""),"Comunicación y Publicidad Transmedia")</f>
        <v>Comunicación y Publicidad Transmedia</v>
      </c>
      <c r="I439" s="1" t="str">
        <f>IFERROR(__xludf.DUMMYFUNCTION("""COMPUTED_VALUE"""),"POS")</f>
        <v>POS</v>
      </c>
      <c r="J439" s="1" t="str">
        <f>IFERROR(__xludf.DUMMYFUNCTION("""COMPUTED_VALUE"""),"Diurno")</f>
        <v>Diurno</v>
      </c>
      <c r="K439" s="1" t="str">
        <f>IFERROR(__xludf.DUMMYFUNCTION("""COMPUTED_VALUE"""),"NUEVO")</f>
        <v>NUEVO</v>
      </c>
      <c r="L439" s="1">
        <f>IFERROR(__xludf.DUMMYFUNCTION("""COMPUTED_VALUE"""),0.0)</f>
        <v>0</v>
      </c>
      <c r="M439" s="1">
        <f>IFERROR(__xludf.DUMMYFUNCTION("""COMPUTED_VALUE"""),0.0)</f>
        <v>0</v>
      </c>
      <c r="N439" s="1" t="str">
        <f>IFERROR(__xludf.DUMMYFUNCTION("""COMPUTED_VALUE"""),"BECA")</f>
        <v>BECA</v>
      </c>
      <c r="O439" s="1" t="str">
        <f>IFERROR(__xludf.DUMMYFUNCTION("""COMPUTED_VALUE"""),"BECA CARRERAS CORE")</f>
        <v>BECA CARRERAS CORE</v>
      </c>
      <c r="P439" s="4">
        <f>IFERROR(__xludf.DUMMYFUNCTION("""COMPUTED_VALUE"""),0.0)</f>
        <v>0</v>
      </c>
      <c r="Q439" s="4">
        <f>IFERROR(__xludf.DUMMYFUNCTION("""COMPUTED_VALUE"""),0.0)</f>
        <v>0</v>
      </c>
      <c r="R439" s="4">
        <f>IFERROR(__xludf.DUMMYFUNCTION("""COMPUTED_VALUE"""),1250.0)</f>
        <v>1250</v>
      </c>
      <c r="S439" s="4">
        <f>IFERROR(__xludf.DUMMYFUNCTION("""COMPUTED_VALUE"""),1050.0)</f>
        <v>1050</v>
      </c>
      <c r="T439" s="1" t="str">
        <f>IFERROR(__xludf.DUMMYFUNCTION("""COMPUTED_VALUE"""),"PALANCA 500")</f>
        <v>PALANCA 500</v>
      </c>
      <c r="U439" s="1"/>
      <c r="V439" s="1" t="str">
        <f>IFERROR(__xludf.DUMMYFUNCTION("""COMPUTED_VALUE"""),"Ninguno")</f>
        <v>Ninguno</v>
      </c>
      <c r="W439" s="1" t="str">
        <f>IFERROR(__xludf.DUMMYFUNCTION("""COMPUTED_VALUE"""),"Metodología de enseñanza")</f>
        <v>Metodología de enseñanza</v>
      </c>
      <c r="X439" s="1"/>
      <c r="Y439" s="1" t="str">
        <f>IFERROR(__xludf.DUMMYFUNCTION("""COMPUTED_VALUE"""),"PAGO COMPLETO")</f>
        <v>PAGO COMPLETO</v>
      </c>
      <c r="Z439" s="1"/>
      <c r="AA439" s="1"/>
      <c r="AB439" s="1">
        <f>IFERROR(__xludf.DUMMYFUNCTION("""COMPUTED_VALUE"""),0.0)</f>
        <v>0</v>
      </c>
      <c r="AC439" s="1">
        <f>IFERROR(__xludf.DUMMYFUNCTION("""COMPUTED_VALUE"""),0.0)</f>
        <v>0</v>
      </c>
      <c r="AD439" s="1" t="str">
        <f>IFERROR(__xludf.DUMMYFUNCTION("""COMPUTED_VALUE"""),"Ingrid Guillermo Rivera")</f>
        <v>Ingrid Guillermo Rivera</v>
      </c>
      <c r="AE439" s="1" t="str">
        <f>IFERROR(__xludf.DUMMYFUNCTION("""COMPUTED_VALUE"""),"0")</f>
        <v>0</v>
      </c>
      <c r="AF439" s="1">
        <f>IFERROR(__xludf.DUMMYFUNCTION("""COMPUTED_VALUE"""),2022.0)</f>
        <v>2022</v>
      </c>
      <c r="AG439" s="1">
        <f>IFERROR(__xludf.DUMMYFUNCTION("""COMPUTED_VALUE"""),1774249.0)</f>
        <v>1774249</v>
      </c>
      <c r="AH439" s="1">
        <f>IFERROR(__xludf.DUMMYFUNCTION("""COMPUTED_VALUE"""),19.0)</f>
        <v>19</v>
      </c>
      <c r="AI439" s="1" t="str">
        <f>IFERROR(__xludf.DUMMYFUNCTION("""COMPUTED_VALUE"""),"0000412717")</f>
        <v>0000412717</v>
      </c>
      <c r="AJ439" s="1">
        <f>IFERROR(__xludf.DUMMYFUNCTION("""COMPUTED_VALUE"""),7.7053687E7)</f>
        <v>77053687</v>
      </c>
      <c r="AK439" s="1">
        <f>IFERROR(__xludf.DUMMYFUNCTION("""COMPUTED_VALUE"""),9.55455041E8)</f>
        <v>955455041</v>
      </c>
      <c r="AL439" s="1" t="str">
        <f>IFERROR(__xludf.DUMMYFUNCTION("""COMPUTED_VALUE"""),"LUCIANARH0108@gmail.com")</f>
        <v>LUCIANARH0108@gmail.com</v>
      </c>
      <c r="AM439" s="1" t="str">
        <f>IFERROR(__xludf.DUMMYFUNCTION("""COMPUTED_VALUE"""),"FEMENINO")</f>
        <v>FEMENINO</v>
      </c>
      <c r="AN439" s="1">
        <f>IFERROR(__xludf.DUMMYFUNCTION("""COMPUTED_VALUE"""),1525.0)</f>
        <v>1525</v>
      </c>
      <c r="AO439" s="1">
        <f>IFERROR(__xludf.DUMMYFUNCTION("""COMPUTED_VALUE"""),190.0)</f>
        <v>190</v>
      </c>
      <c r="AP439" s="1" t="str">
        <f>IFERROR(__xludf.DUMMYFUNCTION("""COMPUTED_VALUE"""),"FORMULARIO")</f>
        <v>FORMULARIO</v>
      </c>
      <c r="AQ439" s="1" t="str">
        <f>IFERROR(__xludf.DUMMYFUNCTION("""COMPUTED_VALUE"""),"SEARCH CARRERA")</f>
        <v>SEARCH CARRERA</v>
      </c>
      <c r="AR439" s="1" t="str">
        <f>IFERROR(__xludf.DUMMYFUNCTION("""COMPUTED_VALUE"""),"NUEVO")</f>
        <v>NUEVO</v>
      </c>
      <c r="AS439" s="1" t="str">
        <f>IFERROR(__xludf.DUMMYFUNCTION("""COMPUTED_VALUE"""),"ucal-pg-performance-sedes-abierta-cpl-search_conversion_mundo_comunicaciones-20240401")</f>
        <v>ucal-pg-performance-sedes-abierta-cpl-search_conversion_mundo_comunicaciones-20240401</v>
      </c>
      <c r="AT439" s="2">
        <f>IFERROR(__xludf.DUMMYFUNCTION("""COMPUTED_VALUE"""),45684.0)</f>
        <v>45684</v>
      </c>
      <c r="AU439" s="1">
        <f>IFERROR(__xludf.DUMMYFUNCTION("""COMPUTED_VALUE"""),1.0)</f>
        <v>1</v>
      </c>
      <c r="AV439" s="1" t="str">
        <f>IFERROR(__xludf.DUMMYFUNCTION("""COMPUTED_VALUE"""),"NUEVO")</f>
        <v>NUEVO</v>
      </c>
      <c r="AW439" s="1" t="str">
        <f>IFERROR(__xludf.DUMMYFUNCTION("""COMPUTED_VALUE"""),"SI")</f>
        <v>SI</v>
      </c>
      <c r="AX439" s="1"/>
      <c r="AY439" s="1" t="str">
        <f>IFERROR(__xludf.DUMMYFUNCTION("""COMPUTED_VALUE"""),"PAGO COMPLETO")</f>
        <v>PAGO COMPLETO</v>
      </c>
      <c r="AZ439" s="5">
        <f>IFERROR(__xludf.DUMMYFUNCTION("""COMPUTED_VALUE"""),45689.0)</f>
        <v>45689</v>
      </c>
      <c r="BA439" s="1">
        <f>IFERROR(__xludf.DUMMYFUNCTION("""COMPUTED_VALUE"""),0.0)</f>
        <v>0</v>
      </c>
      <c r="BB439" s="1">
        <f>IFERROR(__xludf.DUMMYFUNCTION("""COMPUTED_VALUE"""),0.0)</f>
        <v>0</v>
      </c>
      <c r="BC439" s="4">
        <f>IFERROR(__xludf.DUMMYFUNCTION("""COMPUTED_VALUE"""),0.0)</f>
        <v>0</v>
      </c>
      <c r="BD439" s="4">
        <f>IFERROR(__xludf.DUMMYFUNCTION("""COMPUTED_VALUE"""),550.0)</f>
        <v>550</v>
      </c>
      <c r="BE439" s="1">
        <f>IFERROR(__xludf.DUMMYFUNCTION("""COMPUTED_VALUE"""),2.0)</f>
        <v>2</v>
      </c>
      <c r="BF439" s="6">
        <f>IFERROR(__xludf.DUMMYFUNCTION("""COMPUTED_VALUE"""),1.0)</f>
        <v>1</v>
      </c>
      <c r="BG439" s="1">
        <f>IFERROR(__xludf.DUMMYFUNCTION("""COMPUTED_VALUE"""),1.0)</f>
        <v>1</v>
      </c>
      <c r="BH439" s="1" t="str">
        <f>IFERROR(__xludf.DUMMYFUNCTION("""COMPUTED_VALUE"""),"0")</f>
        <v>0</v>
      </c>
      <c r="BI439" s="4">
        <f>IFERROR(__xludf.DUMMYFUNCTION("""COMPUTED_VALUE"""),550.0)</f>
        <v>550</v>
      </c>
      <c r="BJ439" s="1">
        <f>IFERROR(__xludf.DUMMYFUNCTION("""COMPUTED_VALUE"""),0.0)</f>
        <v>0</v>
      </c>
      <c r="BK439" s="4">
        <f>IFERROR(__xludf.DUMMYFUNCTION("""COMPUTED_VALUE"""),550.0)</f>
        <v>550</v>
      </c>
      <c r="BL439" s="1">
        <f>IFERROR(__xludf.DUMMYFUNCTION("""COMPUTED_VALUE"""),940.0)</f>
        <v>940</v>
      </c>
      <c r="BM439" s="1">
        <f>IFERROR(__xludf.DUMMYFUNCTION("""COMPUTED_VALUE"""),5.0)</f>
        <v>5</v>
      </c>
      <c r="BN439" s="2">
        <f>IFERROR(__xludf.DUMMYFUNCTION("""COMPUTED_VALUE"""),45684.0)</f>
        <v>45684</v>
      </c>
      <c r="BO439" s="1">
        <f>IFERROR(__xludf.DUMMYFUNCTION("""COMPUTED_VALUE"""),2.0)</f>
        <v>2</v>
      </c>
      <c r="BP439" s="1">
        <f>IFERROR(__xludf.DUMMYFUNCTION("""COMPUTED_VALUE"""),2025.0)</f>
        <v>2025</v>
      </c>
    </row>
    <row r="440">
      <c r="A440" s="1">
        <f>IFERROR(__xludf.DUMMYFUNCTION("""COMPUTED_VALUE"""),439.0)</f>
        <v>439</v>
      </c>
      <c r="B440" s="1">
        <f>IFERROR(__xludf.DUMMYFUNCTION("""COMPUTED_VALUE"""),4979466.0)</f>
        <v>4979466</v>
      </c>
      <c r="C440" s="1" t="str">
        <f>IFERROR(__xludf.DUMMYFUNCTION("""COMPUTED_VALUE"""),"2025-1")</f>
        <v>2025-1</v>
      </c>
      <c r="D440" s="1" t="str">
        <f>IFERROR(__xludf.DUMMYFUNCTION("""COMPUTED_VALUE"""),"Admisión de Alto Rendimiento")</f>
        <v>Admisión de Alto Rendimiento</v>
      </c>
      <c r="E440" s="2">
        <f>IFERROR(__xludf.DUMMYFUNCTION("""COMPUTED_VALUE"""),45689.0)</f>
        <v>45689</v>
      </c>
      <c r="F440" s="1" t="str">
        <f>IFERROR(__xludf.DUMMYFUNCTION("""COMPUTED_VALUE"""),"JHOSHUA STEFANO IVAN")</f>
        <v>JHOSHUA STEFANO IVAN</v>
      </c>
      <c r="G440" s="1" t="str">
        <f>IFERROR(__xludf.DUMMYFUNCTION("""COMPUTED_VALUE""")," FLORES GAVILAN")</f>
        <v> FLORES GAVILAN</v>
      </c>
      <c r="H440" s="1" t="str">
        <f>IFERROR(__xludf.DUMMYFUNCTION("""COMPUTED_VALUE"""),"Comunicación Audiovisual y Cine")</f>
        <v>Comunicación Audiovisual y Cine</v>
      </c>
      <c r="I440" s="1" t="str">
        <f>IFERROR(__xludf.DUMMYFUNCTION("""COMPUTED_VALUE"""),"CARGO")</f>
        <v>CARGO</v>
      </c>
      <c r="J440" s="1" t="str">
        <f>IFERROR(__xludf.DUMMYFUNCTION("""COMPUTED_VALUE"""),"Diurno")</f>
        <v>Diurno</v>
      </c>
      <c r="K440" s="1" t="str">
        <f>IFERROR(__xludf.DUMMYFUNCTION("""COMPUTED_VALUE"""),"NUEVO")</f>
        <v>NUEVO</v>
      </c>
      <c r="L440" s="1">
        <f>IFERROR(__xludf.DUMMYFUNCTION("""COMPUTED_VALUE"""),0.0)</f>
        <v>0</v>
      </c>
      <c r="M440" s="1">
        <f>IFERROR(__xludf.DUMMYFUNCTION("""COMPUTED_VALUE"""),0.0)</f>
        <v>0</v>
      </c>
      <c r="N440" s="1" t="str">
        <f>IFERROR(__xludf.DUMMYFUNCTION("""COMPUTED_VALUE"""),"BECA")</f>
        <v>BECA</v>
      </c>
      <c r="O440" s="1" t="str">
        <f>IFERROR(__xludf.DUMMYFUNCTION("""COMPUTED_VALUE"""),"BECA CARRERAS CORE")</f>
        <v>BECA CARRERAS CORE</v>
      </c>
      <c r="P440" s="4">
        <f>IFERROR(__xludf.DUMMYFUNCTION("""COMPUTED_VALUE"""),0.0)</f>
        <v>0</v>
      </c>
      <c r="Q440" s="4">
        <f>IFERROR(__xludf.DUMMYFUNCTION("""COMPUTED_VALUE"""),0.0)</f>
        <v>0</v>
      </c>
      <c r="R440" s="4">
        <f>IFERROR(__xludf.DUMMYFUNCTION("""COMPUTED_VALUE"""),1300.0)</f>
        <v>1300</v>
      </c>
      <c r="S440" s="4">
        <f>IFERROR(__xludf.DUMMYFUNCTION("""COMPUTED_VALUE"""),1100.0)</f>
        <v>1100</v>
      </c>
      <c r="T440" s="1" t="str">
        <f>IFERROR(__xludf.DUMMYFUNCTION("""COMPUTED_VALUE"""),"PALANCA 500")</f>
        <v>PALANCA 500</v>
      </c>
      <c r="U440" s="1" t="str">
        <f>IFERROR(__xludf.DUMMYFUNCTION("""COMPUTED_VALUE"""),"RODRIGO")</f>
        <v>RODRIGO</v>
      </c>
      <c r="V440" s="1" t="str">
        <f>IFERROR(__xludf.DUMMYFUNCTION("""COMPUTED_VALUE"""),"Ninguno")</f>
        <v>Ninguno</v>
      </c>
      <c r="W440" s="1" t="str">
        <f>IFERROR(__xludf.DUMMYFUNCTION("""COMPUTED_VALUE"""),"Beca")</f>
        <v>Beca</v>
      </c>
      <c r="X440" s="1" t="str">
        <f>IFERROR(__xludf.DUMMYFUNCTION("""COMPUTED_VALUE"""),"cuota  1 a 500 soles")</f>
        <v>cuota  1 a 500 soles</v>
      </c>
      <c r="Y440" s="1" t="str">
        <f>IFERROR(__xludf.DUMMYFUNCTION("""COMPUTED_VALUE"""),"PAGO COMPLETO")</f>
        <v>PAGO COMPLETO</v>
      </c>
      <c r="Z440" s="1"/>
      <c r="AA440" s="1"/>
      <c r="AB440" s="1">
        <f>IFERROR(__xludf.DUMMYFUNCTION("""COMPUTED_VALUE"""),0.0)</f>
        <v>0</v>
      </c>
      <c r="AC440" s="1">
        <f>IFERROR(__xludf.DUMMYFUNCTION("""COMPUTED_VALUE"""),0.0)</f>
        <v>0</v>
      </c>
      <c r="AD440" s="1" t="str">
        <f>IFERROR(__xludf.DUMMYFUNCTION("""COMPUTED_VALUE"""),"Rosa Ugarte")</f>
        <v>Rosa Ugarte</v>
      </c>
      <c r="AE440" s="1" t="str">
        <f>IFERROR(__xludf.DUMMYFUNCTION("""COMPUTED_VALUE"""),"0")</f>
        <v>0</v>
      </c>
      <c r="AF440" s="1">
        <f>IFERROR(__xludf.DUMMYFUNCTION("""COMPUTED_VALUE"""),2024.0)</f>
        <v>2024</v>
      </c>
      <c r="AG440" s="1">
        <f>IFERROR(__xludf.DUMMYFUNCTION("""COMPUTED_VALUE"""),1442862.0)</f>
        <v>1442862</v>
      </c>
      <c r="AH440" s="1">
        <f>IFERROR(__xludf.DUMMYFUNCTION("""COMPUTED_VALUE"""),18.0)</f>
        <v>18</v>
      </c>
      <c r="AI440" s="1" t="str">
        <f>IFERROR(__xludf.DUMMYFUNCTION("""COMPUTED_VALUE"""),"0000412745")</f>
        <v>0000412745</v>
      </c>
      <c r="AJ440" s="1">
        <f>IFERROR(__xludf.DUMMYFUNCTION("""COMPUTED_VALUE"""),6.1163469E7)</f>
        <v>61163469</v>
      </c>
      <c r="AK440" s="1">
        <f>IFERROR(__xludf.DUMMYFUNCTION("""COMPUTED_VALUE"""),9.45322781E8)</f>
        <v>945322781</v>
      </c>
      <c r="AL440" s="1" t="str">
        <f>IFERROR(__xludf.DUMMYFUNCTION("""COMPUTED_VALUE"""),"roger11612024@gmail.com")</f>
        <v>roger11612024@gmail.com</v>
      </c>
      <c r="AM440" s="1" t="str">
        <f>IFERROR(__xludf.DUMMYFUNCTION("""COMPUTED_VALUE"""),"MASCULINO")</f>
        <v>MASCULINO</v>
      </c>
      <c r="AN440" s="1">
        <f>IFERROR(__xludf.DUMMYFUNCTION("""COMPUTED_VALUE"""),1775.0)</f>
        <v>1775</v>
      </c>
      <c r="AO440" s="1">
        <f>IFERROR(__xludf.DUMMYFUNCTION("""COMPUTED_VALUE"""),480.0)</f>
        <v>480</v>
      </c>
      <c r="AP440" s="1" t="str">
        <f>IFERROR(__xludf.DUMMYFUNCTION("""COMPUTED_VALUE"""),"BIDIRECCIONAL")</f>
        <v>BIDIRECCIONAL</v>
      </c>
      <c r="AQ440" s="1" t="str">
        <f>IFERROR(__xludf.DUMMYFUNCTION("""COMPUTED_VALUE"""),"ORGANICO")</f>
        <v>ORGANICO</v>
      </c>
      <c r="AR440" s="1" t="str">
        <f>IFERROR(__xludf.DUMMYFUNCTION("""COMPUTED_VALUE"""),"NUEVO")</f>
        <v>NUEVO</v>
      </c>
      <c r="AS440" s="1"/>
      <c r="AT440" s="2">
        <f>IFERROR(__xludf.DUMMYFUNCTION("""COMPUTED_VALUE"""),45681.0)</f>
        <v>45681</v>
      </c>
      <c r="AU440" s="1">
        <f>IFERROR(__xludf.DUMMYFUNCTION("""COMPUTED_VALUE"""),1.0)</f>
        <v>1</v>
      </c>
      <c r="AV440" s="1" t="str">
        <f>IFERROR(__xludf.DUMMYFUNCTION("""COMPUTED_VALUE"""),"NUEVO")</f>
        <v>NUEVO</v>
      </c>
      <c r="AW440" s="1" t="str">
        <f>IFERROR(__xludf.DUMMYFUNCTION("""COMPUTED_VALUE"""),"SI")</f>
        <v>SI</v>
      </c>
      <c r="AX440" s="1"/>
      <c r="AY440" s="1" t="str">
        <f>IFERROR(__xludf.DUMMYFUNCTION("""COMPUTED_VALUE"""),"PAGO COMPLETO")</f>
        <v>PAGO COMPLETO</v>
      </c>
      <c r="AZ440" s="5">
        <f>IFERROR(__xludf.DUMMYFUNCTION("""COMPUTED_VALUE"""),45689.0)</f>
        <v>45689</v>
      </c>
      <c r="BA440" s="1">
        <f>IFERROR(__xludf.DUMMYFUNCTION("""COMPUTED_VALUE"""),0.0)</f>
        <v>0</v>
      </c>
      <c r="BB440" s="1">
        <f>IFERROR(__xludf.DUMMYFUNCTION("""COMPUTED_VALUE"""),0.0)</f>
        <v>0</v>
      </c>
      <c r="BC440" s="4">
        <f>IFERROR(__xludf.DUMMYFUNCTION("""COMPUTED_VALUE"""),0.0)</f>
        <v>0</v>
      </c>
      <c r="BD440" s="4">
        <f>IFERROR(__xludf.DUMMYFUNCTION("""COMPUTED_VALUE"""),600.0)</f>
        <v>600</v>
      </c>
      <c r="BE440" s="1">
        <f>IFERROR(__xludf.DUMMYFUNCTION("""COMPUTED_VALUE"""),2.0)</f>
        <v>2</v>
      </c>
      <c r="BF440" s="6">
        <f>IFERROR(__xludf.DUMMYFUNCTION("""COMPUTED_VALUE"""),1.0)</f>
        <v>1</v>
      </c>
      <c r="BG440" s="1">
        <f>IFERROR(__xludf.DUMMYFUNCTION("""COMPUTED_VALUE"""),1.0)</f>
        <v>1</v>
      </c>
      <c r="BH440" s="1" t="str">
        <f>IFERROR(__xludf.DUMMYFUNCTION("""COMPUTED_VALUE"""),"0")</f>
        <v>0</v>
      </c>
      <c r="BI440" s="4">
        <f>IFERROR(__xludf.DUMMYFUNCTION("""COMPUTED_VALUE"""),600.0)</f>
        <v>600</v>
      </c>
      <c r="BJ440" s="1">
        <f>IFERROR(__xludf.DUMMYFUNCTION("""COMPUTED_VALUE"""),0.0)</f>
        <v>0</v>
      </c>
      <c r="BK440" s="4">
        <f>IFERROR(__xludf.DUMMYFUNCTION("""COMPUTED_VALUE"""),600.0)</f>
        <v>600</v>
      </c>
      <c r="BL440" s="1">
        <f>IFERROR(__xludf.DUMMYFUNCTION("""COMPUTED_VALUE"""),980.0)</f>
        <v>980</v>
      </c>
      <c r="BM440" s="1">
        <f>IFERROR(__xludf.DUMMYFUNCTION("""COMPUTED_VALUE"""),5.0)</f>
        <v>5</v>
      </c>
      <c r="BN440" s="2">
        <f>IFERROR(__xludf.DUMMYFUNCTION("""COMPUTED_VALUE"""),45684.0)</f>
        <v>45684</v>
      </c>
      <c r="BO440" s="1">
        <f>IFERROR(__xludf.DUMMYFUNCTION("""COMPUTED_VALUE"""),2.0)</f>
        <v>2</v>
      </c>
      <c r="BP440" s="1">
        <f>IFERROR(__xludf.DUMMYFUNCTION("""COMPUTED_VALUE"""),2025.0)</f>
        <v>2025</v>
      </c>
    </row>
    <row r="441">
      <c r="A441" s="1">
        <f>IFERROR(__xludf.DUMMYFUNCTION("""COMPUTED_VALUE"""),440.0)</f>
        <v>440</v>
      </c>
      <c r="B441" s="1">
        <f>IFERROR(__xludf.DUMMYFUNCTION("""COMPUTED_VALUE"""),1473104.0)</f>
        <v>1473104</v>
      </c>
      <c r="C441" s="1" t="str">
        <f>IFERROR(__xludf.DUMMYFUNCTION("""COMPUTED_VALUE"""),"2025-1")</f>
        <v>2025-1</v>
      </c>
      <c r="D441" s="1" t="str">
        <f>IFERROR(__xludf.DUMMYFUNCTION("""COMPUTED_VALUE"""),"Admisión Extraordinaria (Traslados)")</f>
        <v>Admisión Extraordinaria (Traslados)</v>
      </c>
      <c r="E441" s="2">
        <f>IFERROR(__xludf.DUMMYFUNCTION("""COMPUTED_VALUE"""),45689.0)</f>
        <v>45689</v>
      </c>
      <c r="F441" s="1" t="str">
        <f>IFERROR(__xludf.DUMMYFUNCTION("""COMPUTED_VALUE"""),"GENESIS ADRIANA ")</f>
        <v>GENESIS ADRIANA </v>
      </c>
      <c r="G441" s="1" t="str">
        <f>IFERROR(__xludf.DUMMYFUNCTION("""COMPUTED_VALUE"""),"BURGOS LOPEZ")</f>
        <v>BURGOS LOPEZ</v>
      </c>
      <c r="H441" s="1" t="str">
        <f>IFERROR(__xludf.DUMMYFUNCTION("""COMPUTED_VALUE"""),"Diseño Gráfico Publicitario")</f>
        <v>Diseño Gráfico Publicitario</v>
      </c>
      <c r="I441" s="1" t="str">
        <f>IFERROR(__xludf.DUMMYFUNCTION("""COMPUTED_VALUE"""),"POS")</f>
        <v>POS</v>
      </c>
      <c r="J441" s="1" t="str">
        <f>IFERROR(__xludf.DUMMYFUNCTION("""COMPUTED_VALUE"""),"Diurno")</f>
        <v>Diurno</v>
      </c>
      <c r="K441" s="1" t="str">
        <f>IFERROR(__xludf.DUMMYFUNCTION("""COMPUTED_VALUE"""),"TRASLADO")</f>
        <v>TRASLADO</v>
      </c>
      <c r="L441" s="1">
        <f>IFERROR(__xludf.DUMMYFUNCTION("""COMPUTED_VALUE"""),1.0)</f>
        <v>1</v>
      </c>
      <c r="M441" s="1">
        <f>IFERROR(__xludf.DUMMYFUNCTION("""COMPUTED_VALUE"""),0.0)</f>
        <v>0</v>
      </c>
      <c r="N441" s="1" t="str">
        <f>IFERROR(__xludf.DUMMYFUNCTION("""COMPUTED_VALUE"""),"RECA")</f>
        <v>RECA</v>
      </c>
      <c r="O441" s="1" t="str">
        <f>IFERROR(__xludf.DUMMYFUNCTION("""COMPUTED_VALUE"""),"RECA TRASLADO CON CONVA")</f>
        <v>RECA TRASLADO CON CONVA</v>
      </c>
      <c r="P441" s="4">
        <f>IFERROR(__xludf.DUMMYFUNCTION("""COMPUTED_VALUE"""),0.0)</f>
        <v>0</v>
      </c>
      <c r="Q441" s="4">
        <f>IFERROR(__xludf.DUMMYFUNCTION("""COMPUTED_VALUE"""),0.0)</f>
        <v>0</v>
      </c>
      <c r="R441" s="4">
        <f>IFERROR(__xludf.DUMMYFUNCTION("""COMPUTED_VALUE"""),1300.0)</f>
        <v>1300</v>
      </c>
      <c r="S441" s="4">
        <f>IFERROR(__xludf.DUMMYFUNCTION("""COMPUTED_VALUE"""),700.0)</f>
        <v>700</v>
      </c>
      <c r="T441" s="1" t="str">
        <f>IFERROR(__xludf.DUMMYFUNCTION("""COMPUTED_VALUE"""),"NINGUNO")</f>
        <v>NINGUNO</v>
      </c>
      <c r="U441" s="1" t="str">
        <f>IFERROR(__xludf.DUMMYFUNCTION("""COMPUTED_VALUE"""),"FABIOLA")</f>
        <v>FABIOLA</v>
      </c>
      <c r="V441" s="1" t="str">
        <f>IFERROR(__xludf.DUMMYFUNCTION("""COMPUTED_VALUE"""),"Ninguno")</f>
        <v>Ninguno</v>
      </c>
      <c r="W441" s="1" t="str">
        <f>IFERROR(__xludf.DUMMYFUNCTION("""COMPUTED_VALUE"""),"Metodología de enseñanza")</f>
        <v>Metodología de enseñanza</v>
      </c>
      <c r="X441" s="1"/>
      <c r="Y441" s="1" t="str">
        <f>IFERROR(__xludf.DUMMYFUNCTION("""COMPUTED_VALUE"""),"PAGO COMPLETO")</f>
        <v>PAGO COMPLETO</v>
      </c>
      <c r="Z441" s="1"/>
      <c r="AA441" s="1"/>
      <c r="AB441" s="1">
        <f>IFERROR(__xludf.DUMMYFUNCTION("""COMPUTED_VALUE"""),0.0)</f>
        <v>0</v>
      </c>
      <c r="AC441" s="1">
        <f>IFERROR(__xludf.DUMMYFUNCTION("""COMPUTED_VALUE"""),0.0)</f>
        <v>0</v>
      </c>
      <c r="AD441" s="1" t="str">
        <f>IFERROR(__xludf.DUMMYFUNCTION("""COMPUTED_VALUE"""),"Angelica Iparraguirre")</f>
        <v>Angelica Iparraguirre</v>
      </c>
      <c r="AE441" s="1" t="str">
        <f>IFERROR(__xludf.DUMMYFUNCTION("""COMPUTED_VALUE"""),"ISIL")</f>
        <v>ISIL</v>
      </c>
      <c r="AF441" s="1">
        <f>IFERROR(__xludf.DUMMYFUNCTION("""COMPUTED_VALUE"""),2021.0)</f>
        <v>2021</v>
      </c>
      <c r="AG441" s="1">
        <f>IFERROR(__xludf.DUMMYFUNCTION("""COMPUTED_VALUE"""),632059.0)</f>
        <v>632059</v>
      </c>
      <c r="AH441" s="1">
        <f>IFERROR(__xludf.DUMMYFUNCTION("""COMPUTED_VALUE"""),21.0)</f>
        <v>21</v>
      </c>
      <c r="AI441" s="1" t="str">
        <f>IFERROR(__xludf.DUMMYFUNCTION("""COMPUTED_VALUE"""),"0000412716")</f>
        <v>0000412716</v>
      </c>
      <c r="AJ441" s="1">
        <f>IFERROR(__xludf.DUMMYFUNCTION("""COMPUTED_VALUE"""),7.1307609E7)</f>
        <v>71307609</v>
      </c>
      <c r="AK441" s="1">
        <f>IFERROR(__xludf.DUMMYFUNCTION("""COMPUTED_VALUE"""),9.83544102E8)</f>
        <v>983544102</v>
      </c>
      <c r="AL441" s="1" t="str">
        <f>IFERROR(__xludf.DUMMYFUNCTION("""COMPUTED_VALUE"""),"genshi06bl@gmail.com")</f>
        <v>genshi06bl@gmail.com</v>
      </c>
      <c r="AM441" s="1" t="str">
        <f>IFERROR(__xludf.DUMMYFUNCTION("""COMPUTED_VALUE"""),"FEMENINO")</f>
        <v>FEMENINO</v>
      </c>
      <c r="AN441" s="1">
        <f>IFERROR(__xludf.DUMMYFUNCTION("""COMPUTED_VALUE"""),1600.0)</f>
        <v>1600</v>
      </c>
      <c r="AO441" s="1">
        <f>IFERROR(__xludf.DUMMYFUNCTION("""COMPUTED_VALUE"""),300.0)</f>
        <v>300</v>
      </c>
      <c r="AP441" s="1" t="str">
        <f>IFERROR(__xludf.DUMMYFUNCTION("""COMPUTED_VALUE"""),"FORMULARIO")</f>
        <v>FORMULARIO</v>
      </c>
      <c r="AQ441" s="1" t="str">
        <f>IFERROR(__xludf.DUMMYFUNCTION("""COMPUTED_VALUE"""),"SEARCH MARCA")</f>
        <v>SEARCH MARCA</v>
      </c>
      <c r="AR441" s="1" t="str">
        <f>IFERROR(__xludf.DUMMYFUNCTION("""COMPUTED_VALUE"""),"NUEVO")</f>
        <v>NUEVO</v>
      </c>
      <c r="AS441" s="1" t="str">
        <f>IFERROR(__xludf.DUMMYFUNCTION("""COMPUTED_VALUE"""),"ucal-pg-performance-sedes-abierta-cpl-search_conversion_marca-20240401")</f>
        <v>ucal-pg-performance-sedes-abierta-cpl-search_conversion_marca-20240401</v>
      </c>
      <c r="AT441" s="2">
        <f>IFERROR(__xludf.DUMMYFUNCTION("""COMPUTED_VALUE"""),45554.0)</f>
        <v>45554</v>
      </c>
      <c r="AU441" s="1">
        <f>IFERROR(__xludf.DUMMYFUNCTION("""COMPUTED_VALUE"""),1.0)</f>
        <v>1</v>
      </c>
      <c r="AV441" s="1" t="str">
        <f>IFERROR(__xludf.DUMMYFUNCTION("""COMPUTED_VALUE"""),"TRASLADO")</f>
        <v>TRASLADO</v>
      </c>
      <c r="AW441" s="1" t="str">
        <f>IFERROR(__xludf.DUMMYFUNCTION("""COMPUTED_VALUE"""),"SI")</f>
        <v>SI</v>
      </c>
      <c r="AX441" s="1"/>
      <c r="AY441" s="1" t="str">
        <f>IFERROR(__xludf.DUMMYFUNCTION("""COMPUTED_VALUE"""),"PAGO COMPLETO")</f>
        <v>PAGO COMPLETO</v>
      </c>
      <c r="AZ441" s="5">
        <f>IFERROR(__xludf.DUMMYFUNCTION("""COMPUTED_VALUE"""),45689.0)</f>
        <v>45689</v>
      </c>
      <c r="BA441" s="1">
        <f>IFERROR(__xludf.DUMMYFUNCTION("""COMPUTED_VALUE"""),0.0)</f>
        <v>0</v>
      </c>
      <c r="BB441" s="1">
        <f>IFERROR(__xludf.DUMMYFUNCTION("""COMPUTED_VALUE"""),0.0)</f>
        <v>0</v>
      </c>
      <c r="BC441" s="4">
        <f>IFERROR(__xludf.DUMMYFUNCTION("""COMPUTED_VALUE"""),0.0)</f>
        <v>0</v>
      </c>
      <c r="BD441" s="4">
        <f>IFERROR(__xludf.DUMMYFUNCTION("""COMPUTED_VALUE"""),0.0)</f>
        <v>0</v>
      </c>
      <c r="BE441" s="1">
        <f>IFERROR(__xludf.DUMMYFUNCTION("""COMPUTED_VALUE"""),2.0)</f>
        <v>2</v>
      </c>
      <c r="BF441" s="6">
        <f>IFERROR(__xludf.DUMMYFUNCTION("""COMPUTED_VALUE"""),1.0)</f>
        <v>1</v>
      </c>
      <c r="BG441" s="1">
        <f>IFERROR(__xludf.DUMMYFUNCTION("""COMPUTED_VALUE"""),1.0)</f>
        <v>1</v>
      </c>
      <c r="BH441" s="1" t="str">
        <f>IFERROR(__xludf.DUMMYFUNCTION("""COMPUTED_VALUE"""),"1")</f>
        <v>1</v>
      </c>
      <c r="BI441" s="4">
        <f>IFERROR(__xludf.DUMMYFUNCTION("""COMPUTED_VALUE"""),0.0)</f>
        <v>0</v>
      </c>
      <c r="BJ441" s="1">
        <f>IFERROR(__xludf.DUMMYFUNCTION("""COMPUTED_VALUE"""),0.0)</f>
        <v>0</v>
      </c>
      <c r="BK441" s="4">
        <f>IFERROR(__xludf.DUMMYFUNCTION("""COMPUTED_VALUE"""),0.0)</f>
        <v>0</v>
      </c>
      <c r="BL441" s="1">
        <f>IFERROR(__xludf.DUMMYFUNCTION("""COMPUTED_VALUE"""),700.0)</f>
        <v>700</v>
      </c>
      <c r="BM441" s="1">
        <f>IFERROR(__xludf.DUMMYFUNCTION("""COMPUTED_VALUE"""),5.0)</f>
        <v>5</v>
      </c>
      <c r="BN441" s="2">
        <f>IFERROR(__xludf.DUMMYFUNCTION("""COMPUTED_VALUE"""),45684.0)</f>
        <v>45684</v>
      </c>
      <c r="BO441" s="1">
        <f>IFERROR(__xludf.DUMMYFUNCTION("""COMPUTED_VALUE"""),2.0)</f>
        <v>2</v>
      </c>
      <c r="BP441" s="1">
        <f>IFERROR(__xludf.DUMMYFUNCTION("""COMPUTED_VALUE"""),2025.0)</f>
        <v>2025</v>
      </c>
    </row>
    <row r="442">
      <c r="A442" s="1">
        <f>IFERROR(__xludf.DUMMYFUNCTION("""COMPUTED_VALUE"""),441.0)</f>
        <v>441</v>
      </c>
      <c r="B442" s="1">
        <f>IFERROR(__xludf.DUMMYFUNCTION("""COMPUTED_VALUE"""),1707174.0)</f>
        <v>1707174</v>
      </c>
      <c r="C442" s="1" t="str">
        <f>IFERROR(__xludf.DUMMYFUNCTION("""COMPUTED_VALUE"""),"2025-1")</f>
        <v>2025-1</v>
      </c>
      <c r="D442" s="1" t="str">
        <f>IFERROR(__xludf.DUMMYFUNCTION("""COMPUTED_VALUE"""),"Admisión Ordinaria")</f>
        <v>Admisión Ordinaria</v>
      </c>
      <c r="E442" s="2">
        <f>IFERROR(__xludf.DUMMYFUNCTION("""COMPUTED_VALUE"""),45689.0)</f>
        <v>45689</v>
      </c>
      <c r="F442" s="1" t="str">
        <f>IFERROR(__xludf.DUMMYFUNCTION("""COMPUTED_VALUE"""),"ANDREA GIANELLA ")</f>
        <v>ANDREA GIANELLA </v>
      </c>
      <c r="G442" s="1" t="str">
        <f>IFERROR(__xludf.DUMMYFUNCTION("""COMPUTED_VALUE"""),"RODAS FARFAN")</f>
        <v>RODAS FARFAN</v>
      </c>
      <c r="H442" s="1" t="str">
        <f>IFERROR(__xludf.DUMMYFUNCTION("""COMPUTED_VALUE"""),"Diseño Gráfico Publicitario")</f>
        <v>Diseño Gráfico Publicitario</v>
      </c>
      <c r="I442" s="1" t="str">
        <f>IFERROR(__xludf.DUMMYFUNCTION("""COMPUTED_VALUE"""),"CARGO")</f>
        <v>CARGO</v>
      </c>
      <c r="J442" s="1" t="str">
        <f>IFERROR(__xludf.DUMMYFUNCTION("""COMPUTED_VALUE"""),"Diurno")</f>
        <v>Diurno</v>
      </c>
      <c r="K442" s="1" t="str">
        <f>IFERROR(__xludf.DUMMYFUNCTION("""COMPUTED_VALUE"""),"NUEVO")</f>
        <v>NUEVO</v>
      </c>
      <c r="L442" s="1">
        <f>IFERROR(__xludf.DUMMYFUNCTION("""COMPUTED_VALUE"""),0.0)</f>
        <v>0</v>
      </c>
      <c r="M442" s="1">
        <f>IFERROR(__xludf.DUMMYFUNCTION("""COMPUTED_VALUE"""),0.0)</f>
        <v>0</v>
      </c>
      <c r="N442" s="1" t="str">
        <f>IFERROR(__xludf.DUMMYFUNCTION("""COMPUTED_VALUE"""),"BECA")</f>
        <v>BECA</v>
      </c>
      <c r="O442" s="1" t="str">
        <f>IFERROR(__xludf.DUMMYFUNCTION("""COMPUTED_VALUE"""),"BECA CONGELADA DE 2 AÑOS")</f>
        <v>BECA CONGELADA DE 2 AÑOS</v>
      </c>
      <c r="P442" s="4">
        <f>IFERROR(__xludf.DUMMYFUNCTION("""COMPUTED_VALUE"""),0.0)</f>
        <v>0</v>
      </c>
      <c r="Q442" s="4">
        <f>IFERROR(__xludf.DUMMYFUNCTION("""COMPUTED_VALUE"""),0.0)</f>
        <v>0</v>
      </c>
      <c r="R442" s="4">
        <f>IFERROR(__xludf.DUMMYFUNCTION("""COMPUTED_VALUE"""),1050.0)</f>
        <v>1050</v>
      </c>
      <c r="S442" s="4">
        <f>IFERROR(__xludf.DUMMYFUNCTION("""COMPUTED_VALUE"""),900.0)</f>
        <v>900</v>
      </c>
      <c r="T442" s="1" t="str">
        <f>IFERROR(__xludf.DUMMYFUNCTION("""COMPUTED_VALUE"""),"PALANCA 500")</f>
        <v>PALANCA 500</v>
      </c>
      <c r="U442" s="1" t="str">
        <f>IFERROR(__xludf.DUMMYFUNCTION("""COMPUTED_VALUE"""),"FABIOLA")</f>
        <v>FABIOLA</v>
      </c>
      <c r="V442" s="1" t="str">
        <f>IFERROR(__xludf.DUMMYFUNCTION("""COMPUTED_VALUE"""),"Ninguno")</f>
        <v>Ninguno</v>
      </c>
      <c r="W442" s="1" t="str">
        <f>IFERROR(__xludf.DUMMYFUNCTION("""COMPUTED_VALUE"""),"Malla curricular")</f>
        <v>Malla curricular</v>
      </c>
      <c r="X442" s="1" t="str">
        <f>IFERROR(__xludf.DUMMYFUNCTION("""COMPUTED_VALUE"""),"le encanta la malla")</f>
        <v>le encanta la malla</v>
      </c>
      <c r="Y442" s="1" t="str">
        <f>IFERROR(__xludf.DUMMYFUNCTION("""COMPUTED_VALUE"""),"PAGO COMPLETO")</f>
        <v>PAGO COMPLETO</v>
      </c>
      <c r="Z442" s="1"/>
      <c r="AA442" s="1"/>
      <c r="AB442" s="1">
        <f>IFERROR(__xludf.DUMMYFUNCTION("""COMPUTED_VALUE"""),0.0)</f>
        <v>0</v>
      </c>
      <c r="AC442" s="1">
        <f>IFERROR(__xludf.DUMMYFUNCTION("""COMPUTED_VALUE"""),0.0)</f>
        <v>0</v>
      </c>
      <c r="AD442" s="1" t="str">
        <f>IFERROR(__xludf.DUMMYFUNCTION("""COMPUTED_VALUE"""),"Cinthia Mariella Orosco")</f>
        <v>Cinthia Mariella Orosco</v>
      </c>
      <c r="AE442" s="1" t="str">
        <f>IFERROR(__xludf.DUMMYFUNCTION("""COMPUTED_VALUE"""),"0")</f>
        <v>0</v>
      </c>
      <c r="AF442" s="1">
        <f>IFERROR(__xludf.DUMMYFUNCTION("""COMPUTED_VALUE"""),2022.0)</f>
        <v>2022</v>
      </c>
      <c r="AG442" s="1">
        <f>IFERROR(__xludf.DUMMYFUNCTION("""COMPUTED_VALUE"""),334656.0)</f>
        <v>334656</v>
      </c>
      <c r="AH442" s="1">
        <f>IFERROR(__xludf.DUMMYFUNCTION("""COMPUTED_VALUE"""),20.0)</f>
        <v>20</v>
      </c>
      <c r="AI442" s="1" t="str">
        <f>IFERROR(__xludf.DUMMYFUNCTION("""COMPUTED_VALUE"""),"0000412763")</f>
        <v>0000412763</v>
      </c>
      <c r="AJ442" s="1">
        <f>IFERROR(__xludf.DUMMYFUNCTION("""COMPUTED_VALUE"""),7.7210905E7)</f>
        <v>77210905</v>
      </c>
      <c r="AK442" s="1">
        <f>IFERROR(__xludf.DUMMYFUNCTION("""COMPUTED_VALUE"""),9.51257268E8)</f>
        <v>951257268</v>
      </c>
      <c r="AL442" s="1" t="str">
        <f>IFERROR(__xludf.DUMMYFUNCTION("""COMPUTED_VALUE"""),"giascarlet4ever@gmail.com")</f>
        <v>giascarlet4ever@gmail.com</v>
      </c>
      <c r="AM442" s="1" t="str">
        <f>IFERROR(__xludf.DUMMYFUNCTION("""COMPUTED_VALUE"""),"FEMENINO")</f>
        <v>FEMENINO</v>
      </c>
      <c r="AN442" s="1">
        <f>IFERROR(__xludf.DUMMYFUNCTION("""COMPUTED_VALUE"""),1350.0)</f>
        <v>1350</v>
      </c>
      <c r="AO442" s="1">
        <f>IFERROR(__xludf.DUMMYFUNCTION("""COMPUTED_VALUE"""),0.0)</f>
        <v>0</v>
      </c>
      <c r="AP442" s="1" t="str">
        <f>IFERROR(__xludf.DUMMYFUNCTION("""COMPUTED_VALUE"""),"FORMULARIO")</f>
        <v>FORMULARIO</v>
      </c>
      <c r="AQ442" s="1" t="str">
        <f>IFERROR(__xludf.DUMMYFUNCTION("""COMPUTED_VALUE"""),"SEARCH CARRERA")</f>
        <v>SEARCH CARRERA</v>
      </c>
      <c r="AR442" s="1" t="str">
        <f>IFERROR(__xludf.DUMMYFUNCTION("""COMPUTED_VALUE"""),"NUEVO")</f>
        <v>NUEVO</v>
      </c>
      <c r="AS442" s="1" t="str">
        <f>IFERROR(__xludf.DUMMYFUNCTION("""COMPUTED_VALUE"""),"ucal-pg-performance-sedes-abierta-cpl-search_conversion_mundo_arquitectura-20240401")</f>
        <v>ucal-pg-performance-sedes-abierta-cpl-search_conversion_mundo_arquitectura-20240401</v>
      </c>
      <c r="AT442" s="2">
        <f>IFERROR(__xludf.DUMMYFUNCTION("""COMPUTED_VALUE"""),45689.0)</f>
        <v>45689</v>
      </c>
      <c r="AU442" s="1">
        <f>IFERROR(__xludf.DUMMYFUNCTION("""COMPUTED_VALUE"""),1.0)</f>
        <v>1</v>
      </c>
      <c r="AV442" s="1" t="str">
        <f>IFERROR(__xludf.DUMMYFUNCTION("""COMPUTED_VALUE"""),"NUEVO")</f>
        <v>NUEVO</v>
      </c>
      <c r="AW442" s="1" t="str">
        <f>IFERROR(__xludf.DUMMYFUNCTION("""COMPUTED_VALUE"""),"SI")</f>
        <v>SI</v>
      </c>
      <c r="AX442" s="1"/>
      <c r="AY442" s="1" t="str">
        <f>IFERROR(__xludf.DUMMYFUNCTION("""COMPUTED_VALUE"""),"PAGO COMPLETO")</f>
        <v>PAGO COMPLETO</v>
      </c>
      <c r="AZ442" s="5">
        <f>IFERROR(__xludf.DUMMYFUNCTION("""COMPUTED_VALUE"""),45689.0)</f>
        <v>45689</v>
      </c>
      <c r="BA442" s="1">
        <f>IFERROR(__xludf.DUMMYFUNCTION("""COMPUTED_VALUE"""),0.0)</f>
        <v>0</v>
      </c>
      <c r="BB442" s="1">
        <f>IFERROR(__xludf.DUMMYFUNCTION("""COMPUTED_VALUE"""),0.0)</f>
        <v>0</v>
      </c>
      <c r="BC442" s="4">
        <f>IFERROR(__xludf.DUMMYFUNCTION("""COMPUTED_VALUE"""),0.0)</f>
        <v>0</v>
      </c>
      <c r="BD442" s="4">
        <f>IFERROR(__xludf.DUMMYFUNCTION("""COMPUTED_VALUE"""),400.0)</f>
        <v>400</v>
      </c>
      <c r="BE442" s="1">
        <f>IFERROR(__xludf.DUMMYFUNCTION("""COMPUTED_VALUE"""),2.0)</f>
        <v>2</v>
      </c>
      <c r="BF442" s="6">
        <f>IFERROR(__xludf.DUMMYFUNCTION("""COMPUTED_VALUE"""),1.0)</f>
        <v>1</v>
      </c>
      <c r="BG442" s="1">
        <f>IFERROR(__xludf.DUMMYFUNCTION("""COMPUTED_VALUE"""),1.0)</f>
        <v>1</v>
      </c>
      <c r="BH442" s="1" t="str">
        <f>IFERROR(__xludf.DUMMYFUNCTION("""COMPUTED_VALUE"""),"0")</f>
        <v>0</v>
      </c>
      <c r="BI442" s="4">
        <f>IFERROR(__xludf.DUMMYFUNCTION("""COMPUTED_VALUE"""),400.0)</f>
        <v>400</v>
      </c>
      <c r="BJ442" s="1">
        <f>IFERROR(__xludf.DUMMYFUNCTION("""COMPUTED_VALUE"""),0.0)</f>
        <v>0</v>
      </c>
      <c r="BK442" s="4">
        <f>IFERROR(__xludf.DUMMYFUNCTION("""COMPUTED_VALUE"""),400.0)</f>
        <v>400</v>
      </c>
      <c r="BL442" s="1">
        <f>IFERROR(__xludf.DUMMYFUNCTION("""COMPUTED_VALUE"""),820.0)</f>
        <v>820</v>
      </c>
      <c r="BM442" s="1">
        <f>IFERROR(__xludf.DUMMYFUNCTION("""COMPUTED_VALUE"""),5.0)</f>
        <v>5</v>
      </c>
      <c r="BN442" s="2">
        <f>IFERROR(__xludf.DUMMYFUNCTION("""COMPUTED_VALUE"""),45684.0)</f>
        <v>45684</v>
      </c>
      <c r="BO442" s="1">
        <f>IFERROR(__xludf.DUMMYFUNCTION("""COMPUTED_VALUE"""),2.0)</f>
        <v>2</v>
      </c>
      <c r="BP442" s="1">
        <f>IFERROR(__xludf.DUMMYFUNCTION("""COMPUTED_VALUE"""),2025.0)</f>
        <v>2025</v>
      </c>
    </row>
    <row r="443">
      <c r="A443" s="1">
        <f>IFERROR(__xludf.DUMMYFUNCTION("""COMPUTED_VALUE"""),442.0)</f>
        <v>442</v>
      </c>
      <c r="B443" s="1">
        <f>IFERROR(__xludf.DUMMYFUNCTION("""COMPUTED_VALUE"""),695896.0)</f>
        <v>695896</v>
      </c>
      <c r="C443" s="1" t="str">
        <f>IFERROR(__xludf.DUMMYFUNCTION("""COMPUTED_VALUE"""),"2025-1")</f>
        <v>2025-1</v>
      </c>
      <c r="D443" s="1" t="str">
        <f>IFERROR(__xludf.DUMMYFUNCTION("""COMPUTED_VALUE"""),"Admisión Extraordinaria (Traslados)")</f>
        <v>Admisión Extraordinaria (Traslados)</v>
      </c>
      <c r="E443" s="2">
        <f>IFERROR(__xludf.DUMMYFUNCTION("""COMPUTED_VALUE"""),45689.0)</f>
        <v>45689</v>
      </c>
      <c r="F443" s="1" t="str">
        <f>IFERROR(__xludf.DUMMYFUNCTION("""COMPUTED_VALUE"""),"BRENDA ARIANNA ")</f>
        <v>BRENDA ARIANNA </v>
      </c>
      <c r="G443" s="1" t="str">
        <f>IFERROR(__xludf.DUMMYFUNCTION("""COMPUTED_VALUE"""),"SALAZAR ROSADIO")</f>
        <v>SALAZAR ROSADIO</v>
      </c>
      <c r="H443" s="1" t="str">
        <f>IFERROR(__xludf.DUMMYFUNCTION("""COMPUTED_VALUE"""),"Administración y Marketing")</f>
        <v>Administración y Marketing</v>
      </c>
      <c r="I443" s="1" t="str">
        <f>IFERROR(__xludf.DUMMYFUNCTION("""COMPUTED_VALUE"""),"CARGO")</f>
        <v>CARGO</v>
      </c>
      <c r="J443" s="1" t="str">
        <f>IFERROR(__xludf.DUMMYFUNCTION("""COMPUTED_VALUE"""),"Diurno")</f>
        <v>Diurno</v>
      </c>
      <c r="K443" s="1" t="str">
        <f>IFERROR(__xludf.DUMMYFUNCTION("""COMPUTED_VALUE"""),"TRASLADO")</f>
        <v>TRASLADO</v>
      </c>
      <c r="L443" s="1">
        <f>IFERROR(__xludf.DUMMYFUNCTION("""COMPUTED_VALUE"""),1.0)</f>
        <v>1</v>
      </c>
      <c r="M443" s="1">
        <f>IFERROR(__xludf.DUMMYFUNCTION("""COMPUTED_VALUE"""),0.0)</f>
        <v>0</v>
      </c>
      <c r="N443" s="1" t="str">
        <f>IFERROR(__xludf.DUMMYFUNCTION("""COMPUTED_VALUE"""),"RECA")</f>
        <v>RECA</v>
      </c>
      <c r="O443" s="1" t="str">
        <f>IFERROR(__xludf.DUMMYFUNCTION("""COMPUTED_VALUE"""),"RECA TRASLADO CON CONVA")</f>
        <v>RECA TRASLADO CON CONVA</v>
      </c>
      <c r="P443" s="4">
        <f>IFERROR(__xludf.DUMMYFUNCTION("""COMPUTED_VALUE"""),0.0)</f>
        <v>0</v>
      </c>
      <c r="Q443" s="4">
        <f>IFERROR(__xludf.DUMMYFUNCTION("""COMPUTED_VALUE"""),0.0)</f>
        <v>0</v>
      </c>
      <c r="R443" s="4">
        <f>IFERROR(__xludf.DUMMYFUNCTION("""COMPUTED_VALUE"""),1050.0)</f>
        <v>1050</v>
      </c>
      <c r="S443" s="4">
        <f>IFERROR(__xludf.DUMMYFUNCTION("""COMPUTED_VALUE"""),800.0)</f>
        <v>800</v>
      </c>
      <c r="T443" s="1" t="str">
        <f>IFERROR(__xludf.DUMMYFUNCTION("""COMPUTED_VALUE"""),"NINGUNO")</f>
        <v>NINGUNO</v>
      </c>
      <c r="U443" s="1" t="str">
        <f>IFERROR(__xludf.DUMMYFUNCTION("""COMPUTED_VALUE"""),"RODRIGO")</f>
        <v>RODRIGO</v>
      </c>
      <c r="V443" s="1" t="str">
        <f>IFERROR(__xludf.DUMMYFUNCTION("""COMPUTED_VALUE"""),"Ninguno")</f>
        <v>Ninguno</v>
      </c>
      <c r="W443" s="1" t="str">
        <f>IFERROR(__xludf.DUMMYFUNCTION("""COMPUTED_VALUE"""),"Malla curricular")</f>
        <v>Malla curricular</v>
      </c>
      <c r="X443" s="1" t="str">
        <f>IFERROR(__xludf.DUMMYFUNCTION("""COMPUTED_VALUE"""),"malla ciurricular")</f>
        <v>malla ciurricular</v>
      </c>
      <c r="Y443" s="1" t="str">
        <f>IFERROR(__xludf.DUMMYFUNCTION("""COMPUTED_VALUE"""),"PAGO COMPLETO")</f>
        <v>PAGO COMPLETO</v>
      </c>
      <c r="Z443" s="1"/>
      <c r="AA443" s="1"/>
      <c r="AB443" s="1">
        <f>IFERROR(__xludf.DUMMYFUNCTION("""COMPUTED_VALUE"""),0.0)</f>
        <v>0</v>
      </c>
      <c r="AC443" s="1">
        <f>IFERROR(__xludf.DUMMYFUNCTION("""COMPUTED_VALUE"""),0.0)</f>
        <v>0</v>
      </c>
      <c r="AD443" s="1" t="str">
        <f>IFERROR(__xludf.DUMMYFUNCTION("""COMPUTED_VALUE"""),"Cinthia Mariella Orosco")</f>
        <v>Cinthia Mariella Orosco</v>
      </c>
      <c r="AE443" s="1" t="str">
        <f>IFERROR(__xludf.DUMMYFUNCTION("""COMPUTED_VALUE"""),"Instituto de Educación Superior Tecnológico Privado Toulouse Lautrec")</f>
        <v>Instituto de Educación Superior Tecnológico Privado Toulouse Lautrec</v>
      </c>
      <c r="AF443" s="1">
        <f>IFERROR(__xludf.DUMMYFUNCTION("""COMPUTED_VALUE"""),2016.0)</f>
        <v>2016</v>
      </c>
      <c r="AG443" s="1">
        <f>IFERROR(__xludf.DUMMYFUNCTION("""COMPUTED_VALUE"""),1511518.0)</f>
        <v>1511518</v>
      </c>
      <c r="AH443" s="1">
        <f>IFERROR(__xludf.DUMMYFUNCTION("""COMPUTED_VALUE"""),27.0)</f>
        <v>27</v>
      </c>
      <c r="AI443" s="1" t="str">
        <f>IFERROR(__xludf.DUMMYFUNCTION("""COMPUTED_VALUE"""),"2017001357")</f>
        <v>2017001357</v>
      </c>
      <c r="AJ443" s="1">
        <f>IFERROR(__xludf.DUMMYFUNCTION("""COMPUTED_VALUE"""),7.551048E7)</f>
        <v>75510480</v>
      </c>
      <c r="AK443" s="1">
        <f>IFERROR(__xludf.DUMMYFUNCTION("""COMPUTED_VALUE"""),9.82326311E8)</f>
        <v>982326311</v>
      </c>
      <c r="AL443" s="1" t="str">
        <f>IFERROR(__xludf.DUMMYFUNCTION("""COMPUTED_VALUE"""),"Bsalazarrosadio@gmail.com")</f>
        <v>Bsalazarrosadio@gmail.com</v>
      </c>
      <c r="AM443" s="1" t="str">
        <f>IFERROR(__xludf.DUMMYFUNCTION("""COMPUTED_VALUE"""),"FEMENINO")</f>
        <v>FEMENINO</v>
      </c>
      <c r="AN443" s="1">
        <f>IFERROR(__xludf.DUMMYFUNCTION("""COMPUTED_VALUE"""),1775.0)</f>
        <v>1775</v>
      </c>
      <c r="AO443" s="1">
        <f>IFERROR(__xludf.DUMMYFUNCTION("""COMPUTED_VALUE"""),500.0)</f>
        <v>500</v>
      </c>
      <c r="AP443" s="1" t="str">
        <f>IFERROR(__xludf.DUMMYFUNCTION("""COMPUTED_VALUE"""),"OUTBOUND")</f>
        <v>OUTBOUND</v>
      </c>
      <c r="AQ443" s="1" t="str">
        <f>IFERROR(__xludf.DUMMYFUNCTION("""COMPUTED_VALUE"""),"OUTBOUND")</f>
        <v>OUTBOUND</v>
      </c>
      <c r="AR443" s="1" t="str">
        <f>IFERROR(__xludf.DUMMYFUNCTION("""COMPUTED_VALUE"""),"HEREDADO")</f>
        <v>HEREDADO</v>
      </c>
      <c r="AS443" s="1"/>
      <c r="AT443" s="2">
        <f>IFERROR(__xludf.DUMMYFUNCTION("""COMPUTED_VALUE"""),45689.0)</f>
        <v>45689</v>
      </c>
      <c r="AU443" s="1">
        <f>IFERROR(__xludf.DUMMYFUNCTION("""COMPUTED_VALUE"""),1.0)</f>
        <v>1</v>
      </c>
      <c r="AV443" s="1" t="str">
        <f>IFERROR(__xludf.DUMMYFUNCTION("""COMPUTED_VALUE"""),"TRASLADO")</f>
        <v>TRASLADO</v>
      </c>
      <c r="AW443" s="1" t="str">
        <f>IFERROR(__xludf.DUMMYFUNCTION("""COMPUTED_VALUE"""),"SI")</f>
        <v>SI</v>
      </c>
      <c r="AX443" s="1"/>
      <c r="AY443" s="1" t="str">
        <f>IFERROR(__xludf.DUMMYFUNCTION("""COMPUTED_VALUE"""),"PAGO COMPLETO")</f>
        <v>PAGO COMPLETO</v>
      </c>
      <c r="AZ443" s="5">
        <f>IFERROR(__xludf.DUMMYFUNCTION("""COMPUTED_VALUE"""),45689.0)</f>
        <v>45689</v>
      </c>
      <c r="BA443" s="1">
        <f>IFERROR(__xludf.DUMMYFUNCTION("""COMPUTED_VALUE"""),0.0)</f>
        <v>0</v>
      </c>
      <c r="BB443" s="1">
        <f>IFERROR(__xludf.DUMMYFUNCTION("""COMPUTED_VALUE"""),0.0)</f>
        <v>0</v>
      </c>
      <c r="BC443" s="4">
        <f>IFERROR(__xludf.DUMMYFUNCTION("""COMPUTED_VALUE"""),0.0)</f>
        <v>0</v>
      </c>
      <c r="BD443" s="4">
        <f>IFERROR(__xludf.DUMMYFUNCTION("""COMPUTED_VALUE"""),0.0)</f>
        <v>0</v>
      </c>
      <c r="BE443" s="1">
        <f>IFERROR(__xludf.DUMMYFUNCTION("""COMPUTED_VALUE"""),2.0)</f>
        <v>2</v>
      </c>
      <c r="BF443" s="6">
        <f>IFERROR(__xludf.DUMMYFUNCTION("""COMPUTED_VALUE"""),1.0)</f>
        <v>1</v>
      </c>
      <c r="BG443" s="1">
        <f>IFERROR(__xludf.DUMMYFUNCTION("""COMPUTED_VALUE"""),1.0)</f>
        <v>1</v>
      </c>
      <c r="BH443" s="1" t="str">
        <f>IFERROR(__xludf.DUMMYFUNCTION("""COMPUTED_VALUE"""),"1")</f>
        <v>1</v>
      </c>
      <c r="BI443" s="4">
        <f>IFERROR(__xludf.DUMMYFUNCTION("""COMPUTED_VALUE"""),0.0)</f>
        <v>0</v>
      </c>
      <c r="BJ443" s="1">
        <f>IFERROR(__xludf.DUMMYFUNCTION("""COMPUTED_VALUE"""),0.0)</f>
        <v>0</v>
      </c>
      <c r="BK443" s="4">
        <f>IFERROR(__xludf.DUMMYFUNCTION("""COMPUTED_VALUE"""),0.0)</f>
        <v>0</v>
      </c>
      <c r="BL443" s="1">
        <f>IFERROR(__xludf.DUMMYFUNCTION("""COMPUTED_VALUE"""),800.0)</f>
        <v>800</v>
      </c>
      <c r="BM443" s="1">
        <f>IFERROR(__xludf.DUMMYFUNCTION("""COMPUTED_VALUE"""),5.0)</f>
        <v>5</v>
      </c>
      <c r="BN443" s="2">
        <f>IFERROR(__xludf.DUMMYFUNCTION("""COMPUTED_VALUE"""),45684.0)</f>
        <v>45684</v>
      </c>
      <c r="BO443" s="1">
        <f>IFERROR(__xludf.DUMMYFUNCTION("""COMPUTED_VALUE"""),2.0)</f>
        <v>2</v>
      </c>
      <c r="BP443" s="1">
        <f>IFERROR(__xludf.DUMMYFUNCTION("""COMPUTED_VALUE"""),2025.0)</f>
        <v>2025</v>
      </c>
    </row>
    <row r="444">
      <c r="A444" s="1">
        <f>IFERROR(__xludf.DUMMYFUNCTION("""COMPUTED_VALUE"""),443.0)</f>
        <v>443</v>
      </c>
      <c r="B444" s="1">
        <f>IFERROR(__xludf.DUMMYFUNCTION("""COMPUTED_VALUE"""),4812157.0)</f>
        <v>4812157</v>
      </c>
      <c r="C444" s="1" t="str">
        <f>IFERROR(__xludf.DUMMYFUNCTION("""COMPUTED_VALUE"""),"2025-1")</f>
        <v>2025-1</v>
      </c>
      <c r="D444" s="1" t="str">
        <f>IFERROR(__xludf.DUMMYFUNCTION("""COMPUTED_VALUE"""),"Admisión Extraordinaria (Traslados)")</f>
        <v>Admisión Extraordinaria (Traslados)</v>
      </c>
      <c r="E444" s="2">
        <f>IFERROR(__xludf.DUMMYFUNCTION("""COMPUTED_VALUE"""),45690.0)</f>
        <v>45690</v>
      </c>
      <c r="F444" s="1" t="str">
        <f>IFERROR(__xludf.DUMMYFUNCTION("""COMPUTED_VALUE"""),"FATIMA VALERIA ")</f>
        <v>FATIMA VALERIA </v>
      </c>
      <c r="G444" s="1" t="str">
        <f>IFERROR(__xludf.DUMMYFUNCTION("""COMPUTED_VALUE"""),"LLERENA PEZO")</f>
        <v>LLERENA PEZO</v>
      </c>
      <c r="H444" s="1" t="str">
        <f>IFERROR(__xludf.DUMMYFUNCTION("""COMPUTED_VALUE"""),"Comunicación Audiovisual y Cine")</f>
        <v>Comunicación Audiovisual y Cine</v>
      </c>
      <c r="I444" s="1" t="str">
        <f>IFERROR(__xludf.DUMMYFUNCTION("""COMPUTED_VALUE"""),"CARGO")</f>
        <v>CARGO</v>
      </c>
      <c r="J444" s="1" t="str">
        <f>IFERROR(__xludf.DUMMYFUNCTION("""COMPUTED_VALUE"""),"Diurno")</f>
        <v>Diurno</v>
      </c>
      <c r="K444" s="1" t="str">
        <f>IFERROR(__xludf.DUMMYFUNCTION("""COMPUTED_VALUE"""),"TRASLADO")</f>
        <v>TRASLADO</v>
      </c>
      <c r="L444" s="1">
        <f>IFERROR(__xludf.DUMMYFUNCTION("""COMPUTED_VALUE"""),0.0)</f>
        <v>0</v>
      </c>
      <c r="M444" s="1">
        <f>IFERROR(__xludf.DUMMYFUNCTION("""COMPUTED_VALUE"""),0.0)</f>
        <v>0</v>
      </c>
      <c r="N444" s="1" t="str">
        <f>IFERROR(__xludf.DUMMYFUNCTION("""COMPUTED_VALUE"""),"BECA")</f>
        <v>BECA</v>
      </c>
      <c r="O444" s="1" t="str">
        <f>IFERROR(__xludf.DUMMYFUNCTION("""COMPUTED_VALUE"""),"BECA CONGELADA DE 2 AÑOS")</f>
        <v>BECA CONGELADA DE 2 AÑOS</v>
      </c>
      <c r="P444" s="4">
        <f>IFERROR(__xludf.DUMMYFUNCTION("""COMPUTED_VALUE"""),0.0)</f>
        <v>0</v>
      </c>
      <c r="Q444" s="4">
        <f>IFERROR(__xludf.DUMMYFUNCTION("""COMPUTED_VALUE"""),0.0)</f>
        <v>0</v>
      </c>
      <c r="R444" s="4">
        <f>IFERROR(__xludf.DUMMYFUNCTION("""COMPUTED_VALUE"""),1000.0)</f>
        <v>1000</v>
      </c>
      <c r="S444" s="4">
        <f>IFERROR(__xludf.DUMMYFUNCTION("""COMPUTED_VALUE"""),900.0)</f>
        <v>900</v>
      </c>
      <c r="T444" s="1" t="str">
        <f>IFERROR(__xludf.DUMMYFUNCTION("""COMPUTED_VALUE"""),"PALANCA 500")</f>
        <v>PALANCA 500</v>
      </c>
      <c r="U444" s="1" t="str">
        <f>IFERROR(__xludf.DUMMYFUNCTION("""COMPUTED_VALUE"""),"FABIOLA")</f>
        <v>FABIOLA</v>
      </c>
      <c r="V444" s="1" t="str">
        <f>IFERROR(__xludf.DUMMYFUNCTION("""COMPUTED_VALUE"""),"Ninguno")</f>
        <v>Ninguno</v>
      </c>
      <c r="W444" s="1" t="str">
        <f>IFERROR(__xludf.DUMMYFUNCTION("""COMPUTED_VALUE"""),"Prestigio de la institución")</f>
        <v>Prestigio de la institución</v>
      </c>
      <c r="X444" s="1" t="str">
        <f>IFERROR(__xludf.DUMMYFUNCTION("""COMPUTED_VALUE"""),"primer pago 500")</f>
        <v>primer pago 500</v>
      </c>
      <c r="Y444" s="1" t="str">
        <f>IFERROR(__xludf.DUMMYFUNCTION("""COMPUTED_VALUE"""),"PAGO COMPLETO")</f>
        <v>PAGO COMPLETO</v>
      </c>
      <c r="Z444" s="1"/>
      <c r="AA444" s="1"/>
      <c r="AB444" s="1">
        <f>IFERROR(__xludf.DUMMYFUNCTION("""COMPUTED_VALUE"""),0.0)</f>
        <v>0</v>
      </c>
      <c r="AC444" s="1">
        <f>IFERROR(__xludf.DUMMYFUNCTION("""COMPUTED_VALUE"""),0.0)</f>
        <v>0</v>
      </c>
      <c r="AD444" s="1" t="str">
        <f>IFERROR(__xludf.DUMMYFUNCTION("""COMPUTED_VALUE"""),"Fiorella Lanegra")</f>
        <v>Fiorella Lanegra</v>
      </c>
      <c r="AE444" s="1" t="str">
        <f>IFERROR(__xludf.DUMMYFUNCTION("""COMPUTED_VALUE"""),"Corrientes Alternas")</f>
        <v>Corrientes Alternas</v>
      </c>
      <c r="AF444" s="1">
        <f>IFERROR(__xludf.DUMMYFUNCTION("""COMPUTED_VALUE"""),2024.0)</f>
        <v>2024</v>
      </c>
      <c r="AG444" s="1">
        <f>IFERROR(__xludf.DUMMYFUNCTION("""COMPUTED_VALUE"""),1483270.0)</f>
        <v>1483270</v>
      </c>
      <c r="AH444" s="1">
        <f>IFERROR(__xludf.DUMMYFUNCTION("""COMPUTED_VALUE"""),18.0)</f>
        <v>18</v>
      </c>
      <c r="AI444" s="1" t="str">
        <f>IFERROR(__xludf.DUMMYFUNCTION("""COMPUTED_VALUE"""),"0000412787")</f>
        <v>0000412787</v>
      </c>
      <c r="AJ444" s="1">
        <f>IFERROR(__xludf.DUMMYFUNCTION("""COMPUTED_VALUE"""),7.0739919E7)</f>
        <v>70739919</v>
      </c>
      <c r="AK444" s="1">
        <f>IFERROR(__xludf.DUMMYFUNCTION("""COMPUTED_VALUE"""),9.49067059E8)</f>
        <v>949067059</v>
      </c>
      <c r="AL444" s="1" t="str">
        <f>IFERROR(__xludf.DUMMYFUNCTION("""COMPUTED_VALUE"""),"fatimavaleriallp@icloud.com")</f>
        <v>fatimavaleriallp@icloud.com</v>
      </c>
      <c r="AM444" s="1" t="str">
        <f>IFERROR(__xludf.DUMMYFUNCTION("""COMPUTED_VALUE"""),"FEMENINO")</f>
        <v>FEMENINO</v>
      </c>
      <c r="AN444" s="1">
        <f>IFERROR(__xludf.DUMMYFUNCTION("""COMPUTED_VALUE"""),1600.0)</f>
        <v>1600</v>
      </c>
      <c r="AO444" s="1">
        <f>IFERROR(__xludf.DUMMYFUNCTION("""COMPUTED_VALUE"""),220.0)</f>
        <v>220</v>
      </c>
      <c r="AP444" s="1" t="str">
        <f>IFERROR(__xludf.DUMMYFUNCTION("""COMPUTED_VALUE"""),"FORMULARIO")</f>
        <v>FORMULARIO</v>
      </c>
      <c r="AQ444" s="1" t="str">
        <f>IFERROR(__xludf.DUMMYFUNCTION("""COMPUTED_VALUE"""),"ORGANICO")</f>
        <v>ORGANICO</v>
      </c>
      <c r="AR444" s="1" t="str">
        <f>IFERROR(__xludf.DUMMYFUNCTION("""COMPUTED_VALUE"""),"NUEVO")</f>
        <v>NUEVO</v>
      </c>
      <c r="AS444" s="1"/>
      <c r="AT444" s="2">
        <f>IFERROR(__xludf.DUMMYFUNCTION("""COMPUTED_VALUE"""),45683.0)</f>
        <v>45683</v>
      </c>
      <c r="AU444" s="1">
        <f>IFERROR(__xludf.DUMMYFUNCTION("""COMPUTED_VALUE"""),1.0)</f>
        <v>1</v>
      </c>
      <c r="AV444" s="1" t="str">
        <f>IFERROR(__xludf.DUMMYFUNCTION("""COMPUTED_VALUE"""),"NUEVO")</f>
        <v>NUEVO</v>
      </c>
      <c r="AW444" s="1" t="str">
        <f>IFERROR(__xludf.DUMMYFUNCTION("""COMPUTED_VALUE"""),"SI")</f>
        <v>SI</v>
      </c>
      <c r="AX444" s="1"/>
      <c r="AY444" s="1" t="str">
        <f>IFERROR(__xludf.DUMMYFUNCTION("""COMPUTED_VALUE"""),"PAGO COMPLETO")</f>
        <v>PAGO COMPLETO</v>
      </c>
      <c r="AZ444" s="5">
        <f>IFERROR(__xludf.DUMMYFUNCTION("""COMPUTED_VALUE"""),45690.0)</f>
        <v>45690</v>
      </c>
      <c r="BA444" s="1">
        <f>IFERROR(__xludf.DUMMYFUNCTION("""COMPUTED_VALUE"""),0.0)</f>
        <v>0</v>
      </c>
      <c r="BB444" s="1">
        <f>IFERROR(__xludf.DUMMYFUNCTION("""COMPUTED_VALUE"""),0.0)</f>
        <v>0</v>
      </c>
      <c r="BC444" s="4">
        <f>IFERROR(__xludf.DUMMYFUNCTION("""COMPUTED_VALUE"""),0.0)</f>
        <v>0</v>
      </c>
      <c r="BD444" s="4">
        <f>IFERROR(__xludf.DUMMYFUNCTION("""COMPUTED_VALUE"""),400.0)</f>
        <v>400</v>
      </c>
      <c r="BE444" s="1">
        <f>IFERROR(__xludf.DUMMYFUNCTION("""COMPUTED_VALUE"""),2.0)</f>
        <v>2</v>
      </c>
      <c r="BF444" s="6">
        <f>IFERROR(__xludf.DUMMYFUNCTION("""COMPUTED_VALUE"""),1.0)</f>
        <v>1</v>
      </c>
      <c r="BG444" s="1">
        <f>IFERROR(__xludf.DUMMYFUNCTION("""COMPUTED_VALUE"""),1.0)</f>
        <v>1</v>
      </c>
      <c r="BH444" s="1" t="str">
        <f>IFERROR(__xludf.DUMMYFUNCTION("""COMPUTED_VALUE"""),"0")</f>
        <v>0</v>
      </c>
      <c r="BI444" s="4">
        <f>IFERROR(__xludf.DUMMYFUNCTION("""COMPUTED_VALUE"""),400.0)</f>
        <v>400</v>
      </c>
      <c r="BJ444" s="1">
        <f>IFERROR(__xludf.DUMMYFUNCTION("""COMPUTED_VALUE"""),0.0)</f>
        <v>0</v>
      </c>
      <c r="BK444" s="4">
        <f>IFERROR(__xludf.DUMMYFUNCTION("""COMPUTED_VALUE"""),400.0)</f>
        <v>400</v>
      </c>
      <c r="BL444" s="1">
        <f>IFERROR(__xludf.DUMMYFUNCTION("""COMPUTED_VALUE"""),820.0)</f>
        <v>820</v>
      </c>
      <c r="BM444" s="1">
        <f>IFERROR(__xludf.DUMMYFUNCTION("""COMPUTED_VALUE"""),5.0)</f>
        <v>5</v>
      </c>
      <c r="BN444" s="2">
        <f>IFERROR(__xludf.DUMMYFUNCTION("""COMPUTED_VALUE"""),45684.0)</f>
        <v>45684</v>
      </c>
      <c r="BO444" s="1">
        <f>IFERROR(__xludf.DUMMYFUNCTION("""COMPUTED_VALUE"""),2.0)</f>
        <v>2</v>
      </c>
      <c r="BP444" s="1">
        <f>IFERROR(__xludf.DUMMYFUNCTION("""COMPUTED_VALUE"""),2025.0)</f>
        <v>2025</v>
      </c>
    </row>
    <row r="445">
      <c r="A445" s="1">
        <f>IFERROR(__xludf.DUMMYFUNCTION("""COMPUTED_VALUE"""),444.0)</f>
        <v>444</v>
      </c>
      <c r="B445" s="1">
        <f>IFERROR(__xludf.DUMMYFUNCTION("""COMPUTED_VALUE"""),4949676.0)</f>
        <v>4949676</v>
      </c>
      <c r="C445" s="1" t="str">
        <f>IFERROR(__xludf.DUMMYFUNCTION("""COMPUTED_VALUE"""),"2025-1")</f>
        <v>2025-1</v>
      </c>
      <c r="D445" s="1" t="str">
        <f>IFERROR(__xludf.DUMMYFUNCTION("""COMPUTED_VALUE"""),"Admisión Ordinaria")</f>
        <v>Admisión Ordinaria</v>
      </c>
      <c r="E445" s="2">
        <f>IFERROR(__xludf.DUMMYFUNCTION("""COMPUTED_VALUE"""),45690.0)</f>
        <v>45690</v>
      </c>
      <c r="F445" s="1" t="str">
        <f>IFERROR(__xludf.DUMMYFUNCTION("""COMPUTED_VALUE"""),"KIARA ALESSANDRA ")</f>
        <v>KIARA ALESSANDRA </v>
      </c>
      <c r="G445" s="1" t="str">
        <f>IFERROR(__xludf.DUMMYFUNCTION("""COMPUTED_VALUE"""),"LUQUE COLONIA")</f>
        <v>LUQUE COLONIA</v>
      </c>
      <c r="H445" s="1" t="str">
        <f>IFERROR(__xludf.DUMMYFUNCTION("""COMPUTED_VALUE"""),"Comunicación")</f>
        <v>Comunicación</v>
      </c>
      <c r="I445" s="1" t="str">
        <f>IFERROR(__xludf.DUMMYFUNCTION("""COMPUTED_VALUE"""),"CARGO")</f>
        <v>CARGO</v>
      </c>
      <c r="J445" s="1" t="str">
        <f>IFERROR(__xludf.DUMMYFUNCTION("""COMPUTED_VALUE"""),"Diurno")</f>
        <v>Diurno</v>
      </c>
      <c r="K445" s="1" t="str">
        <f>IFERROR(__xludf.DUMMYFUNCTION("""COMPUTED_VALUE"""),"NUEVO")</f>
        <v>NUEVO</v>
      </c>
      <c r="L445" s="1">
        <f>IFERROR(__xludf.DUMMYFUNCTION("""COMPUTED_VALUE"""),0.0)</f>
        <v>0</v>
      </c>
      <c r="M445" s="1">
        <f>IFERROR(__xludf.DUMMYFUNCTION("""COMPUTED_VALUE"""),0.0)</f>
        <v>0</v>
      </c>
      <c r="N445" s="1" t="str">
        <f>IFERROR(__xludf.DUMMYFUNCTION("""COMPUTED_VALUE"""),"BECA")</f>
        <v>BECA</v>
      </c>
      <c r="O445" s="1" t="str">
        <f>IFERROR(__xludf.DUMMYFUNCTION("""COMPUTED_VALUE"""),"BECA CONGELADA DE 2 AÑOS")</f>
        <v>BECA CONGELADA DE 2 AÑOS</v>
      </c>
      <c r="P445" s="4">
        <f>IFERROR(__xludf.DUMMYFUNCTION("""COMPUTED_VALUE"""),0.0)</f>
        <v>0</v>
      </c>
      <c r="Q445" s="4">
        <f>IFERROR(__xludf.DUMMYFUNCTION("""COMPUTED_VALUE"""),0.0)</f>
        <v>0</v>
      </c>
      <c r="R445" s="4">
        <f>IFERROR(__xludf.DUMMYFUNCTION("""COMPUTED_VALUE"""),1050.0)</f>
        <v>1050</v>
      </c>
      <c r="S445" s="4">
        <f>IFERROR(__xludf.DUMMYFUNCTION("""COMPUTED_VALUE"""),950.0)</f>
        <v>950</v>
      </c>
      <c r="T445" s="1" t="str">
        <f>IFERROR(__xludf.DUMMYFUNCTION("""COMPUTED_VALUE"""),"PALANCA 500")</f>
        <v>PALANCA 500</v>
      </c>
      <c r="U445" s="1" t="str">
        <f>IFERROR(__xludf.DUMMYFUNCTION("""COMPUTED_VALUE"""),"FABIOLA")</f>
        <v>FABIOLA</v>
      </c>
      <c r="V445" s="1" t="str">
        <f>IFERROR(__xludf.DUMMYFUNCTION("""COMPUTED_VALUE"""),"Ninguno")</f>
        <v>Ninguno</v>
      </c>
      <c r="W445" s="1" t="str">
        <f>IFERROR(__xludf.DUMMYFUNCTION("""COMPUTED_VALUE"""),"Metodología de enseñanza")</f>
        <v>Metodología de enseñanza</v>
      </c>
      <c r="X445" s="1"/>
      <c r="Y445" s="1" t="str">
        <f>IFERROR(__xludf.DUMMYFUNCTION("""COMPUTED_VALUE"""),"PAGO COMPLETO")</f>
        <v>PAGO COMPLETO</v>
      </c>
      <c r="Z445" s="1"/>
      <c r="AA445" s="1"/>
      <c r="AB445" s="1">
        <f>IFERROR(__xludf.DUMMYFUNCTION("""COMPUTED_VALUE"""),0.0)</f>
        <v>0</v>
      </c>
      <c r="AC445" s="1">
        <f>IFERROR(__xludf.DUMMYFUNCTION("""COMPUTED_VALUE"""),0.0)</f>
        <v>0</v>
      </c>
      <c r="AD445" s="1" t="str">
        <f>IFERROR(__xludf.DUMMYFUNCTION("""COMPUTED_VALUE"""),"Andrea Araujo Antara")</f>
        <v>Andrea Araujo Antara</v>
      </c>
      <c r="AE445" s="1" t="str">
        <f>IFERROR(__xludf.DUMMYFUNCTION("""COMPUTED_VALUE"""),"0")</f>
        <v>0</v>
      </c>
      <c r="AF445" s="1">
        <f>IFERROR(__xludf.DUMMYFUNCTION("""COMPUTED_VALUE"""),2023.0)</f>
        <v>2023</v>
      </c>
      <c r="AG445" s="1">
        <f>IFERROR(__xludf.DUMMYFUNCTION("""COMPUTED_VALUE"""),1472901.0)</f>
        <v>1472901</v>
      </c>
      <c r="AH445" s="1">
        <f>IFERROR(__xludf.DUMMYFUNCTION("""COMPUTED_VALUE"""),19.0)</f>
        <v>19</v>
      </c>
      <c r="AI445" s="1" t="str">
        <f>IFERROR(__xludf.DUMMYFUNCTION("""COMPUTED_VALUE"""),"0000412788")</f>
        <v>0000412788</v>
      </c>
      <c r="AJ445" s="1">
        <f>IFERROR(__xludf.DUMMYFUNCTION("""COMPUTED_VALUE"""),6.1368654E7)</f>
        <v>61368654</v>
      </c>
      <c r="AK445" s="1">
        <f>IFERROR(__xludf.DUMMYFUNCTION("""COMPUTED_VALUE"""),9.38076543E8)</f>
        <v>938076543</v>
      </c>
      <c r="AL445" s="1" t="str">
        <f>IFERROR(__xludf.DUMMYFUNCTION("""COMPUTED_VALUE"""),"k.luquecol0420@gmail.com")</f>
        <v>k.luquecol0420@gmail.com</v>
      </c>
      <c r="AM445" s="1" t="str">
        <f>IFERROR(__xludf.DUMMYFUNCTION("""COMPUTED_VALUE"""),"FEMENINO")</f>
        <v>FEMENINO</v>
      </c>
      <c r="AN445" s="1">
        <f>IFERROR(__xludf.DUMMYFUNCTION("""COMPUTED_VALUE"""),1350.0)</f>
        <v>1350</v>
      </c>
      <c r="AO445" s="1">
        <f>IFERROR(__xludf.DUMMYFUNCTION("""COMPUTED_VALUE"""),0.0)</f>
        <v>0</v>
      </c>
      <c r="AP445" s="1" t="str">
        <f>IFERROR(__xludf.DUMMYFUNCTION("""COMPUTED_VALUE"""),"EVENTOS")</f>
        <v>EVENTOS</v>
      </c>
      <c r="AQ445" s="1" t="str">
        <f>IFERROR(__xludf.DUMMYFUNCTION("""COMPUTED_VALUE"""),"EVENTOS")</f>
        <v>EVENTOS</v>
      </c>
      <c r="AR445" s="1" t="str">
        <f>IFERROR(__xludf.DUMMYFUNCTION("""COMPUTED_VALUE"""),"NUEVO")</f>
        <v>NUEVO</v>
      </c>
      <c r="AS445" s="1" t="str">
        <f>IFERROR(__xludf.DUMMYFUNCTION("""COMPUTED_VALUE"""),"ucal-pg-branding-sedes-abierta-lead_ads-lead_ads_branding_talleres_vivenciales-20250106")</f>
        <v>ucal-pg-branding-sedes-abierta-lead_ads-lead_ads_branding_talleres_vivenciales-20250106</v>
      </c>
      <c r="AT445" s="2">
        <f>IFERROR(__xludf.DUMMYFUNCTION("""COMPUTED_VALUE"""),45671.0)</f>
        <v>45671</v>
      </c>
      <c r="AU445" s="1">
        <f>IFERROR(__xludf.DUMMYFUNCTION("""COMPUTED_VALUE"""),1.0)</f>
        <v>1</v>
      </c>
      <c r="AV445" s="1" t="str">
        <f>IFERROR(__xludf.DUMMYFUNCTION("""COMPUTED_VALUE"""),"NUEVO")</f>
        <v>NUEVO</v>
      </c>
      <c r="AW445" s="1" t="str">
        <f>IFERROR(__xludf.DUMMYFUNCTION("""COMPUTED_VALUE"""),"SI")</f>
        <v>SI</v>
      </c>
      <c r="AX445" s="1"/>
      <c r="AY445" s="1" t="str">
        <f>IFERROR(__xludf.DUMMYFUNCTION("""COMPUTED_VALUE"""),"PAGO COMPLETO")</f>
        <v>PAGO COMPLETO</v>
      </c>
      <c r="AZ445" s="5">
        <f>IFERROR(__xludf.DUMMYFUNCTION("""COMPUTED_VALUE"""),45690.0)</f>
        <v>45690</v>
      </c>
      <c r="BA445" s="1">
        <f>IFERROR(__xludf.DUMMYFUNCTION("""COMPUTED_VALUE"""),0.0)</f>
        <v>0</v>
      </c>
      <c r="BB445" s="1">
        <f>IFERROR(__xludf.DUMMYFUNCTION("""COMPUTED_VALUE"""),0.0)</f>
        <v>0</v>
      </c>
      <c r="BC445" s="4">
        <f>IFERROR(__xludf.DUMMYFUNCTION("""COMPUTED_VALUE"""),0.0)</f>
        <v>0</v>
      </c>
      <c r="BD445" s="4">
        <f>IFERROR(__xludf.DUMMYFUNCTION("""COMPUTED_VALUE"""),450.0)</f>
        <v>450</v>
      </c>
      <c r="BE445" s="1">
        <f>IFERROR(__xludf.DUMMYFUNCTION("""COMPUTED_VALUE"""),2.0)</f>
        <v>2</v>
      </c>
      <c r="BF445" s="6">
        <f>IFERROR(__xludf.DUMMYFUNCTION("""COMPUTED_VALUE"""),1.0)</f>
        <v>1</v>
      </c>
      <c r="BG445" s="1">
        <f>IFERROR(__xludf.DUMMYFUNCTION("""COMPUTED_VALUE"""),1.0)</f>
        <v>1</v>
      </c>
      <c r="BH445" s="1" t="str">
        <f>IFERROR(__xludf.DUMMYFUNCTION("""COMPUTED_VALUE"""),"0")</f>
        <v>0</v>
      </c>
      <c r="BI445" s="4">
        <f>IFERROR(__xludf.DUMMYFUNCTION("""COMPUTED_VALUE"""),450.0)</f>
        <v>450</v>
      </c>
      <c r="BJ445" s="1">
        <f>IFERROR(__xludf.DUMMYFUNCTION("""COMPUTED_VALUE"""),0.0)</f>
        <v>0</v>
      </c>
      <c r="BK445" s="4">
        <f>IFERROR(__xludf.DUMMYFUNCTION("""COMPUTED_VALUE"""),450.0)</f>
        <v>450</v>
      </c>
      <c r="BL445" s="1">
        <f>IFERROR(__xludf.DUMMYFUNCTION("""COMPUTED_VALUE"""),860.0)</f>
        <v>860</v>
      </c>
      <c r="BM445" s="1">
        <f>IFERROR(__xludf.DUMMYFUNCTION("""COMPUTED_VALUE"""),5.0)</f>
        <v>5</v>
      </c>
      <c r="BN445" s="2">
        <f>IFERROR(__xludf.DUMMYFUNCTION("""COMPUTED_VALUE"""),45684.0)</f>
        <v>45684</v>
      </c>
      <c r="BO445" s="1">
        <f>IFERROR(__xludf.DUMMYFUNCTION("""COMPUTED_VALUE"""),2.0)</f>
        <v>2</v>
      </c>
      <c r="BP445" s="1">
        <f>IFERROR(__xludf.DUMMYFUNCTION("""COMPUTED_VALUE"""),2025.0)</f>
        <v>2025</v>
      </c>
    </row>
    <row r="446">
      <c r="A446" s="1">
        <f>IFERROR(__xludf.DUMMYFUNCTION("""COMPUTED_VALUE"""),445.0)</f>
        <v>445</v>
      </c>
      <c r="B446" s="1">
        <f>IFERROR(__xludf.DUMMYFUNCTION("""COMPUTED_VALUE"""),4982594.0)</f>
        <v>4982594</v>
      </c>
      <c r="C446" s="1" t="str">
        <f>IFERROR(__xludf.DUMMYFUNCTION("""COMPUTED_VALUE"""),"2025-1")</f>
        <v>2025-1</v>
      </c>
      <c r="D446" s="1" t="str">
        <f>IFERROR(__xludf.DUMMYFUNCTION("""COMPUTED_VALUE"""),"Admisión de Alto Rendimiento")</f>
        <v>Admisión de Alto Rendimiento</v>
      </c>
      <c r="E446" s="2">
        <f>IFERROR(__xludf.DUMMYFUNCTION("""COMPUTED_VALUE"""),45691.0)</f>
        <v>45691</v>
      </c>
      <c r="F446" s="1" t="str">
        <f>IFERROR(__xludf.DUMMYFUNCTION("""COMPUTED_VALUE"""),"ISABELLA CAMILA ")</f>
        <v>ISABELLA CAMILA </v>
      </c>
      <c r="G446" s="1" t="str">
        <f>IFERROR(__xludf.DUMMYFUNCTION("""COMPUTED_VALUE"""),"QUISPE ESPEJO")</f>
        <v>QUISPE ESPEJO</v>
      </c>
      <c r="H446" s="1" t="str">
        <f>IFERROR(__xludf.DUMMYFUNCTION("""COMPUTED_VALUE"""),"Diseño Gráfico Publicitario")</f>
        <v>Diseño Gráfico Publicitario</v>
      </c>
      <c r="I446" s="1" t="str">
        <f>IFERROR(__xludf.DUMMYFUNCTION("""COMPUTED_VALUE"""),"POS")</f>
        <v>POS</v>
      </c>
      <c r="J446" s="1" t="str">
        <f>IFERROR(__xludf.DUMMYFUNCTION("""COMPUTED_VALUE"""),"Diurno")</f>
        <v>Diurno</v>
      </c>
      <c r="K446" s="1" t="str">
        <f>IFERROR(__xludf.DUMMYFUNCTION("""COMPUTED_VALUE"""),"NUEVO")</f>
        <v>NUEVO</v>
      </c>
      <c r="L446" s="1">
        <f>IFERROR(__xludf.DUMMYFUNCTION("""COMPUTED_VALUE"""),0.0)</f>
        <v>0</v>
      </c>
      <c r="M446" s="1">
        <f>IFERROR(__xludf.DUMMYFUNCTION("""COMPUTED_VALUE"""),0.0)</f>
        <v>0</v>
      </c>
      <c r="N446" s="1" t="str">
        <f>IFERROR(__xludf.DUMMYFUNCTION("""COMPUTED_VALUE"""),"BECA")</f>
        <v>BECA</v>
      </c>
      <c r="O446" s="1" t="str">
        <f>IFERROR(__xludf.DUMMYFUNCTION("""COMPUTED_VALUE"""),"BECA CONGELADA DE 2 AÑOS")</f>
        <v>BECA CONGELADA DE 2 AÑOS</v>
      </c>
      <c r="P446" s="4">
        <f>IFERROR(__xludf.DUMMYFUNCTION("""COMPUTED_VALUE"""),0.0)</f>
        <v>0</v>
      </c>
      <c r="Q446" s="4">
        <f>IFERROR(__xludf.DUMMYFUNCTION("""COMPUTED_VALUE"""),0.0)</f>
        <v>0</v>
      </c>
      <c r="R446" s="4">
        <f>IFERROR(__xludf.DUMMYFUNCTION("""COMPUTED_VALUE"""),1050.0)</f>
        <v>1050</v>
      </c>
      <c r="S446" s="4">
        <f>IFERROR(__xludf.DUMMYFUNCTION("""COMPUTED_VALUE"""),900.0)</f>
        <v>900</v>
      </c>
      <c r="T446" s="1" t="str">
        <f>IFERROR(__xludf.DUMMYFUNCTION("""COMPUTED_VALUE"""),"PALANCA 500")</f>
        <v>PALANCA 500</v>
      </c>
      <c r="U446" s="1" t="str">
        <f>IFERROR(__xludf.DUMMYFUNCTION("""COMPUTED_VALUE"""),"FABIOLA")</f>
        <v>FABIOLA</v>
      </c>
      <c r="V446" s="1" t="str">
        <f>IFERROR(__xludf.DUMMYFUNCTION("""COMPUTED_VALUE"""),"Ninguno")</f>
        <v>Ninguno</v>
      </c>
      <c r="W446" s="1" t="str">
        <f>IFERROR(__xludf.DUMMYFUNCTION("""COMPUTED_VALUE"""),"Metodología de enseñanza")</f>
        <v>Metodología de enseñanza</v>
      </c>
      <c r="X446" s="1" t="str">
        <f>IFERROR(__xludf.DUMMYFUNCTION("""COMPUTED_VALUE"""),"innovacion")</f>
        <v>innovacion</v>
      </c>
      <c r="Y446" s="1" t="str">
        <f>IFERROR(__xludf.DUMMYFUNCTION("""COMPUTED_VALUE"""),"PAGO FRACCIONADO")</f>
        <v>PAGO FRACCIONADO</v>
      </c>
      <c r="Z446" s="1">
        <f>IFERROR(__xludf.DUMMYFUNCTION("""COMPUTED_VALUE"""),300.0)</f>
        <v>300</v>
      </c>
      <c r="AA446" s="1" t="str">
        <f>IFERROR(__xludf.DUMMYFUNCTION("""COMPUTED_VALUE"""),"15/02/2025")</f>
        <v>15/02/2025</v>
      </c>
      <c r="AB446" s="1">
        <f>IFERROR(__xludf.DUMMYFUNCTION("""COMPUTED_VALUE"""),0.0)</f>
        <v>0</v>
      </c>
      <c r="AC446" s="1">
        <f>IFERROR(__xludf.DUMMYFUNCTION("""COMPUTED_VALUE"""),0.0)</f>
        <v>0</v>
      </c>
      <c r="AD446" s="1" t="str">
        <f>IFERROR(__xludf.DUMMYFUNCTION("""COMPUTED_VALUE"""),"Cinthia Mariella Orosco")</f>
        <v>Cinthia Mariella Orosco</v>
      </c>
      <c r="AE446" s="1" t="str">
        <f>IFERROR(__xludf.DUMMYFUNCTION("""COMPUTED_VALUE"""),"0")</f>
        <v>0</v>
      </c>
      <c r="AF446" s="1">
        <f>IFERROR(__xludf.DUMMYFUNCTION("""COMPUTED_VALUE"""),0.0)</f>
        <v>0</v>
      </c>
      <c r="AG446" s="1">
        <f>IFERROR(__xludf.DUMMYFUNCTION("""COMPUTED_VALUE"""),874198.0)</f>
        <v>874198</v>
      </c>
      <c r="AH446" s="1">
        <f>IFERROR(__xludf.DUMMYFUNCTION("""COMPUTED_VALUE"""),18.0)</f>
        <v>18</v>
      </c>
      <c r="AI446" s="1" t="str">
        <f>IFERROR(__xludf.DUMMYFUNCTION("""COMPUTED_VALUE"""),"0000412930")</f>
        <v>0000412930</v>
      </c>
      <c r="AJ446" s="1">
        <f>IFERROR(__xludf.DUMMYFUNCTION("""COMPUTED_VALUE"""),7.0640924E7)</f>
        <v>70640924</v>
      </c>
      <c r="AK446" s="1">
        <f>IFERROR(__xludf.DUMMYFUNCTION("""COMPUTED_VALUE"""),9.48183976E8)</f>
        <v>948183976</v>
      </c>
      <c r="AL446" s="1" t="str">
        <f>IFERROR(__xludf.DUMMYFUNCTION("""COMPUTED_VALUE"""),"Camisabellas1203@gmail.com")</f>
        <v>Camisabellas1203@gmail.com</v>
      </c>
      <c r="AM446" s="1" t="str">
        <f>IFERROR(__xludf.DUMMYFUNCTION("""COMPUTED_VALUE"""),"FEMENINO")</f>
        <v>FEMENINO</v>
      </c>
      <c r="AN446" s="1">
        <f>IFERROR(__xludf.DUMMYFUNCTION("""COMPUTED_VALUE"""),1350.0)</f>
        <v>1350</v>
      </c>
      <c r="AO446" s="1">
        <f>IFERROR(__xludf.DUMMYFUNCTION("""COMPUTED_VALUE"""),0.0)</f>
        <v>0</v>
      </c>
      <c r="AP446" s="1" t="str">
        <f>IFERROR(__xludf.DUMMYFUNCTION("""COMPUTED_VALUE"""),"EVENTOS")</f>
        <v>EVENTOS</v>
      </c>
      <c r="AQ446" s="1" t="str">
        <f>IFERROR(__xludf.DUMMYFUNCTION("""COMPUTED_VALUE"""),"EVENTOS")</f>
        <v>EVENTOS</v>
      </c>
      <c r="AR446" s="1" t="str">
        <f>IFERROR(__xludf.DUMMYFUNCTION("""COMPUTED_VALUE"""),"NUEVO")</f>
        <v>NUEVO</v>
      </c>
      <c r="AS446" s="1" t="str">
        <f>IFERROR(__xludf.DUMMYFUNCTION("""COMPUTED_VALUE"""),"ucal-pg-branding-sedes-abierta-lead_ads-lead_ads_branding_talleres_vivenciales-20250106")</f>
        <v>ucal-pg-branding-sedes-abierta-lead_ads-lead_ads_branding_talleres_vivenciales-20250106</v>
      </c>
      <c r="AT446" s="2">
        <f>IFERROR(__xludf.DUMMYFUNCTION("""COMPUTED_VALUE"""),45687.0)</f>
        <v>45687</v>
      </c>
      <c r="AU446" s="1">
        <f>IFERROR(__xludf.DUMMYFUNCTION("""COMPUTED_VALUE"""),1.0)</f>
        <v>1</v>
      </c>
      <c r="AV446" s="1" t="str">
        <f>IFERROR(__xludf.DUMMYFUNCTION("""COMPUTED_VALUE"""),"NUEVO")</f>
        <v>NUEVO</v>
      </c>
      <c r="AW446" s="1" t="str">
        <f>IFERROR(__xludf.DUMMYFUNCTION("""COMPUTED_VALUE"""),"SI")</f>
        <v>SI</v>
      </c>
      <c r="AX446" s="1"/>
      <c r="AY446" s="1" t="str">
        <f>IFERROR(__xludf.DUMMYFUNCTION("""COMPUTED_VALUE"""),"PAGO COMPLETO")</f>
        <v>PAGO COMPLETO</v>
      </c>
      <c r="AZ446" s="5">
        <f>IFERROR(__xludf.DUMMYFUNCTION("""COMPUTED_VALUE"""),45704.0)</f>
        <v>45704</v>
      </c>
      <c r="BA446" s="1">
        <f>IFERROR(__xludf.DUMMYFUNCTION("""COMPUTED_VALUE"""),200.0)</f>
        <v>200</v>
      </c>
      <c r="BB446" s="1">
        <f>IFERROR(__xludf.DUMMYFUNCTION("""COMPUTED_VALUE"""),0.0)</f>
        <v>0</v>
      </c>
      <c r="BC446" s="4">
        <f>IFERROR(__xludf.DUMMYFUNCTION("""COMPUTED_VALUE"""),0.0)</f>
        <v>0</v>
      </c>
      <c r="BD446" s="4">
        <f>IFERROR(__xludf.DUMMYFUNCTION("""COMPUTED_VALUE"""),400.0)</f>
        <v>400</v>
      </c>
      <c r="BE446" s="1">
        <f>IFERROR(__xludf.DUMMYFUNCTION("""COMPUTED_VALUE"""),2.0)</f>
        <v>2</v>
      </c>
      <c r="BF446" s="6">
        <f>IFERROR(__xludf.DUMMYFUNCTION("""COMPUTED_VALUE"""),1.0)</f>
        <v>1</v>
      </c>
      <c r="BG446" s="1">
        <f>IFERROR(__xludf.DUMMYFUNCTION("""COMPUTED_VALUE"""),1.0)</f>
        <v>1</v>
      </c>
      <c r="BH446" s="1" t="str">
        <f>IFERROR(__xludf.DUMMYFUNCTION("""COMPUTED_VALUE"""),"0")</f>
        <v>0</v>
      </c>
      <c r="BI446" s="4">
        <f>IFERROR(__xludf.DUMMYFUNCTION("""COMPUTED_VALUE"""),900.0)</f>
        <v>900</v>
      </c>
      <c r="BJ446" s="1">
        <f>IFERROR(__xludf.DUMMYFUNCTION("""COMPUTED_VALUE"""),0.0)</f>
        <v>0</v>
      </c>
      <c r="BK446" s="4">
        <f>IFERROR(__xludf.DUMMYFUNCTION("""COMPUTED_VALUE"""),400.0)</f>
        <v>400</v>
      </c>
      <c r="BL446" s="1">
        <f>IFERROR(__xludf.DUMMYFUNCTION("""COMPUTED_VALUE"""),820.0)</f>
        <v>820</v>
      </c>
      <c r="BM446" s="1">
        <f>IFERROR(__xludf.DUMMYFUNCTION("""COMPUTED_VALUE"""),6.0)</f>
        <v>6</v>
      </c>
      <c r="BN446" s="2">
        <f>IFERROR(__xludf.DUMMYFUNCTION("""COMPUTED_VALUE"""),45691.0)</f>
        <v>45691</v>
      </c>
      <c r="BO446" s="1">
        <f>IFERROR(__xludf.DUMMYFUNCTION("""COMPUTED_VALUE"""),2.0)</f>
        <v>2</v>
      </c>
      <c r="BP446" s="1">
        <f>IFERROR(__xludf.DUMMYFUNCTION("""COMPUTED_VALUE"""),2025.0)</f>
        <v>2025</v>
      </c>
    </row>
    <row r="447">
      <c r="A447" s="1">
        <f>IFERROR(__xludf.DUMMYFUNCTION("""COMPUTED_VALUE"""),446.0)</f>
        <v>446</v>
      </c>
      <c r="B447" s="1">
        <f>IFERROR(__xludf.DUMMYFUNCTION("""COMPUTED_VALUE"""),4990579.0)</f>
        <v>4990579</v>
      </c>
      <c r="C447" s="1" t="str">
        <f>IFERROR(__xludf.DUMMYFUNCTION("""COMPUTED_VALUE"""),"2025-1")</f>
        <v>2025-1</v>
      </c>
      <c r="D447" s="1" t="str">
        <f>IFERROR(__xludf.DUMMYFUNCTION("""COMPUTED_VALUE"""),"Admisión Ordinaria")</f>
        <v>Admisión Ordinaria</v>
      </c>
      <c r="E447" s="2">
        <f>IFERROR(__xludf.DUMMYFUNCTION("""COMPUTED_VALUE"""),45691.0)</f>
        <v>45691</v>
      </c>
      <c r="F447" s="1" t="str">
        <f>IFERROR(__xludf.DUMMYFUNCTION("""COMPUTED_VALUE"""),"MARIANA GABRIELA ")</f>
        <v>MARIANA GABRIELA </v>
      </c>
      <c r="G447" s="1" t="str">
        <f>IFERROR(__xludf.DUMMYFUNCTION("""COMPUTED_VALUE"""),"SIMON CASTREJON")</f>
        <v>SIMON CASTREJON</v>
      </c>
      <c r="H447" s="1" t="str">
        <f>IFERROR(__xludf.DUMMYFUNCTION("""COMPUTED_VALUE"""),"Arquitectura de Interiores")</f>
        <v>Arquitectura de Interiores</v>
      </c>
      <c r="I447" s="1" t="str">
        <f>IFERROR(__xludf.DUMMYFUNCTION("""COMPUTED_VALUE"""),"CARGO")</f>
        <v>CARGO</v>
      </c>
      <c r="J447" s="1" t="str">
        <f>IFERROR(__xludf.DUMMYFUNCTION("""COMPUTED_VALUE"""),"Diurno")</f>
        <v>Diurno</v>
      </c>
      <c r="K447" s="1" t="str">
        <f>IFERROR(__xludf.DUMMYFUNCTION("""COMPUTED_VALUE"""),"NUEVO")</f>
        <v>NUEVO</v>
      </c>
      <c r="L447" s="1">
        <f>IFERROR(__xludf.DUMMYFUNCTION("""COMPUTED_VALUE"""),0.0)</f>
        <v>0</v>
      </c>
      <c r="M447" s="1">
        <f>IFERROR(__xludf.DUMMYFUNCTION("""COMPUTED_VALUE"""),0.0)</f>
        <v>0</v>
      </c>
      <c r="N447" s="1" t="str">
        <f>IFERROR(__xludf.DUMMYFUNCTION("""COMPUTED_VALUE"""),"BECA")</f>
        <v>BECA</v>
      </c>
      <c r="O447" s="1" t="str">
        <f>IFERROR(__xludf.DUMMYFUNCTION("""COMPUTED_VALUE"""),"BECA CARRERAS CORE")</f>
        <v>BECA CARRERAS CORE</v>
      </c>
      <c r="P447" s="4">
        <f>IFERROR(__xludf.DUMMYFUNCTION("""COMPUTED_VALUE"""),0.0)</f>
        <v>0</v>
      </c>
      <c r="Q447" s="4">
        <f>IFERROR(__xludf.DUMMYFUNCTION("""COMPUTED_VALUE"""),0.0)</f>
        <v>0</v>
      </c>
      <c r="R447" s="4">
        <f>IFERROR(__xludf.DUMMYFUNCTION("""COMPUTED_VALUE"""),1100.0)</f>
        <v>1100</v>
      </c>
      <c r="S447" s="4">
        <f>IFERROR(__xludf.DUMMYFUNCTION("""COMPUTED_VALUE"""),950.0)</f>
        <v>950</v>
      </c>
      <c r="T447" s="1" t="str">
        <f>IFERROR(__xludf.DUMMYFUNCTION("""COMPUTED_VALUE"""),"PALANCA 500")</f>
        <v>PALANCA 500</v>
      </c>
      <c r="U447" s="1"/>
      <c r="V447" s="1" t="str">
        <f>IFERROR(__xludf.DUMMYFUNCTION("""COMPUTED_VALUE"""),"Ninguno")</f>
        <v>Ninguno</v>
      </c>
      <c r="W447" s="1" t="str">
        <f>IFERROR(__xludf.DUMMYFUNCTION("""COMPUTED_VALUE"""),"Metodología de enseñanza")</f>
        <v>Metodología de enseñanza</v>
      </c>
      <c r="X447" s="1"/>
      <c r="Y447" s="1" t="str">
        <f>IFERROR(__xludf.DUMMYFUNCTION("""COMPUTED_VALUE"""),"PAGO COMPLETO")</f>
        <v>PAGO COMPLETO</v>
      </c>
      <c r="Z447" s="1"/>
      <c r="AA447" s="1"/>
      <c r="AB447" s="1">
        <f>IFERROR(__xludf.DUMMYFUNCTION("""COMPUTED_VALUE"""),1.0)</f>
        <v>1</v>
      </c>
      <c r="AC447" s="1">
        <f>IFERROR(__xludf.DUMMYFUNCTION("""COMPUTED_VALUE"""),0.0)</f>
        <v>0</v>
      </c>
      <c r="AD447" s="1" t="str">
        <f>IFERROR(__xludf.DUMMYFUNCTION("""COMPUTED_VALUE"""),"Ingrid Guillermo Rivera")</f>
        <v>Ingrid Guillermo Rivera</v>
      </c>
      <c r="AE447" s="1" t="str">
        <f>IFERROR(__xludf.DUMMYFUNCTION("""COMPUTED_VALUE"""),"0")</f>
        <v>0</v>
      </c>
      <c r="AF447" s="1">
        <f>IFERROR(__xludf.DUMMYFUNCTION("""COMPUTED_VALUE"""),2022.0)</f>
        <v>2022</v>
      </c>
      <c r="AG447" s="1">
        <f>IFERROR(__xludf.DUMMYFUNCTION("""COMPUTED_VALUE"""),906347.0)</f>
        <v>906347</v>
      </c>
      <c r="AH447" s="1">
        <f>IFERROR(__xludf.DUMMYFUNCTION("""COMPUTED_VALUE"""),19.0)</f>
        <v>19</v>
      </c>
      <c r="AI447" s="1" t="str">
        <f>IFERROR(__xludf.DUMMYFUNCTION("""COMPUTED_VALUE"""),"0000412982")</f>
        <v>0000412982</v>
      </c>
      <c r="AJ447" s="1">
        <f>IFERROR(__xludf.DUMMYFUNCTION("""COMPUTED_VALUE"""),6.077689E7)</f>
        <v>60776890</v>
      </c>
      <c r="AK447" s="1">
        <f>IFERROR(__xludf.DUMMYFUNCTION("""COMPUTED_VALUE"""),9.194813E8)</f>
        <v>919481300</v>
      </c>
      <c r="AL447" s="1" t="str">
        <f>IFERROR(__xludf.DUMMYFUNCTION("""COMPUTED_VALUE"""),"marianasimon090506@gmail.com")</f>
        <v>marianasimon090506@gmail.com</v>
      </c>
      <c r="AM447" s="1" t="str">
        <f>IFERROR(__xludf.DUMMYFUNCTION("""COMPUTED_VALUE"""),"FEMENINO")</f>
        <v>FEMENINO</v>
      </c>
      <c r="AN447" s="1">
        <f>IFERROR(__xludf.DUMMYFUNCTION("""COMPUTED_VALUE"""),1350.0)</f>
        <v>1350</v>
      </c>
      <c r="AO447" s="1">
        <f>IFERROR(__xludf.DUMMYFUNCTION("""COMPUTED_VALUE"""),0.0)</f>
        <v>0</v>
      </c>
      <c r="AP447" s="1" t="str">
        <f>IFERROR(__xludf.DUMMYFUNCTION("""COMPUTED_VALUE"""),"FORMULARIO")</f>
        <v>FORMULARIO</v>
      </c>
      <c r="AQ447" s="1" t="str">
        <f>IFERROR(__xludf.DUMMYFUNCTION("""COMPUTED_VALUE"""),"SEARCH MARCA")</f>
        <v>SEARCH MARCA</v>
      </c>
      <c r="AR447" s="1" t="str">
        <f>IFERROR(__xludf.DUMMYFUNCTION("""COMPUTED_VALUE"""),"NUEVO")</f>
        <v>NUEVO</v>
      </c>
      <c r="AS447" s="1" t="str">
        <f>IFERROR(__xludf.DUMMYFUNCTION("""COMPUTED_VALUE"""),"ucal-pg-performance-sedes-abierta-cpl-search_conversion_marca-20240401")</f>
        <v>ucal-pg-performance-sedes-abierta-cpl-search_conversion_marca-20240401</v>
      </c>
      <c r="AT447" s="2">
        <f>IFERROR(__xludf.DUMMYFUNCTION("""COMPUTED_VALUE"""),45690.0)</f>
        <v>45690</v>
      </c>
      <c r="AU447" s="1">
        <f>IFERROR(__xludf.DUMMYFUNCTION("""COMPUTED_VALUE"""),1.0)</f>
        <v>1</v>
      </c>
      <c r="AV447" s="1" t="str">
        <f>IFERROR(__xludf.DUMMYFUNCTION("""COMPUTED_VALUE"""),"NUEVO")</f>
        <v>NUEVO</v>
      </c>
      <c r="AW447" s="1" t="str">
        <f>IFERROR(__xludf.DUMMYFUNCTION("""COMPUTED_VALUE"""),"SI")</f>
        <v>SI</v>
      </c>
      <c r="AX447" s="1"/>
      <c r="AY447" s="1" t="str">
        <f>IFERROR(__xludf.DUMMYFUNCTION("""COMPUTED_VALUE"""),"PAGO COMPLETO")</f>
        <v>PAGO COMPLETO</v>
      </c>
      <c r="AZ447" s="5">
        <f>IFERROR(__xludf.DUMMYFUNCTION("""COMPUTED_VALUE"""),45691.0)</f>
        <v>45691</v>
      </c>
      <c r="BA447" s="1">
        <f>IFERROR(__xludf.DUMMYFUNCTION("""COMPUTED_VALUE"""),0.0)</f>
        <v>0</v>
      </c>
      <c r="BB447" s="1">
        <f>IFERROR(__xludf.DUMMYFUNCTION("""COMPUTED_VALUE"""),0.0)</f>
        <v>0</v>
      </c>
      <c r="BC447" s="4">
        <f>IFERROR(__xludf.DUMMYFUNCTION("""COMPUTED_VALUE"""),0.0)</f>
        <v>0</v>
      </c>
      <c r="BD447" s="4">
        <f>IFERROR(__xludf.DUMMYFUNCTION("""COMPUTED_VALUE"""),450.0)</f>
        <v>450</v>
      </c>
      <c r="BE447" s="1">
        <f>IFERROR(__xludf.DUMMYFUNCTION("""COMPUTED_VALUE"""),2.0)</f>
        <v>2</v>
      </c>
      <c r="BF447" s="6">
        <f>IFERROR(__xludf.DUMMYFUNCTION("""COMPUTED_VALUE"""),1.0)</f>
        <v>1</v>
      </c>
      <c r="BG447" s="1">
        <f>IFERROR(__xludf.DUMMYFUNCTION("""COMPUTED_VALUE"""),1.0)</f>
        <v>1</v>
      </c>
      <c r="BH447" s="1" t="str">
        <f>IFERROR(__xludf.DUMMYFUNCTION("""COMPUTED_VALUE"""),"0")</f>
        <v>0</v>
      </c>
      <c r="BI447" s="4">
        <f>IFERROR(__xludf.DUMMYFUNCTION("""COMPUTED_VALUE"""),450.0)</f>
        <v>450</v>
      </c>
      <c r="BJ447" s="1">
        <f>IFERROR(__xludf.DUMMYFUNCTION("""COMPUTED_VALUE"""),0.0)</f>
        <v>0</v>
      </c>
      <c r="BK447" s="4">
        <f>IFERROR(__xludf.DUMMYFUNCTION("""COMPUTED_VALUE"""),450.0)</f>
        <v>450</v>
      </c>
      <c r="BL447" s="1">
        <f>IFERROR(__xludf.DUMMYFUNCTION("""COMPUTED_VALUE"""),860.0)</f>
        <v>860</v>
      </c>
      <c r="BM447" s="1">
        <f>IFERROR(__xludf.DUMMYFUNCTION("""COMPUTED_VALUE"""),6.0)</f>
        <v>6</v>
      </c>
      <c r="BN447" s="2">
        <f>IFERROR(__xludf.DUMMYFUNCTION("""COMPUTED_VALUE"""),45691.0)</f>
        <v>45691</v>
      </c>
      <c r="BO447" s="1">
        <f>IFERROR(__xludf.DUMMYFUNCTION("""COMPUTED_VALUE"""),2.0)</f>
        <v>2</v>
      </c>
      <c r="BP447" s="1">
        <f>IFERROR(__xludf.DUMMYFUNCTION("""COMPUTED_VALUE"""),2025.0)</f>
        <v>2025</v>
      </c>
    </row>
    <row r="448">
      <c r="A448" s="1">
        <f>IFERROR(__xludf.DUMMYFUNCTION("""COMPUTED_VALUE"""),447.0)</f>
        <v>447</v>
      </c>
      <c r="B448" s="1">
        <f>IFERROR(__xludf.DUMMYFUNCTION("""COMPUTED_VALUE"""),2082229.0)</f>
        <v>2082229</v>
      </c>
      <c r="C448" s="1" t="str">
        <f>IFERROR(__xludf.DUMMYFUNCTION("""COMPUTED_VALUE"""),"2025-1")</f>
        <v>2025-1</v>
      </c>
      <c r="D448" s="1" t="str">
        <f>IFERROR(__xludf.DUMMYFUNCTION("""COMPUTED_VALUE"""),"Admisión Extraordinaria (Traslados)")</f>
        <v>Admisión Extraordinaria (Traslados)</v>
      </c>
      <c r="E448" s="2">
        <f>IFERROR(__xludf.DUMMYFUNCTION("""COMPUTED_VALUE"""),45691.0)</f>
        <v>45691</v>
      </c>
      <c r="F448" s="1" t="str">
        <f>IFERROR(__xludf.DUMMYFUNCTION("""COMPUTED_VALUE"""),"MARIA GRACIA")</f>
        <v>MARIA GRACIA</v>
      </c>
      <c r="G448" s="1" t="str">
        <f>IFERROR(__xludf.DUMMYFUNCTION("""COMPUTED_VALUE"""),"RUIZ GONZALEZ DIAZ")</f>
        <v>RUIZ GONZALEZ DIAZ</v>
      </c>
      <c r="H448" s="1" t="str">
        <f>IFERROR(__xludf.DUMMYFUNCTION("""COMPUTED_VALUE"""),"Comunicación Audiovisual y Cine")</f>
        <v>Comunicación Audiovisual y Cine</v>
      </c>
      <c r="I448" s="1" t="str">
        <f>IFERROR(__xludf.DUMMYFUNCTION("""COMPUTED_VALUE"""),"CARGO")</f>
        <v>CARGO</v>
      </c>
      <c r="J448" s="1" t="str">
        <f>IFERROR(__xludf.DUMMYFUNCTION("""COMPUTED_VALUE"""),"Diurno")</f>
        <v>Diurno</v>
      </c>
      <c r="K448" s="1" t="str">
        <f>IFERROR(__xludf.DUMMYFUNCTION("""COMPUTED_VALUE"""),"TRASLADO")</f>
        <v>TRASLADO</v>
      </c>
      <c r="L448" s="1">
        <f>IFERROR(__xludf.DUMMYFUNCTION("""COMPUTED_VALUE"""),1.0)</f>
        <v>1</v>
      </c>
      <c r="M448" s="1">
        <f>IFERROR(__xludf.DUMMYFUNCTION("""COMPUTED_VALUE"""),0.0)</f>
        <v>0</v>
      </c>
      <c r="N448" s="1" t="str">
        <f>IFERROR(__xludf.DUMMYFUNCTION("""COMPUTED_VALUE"""),"RECA")</f>
        <v>RECA</v>
      </c>
      <c r="O448" s="1" t="str">
        <f>IFERROR(__xludf.DUMMYFUNCTION("""COMPUTED_VALUE"""),"RECA TRASLADO CON CONVA")</f>
        <v>RECA TRASLADO CON CONVA</v>
      </c>
      <c r="P448" s="4">
        <f>IFERROR(__xludf.DUMMYFUNCTION("""COMPUTED_VALUE"""),0.0)</f>
        <v>0</v>
      </c>
      <c r="Q448" s="4">
        <f>IFERROR(__xludf.DUMMYFUNCTION("""COMPUTED_VALUE"""),0.0)</f>
        <v>0</v>
      </c>
      <c r="R448" s="4">
        <f>IFERROR(__xludf.DUMMYFUNCTION("""COMPUTED_VALUE"""),700.0)</f>
        <v>700</v>
      </c>
      <c r="S448" s="4">
        <f>IFERROR(__xludf.DUMMYFUNCTION("""COMPUTED_VALUE"""),700.0)</f>
        <v>700</v>
      </c>
      <c r="T448" s="1" t="str">
        <f>IFERROR(__xludf.DUMMYFUNCTION("""COMPUTED_VALUE"""),"NINGUNO")</f>
        <v>NINGUNO</v>
      </c>
      <c r="U448" s="1"/>
      <c r="V448" s="1" t="str">
        <f>IFERROR(__xludf.DUMMYFUNCTION("""COMPUTED_VALUE"""),"Ninguno")</f>
        <v>Ninguno</v>
      </c>
      <c r="W448" s="1" t="str">
        <f>IFERROR(__xludf.DUMMYFUNCTION("""COMPUTED_VALUE"""),"Metodología de enseñanza")</f>
        <v>Metodología de enseñanza</v>
      </c>
      <c r="X448" s="1"/>
      <c r="Y448" s="1" t="str">
        <f>IFERROR(__xludf.DUMMYFUNCTION("""COMPUTED_VALUE"""),"PAGO COMPLETO")</f>
        <v>PAGO COMPLETO</v>
      </c>
      <c r="Z448" s="1"/>
      <c r="AA448" s="1"/>
      <c r="AB448" s="1">
        <f>IFERROR(__xludf.DUMMYFUNCTION("""COMPUTED_VALUE"""),0.0)</f>
        <v>0</v>
      </c>
      <c r="AC448" s="1">
        <f>IFERROR(__xludf.DUMMYFUNCTION("""COMPUTED_VALUE"""),0.0)</f>
        <v>0</v>
      </c>
      <c r="AD448" s="1" t="str">
        <f>IFERROR(__xludf.DUMMYFUNCTION("""COMPUTED_VALUE"""),"Ingrid Guillermo Rivera")</f>
        <v>Ingrid Guillermo Rivera</v>
      </c>
      <c r="AE448" s="1" t="str">
        <f>IFERROR(__xludf.DUMMYFUNCTION("""COMPUTED_VALUE"""),"ISIL")</f>
        <v>ISIL</v>
      </c>
      <c r="AF448" s="1">
        <f>IFERROR(__xludf.DUMMYFUNCTION("""COMPUTED_VALUE"""),2019.0)</f>
        <v>2019</v>
      </c>
      <c r="AG448" s="1">
        <f>IFERROR(__xludf.DUMMYFUNCTION("""COMPUTED_VALUE"""),576363.0)</f>
        <v>576363</v>
      </c>
      <c r="AH448" s="1">
        <f>IFERROR(__xludf.DUMMYFUNCTION("""COMPUTED_VALUE"""),22.0)</f>
        <v>22</v>
      </c>
      <c r="AI448" s="1" t="str">
        <f>IFERROR(__xludf.DUMMYFUNCTION("""COMPUTED_VALUE"""),"0000412926")</f>
        <v>0000412926</v>
      </c>
      <c r="AJ448" s="1">
        <f>IFERROR(__xludf.DUMMYFUNCTION("""COMPUTED_VALUE"""),7.2494288E7)</f>
        <v>72494288</v>
      </c>
      <c r="AK448" s="1">
        <f>IFERROR(__xludf.DUMMYFUNCTION("""COMPUTED_VALUE"""),9.6720485E8)</f>
        <v>967204850</v>
      </c>
      <c r="AL448" s="1" t="str">
        <f>IFERROR(__xludf.DUMMYFUNCTION("""COMPUTED_VALUE"""),"maiaruizgonzalez@gmail.com")</f>
        <v>maiaruizgonzalez@gmail.com</v>
      </c>
      <c r="AM448" s="1" t="str">
        <f>IFERROR(__xludf.DUMMYFUNCTION("""COMPUTED_VALUE"""),"FEMENINO")</f>
        <v>FEMENINO</v>
      </c>
      <c r="AN448" s="1">
        <f>IFERROR(__xludf.DUMMYFUNCTION("""COMPUTED_VALUE"""),1350.0)</f>
        <v>1350</v>
      </c>
      <c r="AO448" s="1">
        <f>IFERROR(__xludf.DUMMYFUNCTION("""COMPUTED_VALUE"""),0.0)</f>
        <v>0</v>
      </c>
      <c r="AP448" s="1" t="str">
        <f>IFERROR(__xludf.DUMMYFUNCTION("""COMPUTED_VALUE"""),"OUTBOUND")</f>
        <v>OUTBOUND</v>
      </c>
      <c r="AQ448" s="1" t="str">
        <f>IFERROR(__xludf.DUMMYFUNCTION("""COMPUTED_VALUE"""),"OUTBOUND")</f>
        <v>OUTBOUND</v>
      </c>
      <c r="AR448" s="1" t="str">
        <f>IFERROR(__xludf.DUMMYFUNCTION("""COMPUTED_VALUE"""),"HEREDADO")</f>
        <v>HEREDADO</v>
      </c>
      <c r="AS448" s="1"/>
      <c r="AT448" s="2">
        <f>IFERROR(__xludf.DUMMYFUNCTION("""COMPUTED_VALUE"""),45560.0)</f>
        <v>45560</v>
      </c>
      <c r="AU448" s="1">
        <f>IFERROR(__xludf.DUMMYFUNCTION("""COMPUTED_VALUE"""),1.0)</f>
        <v>1</v>
      </c>
      <c r="AV448" s="1" t="str">
        <f>IFERROR(__xludf.DUMMYFUNCTION("""COMPUTED_VALUE"""),"TRASLADO")</f>
        <v>TRASLADO</v>
      </c>
      <c r="AW448" s="1" t="str">
        <f>IFERROR(__xludf.DUMMYFUNCTION("""COMPUTED_VALUE"""),"SI")</f>
        <v>SI</v>
      </c>
      <c r="AX448" s="1"/>
      <c r="AY448" s="1" t="str">
        <f>IFERROR(__xludf.DUMMYFUNCTION("""COMPUTED_VALUE"""),"PAGO COMPLETO")</f>
        <v>PAGO COMPLETO</v>
      </c>
      <c r="AZ448" s="5">
        <f>IFERROR(__xludf.DUMMYFUNCTION("""COMPUTED_VALUE"""),45691.0)</f>
        <v>45691</v>
      </c>
      <c r="BA448" s="1">
        <f>IFERROR(__xludf.DUMMYFUNCTION("""COMPUTED_VALUE"""),0.0)</f>
        <v>0</v>
      </c>
      <c r="BB448" s="1">
        <f>IFERROR(__xludf.DUMMYFUNCTION("""COMPUTED_VALUE"""),0.0)</f>
        <v>0</v>
      </c>
      <c r="BC448" s="4">
        <f>IFERROR(__xludf.DUMMYFUNCTION("""COMPUTED_VALUE"""),0.0)</f>
        <v>0</v>
      </c>
      <c r="BD448" s="4">
        <f>IFERROR(__xludf.DUMMYFUNCTION("""COMPUTED_VALUE"""),0.0)</f>
        <v>0</v>
      </c>
      <c r="BE448" s="1">
        <f>IFERROR(__xludf.DUMMYFUNCTION("""COMPUTED_VALUE"""),2.0)</f>
        <v>2</v>
      </c>
      <c r="BF448" s="6">
        <f>IFERROR(__xludf.DUMMYFUNCTION("""COMPUTED_VALUE"""),1.0)</f>
        <v>1</v>
      </c>
      <c r="BG448" s="1">
        <f>IFERROR(__xludf.DUMMYFUNCTION("""COMPUTED_VALUE"""),1.0)</f>
        <v>1</v>
      </c>
      <c r="BH448" s="1" t="str">
        <f>IFERROR(__xludf.DUMMYFUNCTION("""COMPUTED_VALUE"""),"1")</f>
        <v>1</v>
      </c>
      <c r="BI448" s="4">
        <f>IFERROR(__xludf.DUMMYFUNCTION("""COMPUTED_VALUE"""),0.0)</f>
        <v>0</v>
      </c>
      <c r="BJ448" s="1">
        <f>IFERROR(__xludf.DUMMYFUNCTION("""COMPUTED_VALUE"""),0.0)</f>
        <v>0</v>
      </c>
      <c r="BK448" s="4">
        <f>IFERROR(__xludf.DUMMYFUNCTION("""COMPUTED_VALUE"""),0.0)</f>
        <v>0</v>
      </c>
      <c r="BL448" s="1">
        <f>IFERROR(__xludf.DUMMYFUNCTION("""COMPUTED_VALUE"""),700.0)</f>
        <v>700</v>
      </c>
      <c r="BM448" s="1">
        <f>IFERROR(__xludf.DUMMYFUNCTION("""COMPUTED_VALUE"""),6.0)</f>
        <v>6</v>
      </c>
      <c r="BN448" s="2">
        <f>IFERROR(__xludf.DUMMYFUNCTION("""COMPUTED_VALUE"""),45691.0)</f>
        <v>45691</v>
      </c>
      <c r="BO448" s="1">
        <f>IFERROR(__xludf.DUMMYFUNCTION("""COMPUTED_VALUE"""),2.0)</f>
        <v>2</v>
      </c>
      <c r="BP448" s="1">
        <f>IFERROR(__xludf.DUMMYFUNCTION("""COMPUTED_VALUE"""),2025.0)</f>
        <v>2025</v>
      </c>
    </row>
    <row r="449">
      <c r="A449" s="1">
        <f>IFERROR(__xludf.DUMMYFUNCTION("""COMPUTED_VALUE"""),448.0)</f>
        <v>448</v>
      </c>
      <c r="B449" s="1">
        <f>IFERROR(__xludf.DUMMYFUNCTION("""COMPUTED_VALUE"""),4989922.0)</f>
        <v>4989922</v>
      </c>
      <c r="C449" s="1" t="str">
        <f>IFERROR(__xludf.DUMMYFUNCTION("""COMPUTED_VALUE"""),"2025-1")</f>
        <v>2025-1</v>
      </c>
      <c r="D449" s="1" t="str">
        <f>IFERROR(__xludf.DUMMYFUNCTION("""COMPUTED_VALUE"""),"Admisión de Alto Rendimiento")</f>
        <v>Admisión de Alto Rendimiento</v>
      </c>
      <c r="E449" s="2">
        <f>IFERROR(__xludf.DUMMYFUNCTION("""COMPUTED_VALUE"""),45691.0)</f>
        <v>45691</v>
      </c>
      <c r="F449" s="1" t="str">
        <f>IFERROR(__xludf.DUMMYFUNCTION("""COMPUTED_VALUE"""),"ARIANA ESTELA ")</f>
        <v>ARIANA ESTELA </v>
      </c>
      <c r="G449" s="1" t="str">
        <f>IFERROR(__xludf.DUMMYFUNCTION("""COMPUTED_VALUE"""),"MENDOZA CUELLAR")</f>
        <v>MENDOZA CUELLAR</v>
      </c>
      <c r="H449" s="1" t="str">
        <f>IFERROR(__xludf.DUMMYFUNCTION("""COMPUTED_VALUE"""),"Comunicación y Publicidad Transmedia")</f>
        <v>Comunicación y Publicidad Transmedia</v>
      </c>
      <c r="I449" s="1" t="str">
        <f>IFERROR(__xludf.DUMMYFUNCTION("""COMPUTED_VALUE"""),"CARGO")</f>
        <v>CARGO</v>
      </c>
      <c r="J449" s="1" t="str">
        <f>IFERROR(__xludf.DUMMYFUNCTION("""COMPUTED_VALUE"""),"Diurno")</f>
        <v>Diurno</v>
      </c>
      <c r="K449" s="1" t="str">
        <f>IFERROR(__xludf.DUMMYFUNCTION("""COMPUTED_VALUE"""),"NUEVO")</f>
        <v>NUEVO</v>
      </c>
      <c r="L449" s="1">
        <f>IFERROR(__xludf.DUMMYFUNCTION("""COMPUTED_VALUE"""),0.0)</f>
        <v>0</v>
      </c>
      <c r="M449" s="1">
        <f>IFERROR(__xludf.DUMMYFUNCTION("""COMPUTED_VALUE"""),0.0)</f>
        <v>0</v>
      </c>
      <c r="N449" s="1" t="str">
        <f>IFERROR(__xludf.DUMMYFUNCTION("""COMPUTED_VALUE"""),"BECA")</f>
        <v>BECA</v>
      </c>
      <c r="O449" s="1" t="str">
        <f>IFERROR(__xludf.DUMMYFUNCTION("""COMPUTED_VALUE"""),"BECA CONGELADA DE 2 AÑOS")</f>
        <v>BECA CONGELADA DE 2 AÑOS</v>
      </c>
      <c r="P449" s="4">
        <f>IFERROR(__xludf.DUMMYFUNCTION("""COMPUTED_VALUE"""),0.0)</f>
        <v>0</v>
      </c>
      <c r="Q449" s="4">
        <f>IFERROR(__xludf.DUMMYFUNCTION("""COMPUTED_VALUE"""),0.0)</f>
        <v>0</v>
      </c>
      <c r="R449" s="4">
        <f>IFERROR(__xludf.DUMMYFUNCTION("""COMPUTED_VALUE"""),1100.0)</f>
        <v>1100</v>
      </c>
      <c r="S449" s="4">
        <f>IFERROR(__xludf.DUMMYFUNCTION("""COMPUTED_VALUE"""),1000.0)</f>
        <v>1000</v>
      </c>
      <c r="T449" s="1" t="str">
        <f>IFERROR(__xludf.DUMMYFUNCTION("""COMPUTED_VALUE"""),"PALANCA 500")</f>
        <v>PALANCA 500</v>
      </c>
      <c r="U449" s="1" t="str">
        <f>IFERROR(__xludf.DUMMYFUNCTION("""COMPUTED_VALUE"""),"RODRIGO")</f>
        <v>RODRIGO</v>
      </c>
      <c r="V449" s="1" t="str">
        <f>IFERROR(__xludf.DUMMYFUNCTION("""COMPUTED_VALUE"""),"Ninguno")</f>
        <v>Ninguno</v>
      </c>
      <c r="W449" s="1" t="str">
        <f>IFERROR(__xludf.DUMMYFUNCTION("""COMPUTED_VALUE"""),"Convenios internacionales")</f>
        <v>Convenios internacionales</v>
      </c>
      <c r="X449" s="1" t="str">
        <f>IFERROR(__xludf.DUMMYFUNCTION("""COMPUTED_VALUE"""),"desea jugar voley")</f>
        <v>desea jugar voley</v>
      </c>
      <c r="Y449" s="1" t="str">
        <f>IFERROR(__xludf.DUMMYFUNCTION("""COMPUTED_VALUE"""),"PAGO COMPLETO")</f>
        <v>PAGO COMPLETO</v>
      </c>
      <c r="Z449" s="1"/>
      <c r="AA449" s="1"/>
      <c r="AB449" s="1">
        <f>IFERROR(__xludf.DUMMYFUNCTION("""COMPUTED_VALUE"""),0.0)</f>
        <v>0</v>
      </c>
      <c r="AC449" s="1">
        <f>IFERROR(__xludf.DUMMYFUNCTION("""COMPUTED_VALUE"""),0.0)</f>
        <v>0</v>
      </c>
      <c r="AD449" s="1" t="str">
        <f>IFERROR(__xludf.DUMMYFUNCTION("""COMPUTED_VALUE"""),"Rosa Ugarte")</f>
        <v>Rosa Ugarte</v>
      </c>
      <c r="AE449" s="1" t="str">
        <f>IFERROR(__xludf.DUMMYFUNCTION("""COMPUTED_VALUE"""),"0")</f>
        <v>0</v>
      </c>
      <c r="AF449" s="1">
        <f>IFERROR(__xludf.DUMMYFUNCTION("""COMPUTED_VALUE"""),2024.0)</f>
        <v>2024</v>
      </c>
      <c r="AG449" s="1">
        <f>IFERROR(__xludf.DUMMYFUNCTION("""COMPUTED_VALUE"""),1099654.0)</f>
        <v>1099654</v>
      </c>
      <c r="AH449" s="1">
        <f>IFERROR(__xludf.DUMMYFUNCTION("""COMPUTED_VALUE"""),18.0)</f>
        <v>18</v>
      </c>
      <c r="AI449" s="1" t="str">
        <f>IFERROR(__xludf.DUMMYFUNCTION("""COMPUTED_VALUE"""),"0000412827")</f>
        <v>0000412827</v>
      </c>
      <c r="AJ449" s="1">
        <f>IFERROR(__xludf.DUMMYFUNCTION("""COMPUTED_VALUE"""),7.0703367E7)</f>
        <v>70703367</v>
      </c>
      <c r="AK449" s="1">
        <f>IFERROR(__xludf.DUMMYFUNCTION("""COMPUTED_VALUE"""),9.62808013E8)</f>
        <v>962808013</v>
      </c>
      <c r="AL449" s="1" t="str">
        <f>IFERROR(__xludf.DUMMYFUNCTION("""COMPUTED_VALUE"""),"patriciacuellarventura@gmail.com")</f>
        <v>patriciacuellarventura@gmail.com</v>
      </c>
      <c r="AM449" s="1" t="str">
        <f>IFERROR(__xludf.DUMMYFUNCTION("""COMPUTED_VALUE"""),"FEMENINO")</f>
        <v>FEMENINO</v>
      </c>
      <c r="AN449" s="1">
        <f>IFERROR(__xludf.DUMMYFUNCTION("""COMPUTED_VALUE"""),1350.0)</f>
        <v>1350</v>
      </c>
      <c r="AO449" s="1">
        <f>IFERROR(__xludf.DUMMYFUNCTION("""COMPUTED_VALUE"""),0.0)</f>
        <v>0</v>
      </c>
      <c r="AP449" s="1" t="str">
        <f>IFERROR(__xludf.DUMMYFUNCTION("""COMPUTED_VALUE"""),"EVENTOS")</f>
        <v>EVENTOS</v>
      </c>
      <c r="AQ449" s="1" t="str">
        <f>IFERROR(__xludf.DUMMYFUNCTION("""COMPUTED_VALUE"""),"EVENTOS")</f>
        <v>EVENTOS</v>
      </c>
      <c r="AR449" s="1" t="str">
        <f>IFERROR(__xludf.DUMMYFUNCTION("""COMPUTED_VALUE"""),"NUEVO")</f>
        <v>NUEVO</v>
      </c>
      <c r="AS449" s="1" t="str">
        <f>IFERROR(__xludf.DUMMYFUNCTION("""COMPUTED_VALUE"""),"ucal-pg-branding-sedes-bbdd-no_aplica-explora_ucal-20241112")</f>
        <v>ucal-pg-branding-sedes-bbdd-no_aplica-explora_ucal-20241112</v>
      </c>
      <c r="AT449" s="2">
        <f>IFERROR(__xludf.DUMMYFUNCTION("""COMPUTED_VALUE"""),45690.0)</f>
        <v>45690</v>
      </c>
      <c r="AU449" s="1">
        <f>IFERROR(__xludf.DUMMYFUNCTION("""COMPUTED_VALUE"""),1.0)</f>
        <v>1</v>
      </c>
      <c r="AV449" s="1" t="str">
        <f>IFERROR(__xludf.DUMMYFUNCTION("""COMPUTED_VALUE"""),"NUEVO")</f>
        <v>NUEVO</v>
      </c>
      <c r="AW449" s="1" t="str">
        <f>IFERROR(__xludf.DUMMYFUNCTION("""COMPUTED_VALUE"""),"SI")</f>
        <v>SI</v>
      </c>
      <c r="AX449" s="1"/>
      <c r="AY449" s="1" t="str">
        <f>IFERROR(__xludf.DUMMYFUNCTION("""COMPUTED_VALUE"""),"PAGO COMPLETO")</f>
        <v>PAGO COMPLETO</v>
      </c>
      <c r="AZ449" s="5">
        <f>IFERROR(__xludf.DUMMYFUNCTION("""COMPUTED_VALUE"""),45691.0)</f>
        <v>45691</v>
      </c>
      <c r="BA449" s="1">
        <f>IFERROR(__xludf.DUMMYFUNCTION("""COMPUTED_VALUE"""),0.0)</f>
        <v>0</v>
      </c>
      <c r="BB449" s="1">
        <f>IFERROR(__xludf.DUMMYFUNCTION("""COMPUTED_VALUE"""),0.0)</f>
        <v>0</v>
      </c>
      <c r="BC449" s="4">
        <f>IFERROR(__xludf.DUMMYFUNCTION("""COMPUTED_VALUE"""),0.0)</f>
        <v>0</v>
      </c>
      <c r="BD449" s="4">
        <f>IFERROR(__xludf.DUMMYFUNCTION("""COMPUTED_VALUE"""),500.0)</f>
        <v>500</v>
      </c>
      <c r="BE449" s="1">
        <f>IFERROR(__xludf.DUMMYFUNCTION("""COMPUTED_VALUE"""),2.0)</f>
        <v>2</v>
      </c>
      <c r="BF449" s="6">
        <f>IFERROR(__xludf.DUMMYFUNCTION("""COMPUTED_VALUE"""),1.0)</f>
        <v>1</v>
      </c>
      <c r="BG449" s="1">
        <f>IFERROR(__xludf.DUMMYFUNCTION("""COMPUTED_VALUE"""),1.0)</f>
        <v>1</v>
      </c>
      <c r="BH449" s="1" t="str">
        <f>IFERROR(__xludf.DUMMYFUNCTION("""COMPUTED_VALUE"""),"0")</f>
        <v>0</v>
      </c>
      <c r="BI449" s="4">
        <f>IFERROR(__xludf.DUMMYFUNCTION("""COMPUTED_VALUE"""),500.0)</f>
        <v>500</v>
      </c>
      <c r="BJ449" s="1">
        <f>IFERROR(__xludf.DUMMYFUNCTION("""COMPUTED_VALUE"""),0.0)</f>
        <v>0</v>
      </c>
      <c r="BK449" s="4">
        <f>IFERROR(__xludf.DUMMYFUNCTION("""COMPUTED_VALUE"""),500.0)</f>
        <v>500</v>
      </c>
      <c r="BL449" s="1">
        <f>IFERROR(__xludf.DUMMYFUNCTION("""COMPUTED_VALUE"""),900.0)</f>
        <v>900</v>
      </c>
      <c r="BM449" s="1">
        <f>IFERROR(__xludf.DUMMYFUNCTION("""COMPUTED_VALUE"""),6.0)</f>
        <v>6</v>
      </c>
      <c r="BN449" s="2">
        <f>IFERROR(__xludf.DUMMYFUNCTION("""COMPUTED_VALUE"""),45691.0)</f>
        <v>45691</v>
      </c>
      <c r="BO449" s="1">
        <f>IFERROR(__xludf.DUMMYFUNCTION("""COMPUTED_VALUE"""),2.0)</f>
        <v>2</v>
      </c>
      <c r="BP449" s="1">
        <f>IFERROR(__xludf.DUMMYFUNCTION("""COMPUTED_VALUE"""),2025.0)</f>
        <v>2025</v>
      </c>
    </row>
    <row r="450">
      <c r="A450" s="1">
        <f>IFERROR(__xludf.DUMMYFUNCTION("""COMPUTED_VALUE"""),449.0)</f>
        <v>449</v>
      </c>
      <c r="B450" s="1">
        <f>IFERROR(__xludf.DUMMYFUNCTION("""COMPUTED_VALUE"""),4997516.0)</f>
        <v>4997516</v>
      </c>
      <c r="C450" s="1" t="str">
        <f>IFERROR(__xludf.DUMMYFUNCTION("""COMPUTED_VALUE"""),"2025-1")</f>
        <v>2025-1</v>
      </c>
      <c r="D450" s="1" t="str">
        <f>IFERROR(__xludf.DUMMYFUNCTION("""COMPUTED_VALUE"""),"Admisión Ordinaria")</f>
        <v>Admisión Ordinaria</v>
      </c>
      <c r="E450" s="2">
        <f>IFERROR(__xludf.DUMMYFUNCTION("""COMPUTED_VALUE"""),45692.0)</f>
        <v>45692</v>
      </c>
      <c r="F450" s="1" t="str">
        <f>IFERROR(__xludf.DUMMYFUNCTION("""COMPUTED_VALUE"""),"ALEXANDRA BETSABE")</f>
        <v>ALEXANDRA BETSABE</v>
      </c>
      <c r="G450" s="1" t="str">
        <f>IFERROR(__xludf.DUMMYFUNCTION("""COMPUTED_VALUE"""),"LUNA CAYOTOPA")</f>
        <v>LUNA CAYOTOPA</v>
      </c>
      <c r="H450" s="1" t="str">
        <f>IFERROR(__xludf.DUMMYFUNCTION("""COMPUTED_VALUE"""),"Arquitectura de Interiores")</f>
        <v>Arquitectura de Interiores</v>
      </c>
      <c r="I450" s="1" t="str">
        <f>IFERROR(__xludf.DUMMYFUNCTION("""COMPUTED_VALUE"""),"POS")</f>
        <v>POS</v>
      </c>
      <c r="J450" s="1" t="str">
        <f>IFERROR(__xludf.DUMMYFUNCTION("""COMPUTED_VALUE"""),"Diurno")</f>
        <v>Diurno</v>
      </c>
      <c r="K450" s="1" t="str">
        <f>IFERROR(__xludf.DUMMYFUNCTION("""COMPUTED_VALUE"""),"NUEVO")</f>
        <v>NUEVO</v>
      </c>
      <c r="L450" s="1">
        <f>IFERROR(__xludf.DUMMYFUNCTION("""COMPUTED_VALUE"""),0.0)</f>
        <v>0</v>
      </c>
      <c r="M450" s="1">
        <f>IFERROR(__xludf.DUMMYFUNCTION("""COMPUTED_VALUE"""),0.0)</f>
        <v>0</v>
      </c>
      <c r="N450" s="1" t="str">
        <f>IFERROR(__xludf.DUMMYFUNCTION("""COMPUTED_VALUE"""),"BECA")</f>
        <v>BECA</v>
      </c>
      <c r="O450" s="1" t="str">
        <f>IFERROR(__xludf.DUMMYFUNCTION("""COMPUTED_VALUE"""),"BECA CONGELADA DE 2 AÑOS")</f>
        <v>BECA CONGELADA DE 2 AÑOS</v>
      </c>
      <c r="P450" s="4">
        <f>IFERROR(__xludf.DUMMYFUNCTION("""COMPUTED_VALUE"""),0.0)</f>
        <v>0</v>
      </c>
      <c r="Q450" s="4">
        <f>IFERROR(__xludf.DUMMYFUNCTION("""COMPUTED_VALUE"""),0.0)</f>
        <v>0</v>
      </c>
      <c r="R450" s="4">
        <f>IFERROR(__xludf.DUMMYFUNCTION("""COMPUTED_VALUE"""),1100.0)</f>
        <v>1100</v>
      </c>
      <c r="S450" s="4">
        <f>IFERROR(__xludf.DUMMYFUNCTION("""COMPUTED_VALUE"""),950.0)</f>
        <v>950</v>
      </c>
      <c r="T450" s="1" t="str">
        <f>IFERROR(__xludf.DUMMYFUNCTION("""COMPUTED_VALUE"""),"PALANCA 500")</f>
        <v>PALANCA 500</v>
      </c>
      <c r="U450" s="1"/>
      <c r="V450" s="1" t="str">
        <f>IFERROR(__xludf.DUMMYFUNCTION("""COMPUTED_VALUE"""),"Ninguno")</f>
        <v>Ninguno</v>
      </c>
      <c r="W450" s="1" t="str">
        <f>IFERROR(__xludf.DUMMYFUNCTION("""COMPUTED_VALUE"""),"Metodología de enseñanza")</f>
        <v>Metodología de enseñanza</v>
      </c>
      <c r="X450" s="1"/>
      <c r="Y450" s="1" t="str">
        <f>IFERROR(__xludf.DUMMYFUNCTION("""COMPUTED_VALUE"""),"PAGO COMPLETO")</f>
        <v>PAGO COMPLETO</v>
      </c>
      <c r="Z450" s="1"/>
      <c r="AA450" s="1"/>
      <c r="AB450" s="1">
        <f>IFERROR(__xludf.DUMMYFUNCTION("""COMPUTED_VALUE"""),0.0)</f>
        <v>0</v>
      </c>
      <c r="AC450" s="1">
        <f>IFERROR(__xludf.DUMMYFUNCTION("""COMPUTED_VALUE"""),0.0)</f>
        <v>0</v>
      </c>
      <c r="AD450" s="1" t="str">
        <f>IFERROR(__xludf.DUMMYFUNCTION("""COMPUTED_VALUE"""),"Ingrid Guillermo Rivera")</f>
        <v>Ingrid Guillermo Rivera</v>
      </c>
      <c r="AE450" s="1" t="str">
        <f>IFERROR(__xludf.DUMMYFUNCTION("""COMPUTED_VALUE"""),"0")</f>
        <v>0</v>
      </c>
      <c r="AF450" s="1">
        <f>IFERROR(__xludf.DUMMYFUNCTION("""COMPUTED_VALUE"""),2022.0)</f>
        <v>2022</v>
      </c>
      <c r="AG450" s="1">
        <f>IFERROR(__xludf.DUMMYFUNCTION("""COMPUTED_VALUE"""),603316.0)</f>
        <v>603316</v>
      </c>
      <c r="AH450" s="1">
        <f>IFERROR(__xludf.DUMMYFUNCTION("""COMPUTED_VALUE"""),20.0)</f>
        <v>20</v>
      </c>
      <c r="AI450" s="1" t="str">
        <f>IFERROR(__xludf.DUMMYFUNCTION("""COMPUTED_VALUE"""),"0000413087")</f>
        <v>0000413087</v>
      </c>
      <c r="AJ450" s="1">
        <f>IFERROR(__xludf.DUMMYFUNCTION("""COMPUTED_VALUE"""),7.5912419E7)</f>
        <v>75912419</v>
      </c>
      <c r="AK450" s="1">
        <f>IFERROR(__xludf.DUMMYFUNCTION("""COMPUTED_VALUE"""),9.58227533E8)</f>
        <v>958227533</v>
      </c>
      <c r="AL450" s="1" t="str">
        <f>IFERROR(__xludf.DUMMYFUNCTION("""COMPUTED_VALUE"""),"alunacayotopa@gmail.com")</f>
        <v>alunacayotopa@gmail.com</v>
      </c>
      <c r="AM450" s="1" t="str">
        <f>IFERROR(__xludf.DUMMYFUNCTION("""COMPUTED_VALUE"""),"FEMENINO")</f>
        <v>FEMENINO</v>
      </c>
      <c r="AN450" s="1">
        <f>IFERROR(__xludf.DUMMYFUNCTION("""COMPUTED_VALUE"""),1350.0)</f>
        <v>1350</v>
      </c>
      <c r="AO450" s="1">
        <f>IFERROR(__xludf.DUMMYFUNCTION("""COMPUTED_VALUE"""),0.0)</f>
        <v>0</v>
      </c>
      <c r="AP450" s="1" t="str">
        <f>IFERROR(__xludf.DUMMYFUNCTION("""COMPUTED_VALUE"""),"VISITA")</f>
        <v>VISITA</v>
      </c>
      <c r="AQ450" s="1" t="str">
        <f>IFERROR(__xludf.DUMMYFUNCTION("""COMPUTED_VALUE"""),"VISITA")</f>
        <v>VISITA</v>
      </c>
      <c r="AR450" s="1" t="str">
        <f>IFERROR(__xludf.DUMMYFUNCTION("""COMPUTED_VALUE"""),"NUEVO")</f>
        <v>NUEVO</v>
      </c>
      <c r="AS450" s="1"/>
      <c r="AT450" s="2">
        <f>IFERROR(__xludf.DUMMYFUNCTION("""COMPUTED_VALUE"""),45692.0)</f>
        <v>45692</v>
      </c>
      <c r="AU450" s="1">
        <f>IFERROR(__xludf.DUMMYFUNCTION("""COMPUTED_VALUE"""),1.0)</f>
        <v>1</v>
      </c>
      <c r="AV450" s="1" t="str">
        <f>IFERROR(__xludf.DUMMYFUNCTION("""COMPUTED_VALUE"""),"NUEVO")</f>
        <v>NUEVO</v>
      </c>
      <c r="AW450" s="1" t="str">
        <f>IFERROR(__xludf.DUMMYFUNCTION("""COMPUTED_VALUE"""),"SI")</f>
        <v>SI</v>
      </c>
      <c r="AX450" s="1"/>
      <c r="AY450" s="1" t="str">
        <f>IFERROR(__xludf.DUMMYFUNCTION("""COMPUTED_VALUE"""),"PAGO COMPLETO")</f>
        <v>PAGO COMPLETO</v>
      </c>
      <c r="AZ450" s="5">
        <f>IFERROR(__xludf.DUMMYFUNCTION("""COMPUTED_VALUE"""),45692.0)</f>
        <v>45692</v>
      </c>
      <c r="BA450" s="1">
        <f>IFERROR(__xludf.DUMMYFUNCTION("""COMPUTED_VALUE"""),0.0)</f>
        <v>0</v>
      </c>
      <c r="BB450" s="1">
        <f>IFERROR(__xludf.DUMMYFUNCTION("""COMPUTED_VALUE"""),0.0)</f>
        <v>0</v>
      </c>
      <c r="BC450" s="4">
        <f>IFERROR(__xludf.DUMMYFUNCTION("""COMPUTED_VALUE"""),0.0)</f>
        <v>0</v>
      </c>
      <c r="BD450" s="4">
        <f>IFERROR(__xludf.DUMMYFUNCTION("""COMPUTED_VALUE"""),450.0)</f>
        <v>450</v>
      </c>
      <c r="BE450" s="1">
        <f>IFERROR(__xludf.DUMMYFUNCTION("""COMPUTED_VALUE"""),2.0)</f>
        <v>2</v>
      </c>
      <c r="BF450" s="6">
        <f>IFERROR(__xludf.DUMMYFUNCTION("""COMPUTED_VALUE"""),1.0)</f>
        <v>1</v>
      </c>
      <c r="BG450" s="1">
        <f>IFERROR(__xludf.DUMMYFUNCTION("""COMPUTED_VALUE"""),1.0)</f>
        <v>1</v>
      </c>
      <c r="BH450" s="1" t="str">
        <f>IFERROR(__xludf.DUMMYFUNCTION("""COMPUTED_VALUE"""),"0")</f>
        <v>0</v>
      </c>
      <c r="BI450" s="4">
        <f>IFERROR(__xludf.DUMMYFUNCTION("""COMPUTED_VALUE"""),450.0)</f>
        <v>450</v>
      </c>
      <c r="BJ450" s="1">
        <f>IFERROR(__xludf.DUMMYFUNCTION("""COMPUTED_VALUE"""),0.0)</f>
        <v>0</v>
      </c>
      <c r="BK450" s="4">
        <f>IFERROR(__xludf.DUMMYFUNCTION("""COMPUTED_VALUE"""),450.0)</f>
        <v>450</v>
      </c>
      <c r="BL450" s="1">
        <f>IFERROR(__xludf.DUMMYFUNCTION("""COMPUTED_VALUE"""),860.0)</f>
        <v>860</v>
      </c>
      <c r="BM450" s="1">
        <f>IFERROR(__xludf.DUMMYFUNCTION("""COMPUTED_VALUE"""),6.0)</f>
        <v>6</v>
      </c>
      <c r="BN450" s="2">
        <f>IFERROR(__xludf.DUMMYFUNCTION("""COMPUTED_VALUE"""),45691.0)</f>
        <v>45691</v>
      </c>
      <c r="BO450" s="1">
        <f>IFERROR(__xludf.DUMMYFUNCTION("""COMPUTED_VALUE"""),2.0)</f>
        <v>2</v>
      </c>
      <c r="BP450" s="1">
        <f>IFERROR(__xludf.DUMMYFUNCTION("""COMPUTED_VALUE"""),2025.0)</f>
        <v>2025</v>
      </c>
    </row>
    <row r="451">
      <c r="A451" s="1">
        <f>IFERROR(__xludf.DUMMYFUNCTION("""COMPUTED_VALUE"""),450.0)</f>
        <v>450</v>
      </c>
      <c r="B451" s="1">
        <f>IFERROR(__xludf.DUMMYFUNCTION("""COMPUTED_VALUE"""),1361192.0)</f>
        <v>1361192</v>
      </c>
      <c r="C451" s="1" t="str">
        <f>IFERROR(__xludf.DUMMYFUNCTION("""COMPUTED_VALUE"""),"2025-1")</f>
        <v>2025-1</v>
      </c>
      <c r="D451" s="1" t="str">
        <f>IFERROR(__xludf.DUMMYFUNCTION("""COMPUTED_VALUE"""),"Admisión Extraordinaria (Traslados)")</f>
        <v>Admisión Extraordinaria (Traslados)</v>
      </c>
      <c r="E451" s="2">
        <f>IFERROR(__xludf.DUMMYFUNCTION("""COMPUTED_VALUE"""),45692.0)</f>
        <v>45692</v>
      </c>
      <c r="F451" s="1" t="str">
        <f>IFERROR(__xludf.DUMMYFUNCTION("""COMPUTED_VALUE"""),"ANGELA ELENA")</f>
        <v>ANGELA ELENA</v>
      </c>
      <c r="G451" s="1" t="str">
        <f>IFERROR(__xludf.DUMMYFUNCTION("""COMPUTED_VALUE"""),"LOZANO MORI")</f>
        <v>LOZANO MORI</v>
      </c>
      <c r="H451" s="1" t="str">
        <f>IFERROR(__xludf.DUMMYFUNCTION("""COMPUTED_VALUE"""),"Diseño Gráfico Publicitario")</f>
        <v>Diseño Gráfico Publicitario</v>
      </c>
      <c r="I451" s="1" t="str">
        <f>IFERROR(__xludf.DUMMYFUNCTION("""COMPUTED_VALUE"""),"Pago Link")</f>
        <v>Pago Link</v>
      </c>
      <c r="J451" s="1" t="str">
        <f>IFERROR(__xludf.DUMMYFUNCTION("""COMPUTED_VALUE"""),"Diurno")</f>
        <v>Diurno</v>
      </c>
      <c r="K451" s="1" t="str">
        <f>IFERROR(__xludf.DUMMYFUNCTION("""COMPUTED_VALUE"""),"TRASLADO")</f>
        <v>TRASLADO</v>
      </c>
      <c r="L451" s="1">
        <f>IFERROR(__xludf.DUMMYFUNCTION("""COMPUTED_VALUE"""),1.0)</f>
        <v>1</v>
      </c>
      <c r="M451" s="1">
        <f>IFERROR(__xludf.DUMMYFUNCTION("""COMPUTED_VALUE"""),0.0)</f>
        <v>0</v>
      </c>
      <c r="N451" s="1" t="str">
        <f>IFERROR(__xludf.DUMMYFUNCTION("""COMPUTED_VALUE"""),"RECA")</f>
        <v>RECA</v>
      </c>
      <c r="O451" s="1" t="str">
        <f>IFERROR(__xludf.DUMMYFUNCTION("""COMPUTED_VALUE"""),"RECA TRASLADO CON CONVA")</f>
        <v>RECA TRASLADO CON CONVA</v>
      </c>
      <c r="P451" s="4">
        <f>IFERROR(__xludf.DUMMYFUNCTION("""COMPUTED_VALUE"""),0.0)</f>
        <v>0</v>
      </c>
      <c r="Q451" s="4">
        <f>IFERROR(__xludf.DUMMYFUNCTION("""COMPUTED_VALUE"""),0.0)</f>
        <v>0</v>
      </c>
      <c r="R451" s="4">
        <f>IFERROR(__xludf.DUMMYFUNCTION("""COMPUTED_VALUE"""),1150.0)</f>
        <v>1150</v>
      </c>
      <c r="S451" s="4">
        <f>IFERROR(__xludf.DUMMYFUNCTION("""COMPUTED_VALUE"""),700.0)</f>
        <v>700</v>
      </c>
      <c r="T451" s="1" t="str">
        <f>IFERROR(__xludf.DUMMYFUNCTION("""COMPUTED_VALUE"""),"NINGUNO")</f>
        <v>NINGUNO</v>
      </c>
      <c r="U451" s="1"/>
      <c r="V451" s="1" t="str">
        <f>IFERROR(__xludf.DUMMYFUNCTION("""COMPUTED_VALUE"""),"Ninguno")</f>
        <v>Ninguno</v>
      </c>
      <c r="W451" s="1" t="str">
        <f>IFERROR(__xludf.DUMMYFUNCTION("""COMPUTED_VALUE"""),"Malla curricular")</f>
        <v>Malla curricular</v>
      </c>
      <c r="X451" s="1" t="str">
        <f>IFERROR(__xludf.DUMMYFUNCTION("""COMPUTED_VALUE"""),"DESEA LICENCIATURA")</f>
        <v>DESEA LICENCIATURA</v>
      </c>
      <c r="Y451" s="1" t="str">
        <f>IFERROR(__xludf.DUMMYFUNCTION("""COMPUTED_VALUE"""),"PAGO FRACCIONADO")</f>
        <v>PAGO FRACCIONADO</v>
      </c>
      <c r="Z451" s="1">
        <f>IFERROR(__xludf.DUMMYFUNCTION("""COMPUTED_VALUE"""),350.0)</f>
        <v>350</v>
      </c>
      <c r="AA451" s="1" t="str">
        <f>IFERROR(__xludf.DUMMYFUNCTION("""COMPUTED_VALUE"""),"07/02/2025")</f>
        <v>07/02/2025</v>
      </c>
      <c r="AB451" s="1">
        <f>IFERROR(__xludf.DUMMYFUNCTION("""COMPUTED_VALUE"""),0.0)</f>
        <v>0</v>
      </c>
      <c r="AC451" s="1">
        <f>IFERROR(__xludf.DUMMYFUNCTION("""COMPUTED_VALUE"""),0.0)</f>
        <v>0</v>
      </c>
      <c r="AD451" s="1" t="str">
        <f>IFERROR(__xludf.DUMMYFUNCTION("""COMPUTED_VALUE"""),"Daniel Zapata")</f>
        <v>Daniel Zapata</v>
      </c>
      <c r="AE451" s="1" t="str">
        <f>IFERROR(__xludf.DUMMYFUNCTION("""COMPUTED_VALUE"""),"Instituto de Educación Superior Tecnológico Privado Toulouse Lautrec")</f>
        <v>Instituto de Educación Superior Tecnológico Privado Toulouse Lautrec</v>
      </c>
      <c r="AF451" s="1">
        <f>IFERROR(__xludf.DUMMYFUNCTION("""COMPUTED_VALUE"""),2020.0)</f>
        <v>2020</v>
      </c>
      <c r="AG451" s="1">
        <f>IFERROR(__xludf.DUMMYFUNCTION("""COMPUTED_VALUE"""),728618.0)</f>
        <v>728618</v>
      </c>
      <c r="AH451" s="1">
        <f>IFERROR(__xludf.DUMMYFUNCTION("""COMPUTED_VALUE"""),20.0)</f>
        <v>20</v>
      </c>
      <c r="AI451" s="1" t="str">
        <f>IFERROR(__xludf.DUMMYFUNCTION("""COMPUTED_VALUE"""),"0000034309")</f>
        <v>0000034309</v>
      </c>
      <c r="AJ451" s="1">
        <f>IFERROR(__xludf.DUMMYFUNCTION("""COMPUTED_VALUE"""),7.6026361E7)</f>
        <v>76026361</v>
      </c>
      <c r="AK451" s="1">
        <f>IFERROR(__xludf.DUMMYFUNCTION("""COMPUTED_VALUE"""),9.77986838E8)</f>
        <v>977986838</v>
      </c>
      <c r="AL451" s="1" t="str">
        <f>IFERROR(__xludf.DUMMYFUNCTION("""COMPUTED_VALUE"""),"aelenalm@hotmail.com")</f>
        <v>aelenalm@hotmail.com</v>
      </c>
      <c r="AM451" s="1" t="str">
        <f>IFERROR(__xludf.DUMMYFUNCTION("""COMPUTED_VALUE"""),"FEMENINO")</f>
        <v>FEMENINO</v>
      </c>
      <c r="AN451" s="1">
        <f>IFERROR(__xludf.DUMMYFUNCTION("""COMPUTED_VALUE"""),1775.0)</f>
        <v>1775</v>
      </c>
      <c r="AO451" s="1">
        <f>IFERROR(__xludf.DUMMYFUNCTION("""COMPUTED_VALUE"""),380.0)</f>
        <v>380</v>
      </c>
      <c r="AP451" s="1" t="str">
        <f>IFERROR(__xludf.DUMMYFUNCTION("""COMPUTED_VALUE"""),"FORMULARIO")</f>
        <v>FORMULARIO</v>
      </c>
      <c r="AQ451" s="1" t="str">
        <f>IFERROR(__xludf.DUMMYFUNCTION("""COMPUTED_VALUE"""),"ORGANICO")</f>
        <v>ORGANICO</v>
      </c>
      <c r="AR451" s="1" t="str">
        <f>IFERROR(__xludf.DUMMYFUNCTION("""COMPUTED_VALUE"""),"HEREDADO")</f>
        <v>HEREDADO</v>
      </c>
      <c r="AS451" s="1"/>
      <c r="AT451" s="2">
        <f>IFERROR(__xludf.DUMMYFUNCTION("""COMPUTED_VALUE"""),45692.0)</f>
        <v>45692</v>
      </c>
      <c r="AU451" s="1">
        <f>IFERROR(__xludf.DUMMYFUNCTION("""COMPUTED_VALUE"""),1.0)</f>
        <v>1</v>
      </c>
      <c r="AV451" s="1" t="str">
        <f>IFERROR(__xludf.DUMMYFUNCTION("""COMPUTED_VALUE"""),"TRASLADO")</f>
        <v>TRASLADO</v>
      </c>
      <c r="AW451" s="1" t="str">
        <f>IFERROR(__xludf.DUMMYFUNCTION("""COMPUTED_VALUE"""),"SI")</f>
        <v>SI</v>
      </c>
      <c r="AX451" s="1"/>
      <c r="AY451" s="1" t="str">
        <f>IFERROR(__xludf.DUMMYFUNCTION("""COMPUTED_VALUE"""),"PAGO COMPLETO")</f>
        <v>PAGO COMPLETO</v>
      </c>
      <c r="AZ451" s="5">
        <f>IFERROR(__xludf.DUMMYFUNCTION("""COMPUTED_VALUE"""),45695.0)</f>
        <v>45695</v>
      </c>
      <c r="BA451" s="1">
        <f>IFERROR(__xludf.DUMMYFUNCTION("""COMPUTED_VALUE"""),350.0)</f>
        <v>350</v>
      </c>
      <c r="BB451" s="1">
        <f>IFERROR(__xludf.DUMMYFUNCTION("""COMPUTED_VALUE"""),0.0)</f>
        <v>0</v>
      </c>
      <c r="BC451" s="4">
        <f>IFERROR(__xludf.DUMMYFUNCTION("""COMPUTED_VALUE"""),0.0)</f>
        <v>0</v>
      </c>
      <c r="BD451" s="4">
        <f>IFERROR(__xludf.DUMMYFUNCTION("""COMPUTED_VALUE"""),0.0)</f>
        <v>0</v>
      </c>
      <c r="BE451" s="1">
        <f>IFERROR(__xludf.DUMMYFUNCTION("""COMPUTED_VALUE"""),2.0)</f>
        <v>2</v>
      </c>
      <c r="BF451" s="6">
        <f>IFERROR(__xludf.DUMMYFUNCTION("""COMPUTED_VALUE"""),1.0)</f>
        <v>1</v>
      </c>
      <c r="BG451" s="1">
        <f>IFERROR(__xludf.DUMMYFUNCTION("""COMPUTED_VALUE"""),1.0)</f>
        <v>1</v>
      </c>
      <c r="BH451" s="1" t="str">
        <f>IFERROR(__xludf.DUMMYFUNCTION("""COMPUTED_VALUE"""),"1")</f>
        <v>1</v>
      </c>
      <c r="BI451" s="4">
        <f>IFERROR(__xludf.DUMMYFUNCTION("""COMPUTED_VALUE"""),700.0)</f>
        <v>700</v>
      </c>
      <c r="BJ451" s="1">
        <f>IFERROR(__xludf.DUMMYFUNCTION("""COMPUTED_VALUE"""),0.0)</f>
        <v>0</v>
      </c>
      <c r="BK451" s="4">
        <f>IFERROR(__xludf.DUMMYFUNCTION("""COMPUTED_VALUE"""),0.0)</f>
        <v>0</v>
      </c>
      <c r="BL451" s="1">
        <f>IFERROR(__xludf.DUMMYFUNCTION("""COMPUTED_VALUE"""),700.0)</f>
        <v>700</v>
      </c>
      <c r="BM451" s="1">
        <f>IFERROR(__xludf.DUMMYFUNCTION("""COMPUTED_VALUE"""),6.0)</f>
        <v>6</v>
      </c>
      <c r="BN451" s="2">
        <f>IFERROR(__xludf.DUMMYFUNCTION("""COMPUTED_VALUE"""),45691.0)</f>
        <v>45691</v>
      </c>
      <c r="BO451" s="1">
        <f>IFERROR(__xludf.DUMMYFUNCTION("""COMPUTED_VALUE"""),2.0)</f>
        <v>2</v>
      </c>
      <c r="BP451" s="1">
        <f>IFERROR(__xludf.DUMMYFUNCTION("""COMPUTED_VALUE"""),2025.0)</f>
        <v>2025</v>
      </c>
    </row>
    <row r="452">
      <c r="A452" s="1">
        <f>IFERROR(__xludf.DUMMYFUNCTION("""COMPUTED_VALUE"""),451.0)</f>
        <v>451</v>
      </c>
      <c r="B452" s="1">
        <f>IFERROR(__xludf.DUMMYFUNCTION("""COMPUTED_VALUE"""),4981770.0)</f>
        <v>4981770</v>
      </c>
      <c r="C452" s="1" t="str">
        <f>IFERROR(__xludf.DUMMYFUNCTION("""COMPUTED_VALUE"""),"2025-1")</f>
        <v>2025-1</v>
      </c>
      <c r="D452" s="1" t="str">
        <f>IFERROR(__xludf.DUMMYFUNCTION("""COMPUTED_VALUE"""),"Admisión Ordinaria")</f>
        <v>Admisión Ordinaria</v>
      </c>
      <c r="E452" s="2">
        <f>IFERROR(__xludf.DUMMYFUNCTION("""COMPUTED_VALUE"""),45692.0)</f>
        <v>45692</v>
      </c>
      <c r="F452" s="1" t="str">
        <f>IFERROR(__xludf.DUMMYFUNCTION("""COMPUTED_VALUE"""),"FERNANDO LUIS ")</f>
        <v>FERNANDO LUIS </v>
      </c>
      <c r="G452" s="1" t="str">
        <f>IFERROR(__xludf.DUMMYFUNCTION("""COMPUTED_VALUE"""),"MURILLO SERRANO")</f>
        <v>MURILLO SERRANO</v>
      </c>
      <c r="H452" s="1" t="str">
        <f>IFERROR(__xludf.DUMMYFUNCTION("""COMPUTED_VALUE"""),"Psicología")</f>
        <v>Psicología</v>
      </c>
      <c r="I452" s="1" t="str">
        <f>IFERROR(__xludf.DUMMYFUNCTION("""COMPUTED_VALUE"""),"Pago Link")</f>
        <v>Pago Link</v>
      </c>
      <c r="J452" s="1" t="str">
        <f>IFERROR(__xludf.DUMMYFUNCTION("""COMPUTED_VALUE"""),"Nocturno - A distancia")</f>
        <v>Nocturno - A distancia</v>
      </c>
      <c r="K452" s="1" t="str">
        <f>IFERROR(__xludf.DUMMYFUNCTION("""COMPUTED_VALUE"""),"NUEVO")</f>
        <v>NUEVO</v>
      </c>
      <c r="L452" s="1">
        <f>IFERROR(__xludf.DUMMYFUNCTION("""COMPUTED_VALUE"""),0.0)</f>
        <v>0</v>
      </c>
      <c r="M452" s="1">
        <f>IFERROR(__xludf.DUMMYFUNCTION("""COMPUTED_VALUE"""),0.0)</f>
        <v>0</v>
      </c>
      <c r="N452" s="1" t="str">
        <f>IFERROR(__xludf.DUMMYFUNCTION("""COMPUTED_VALUE"""),"ESCALA DISTANCIA")</f>
        <v>ESCALA DISTANCIA</v>
      </c>
      <c r="O452" s="1" t="str">
        <f>IFERROR(__xludf.DUMMYFUNCTION("""COMPUTED_VALUE"""),"ESCALA DISTANCIA REGULAR")</f>
        <v>ESCALA DISTANCIA REGULAR</v>
      </c>
      <c r="P452" s="4">
        <f>IFERROR(__xludf.DUMMYFUNCTION("""COMPUTED_VALUE"""),0.0)</f>
        <v>0</v>
      </c>
      <c r="Q452" s="4">
        <f>IFERROR(__xludf.DUMMYFUNCTION("""COMPUTED_VALUE"""),0.0)</f>
        <v>0</v>
      </c>
      <c r="R452" s="4">
        <f>IFERROR(__xludf.DUMMYFUNCTION("""COMPUTED_VALUE"""),1350.0)</f>
        <v>1350</v>
      </c>
      <c r="S452" s="4">
        <f>IFERROR(__xludf.DUMMYFUNCTION("""COMPUTED_VALUE"""),700.0)</f>
        <v>700</v>
      </c>
      <c r="T452" s="1" t="str">
        <f>IFERROR(__xludf.DUMMYFUNCTION("""COMPUTED_VALUE"""),"NINGUNO")</f>
        <v>NINGUNO</v>
      </c>
      <c r="U452" s="1" t="str">
        <f>IFERROR(__xludf.DUMMYFUNCTION("""COMPUTED_VALUE"""),"FABIOLA")</f>
        <v>FABIOLA</v>
      </c>
      <c r="V452" s="1" t="str">
        <f>IFERROR(__xludf.DUMMYFUNCTION("""COMPUTED_VALUE"""),"Ninguno")</f>
        <v>Ninguno</v>
      </c>
      <c r="W452" s="1" t="str">
        <f>IFERROR(__xludf.DUMMYFUNCTION("""COMPUTED_VALUE"""),"Beca")</f>
        <v>Beca</v>
      </c>
      <c r="X452" s="1" t="str">
        <f>IFERROR(__xludf.DUMMYFUNCTION("""COMPUTED_VALUE"""),"viven cerca")</f>
        <v>viven cerca</v>
      </c>
      <c r="Y452" s="1" t="str">
        <f>IFERROR(__xludf.DUMMYFUNCTION("""COMPUTED_VALUE"""),"PAGO FRACCIONADO")</f>
        <v>PAGO FRACCIONADO</v>
      </c>
      <c r="Z452" s="1">
        <f>IFERROR(__xludf.DUMMYFUNCTION("""COMPUTED_VALUE"""),350.0)</f>
        <v>350</v>
      </c>
      <c r="AA452" s="1" t="str">
        <f>IFERROR(__xludf.DUMMYFUNCTION("""COMPUTED_VALUE"""),"15/02/2025")</f>
        <v>15/02/2025</v>
      </c>
      <c r="AB452" s="1">
        <f>IFERROR(__xludf.DUMMYFUNCTION("""COMPUTED_VALUE"""),0.0)</f>
        <v>0</v>
      </c>
      <c r="AC452" s="1">
        <f>IFERROR(__xludf.DUMMYFUNCTION("""COMPUTED_VALUE"""),0.0)</f>
        <v>0</v>
      </c>
      <c r="AD452" s="1" t="str">
        <f>IFERROR(__xludf.DUMMYFUNCTION("""COMPUTED_VALUE"""),"Rosa Ugarte")</f>
        <v>Rosa Ugarte</v>
      </c>
      <c r="AE452" s="1" t="str">
        <f>IFERROR(__xludf.DUMMYFUNCTION("""COMPUTED_VALUE"""),"0")</f>
        <v>0</v>
      </c>
      <c r="AF452" s="1">
        <f>IFERROR(__xludf.DUMMYFUNCTION("""COMPUTED_VALUE"""),2024.0)</f>
        <v>2024</v>
      </c>
      <c r="AG452" s="1">
        <f>IFERROR(__xludf.DUMMYFUNCTION("""COMPUTED_VALUE"""),1199595.0)</f>
        <v>1199595</v>
      </c>
      <c r="AH452" s="1">
        <f>IFERROR(__xludf.DUMMYFUNCTION("""COMPUTED_VALUE"""),26.0)</f>
        <v>26</v>
      </c>
      <c r="AI452" s="1" t="str">
        <f>IFERROR(__xludf.DUMMYFUNCTION("""COMPUTED_VALUE"""),"0000413057")</f>
        <v>0000413057</v>
      </c>
      <c r="AJ452" s="1">
        <f>IFERROR(__xludf.DUMMYFUNCTION("""COMPUTED_VALUE"""),7.560626E7)</f>
        <v>75606260</v>
      </c>
      <c r="AK452" s="1">
        <f>IFERROR(__xludf.DUMMYFUNCTION("""COMPUTED_VALUE"""),9.41537736E8)</f>
        <v>941537736</v>
      </c>
      <c r="AL452" s="1" t="str">
        <f>IFERROR(__xludf.DUMMYFUNCTION("""COMPUTED_VALUE"""),"fermurillos69@gmail.com")</f>
        <v>fermurillos69@gmail.com</v>
      </c>
      <c r="AM452" s="1" t="str">
        <f>IFERROR(__xludf.DUMMYFUNCTION("""COMPUTED_VALUE"""),"MASCULINO")</f>
        <v>MASCULINO</v>
      </c>
      <c r="AN452" s="1">
        <f>IFERROR(__xludf.DUMMYFUNCTION("""COMPUTED_VALUE"""),1350.0)</f>
        <v>1350</v>
      </c>
      <c r="AO452" s="1">
        <f>IFERROR(__xludf.DUMMYFUNCTION("""COMPUTED_VALUE"""),0.0)</f>
        <v>0</v>
      </c>
      <c r="AP452" s="1" t="str">
        <f>IFERROR(__xludf.DUMMYFUNCTION("""COMPUTED_VALUE"""),"BIDIRECCIONAL")</f>
        <v>BIDIRECCIONAL</v>
      </c>
      <c r="AQ452" s="1" t="str">
        <f>IFERROR(__xludf.DUMMYFUNCTION("""COMPUTED_VALUE"""),"SEARCH CARRERA")</f>
        <v>SEARCH CARRERA</v>
      </c>
      <c r="AR452" s="1" t="str">
        <f>IFERROR(__xludf.DUMMYFUNCTION("""COMPUTED_VALUE"""),"NUEVO")</f>
        <v>NUEVO</v>
      </c>
      <c r="AS452" s="1" t="str">
        <f>IFERROR(__xludf.DUMMYFUNCTION("""COMPUTED_VALUE"""),"ucal-pg-performance-sedes-abierta-cpl-search_conversion_mundo_negocios-20240401")</f>
        <v>ucal-pg-performance-sedes-abierta-cpl-search_conversion_mundo_negocios-20240401</v>
      </c>
      <c r="AT452" s="2">
        <f>IFERROR(__xludf.DUMMYFUNCTION("""COMPUTED_VALUE"""),45686.0)</f>
        <v>45686</v>
      </c>
      <c r="AU452" s="1">
        <f>IFERROR(__xludf.DUMMYFUNCTION("""COMPUTED_VALUE"""),1.0)</f>
        <v>1</v>
      </c>
      <c r="AV452" s="1" t="str">
        <f>IFERROR(__xludf.DUMMYFUNCTION("""COMPUTED_VALUE"""),"NUEVO")</f>
        <v>NUEVO</v>
      </c>
      <c r="AW452" s="1" t="str">
        <f>IFERROR(__xludf.DUMMYFUNCTION("""COMPUTED_VALUE"""),"SI")</f>
        <v>SI</v>
      </c>
      <c r="AX452" s="1"/>
      <c r="AY452" s="1" t="str">
        <f>IFERROR(__xludf.DUMMYFUNCTION("""COMPUTED_VALUE"""),"PAGO COMPLETO")</f>
        <v>PAGO COMPLETO</v>
      </c>
      <c r="AZ452" s="5">
        <f>IFERROR(__xludf.DUMMYFUNCTION("""COMPUTED_VALUE"""),45706.0)</f>
        <v>45706</v>
      </c>
      <c r="BA452" s="1">
        <f>IFERROR(__xludf.DUMMYFUNCTION("""COMPUTED_VALUE"""),350.0)</f>
        <v>350</v>
      </c>
      <c r="BB452" s="1">
        <f>IFERROR(__xludf.DUMMYFUNCTION("""COMPUTED_VALUE"""),0.0)</f>
        <v>0</v>
      </c>
      <c r="BC452" s="4">
        <f>IFERROR(__xludf.DUMMYFUNCTION("""COMPUTED_VALUE"""),0.0)</f>
        <v>0</v>
      </c>
      <c r="BD452" s="4">
        <f>IFERROR(__xludf.DUMMYFUNCTION("""COMPUTED_VALUE"""),0.0)</f>
        <v>0</v>
      </c>
      <c r="BE452" s="1">
        <f>IFERROR(__xludf.DUMMYFUNCTION("""COMPUTED_VALUE"""),2.0)</f>
        <v>2</v>
      </c>
      <c r="BF452" s="6">
        <f>IFERROR(__xludf.DUMMYFUNCTION("""COMPUTED_VALUE"""),1.0)</f>
        <v>1</v>
      </c>
      <c r="BG452" s="1">
        <f>IFERROR(__xludf.DUMMYFUNCTION("""COMPUTED_VALUE"""),1.0)</f>
        <v>1</v>
      </c>
      <c r="BH452" s="1" t="str">
        <f>IFERROR(__xludf.DUMMYFUNCTION("""COMPUTED_VALUE"""),"0")</f>
        <v>0</v>
      </c>
      <c r="BI452" s="4">
        <f>IFERROR(__xludf.DUMMYFUNCTION("""COMPUTED_VALUE"""),700.0)</f>
        <v>700</v>
      </c>
      <c r="BJ452" s="1">
        <f>IFERROR(__xludf.DUMMYFUNCTION("""COMPUTED_VALUE"""),0.0)</f>
        <v>0</v>
      </c>
      <c r="BK452" s="4">
        <f>IFERROR(__xludf.DUMMYFUNCTION("""COMPUTED_VALUE"""),0.0)</f>
        <v>0</v>
      </c>
      <c r="BL452" s="1">
        <f>IFERROR(__xludf.DUMMYFUNCTION("""COMPUTED_VALUE"""),700.0)</f>
        <v>700</v>
      </c>
      <c r="BM452" s="1">
        <f>IFERROR(__xludf.DUMMYFUNCTION("""COMPUTED_VALUE"""),6.0)</f>
        <v>6</v>
      </c>
      <c r="BN452" s="2">
        <f>IFERROR(__xludf.DUMMYFUNCTION("""COMPUTED_VALUE"""),45691.0)</f>
        <v>45691</v>
      </c>
      <c r="BO452" s="1">
        <f>IFERROR(__xludf.DUMMYFUNCTION("""COMPUTED_VALUE"""),2.0)</f>
        <v>2</v>
      </c>
      <c r="BP452" s="1">
        <f>IFERROR(__xludf.DUMMYFUNCTION("""COMPUTED_VALUE"""),2025.0)</f>
        <v>2025</v>
      </c>
    </row>
    <row r="453">
      <c r="A453" s="1">
        <f>IFERROR(__xludf.DUMMYFUNCTION("""COMPUTED_VALUE"""),452.0)</f>
        <v>452</v>
      </c>
      <c r="B453" s="1">
        <f>IFERROR(__xludf.DUMMYFUNCTION("""COMPUTED_VALUE"""),4999136.0)</f>
        <v>4999136</v>
      </c>
      <c r="C453" s="1" t="str">
        <f>IFERROR(__xludf.DUMMYFUNCTION("""COMPUTED_VALUE"""),"2025-1")</f>
        <v>2025-1</v>
      </c>
      <c r="D453" s="1" t="str">
        <f>IFERROR(__xludf.DUMMYFUNCTION("""COMPUTED_VALUE"""),"Admisión Extraordinaria (Traslados)")</f>
        <v>Admisión Extraordinaria (Traslados)</v>
      </c>
      <c r="E453" s="2">
        <f>IFERROR(__xludf.DUMMYFUNCTION("""COMPUTED_VALUE"""),45693.0)</f>
        <v>45693</v>
      </c>
      <c r="F453" s="1" t="str">
        <f>IFERROR(__xludf.DUMMYFUNCTION("""COMPUTED_VALUE"""),"BRENDA MARILU ")</f>
        <v>BRENDA MARILU </v>
      </c>
      <c r="G453" s="1" t="str">
        <f>IFERROR(__xludf.DUMMYFUNCTION("""COMPUTED_VALUE"""),"OLIVOS SANCHEZ")</f>
        <v>OLIVOS SANCHEZ</v>
      </c>
      <c r="H453" s="1" t="str">
        <f>IFERROR(__xludf.DUMMYFUNCTION("""COMPUTED_VALUE"""),"Diseño Gráfico Publicitario")</f>
        <v>Diseño Gráfico Publicitario</v>
      </c>
      <c r="I453" s="1" t="str">
        <f>IFERROR(__xludf.DUMMYFUNCTION("""COMPUTED_VALUE"""),"POS")</f>
        <v>POS</v>
      </c>
      <c r="J453" s="1" t="str">
        <f>IFERROR(__xludf.DUMMYFUNCTION("""COMPUTED_VALUE"""),"Diurno")</f>
        <v>Diurno</v>
      </c>
      <c r="K453" s="1" t="str">
        <f>IFERROR(__xludf.DUMMYFUNCTION("""COMPUTED_VALUE"""),"TRASLADO")</f>
        <v>TRASLADO</v>
      </c>
      <c r="L453" s="1">
        <f>IFERROR(__xludf.DUMMYFUNCTION("""COMPUTED_VALUE"""),1.0)</f>
        <v>1</v>
      </c>
      <c r="M453" s="1">
        <f>IFERROR(__xludf.DUMMYFUNCTION("""COMPUTED_VALUE"""),0.0)</f>
        <v>0</v>
      </c>
      <c r="N453" s="1" t="str">
        <f>IFERROR(__xludf.DUMMYFUNCTION("""COMPUTED_VALUE"""),"RECA")</f>
        <v>RECA</v>
      </c>
      <c r="O453" s="1" t="str">
        <f>IFERROR(__xludf.DUMMYFUNCTION("""COMPUTED_VALUE"""),"RECA TRASLADO CON CONVA")</f>
        <v>RECA TRASLADO CON CONVA</v>
      </c>
      <c r="P453" s="4">
        <f>IFERROR(__xludf.DUMMYFUNCTION("""COMPUTED_VALUE"""),0.0)</f>
        <v>0</v>
      </c>
      <c r="Q453" s="4">
        <f>IFERROR(__xludf.DUMMYFUNCTION("""COMPUTED_VALUE"""),0.0)</f>
        <v>0</v>
      </c>
      <c r="R453" s="4">
        <f>IFERROR(__xludf.DUMMYFUNCTION("""COMPUTED_VALUE"""),700.0)</f>
        <v>700</v>
      </c>
      <c r="S453" s="4">
        <f>IFERROR(__xludf.DUMMYFUNCTION("""COMPUTED_VALUE"""),700.0)</f>
        <v>700</v>
      </c>
      <c r="T453" s="1" t="str">
        <f>IFERROR(__xludf.DUMMYFUNCTION("""COMPUTED_VALUE"""),"NINGUNO")</f>
        <v>NINGUNO</v>
      </c>
      <c r="U453" s="1" t="str">
        <f>IFERROR(__xludf.DUMMYFUNCTION("""COMPUTED_VALUE"""),"FABIOLA")</f>
        <v>FABIOLA</v>
      </c>
      <c r="V453" s="1" t="str">
        <f>IFERROR(__xludf.DUMMYFUNCTION("""COMPUTED_VALUE"""),"Ninguno")</f>
        <v>Ninguno</v>
      </c>
      <c r="W453" s="1" t="str">
        <f>IFERROR(__xludf.DUMMYFUNCTION("""COMPUTED_VALUE"""),"Metodología de enseñanza")</f>
        <v>Metodología de enseñanza</v>
      </c>
      <c r="X453" s="1" t="str">
        <f>IFERROR(__xludf.DUMMYFUNCTION("""COMPUTED_VALUE"""),"metodologia")</f>
        <v>metodologia</v>
      </c>
      <c r="Y453" s="1" t="str">
        <f>IFERROR(__xludf.DUMMYFUNCTION("""COMPUTED_VALUE"""),"PAGO FRACCIONADO")</f>
        <v>PAGO FRACCIONADO</v>
      </c>
      <c r="Z453" s="1">
        <f>IFERROR(__xludf.DUMMYFUNCTION("""COMPUTED_VALUE"""),350.0)</f>
        <v>350</v>
      </c>
      <c r="AA453" s="1" t="str">
        <f>IFERROR(__xludf.DUMMYFUNCTION("""COMPUTED_VALUE"""),"15/02/2025")</f>
        <v>15/02/2025</v>
      </c>
      <c r="AB453" s="1">
        <f>IFERROR(__xludf.DUMMYFUNCTION("""COMPUTED_VALUE"""),0.0)</f>
        <v>0</v>
      </c>
      <c r="AC453" s="1">
        <f>IFERROR(__xludf.DUMMYFUNCTION("""COMPUTED_VALUE"""),0.0)</f>
        <v>0</v>
      </c>
      <c r="AD453" s="1" t="str">
        <f>IFERROR(__xludf.DUMMYFUNCTION("""COMPUTED_VALUE"""),"Cinthia Mariella Orosco")</f>
        <v>Cinthia Mariella Orosco</v>
      </c>
      <c r="AE453" s="1" t="str">
        <f>IFERROR(__xludf.DUMMYFUNCTION("""COMPUTED_VALUE"""),"SENATI")</f>
        <v>SENATI</v>
      </c>
      <c r="AF453" s="1">
        <f>IFERROR(__xludf.DUMMYFUNCTION("""COMPUTED_VALUE"""),0.0)</f>
        <v>0</v>
      </c>
      <c r="AG453" s="1">
        <f>IFERROR(__xludf.DUMMYFUNCTION("""COMPUTED_VALUE"""),340349.0)</f>
        <v>340349</v>
      </c>
      <c r="AH453" s="1">
        <f>IFERROR(__xludf.DUMMYFUNCTION("""COMPUTED_VALUE"""),20.0)</f>
        <v>20</v>
      </c>
      <c r="AI453" s="1" t="str">
        <f>IFERROR(__xludf.DUMMYFUNCTION("""COMPUTED_VALUE"""),"0000413267")</f>
        <v>0000413267</v>
      </c>
      <c r="AJ453" s="1">
        <f>IFERROR(__xludf.DUMMYFUNCTION("""COMPUTED_VALUE"""),7.2154408E7)</f>
        <v>72154408</v>
      </c>
      <c r="AK453" s="1">
        <f>IFERROR(__xludf.DUMMYFUNCTION("""COMPUTED_VALUE"""),9.22041091E8)</f>
        <v>922041091</v>
      </c>
      <c r="AL453" s="1" t="str">
        <f>IFERROR(__xludf.DUMMYFUNCTION("""COMPUTED_VALUE"""),"Spikeid@gmail.com")</f>
        <v>Spikeid@gmail.com</v>
      </c>
      <c r="AM453" s="1" t="str">
        <f>IFERROR(__xludf.DUMMYFUNCTION("""COMPUTED_VALUE"""),"FEMENINO")</f>
        <v>FEMENINO</v>
      </c>
      <c r="AN453" s="1">
        <f>IFERROR(__xludf.DUMMYFUNCTION("""COMPUTED_VALUE"""),1350.0)</f>
        <v>1350</v>
      </c>
      <c r="AO453" s="1">
        <f>IFERROR(__xludf.DUMMYFUNCTION("""COMPUTED_VALUE"""),0.0)</f>
        <v>0</v>
      </c>
      <c r="AP453" s="1" t="str">
        <f>IFERROR(__xludf.DUMMYFUNCTION("""COMPUTED_VALUE"""),"SIN DETALLE DE ORIGEN")</f>
        <v>SIN DETALLE DE ORIGEN</v>
      </c>
      <c r="AQ453" s="1" t="str">
        <f>IFERROR(__xludf.DUMMYFUNCTION("""COMPUTED_VALUE"""),"SIN DETALLE DE ORIGEN")</f>
        <v>SIN DETALLE DE ORIGEN</v>
      </c>
      <c r="AR453" s="1" t="str">
        <f>IFERROR(__xludf.DUMMYFUNCTION("""COMPUTED_VALUE"""),"NUEVO")</f>
        <v>NUEVO</v>
      </c>
      <c r="AS453" s="1"/>
      <c r="AT453" s="2">
        <f>IFERROR(__xludf.DUMMYFUNCTION("""COMPUTED_VALUE"""),45693.0)</f>
        <v>45693</v>
      </c>
      <c r="AU453" s="1">
        <f>IFERROR(__xludf.DUMMYFUNCTION("""COMPUTED_VALUE"""),1.0)</f>
        <v>1</v>
      </c>
      <c r="AV453" s="1" t="str">
        <f>IFERROR(__xludf.DUMMYFUNCTION("""COMPUTED_VALUE"""),"TRASLADO")</f>
        <v>TRASLADO</v>
      </c>
      <c r="AW453" s="1" t="str">
        <f>IFERROR(__xludf.DUMMYFUNCTION("""COMPUTED_VALUE"""),"SI")</f>
        <v>SI</v>
      </c>
      <c r="AX453" s="1"/>
      <c r="AY453" s="1" t="str">
        <f>IFERROR(__xludf.DUMMYFUNCTION("""COMPUTED_VALUE"""),"PAGO COMPLETO")</f>
        <v>PAGO COMPLETO</v>
      </c>
      <c r="AZ453" s="5">
        <f>IFERROR(__xludf.DUMMYFUNCTION("""COMPUTED_VALUE"""),45703.0)</f>
        <v>45703</v>
      </c>
      <c r="BA453" s="1">
        <f>IFERROR(__xludf.DUMMYFUNCTION("""COMPUTED_VALUE"""),350.0)</f>
        <v>350</v>
      </c>
      <c r="BB453" s="1">
        <f>IFERROR(__xludf.DUMMYFUNCTION("""COMPUTED_VALUE"""),0.0)</f>
        <v>0</v>
      </c>
      <c r="BC453" s="4">
        <f>IFERROR(__xludf.DUMMYFUNCTION("""COMPUTED_VALUE"""),0.0)</f>
        <v>0</v>
      </c>
      <c r="BD453" s="4">
        <f>IFERROR(__xludf.DUMMYFUNCTION("""COMPUTED_VALUE"""),0.0)</f>
        <v>0</v>
      </c>
      <c r="BE453" s="1">
        <f>IFERROR(__xludf.DUMMYFUNCTION("""COMPUTED_VALUE"""),2.0)</f>
        <v>2</v>
      </c>
      <c r="BF453" s="6">
        <f>IFERROR(__xludf.DUMMYFUNCTION("""COMPUTED_VALUE"""),1.0)</f>
        <v>1</v>
      </c>
      <c r="BG453" s="1">
        <f>IFERROR(__xludf.DUMMYFUNCTION("""COMPUTED_VALUE"""),1.0)</f>
        <v>1</v>
      </c>
      <c r="BH453" s="1" t="str">
        <f>IFERROR(__xludf.DUMMYFUNCTION("""COMPUTED_VALUE"""),"1")</f>
        <v>1</v>
      </c>
      <c r="BI453" s="4">
        <f>IFERROR(__xludf.DUMMYFUNCTION("""COMPUTED_VALUE"""),700.0)</f>
        <v>700</v>
      </c>
      <c r="BJ453" s="1">
        <f>IFERROR(__xludf.DUMMYFUNCTION("""COMPUTED_VALUE"""),0.0)</f>
        <v>0</v>
      </c>
      <c r="BK453" s="4">
        <f>IFERROR(__xludf.DUMMYFUNCTION("""COMPUTED_VALUE"""),0.0)</f>
        <v>0</v>
      </c>
      <c r="BL453" s="1">
        <f>IFERROR(__xludf.DUMMYFUNCTION("""COMPUTED_VALUE"""),700.0)</f>
        <v>700</v>
      </c>
      <c r="BM453" s="1">
        <f>IFERROR(__xludf.DUMMYFUNCTION("""COMPUTED_VALUE"""),6.0)</f>
        <v>6</v>
      </c>
      <c r="BN453" s="2">
        <f>IFERROR(__xludf.DUMMYFUNCTION("""COMPUTED_VALUE"""),45691.0)</f>
        <v>45691</v>
      </c>
      <c r="BO453" s="1">
        <f>IFERROR(__xludf.DUMMYFUNCTION("""COMPUTED_VALUE"""),2.0)</f>
        <v>2</v>
      </c>
      <c r="BP453" s="1">
        <f>IFERROR(__xludf.DUMMYFUNCTION("""COMPUTED_VALUE"""),2025.0)</f>
        <v>2025</v>
      </c>
    </row>
    <row r="454">
      <c r="A454" s="1">
        <f>IFERROR(__xludf.DUMMYFUNCTION("""COMPUTED_VALUE"""),453.0)</f>
        <v>453</v>
      </c>
      <c r="B454" s="1">
        <f>IFERROR(__xludf.DUMMYFUNCTION("""COMPUTED_VALUE"""),2019100.0)</f>
        <v>2019100</v>
      </c>
      <c r="C454" s="1" t="str">
        <f>IFERROR(__xludf.DUMMYFUNCTION("""COMPUTED_VALUE"""),"2025-1")</f>
        <v>2025-1</v>
      </c>
      <c r="D454" s="1" t="str">
        <f>IFERROR(__xludf.DUMMYFUNCTION("""COMPUTED_VALUE"""),"Admisión Ordinaria")</f>
        <v>Admisión Ordinaria</v>
      </c>
      <c r="E454" s="2">
        <f>IFERROR(__xludf.DUMMYFUNCTION("""COMPUTED_VALUE"""),45693.0)</f>
        <v>45693</v>
      </c>
      <c r="F454" s="1" t="str">
        <f>IFERROR(__xludf.DUMMYFUNCTION("""COMPUTED_VALUE"""),"AKEMI YADIRA ")</f>
        <v>AKEMI YADIRA </v>
      </c>
      <c r="G454" s="1" t="str">
        <f>IFERROR(__xludf.DUMMYFUNCTION("""COMPUTED_VALUE"""),"QUISPE CASTAÑEDA")</f>
        <v>QUISPE CASTAÑEDA</v>
      </c>
      <c r="H454" s="1" t="str">
        <f>IFERROR(__xludf.DUMMYFUNCTION("""COMPUTED_VALUE"""),"Comunicación Audiovisual y Cine")</f>
        <v>Comunicación Audiovisual y Cine</v>
      </c>
      <c r="I454" s="1" t="str">
        <f>IFERROR(__xludf.DUMMYFUNCTION("""COMPUTED_VALUE"""),"POS")</f>
        <v>POS</v>
      </c>
      <c r="J454" s="1" t="str">
        <f>IFERROR(__xludf.DUMMYFUNCTION("""COMPUTED_VALUE"""),"Diurno")</f>
        <v>Diurno</v>
      </c>
      <c r="K454" s="1" t="str">
        <f>IFERROR(__xludf.DUMMYFUNCTION("""COMPUTED_VALUE"""),"NUEVO")</f>
        <v>NUEVO</v>
      </c>
      <c r="L454" s="1">
        <f>IFERROR(__xludf.DUMMYFUNCTION("""COMPUTED_VALUE"""),0.0)</f>
        <v>0</v>
      </c>
      <c r="M454" s="1">
        <f>IFERROR(__xludf.DUMMYFUNCTION("""COMPUTED_VALUE"""),0.0)</f>
        <v>0</v>
      </c>
      <c r="N454" s="1" t="str">
        <f>IFERROR(__xludf.DUMMYFUNCTION("""COMPUTED_VALUE"""),"RECA-BECA")</f>
        <v>RECA-BECA</v>
      </c>
      <c r="O454" s="1" t="str">
        <f>IFERROR(__xludf.DUMMYFUNCTION("""COMPUTED_VALUE"""),"BECA CONGELADA DE 2 AÑOS")</f>
        <v>BECA CONGELADA DE 2 AÑOS</v>
      </c>
      <c r="P454" s="4">
        <f>IFERROR(__xludf.DUMMYFUNCTION("""COMPUTED_VALUE"""),0.0)</f>
        <v>0</v>
      </c>
      <c r="Q454" s="4">
        <f>IFERROR(__xludf.DUMMYFUNCTION("""COMPUTED_VALUE"""),0.0)</f>
        <v>0</v>
      </c>
      <c r="R454" s="4">
        <f>IFERROR(__xludf.DUMMYFUNCTION("""COMPUTED_VALUE"""),1100.0)</f>
        <v>1100</v>
      </c>
      <c r="S454" s="4">
        <f>IFERROR(__xludf.DUMMYFUNCTION("""COMPUTED_VALUE"""),1000.0)</f>
        <v>1000</v>
      </c>
      <c r="T454" s="1" t="str">
        <f>IFERROR(__xludf.DUMMYFUNCTION("""COMPUTED_VALUE"""),"PALANCA 500")</f>
        <v>PALANCA 500</v>
      </c>
      <c r="U454" s="1" t="str">
        <f>IFERROR(__xludf.DUMMYFUNCTION("""COMPUTED_VALUE"""),"RODRIGO")</f>
        <v>RODRIGO</v>
      </c>
      <c r="V454" s="1" t="str">
        <f>IFERROR(__xludf.DUMMYFUNCTION("""COMPUTED_VALUE"""),"Ninguno")</f>
        <v>Ninguno</v>
      </c>
      <c r="W454" s="1" t="str">
        <f>IFERROR(__xludf.DUMMYFUNCTION("""COMPUTED_VALUE"""),"Malla curricular")</f>
        <v>Malla curricular</v>
      </c>
      <c r="X454" s="1" t="str">
        <f>IFERROR(__xludf.DUMMYFUNCTION("""COMPUTED_VALUE"""),"palanca febrero primer pago 500")</f>
        <v>palanca febrero primer pago 500</v>
      </c>
      <c r="Y454" s="1" t="str">
        <f>IFERROR(__xludf.DUMMYFUNCTION("""COMPUTED_VALUE"""),"PAGO COMPLETO")</f>
        <v>PAGO COMPLETO</v>
      </c>
      <c r="Z454" s="1"/>
      <c r="AA454" s="1"/>
      <c r="AB454" s="1">
        <f>IFERROR(__xludf.DUMMYFUNCTION("""COMPUTED_VALUE"""),0.0)</f>
        <v>0</v>
      </c>
      <c r="AC454" s="1">
        <f>IFERROR(__xludf.DUMMYFUNCTION("""COMPUTED_VALUE"""),0.0)</f>
        <v>0</v>
      </c>
      <c r="AD454" s="1" t="str">
        <f>IFERROR(__xludf.DUMMYFUNCTION("""COMPUTED_VALUE"""),"Fiorella Lanegra")</f>
        <v>Fiorella Lanegra</v>
      </c>
      <c r="AE454" s="1" t="str">
        <f>IFERROR(__xludf.DUMMYFUNCTION("""COMPUTED_VALUE"""),"0")</f>
        <v>0</v>
      </c>
      <c r="AF454" s="1">
        <f>IFERROR(__xludf.DUMMYFUNCTION("""COMPUTED_VALUE"""),2023.0)</f>
        <v>2023</v>
      </c>
      <c r="AG454" s="1">
        <f>IFERROR(__xludf.DUMMYFUNCTION("""COMPUTED_VALUE"""),1046796.0)</f>
        <v>1046796</v>
      </c>
      <c r="AH454" s="1">
        <f>IFERROR(__xludf.DUMMYFUNCTION("""COMPUTED_VALUE"""),19.0)</f>
        <v>19</v>
      </c>
      <c r="AI454" s="1" t="str">
        <f>IFERROR(__xludf.DUMMYFUNCTION("""COMPUTED_VALUE"""),"0000413283")</f>
        <v>0000413283</v>
      </c>
      <c r="AJ454" s="1">
        <f>IFERROR(__xludf.DUMMYFUNCTION("""COMPUTED_VALUE"""),7.8465333E7)</f>
        <v>78465333</v>
      </c>
      <c r="AK454" s="1">
        <f>IFERROR(__xludf.DUMMYFUNCTION("""COMPUTED_VALUE"""),9.06167197E8)</f>
        <v>906167197</v>
      </c>
      <c r="AL454" s="1" t="str">
        <f>IFERROR(__xludf.DUMMYFUNCTION("""COMPUTED_VALUE"""),"akemi.qsp@gmail.com")</f>
        <v>akemi.qsp@gmail.com</v>
      </c>
      <c r="AM454" s="1" t="str">
        <f>IFERROR(__xludf.DUMMYFUNCTION("""COMPUTED_VALUE"""),"FEMENINO")</f>
        <v>FEMENINO</v>
      </c>
      <c r="AN454" s="1">
        <f>IFERROR(__xludf.DUMMYFUNCTION("""COMPUTED_VALUE"""),1775.0)</f>
        <v>1775</v>
      </c>
      <c r="AO454" s="1">
        <f>IFERROR(__xludf.DUMMYFUNCTION("""COMPUTED_VALUE"""),430.0)</f>
        <v>430</v>
      </c>
      <c r="AP454" s="1" t="str">
        <f>IFERROR(__xludf.DUMMYFUNCTION("""COMPUTED_VALUE"""),"VISITA")</f>
        <v>VISITA</v>
      </c>
      <c r="AQ454" s="1" t="str">
        <f>IFERROR(__xludf.DUMMYFUNCTION("""COMPUTED_VALUE"""),"VISITA")</f>
        <v>VISITA</v>
      </c>
      <c r="AR454" s="1" t="str">
        <f>IFERROR(__xludf.DUMMYFUNCTION("""COMPUTED_VALUE"""),"HEREDADO")</f>
        <v>HEREDADO</v>
      </c>
      <c r="AS454" s="1"/>
      <c r="AT454" s="2">
        <f>IFERROR(__xludf.DUMMYFUNCTION("""COMPUTED_VALUE"""),45693.0)</f>
        <v>45693</v>
      </c>
      <c r="AU454" s="1">
        <f>IFERROR(__xludf.DUMMYFUNCTION("""COMPUTED_VALUE"""),1.0)</f>
        <v>1</v>
      </c>
      <c r="AV454" s="1" t="str">
        <f>IFERROR(__xludf.DUMMYFUNCTION("""COMPUTED_VALUE"""),"NUEVO")</f>
        <v>NUEVO</v>
      </c>
      <c r="AW454" s="1" t="str">
        <f>IFERROR(__xludf.DUMMYFUNCTION("""COMPUTED_VALUE"""),"SI")</f>
        <v>SI</v>
      </c>
      <c r="AX454" s="1"/>
      <c r="AY454" s="1" t="str">
        <f>IFERROR(__xludf.DUMMYFUNCTION("""COMPUTED_VALUE"""),"PAGO COMPLETO")</f>
        <v>PAGO COMPLETO</v>
      </c>
      <c r="AZ454" s="5">
        <f>IFERROR(__xludf.DUMMYFUNCTION("""COMPUTED_VALUE"""),45693.0)</f>
        <v>45693</v>
      </c>
      <c r="BA454" s="1">
        <f>IFERROR(__xludf.DUMMYFUNCTION("""COMPUTED_VALUE"""),0.0)</f>
        <v>0</v>
      </c>
      <c r="BB454" s="1">
        <f>IFERROR(__xludf.DUMMYFUNCTION("""COMPUTED_VALUE"""),0.0)</f>
        <v>0</v>
      </c>
      <c r="BC454" s="4">
        <f>IFERROR(__xludf.DUMMYFUNCTION("""COMPUTED_VALUE"""),0.0)</f>
        <v>0</v>
      </c>
      <c r="BD454" s="4">
        <f>IFERROR(__xludf.DUMMYFUNCTION("""COMPUTED_VALUE"""),500.0)</f>
        <v>500</v>
      </c>
      <c r="BE454" s="1">
        <f>IFERROR(__xludf.DUMMYFUNCTION("""COMPUTED_VALUE"""),2.0)</f>
        <v>2</v>
      </c>
      <c r="BF454" s="6">
        <f>IFERROR(__xludf.DUMMYFUNCTION("""COMPUTED_VALUE"""),1.0)</f>
        <v>1</v>
      </c>
      <c r="BG454" s="1">
        <f>IFERROR(__xludf.DUMMYFUNCTION("""COMPUTED_VALUE"""),1.0)</f>
        <v>1</v>
      </c>
      <c r="BH454" s="1" t="str">
        <f>IFERROR(__xludf.DUMMYFUNCTION("""COMPUTED_VALUE"""),"0")</f>
        <v>0</v>
      </c>
      <c r="BI454" s="4">
        <f>IFERROR(__xludf.DUMMYFUNCTION("""COMPUTED_VALUE"""),500.0)</f>
        <v>500</v>
      </c>
      <c r="BJ454" s="1">
        <f>IFERROR(__xludf.DUMMYFUNCTION("""COMPUTED_VALUE"""),0.0)</f>
        <v>0</v>
      </c>
      <c r="BK454" s="4">
        <f>IFERROR(__xludf.DUMMYFUNCTION("""COMPUTED_VALUE"""),500.0)</f>
        <v>500</v>
      </c>
      <c r="BL454" s="1">
        <f>IFERROR(__xludf.DUMMYFUNCTION("""COMPUTED_VALUE"""),900.0)</f>
        <v>900</v>
      </c>
      <c r="BM454" s="1">
        <f>IFERROR(__xludf.DUMMYFUNCTION("""COMPUTED_VALUE"""),6.0)</f>
        <v>6</v>
      </c>
      <c r="BN454" s="2">
        <f>IFERROR(__xludf.DUMMYFUNCTION("""COMPUTED_VALUE"""),45691.0)</f>
        <v>45691</v>
      </c>
      <c r="BO454" s="1">
        <f>IFERROR(__xludf.DUMMYFUNCTION("""COMPUTED_VALUE"""),2.0)</f>
        <v>2</v>
      </c>
      <c r="BP454" s="1">
        <f>IFERROR(__xludf.DUMMYFUNCTION("""COMPUTED_VALUE"""),2025.0)</f>
        <v>2025</v>
      </c>
    </row>
    <row r="455">
      <c r="A455" s="1">
        <f>IFERROR(__xludf.DUMMYFUNCTION("""COMPUTED_VALUE"""),454.0)</f>
        <v>454</v>
      </c>
      <c r="B455" s="1">
        <f>IFERROR(__xludf.DUMMYFUNCTION("""COMPUTED_VALUE"""),1299341.0)</f>
        <v>1299341</v>
      </c>
      <c r="C455" s="1" t="str">
        <f>IFERROR(__xludf.DUMMYFUNCTION("""COMPUTED_VALUE"""),"2025-1")</f>
        <v>2025-1</v>
      </c>
      <c r="D455" s="1" t="str">
        <f>IFERROR(__xludf.DUMMYFUNCTION("""COMPUTED_VALUE"""),"Admisión Ordinaria")</f>
        <v>Admisión Ordinaria</v>
      </c>
      <c r="E455" s="2">
        <f>IFERROR(__xludf.DUMMYFUNCTION("""COMPUTED_VALUE"""),45693.0)</f>
        <v>45693</v>
      </c>
      <c r="F455" s="1" t="str">
        <f>IFERROR(__xludf.DUMMYFUNCTION("""COMPUTED_VALUE"""),"YENS ANGEL ")</f>
        <v>YENS ANGEL </v>
      </c>
      <c r="G455" s="1" t="str">
        <f>IFERROR(__xludf.DUMMYFUNCTION("""COMPUTED_VALUE"""),"GARCIA SALAZAR")</f>
        <v>GARCIA SALAZAR</v>
      </c>
      <c r="H455" s="1" t="str">
        <f>IFERROR(__xludf.DUMMYFUNCTION("""COMPUTED_VALUE"""),"Arquitectura")</f>
        <v>Arquitectura</v>
      </c>
      <c r="I455" s="1" t="str">
        <f>IFERROR(__xludf.DUMMYFUNCTION("""COMPUTED_VALUE"""),"CARGO")</f>
        <v>CARGO</v>
      </c>
      <c r="J455" s="1" t="str">
        <f>IFERROR(__xludf.DUMMYFUNCTION("""COMPUTED_VALUE"""),"Diurno")</f>
        <v>Diurno</v>
      </c>
      <c r="K455" s="1" t="str">
        <f>IFERROR(__xludf.DUMMYFUNCTION("""COMPUTED_VALUE"""),"NUEVO")</f>
        <v>NUEVO</v>
      </c>
      <c r="L455" s="1">
        <f>IFERROR(__xludf.DUMMYFUNCTION("""COMPUTED_VALUE"""),0.0)</f>
        <v>0</v>
      </c>
      <c r="M455" s="1">
        <f>IFERROR(__xludf.DUMMYFUNCTION("""COMPUTED_VALUE"""),0.0)</f>
        <v>0</v>
      </c>
      <c r="N455" s="1" t="str">
        <f>IFERROR(__xludf.DUMMYFUNCTION("""COMPUTED_VALUE"""),"RECA-BECA")</f>
        <v>RECA-BECA</v>
      </c>
      <c r="O455" s="1" t="str">
        <f>IFERROR(__xludf.DUMMYFUNCTION("""COMPUTED_VALUE"""),"BECA CONGELADA DE 2 AÑOS")</f>
        <v>BECA CONGELADA DE 2 AÑOS</v>
      </c>
      <c r="P455" s="4">
        <f>IFERROR(__xludf.DUMMYFUNCTION("""COMPUTED_VALUE"""),0.0)</f>
        <v>0</v>
      </c>
      <c r="Q455" s="4">
        <f>IFERROR(__xludf.DUMMYFUNCTION("""COMPUTED_VALUE"""),0.0)</f>
        <v>0</v>
      </c>
      <c r="R455" s="4">
        <f>IFERROR(__xludf.DUMMYFUNCTION("""COMPUTED_VALUE"""),1000.0)</f>
        <v>1000</v>
      </c>
      <c r="S455" s="4">
        <f>IFERROR(__xludf.DUMMYFUNCTION("""COMPUTED_VALUE"""),900.0)</f>
        <v>900</v>
      </c>
      <c r="T455" s="1" t="str">
        <f>IFERROR(__xludf.DUMMYFUNCTION("""COMPUTED_VALUE"""),"PALANCA 500")</f>
        <v>PALANCA 500</v>
      </c>
      <c r="U455" s="1" t="str">
        <f>IFERROR(__xludf.DUMMYFUNCTION("""COMPUTED_VALUE"""),"RODRIGO")</f>
        <v>RODRIGO</v>
      </c>
      <c r="V455" s="1" t="str">
        <f>IFERROR(__xludf.DUMMYFUNCTION("""COMPUTED_VALUE"""),"Ninguno")</f>
        <v>Ninguno</v>
      </c>
      <c r="W455" s="1" t="str">
        <f>IFERROR(__xludf.DUMMYFUNCTION("""COMPUTED_VALUE"""),"Metodología de enseñanza")</f>
        <v>Metodología de enseñanza</v>
      </c>
      <c r="X455" s="1" t="str">
        <f>IFERROR(__xludf.DUMMYFUNCTION("""COMPUTED_VALUE"""),"palanxca febrero primera boleta 500")</f>
        <v>palanxca febrero primera boleta 500</v>
      </c>
      <c r="Y455" s="1" t="str">
        <f>IFERROR(__xludf.DUMMYFUNCTION("""COMPUTED_VALUE"""),"PAGO COMPLETO")</f>
        <v>PAGO COMPLETO</v>
      </c>
      <c r="Z455" s="1"/>
      <c r="AA455" s="1"/>
      <c r="AB455" s="1">
        <f>IFERROR(__xludf.DUMMYFUNCTION("""COMPUTED_VALUE"""),0.0)</f>
        <v>0</v>
      </c>
      <c r="AC455" s="1">
        <f>IFERROR(__xludf.DUMMYFUNCTION("""COMPUTED_VALUE"""),0.0)</f>
        <v>0</v>
      </c>
      <c r="AD455" s="1" t="str">
        <f>IFERROR(__xludf.DUMMYFUNCTION("""COMPUTED_VALUE"""),"Fiorella Lanegra")</f>
        <v>Fiorella Lanegra</v>
      </c>
      <c r="AE455" s="1" t="str">
        <f>IFERROR(__xludf.DUMMYFUNCTION("""COMPUTED_VALUE"""),"0")</f>
        <v>0</v>
      </c>
      <c r="AF455" s="1">
        <f>IFERROR(__xludf.DUMMYFUNCTION("""COMPUTED_VALUE"""),2016.0)</f>
        <v>2016</v>
      </c>
      <c r="AG455" s="1">
        <f>IFERROR(__xludf.DUMMYFUNCTION("""COMPUTED_VALUE"""),1240639.0)</f>
        <v>1240639</v>
      </c>
      <c r="AH455" s="1">
        <f>IFERROR(__xludf.DUMMYFUNCTION("""COMPUTED_VALUE"""),26.0)</f>
        <v>26</v>
      </c>
      <c r="AI455" s="1" t="str">
        <f>IFERROR(__xludf.DUMMYFUNCTION("""COMPUTED_VALUE"""),"0000407957")</f>
        <v>0000407957</v>
      </c>
      <c r="AJ455" s="1">
        <f>IFERROR(__xludf.DUMMYFUNCTION("""COMPUTED_VALUE"""),7.0979672E7)</f>
        <v>70979672</v>
      </c>
      <c r="AK455" s="1">
        <f>IFERROR(__xludf.DUMMYFUNCTION("""COMPUTED_VALUE"""),9.5066802E8)</f>
        <v>950668020</v>
      </c>
      <c r="AL455" s="1" t="str">
        <f>IFERROR(__xludf.DUMMYFUNCTION("""COMPUTED_VALUE"""),"jamesgarciasalazar0@gmail.com")</f>
        <v>jamesgarciasalazar0@gmail.com</v>
      </c>
      <c r="AM455" s="1" t="str">
        <f>IFERROR(__xludf.DUMMYFUNCTION("""COMPUTED_VALUE"""),"MASCULINO")</f>
        <v>MASCULINO</v>
      </c>
      <c r="AN455" s="1">
        <f>IFERROR(__xludf.DUMMYFUNCTION("""COMPUTED_VALUE"""),1600.0)</f>
        <v>1600</v>
      </c>
      <c r="AO455" s="1">
        <f>IFERROR(__xludf.DUMMYFUNCTION("""COMPUTED_VALUE"""),250.0)</f>
        <v>250</v>
      </c>
      <c r="AP455" s="1" t="str">
        <f>IFERROR(__xludf.DUMMYFUNCTION("""COMPUTED_VALUE"""),"BIDIRECCIONAL")</f>
        <v>BIDIRECCIONAL</v>
      </c>
      <c r="AQ455" s="1" t="str">
        <f>IFERROR(__xludf.DUMMYFUNCTION("""COMPUTED_VALUE"""),"SEARCH CARRERA")</f>
        <v>SEARCH CARRERA</v>
      </c>
      <c r="AR455" s="1" t="str">
        <f>IFERROR(__xludf.DUMMYFUNCTION("""COMPUTED_VALUE"""),"HEREDADO")</f>
        <v>HEREDADO</v>
      </c>
      <c r="AS455" s="1" t="str">
        <f>IFERROR(__xludf.DUMMYFUNCTION("""COMPUTED_VALUE"""),"ucal-pg-performance-sedes-abierta-cpl-search_conversion_mundo_arquitectura_reactivacion-20241105")</f>
        <v>ucal-pg-performance-sedes-abierta-cpl-search_conversion_mundo_arquitectura_reactivacion-20241105</v>
      </c>
      <c r="AT455" s="2">
        <f>IFERROR(__xludf.DUMMYFUNCTION("""COMPUTED_VALUE"""),45664.0)</f>
        <v>45664</v>
      </c>
      <c r="AU455" s="1">
        <f>IFERROR(__xludf.DUMMYFUNCTION("""COMPUTED_VALUE"""),1.0)</f>
        <v>1</v>
      </c>
      <c r="AV455" s="1" t="str">
        <f>IFERROR(__xludf.DUMMYFUNCTION("""COMPUTED_VALUE"""),"NUEVO")</f>
        <v>NUEVO</v>
      </c>
      <c r="AW455" s="1" t="str">
        <f>IFERROR(__xludf.DUMMYFUNCTION("""COMPUTED_VALUE"""),"SI")</f>
        <v>SI</v>
      </c>
      <c r="AX455" s="1"/>
      <c r="AY455" s="1" t="str">
        <f>IFERROR(__xludf.DUMMYFUNCTION("""COMPUTED_VALUE"""),"PAGO COMPLETO")</f>
        <v>PAGO COMPLETO</v>
      </c>
      <c r="AZ455" s="5">
        <f>IFERROR(__xludf.DUMMYFUNCTION("""COMPUTED_VALUE"""),45693.0)</f>
        <v>45693</v>
      </c>
      <c r="BA455" s="1">
        <f>IFERROR(__xludf.DUMMYFUNCTION("""COMPUTED_VALUE"""),0.0)</f>
        <v>0</v>
      </c>
      <c r="BB455" s="1">
        <f>IFERROR(__xludf.DUMMYFUNCTION("""COMPUTED_VALUE"""),0.0)</f>
        <v>0</v>
      </c>
      <c r="BC455" s="4">
        <f>IFERROR(__xludf.DUMMYFUNCTION("""COMPUTED_VALUE"""),0.0)</f>
        <v>0</v>
      </c>
      <c r="BD455" s="4">
        <f>IFERROR(__xludf.DUMMYFUNCTION("""COMPUTED_VALUE"""),400.0)</f>
        <v>400</v>
      </c>
      <c r="BE455" s="1">
        <f>IFERROR(__xludf.DUMMYFUNCTION("""COMPUTED_VALUE"""),2.0)</f>
        <v>2</v>
      </c>
      <c r="BF455" s="6">
        <f>IFERROR(__xludf.DUMMYFUNCTION("""COMPUTED_VALUE"""),1.0)</f>
        <v>1</v>
      </c>
      <c r="BG455" s="1">
        <f>IFERROR(__xludf.DUMMYFUNCTION("""COMPUTED_VALUE"""),1.0)</f>
        <v>1</v>
      </c>
      <c r="BH455" s="1" t="str">
        <f>IFERROR(__xludf.DUMMYFUNCTION("""COMPUTED_VALUE"""),"0")</f>
        <v>0</v>
      </c>
      <c r="BI455" s="4">
        <f>IFERROR(__xludf.DUMMYFUNCTION("""COMPUTED_VALUE"""),400.0)</f>
        <v>400</v>
      </c>
      <c r="BJ455" s="1">
        <f>IFERROR(__xludf.DUMMYFUNCTION("""COMPUTED_VALUE"""),0.0)</f>
        <v>0</v>
      </c>
      <c r="BK455" s="4">
        <f>IFERROR(__xludf.DUMMYFUNCTION("""COMPUTED_VALUE"""),400.0)</f>
        <v>400</v>
      </c>
      <c r="BL455" s="1">
        <f>IFERROR(__xludf.DUMMYFUNCTION("""COMPUTED_VALUE"""),820.0)</f>
        <v>820</v>
      </c>
      <c r="BM455" s="1">
        <f>IFERROR(__xludf.DUMMYFUNCTION("""COMPUTED_VALUE"""),6.0)</f>
        <v>6</v>
      </c>
      <c r="BN455" s="2">
        <f>IFERROR(__xludf.DUMMYFUNCTION("""COMPUTED_VALUE"""),45691.0)</f>
        <v>45691</v>
      </c>
      <c r="BO455" s="1">
        <f>IFERROR(__xludf.DUMMYFUNCTION("""COMPUTED_VALUE"""),2.0)</f>
        <v>2</v>
      </c>
      <c r="BP455" s="1">
        <f>IFERROR(__xludf.DUMMYFUNCTION("""COMPUTED_VALUE"""),2025.0)</f>
        <v>2025</v>
      </c>
    </row>
    <row r="456">
      <c r="A456" s="1">
        <f>IFERROR(__xludf.DUMMYFUNCTION("""COMPUTED_VALUE"""),455.0)</f>
        <v>455</v>
      </c>
      <c r="B456" s="1">
        <f>IFERROR(__xludf.DUMMYFUNCTION("""COMPUTED_VALUE"""),4979861.0)</f>
        <v>4979861</v>
      </c>
      <c r="C456" s="1" t="str">
        <f>IFERROR(__xludf.DUMMYFUNCTION("""COMPUTED_VALUE"""),"2025-1")</f>
        <v>2025-1</v>
      </c>
      <c r="D456" s="1" t="str">
        <f>IFERROR(__xludf.DUMMYFUNCTION("""COMPUTED_VALUE"""),"Admisión de Alto Rendimiento")</f>
        <v>Admisión de Alto Rendimiento</v>
      </c>
      <c r="E456" s="2">
        <f>IFERROR(__xludf.DUMMYFUNCTION("""COMPUTED_VALUE"""),45693.0)</f>
        <v>45693</v>
      </c>
      <c r="F456" s="1" t="str">
        <f>IFERROR(__xludf.DUMMYFUNCTION("""COMPUTED_VALUE"""),"BRENDA VALERIA ")</f>
        <v>BRENDA VALERIA </v>
      </c>
      <c r="G456" s="1" t="str">
        <f>IFERROR(__xludf.DUMMYFUNCTION("""COMPUTED_VALUE"""),"FLORES NINAMAQUE")</f>
        <v>FLORES NINAMAQUE</v>
      </c>
      <c r="H456" s="1" t="str">
        <f>IFERROR(__xludf.DUMMYFUNCTION("""COMPUTED_VALUE"""),"Administración y Negocios Internacionales")</f>
        <v>Administración y Negocios Internacionales</v>
      </c>
      <c r="I456" s="1" t="str">
        <f>IFERROR(__xludf.DUMMYFUNCTION("""COMPUTED_VALUE"""),"CARGO")</f>
        <v>CARGO</v>
      </c>
      <c r="J456" s="1" t="str">
        <f>IFERROR(__xludf.DUMMYFUNCTION("""COMPUTED_VALUE"""),"Diurno")</f>
        <v>Diurno</v>
      </c>
      <c r="K456" s="1" t="str">
        <f>IFERROR(__xludf.DUMMYFUNCTION("""COMPUTED_VALUE"""),"NUEVO")</f>
        <v>NUEVO</v>
      </c>
      <c r="L456" s="1">
        <f>IFERROR(__xludf.DUMMYFUNCTION("""COMPUTED_VALUE"""),0.0)</f>
        <v>0</v>
      </c>
      <c r="M456" s="1">
        <f>IFERROR(__xludf.DUMMYFUNCTION("""COMPUTED_VALUE"""),0.0)</f>
        <v>0</v>
      </c>
      <c r="N456" s="1" t="str">
        <f>IFERROR(__xludf.DUMMYFUNCTION("""COMPUTED_VALUE"""),"BECA")</f>
        <v>BECA</v>
      </c>
      <c r="O456" s="1" t="str">
        <f>IFERROR(__xludf.DUMMYFUNCTION("""COMPUTED_VALUE"""),"BECA CONGELADA DE 2 AÑOS")</f>
        <v>BECA CONGELADA DE 2 AÑOS</v>
      </c>
      <c r="P456" s="4">
        <f>IFERROR(__xludf.DUMMYFUNCTION("""COMPUTED_VALUE"""),0.0)</f>
        <v>0</v>
      </c>
      <c r="Q456" s="4">
        <f>IFERROR(__xludf.DUMMYFUNCTION("""COMPUTED_VALUE"""),0.0)</f>
        <v>0</v>
      </c>
      <c r="R456" s="4">
        <f>IFERROR(__xludf.DUMMYFUNCTION("""COMPUTED_VALUE"""),1000.0)</f>
        <v>1000</v>
      </c>
      <c r="S456" s="4">
        <f>IFERROR(__xludf.DUMMYFUNCTION("""COMPUTED_VALUE"""),850.0)</f>
        <v>850</v>
      </c>
      <c r="T456" s="1" t="str">
        <f>IFERROR(__xludf.DUMMYFUNCTION("""COMPUTED_VALUE"""),"PALANCA 500 - Referido")</f>
        <v>PALANCA 500 - Referido</v>
      </c>
      <c r="U456" s="1" t="str">
        <f>IFERROR(__xludf.DUMMYFUNCTION("""COMPUTED_VALUE"""),"FABIOLA")</f>
        <v>FABIOLA</v>
      </c>
      <c r="V456" s="1" t="str">
        <f>IFERROR(__xludf.DUMMYFUNCTION("""COMPUTED_VALUE"""),"Ninguno")</f>
        <v>Ninguno</v>
      </c>
      <c r="W456" s="1" t="str">
        <f>IFERROR(__xludf.DUMMYFUNCTION("""COMPUTED_VALUE"""),"Malla curricular")</f>
        <v>Malla curricular</v>
      </c>
      <c r="X456" s="1" t="str">
        <f>IFERROR(__xludf.DUMMYFUNCTION("""COMPUTED_VALUE"""),"Referido de ANGELES IVANNA DANCE HERNANDEZ 71177047")</f>
        <v>Referido de ANGELES IVANNA DANCE HERNANDEZ 71177047</v>
      </c>
      <c r="Y456" s="1" t="str">
        <f>IFERROR(__xludf.DUMMYFUNCTION("""COMPUTED_VALUE"""),"PAGO COMPLETO")</f>
        <v>PAGO COMPLETO</v>
      </c>
      <c r="Z456" s="1"/>
      <c r="AA456" s="1"/>
      <c r="AB456" s="1">
        <f>IFERROR(__xludf.DUMMYFUNCTION("""COMPUTED_VALUE"""),0.0)</f>
        <v>0</v>
      </c>
      <c r="AC456" s="1">
        <f>IFERROR(__xludf.DUMMYFUNCTION("""COMPUTED_VALUE"""),0.0)</f>
        <v>0</v>
      </c>
      <c r="AD456" s="1" t="str">
        <f>IFERROR(__xludf.DUMMYFUNCTION("""COMPUTED_VALUE"""),"Fiorella Lanegra")</f>
        <v>Fiorella Lanegra</v>
      </c>
      <c r="AE456" s="1" t="str">
        <f>IFERROR(__xludf.DUMMYFUNCTION("""COMPUTED_VALUE"""),"0")</f>
        <v>0</v>
      </c>
      <c r="AF456" s="1">
        <f>IFERROR(__xludf.DUMMYFUNCTION("""COMPUTED_VALUE"""),2024.0)</f>
        <v>2024</v>
      </c>
      <c r="AG456" s="1">
        <f>IFERROR(__xludf.DUMMYFUNCTION("""COMPUTED_VALUE"""),325472.0)</f>
        <v>325472</v>
      </c>
      <c r="AH456" s="1">
        <f>IFERROR(__xludf.DUMMYFUNCTION("""COMPUTED_VALUE"""),18.0)</f>
        <v>18</v>
      </c>
      <c r="AI456" s="1" t="str">
        <f>IFERROR(__xludf.DUMMYFUNCTION("""COMPUTED_VALUE"""),"0000413250")</f>
        <v>0000413250</v>
      </c>
      <c r="AJ456" s="1">
        <f>IFERROR(__xludf.DUMMYFUNCTION("""COMPUTED_VALUE"""),7.0967187E7)</f>
        <v>70967187</v>
      </c>
      <c r="AK456" s="1">
        <f>IFERROR(__xludf.DUMMYFUNCTION("""COMPUTED_VALUE"""),9.13213429E8)</f>
        <v>913213429</v>
      </c>
      <c r="AL456" s="1" t="str">
        <f>IFERROR(__xludf.DUMMYFUNCTION("""COMPUTED_VALUE"""),"bren_leo_08@outlook.es")</f>
        <v>bren_leo_08@outlook.es</v>
      </c>
      <c r="AM456" s="1" t="str">
        <f>IFERROR(__xludf.DUMMYFUNCTION("""COMPUTED_VALUE"""),"FEMENINO")</f>
        <v>FEMENINO</v>
      </c>
      <c r="AN456" s="1">
        <f>IFERROR(__xludf.DUMMYFUNCTION("""COMPUTED_VALUE"""),1350.0)</f>
        <v>1350</v>
      </c>
      <c r="AO456" s="1">
        <f>IFERROR(__xludf.DUMMYFUNCTION("""COMPUTED_VALUE"""),0.0)</f>
        <v>0</v>
      </c>
      <c r="AP456" s="1" t="str">
        <f>IFERROR(__xludf.DUMMYFUNCTION("""COMPUTED_VALUE"""),"COLEGIOS")</f>
        <v>COLEGIOS</v>
      </c>
      <c r="AQ456" s="1" t="str">
        <f>IFERROR(__xludf.DUMMYFUNCTION("""COMPUTED_VALUE"""),"COLEGIOS")</f>
        <v>COLEGIOS</v>
      </c>
      <c r="AR456" s="1" t="str">
        <f>IFERROR(__xludf.DUMMYFUNCTION("""COMPUTED_VALUE"""),"NUEVO")</f>
        <v>NUEVO</v>
      </c>
      <c r="AS456" s="1"/>
      <c r="AT456" s="2">
        <f>IFERROR(__xludf.DUMMYFUNCTION("""COMPUTED_VALUE"""),45526.0)</f>
        <v>45526</v>
      </c>
      <c r="AU456" s="1">
        <f>IFERROR(__xludf.DUMMYFUNCTION("""COMPUTED_VALUE"""),1.0)</f>
        <v>1</v>
      </c>
      <c r="AV456" s="1" t="str">
        <f>IFERROR(__xludf.DUMMYFUNCTION("""COMPUTED_VALUE"""),"NUEVO")</f>
        <v>NUEVO</v>
      </c>
      <c r="AW456" s="1" t="str">
        <f>IFERROR(__xludf.DUMMYFUNCTION("""COMPUTED_VALUE"""),"SI")</f>
        <v>SI</v>
      </c>
      <c r="AX456" s="1"/>
      <c r="AY456" s="1" t="str">
        <f>IFERROR(__xludf.DUMMYFUNCTION("""COMPUTED_VALUE"""),"PAGO COMPLETO")</f>
        <v>PAGO COMPLETO</v>
      </c>
      <c r="AZ456" s="5">
        <f>IFERROR(__xludf.DUMMYFUNCTION("""COMPUTED_VALUE"""),45693.0)</f>
        <v>45693</v>
      </c>
      <c r="BA456" s="1">
        <f>IFERROR(__xludf.DUMMYFUNCTION("""COMPUTED_VALUE"""),0.0)</f>
        <v>0</v>
      </c>
      <c r="BB456" s="1">
        <f>IFERROR(__xludf.DUMMYFUNCTION("""COMPUTED_VALUE"""),0.0)</f>
        <v>0</v>
      </c>
      <c r="BC456" s="4">
        <f>IFERROR(__xludf.DUMMYFUNCTION("""COMPUTED_VALUE"""),0.0)</f>
        <v>0</v>
      </c>
      <c r="BD456" s="4">
        <f>IFERROR(__xludf.DUMMYFUNCTION("""COMPUTED_VALUE"""),350.0)</f>
        <v>350</v>
      </c>
      <c r="BE456" s="1">
        <f>IFERROR(__xludf.DUMMYFUNCTION("""COMPUTED_VALUE"""),2.0)</f>
        <v>2</v>
      </c>
      <c r="BF456" s="6">
        <f>IFERROR(__xludf.DUMMYFUNCTION("""COMPUTED_VALUE"""),1.0)</f>
        <v>1</v>
      </c>
      <c r="BG456" s="1">
        <f>IFERROR(__xludf.DUMMYFUNCTION("""COMPUTED_VALUE"""),1.0)</f>
        <v>1</v>
      </c>
      <c r="BH456" s="1" t="str">
        <f>IFERROR(__xludf.DUMMYFUNCTION("""COMPUTED_VALUE"""),"0")</f>
        <v>0</v>
      </c>
      <c r="BI456" s="4">
        <f>IFERROR(__xludf.DUMMYFUNCTION("""COMPUTED_VALUE"""),350.0)</f>
        <v>350</v>
      </c>
      <c r="BJ456" s="1">
        <f>IFERROR(__xludf.DUMMYFUNCTION("""COMPUTED_VALUE"""),0.0)</f>
        <v>0</v>
      </c>
      <c r="BK456" s="4">
        <f>IFERROR(__xludf.DUMMYFUNCTION("""COMPUTED_VALUE"""),775.0)</f>
        <v>775</v>
      </c>
      <c r="BL456" s="1">
        <f>IFERROR(__xludf.DUMMYFUNCTION("""COMPUTED_VALUE"""),695.0)</f>
        <v>695</v>
      </c>
      <c r="BM456" s="1">
        <f>IFERROR(__xludf.DUMMYFUNCTION("""COMPUTED_VALUE"""),6.0)</f>
        <v>6</v>
      </c>
      <c r="BN456" s="2">
        <f>IFERROR(__xludf.DUMMYFUNCTION("""COMPUTED_VALUE"""),45691.0)</f>
        <v>45691</v>
      </c>
      <c r="BO456" s="1">
        <f>IFERROR(__xludf.DUMMYFUNCTION("""COMPUTED_VALUE"""),2.0)</f>
        <v>2</v>
      </c>
      <c r="BP456" s="1">
        <f>IFERROR(__xludf.DUMMYFUNCTION("""COMPUTED_VALUE"""),2025.0)</f>
        <v>2025</v>
      </c>
    </row>
    <row r="457">
      <c r="A457" s="1">
        <f>IFERROR(__xludf.DUMMYFUNCTION("""COMPUTED_VALUE"""),456.0)</f>
        <v>456</v>
      </c>
      <c r="B457" s="1">
        <f>IFERROR(__xludf.DUMMYFUNCTION("""COMPUTED_VALUE"""),2633977.0)</f>
        <v>2633977</v>
      </c>
      <c r="C457" s="1" t="str">
        <f>IFERROR(__xludf.DUMMYFUNCTION("""COMPUTED_VALUE"""),"2025-1")</f>
        <v>2025-1</v>
      </c>
      <c r="D457" s="1" t="str">
        <f>IFERROR(__xludf.DUMMYFUNCTION("""COMPUTED_VALUE"""),"Admisión de Alto Rendimiento")</f>
        <v>Admisión de Alto Rendimiento</v>
      </c>
      <c r="E457" s="2">
        <f>IFERROR(__xludf.DUMMYFUNCTION("""COMPUTED_VALUE"""),45693.0)</f>
        <v>45693</v>
      </c>
      <c r="F457" s="1" t="str">
        <f>IFERROR(__xludf.DUMMYFUNCTION("""COMPUTED_VALUE"""),"SOFIA ")</f>
        <v>SOFIA </v>
      </c>
      <c r="G457" s="1" t="str">
        <f>IFERROR(__xludf.DUMMYFUNCTION("""COMPUTED_VALUE"""),"RACHITOFF NASH")</f>
        <v>RACHITOFF NASH</v>
      </c>
      <c r="H457" s="1" t="str">
        <f>IFERROR(__xludf.DUMMYFUNCTION("""COMPUTED_VALUE"""),"Comunicación Audiovisual y Cine")</f>
        <v>Comunicación Audiovisual y Cine</v>
      </c>
      <c r="I457" s="1" t="str">
        <f>IFERROR(__xludf.DUMMYFUNCTION("""COMPUTED_VALUE"""),"CARGO")</f>
        <v>CARGO</v>
      </c>
      <c r="J457" s="1" t="str">
        <f>IFERROR(__xludf.DUMMYFUNCTION("""COMPUTED_VALUE"""),"Diurno")</f>
        <v>Diurno</v>
      </c>
      <c r="K457" s="1" t="str">
        <f>IFERROR(__xludf.DUMMYFUNCTION("""COMPUTED_VALUE"""),"NUEVO")</f>
        <v>NUEVO</v>
      </c>
      <c r="L457" s="1">
        <f>IFERROR(__xludf.DUMMYFUNCTION("""COMPUTED_VALUE"""),0.0)</f>
        <v>0</v>
      </c>
      <c r="M457" s="1">
        <f>IFERROR(__xludf.DUMMYFUNCTION("""COMPUTED_VALUE"""),0.0)</f>
        <v>0</v>
      </c>
      <c r="N457" s="1" t="str">
        <f>IFERROR(__xludf.DUMMYFUNCTION("""COMPUTED_VALUE"""),"BECA")</f>
        <v>BECA</v>
      </c>
      <c r="O457" s="1" t="str">
        <f>IFERROR(__xludf.DUMMYFUNCTION("""COMPUTED_VALUE"""),"BECA CONGELADA DE 2 AÑOS")</f>
        <v>BECA CONGELADA DE 2 AÑOS</v>
      </c>
      <c r="P457" s="4">
        <f>IFERROR(__xludf.DUMMYFUNCTION("""COMPUTED_VALUE"""),200.0)</f>
        <v>200</v>
      </c>
      <c r="Q457" s="4">
        <f>IFERROR(__xludf.DUMMYFUNCTION("""COMPUTED_VALUE"""),475.0)</f>
        <v>475</v>
      </c>
      <c r="R457" s="4">
        <f>IFERROR(__xludf.DUMMYFUNCTION("""COMPUTED_VALUE"""),2300.0)</f>
        <v>2300</v>
      </c>
      <c r="S457" s="4">
        <f>IFERROR(__xludf.DUMMYFUNCTION("""COMPUTED_VALUE"""),1840.0)</f>
        <v>1840</v>
      </c>
      <c r="T457" s="1" t="str">
        <f>IFERROR(__xludf.DUMMYFUNCTION("""COMPUTED_VALUE"""),"PALANCA 500")</f>
        <v>PALANCA 500</v>
      </c>
      <c r="U457" s="1" t="str">
        <f>IFERROR(__xludf.DUMMYFUNCTION("""COMPUTED_VALUE"""),"RODRIGO")</f>
        <v>RODRIGO</v>
      </c>
      <c r="V457" s="1" t="str">
        <f>IFERROR(__xludf.DUMMYFUNCTION("""COMPUTED_VALUE"""),"Ninguno")</f>
        <v>Ninguno</v>
      </c>
      <c r="W457" s="1" t="str">
        <f>IFERROR(__xludf.DUMMYFUNCTION("""COMPUTED_VALUE"""),"Metodología de enseñanza")</f>
        <v>Metodología de enseñanza</v>
      </c>
      <c r="X457" s="1" t="str">
        <f>IFERROR(__xludf.DUMMYFUNCTION("""COMPUTED_VALUE"""),"MONTO CORRECTO ES REGULAR  2350  BECA 1890 ")</f>
        <v>MONTO CORRECTO ES REGULAR  2350  BECA 1890 </v>
      </c>
      <c r="Y457" s="1" t="str">
        <f>IFERROR(__xludf.DUMMYFUNCTION("""COMPUTED_VALUE"""),"PAGO COMPLETO")</f>
        <v>PAGO COMPLETO</v>
      </c>
      <c r="Z457" s="1"/>
      <c r="AA457" s="1"/>
      <c r="AB457" s="1">
        <f>IFERROR(__xludf.DUMMYFUNCTION("""COMPUTED_VALUE"""),0.0)</f>
        <v>0</v>
      </c>
      <c r="AC457" s="1">
        <f>IFERROR(__xludf.DUMMYFUNCTION("""COMPUTED_VALUE"""),0.0)</f>
        <v>0</v>
      </c>
      <c r="AD457" s="1" t="str">
        <f>IFERROR(__xludf.DUMMYFUNCTION("""COMPUTED_VALUE"""),"Rosa Ugarte")</f>
        <v>Rosa Ugarte</v>
      </c>
      <c r="AE457" s="1" t="str">
        <f>IFERROR(__xludf.DUMMYFUNCTION("""COMPUTED_VALUE"""),"0")</f>
        <v>0</v>
      </c>
      <c r="AF457" s="1">
        <f>IFERROR(__xludf.DUMMYFUNCTION("""COMPUTED_VALUE"""),2024.0)</f>
        <v>2024</v>
      </c>
      <c r="AG457" s="1">
        <f>IFERROR(__xludf.DUMMYFUNCTION("""COMPUTED_VALUE"""),1277037.0)</f>
        <v>1277037</v>
      </c>
      <c r="AH457" s="1">
        <f>IFERROR(__xludf.DUMMYFUNCTION("""COMPUTED_VALUE"""),20.0)</f>
        <v>20</v>
      </c>
      <c r="AI457" s="1" t="str">
        <f>IFERROR(__xludf.DUMMYFUNCTION("""COMPUTED_VALUE"""),"0000383181")</f>
        <v>0000383181</v>
      </c>
      <c r="AJ457" s="1">
        <f>IFERROR(__xludf.DUMMYFUNCTION("""COMPUTED_VALUE"""),7.6319926E7)</f>
        <v>76319926</v>
      </c>
      <c r="AK457" s="1">
        <f>IFERROR(__xludf.DUMMYFUNCTION("""COMPUTED_VALUE"""),9.4048823E8)</f>
        <v>940488230</v>
      </c>
      <c r="AL457" s="1" t="str">
        <f>IFERROR(__xludf.DUMMYFUNCTION("""COMPUTED_VALUE"""),"sofiarachitoff00@gmail.com")</f>
        <v>sofiarachitoff00@gmail.com</v>
      </c>
      <c r="AM457" s="1" t="str">
        <f>IFERROR(__xludf.DUMMYFUNCTION("""COMPUTED_VALUE"""),"FEMENINO")</f>
        <v>FEMENINO</v>
      </c>
      <c r="AN457" s="1">
        <f>IFERROR(__xludf.DUMMYFUNCTION("""COMPUTED_VALUE"""),3200.0)</f>
        <v>3200</v>
      </c>
      <c r="AO457" s="1">
        <f>IFERROR(__xludf.DUMMYFUNCTION("""COMPUTED_VALUE"""),2857.0)</f>
        <v>2857</v>
      </c>
      <c r="AP457" s="1" t="str">
        <f>IFERROR(__xludf.DUMMYFUNCTION("""COMPUTED_VALUE"""),"FORMULARIO")</f>
        <v>FORMULARIO</v>
      </c>
      <c r="AQ457" s="1" t="str">
        <f>IFERROR(__xludf.DUMMYFUNCTION("""COMPUTED_VALUE"""),"ORGANICO")</f>
        <v>ORGANICO</v>
      </c>
      <c r="AR457" s="1" t="str">
        <f>IFERROR(__xludf.DUMMYFUNCTION("""COMPUTED_VALUE"""),"NUEVO")</f>
        <v>NUEVO</v>
      </c>
      <c r="AS457" s="1"/>
      <c r="AT457" s="2">
        <f>IFERROR(__xludf.DUMMYFUNCTION("""COMPUTED_VALUE"""),45378.0)</f>
        <v>45378</v>
      </c>
      <c r="AU457" s="1">
        <f>IFERROR(__xludf.DUMMYFUNCTION("""COMPUTED_VALUE"""),1.0)</f>
        <v>1</v>
      </c>
      <c r="AV457" s="1" t="str">
        <f>IFERROR(__xludf.DUMMYFUNCTION("""COMPUTED_VALUE"""),"NUEVO")</f>
        <v>NUEVO</v>
      </c>
      <c r="AW457" s="1" t="str">
        <f>IFERROR(__xludf.DUMMYFUNCTION("""COMPUTED_VALUE"""),"SI")</f>
        <v>SI</v>
      </c>
      <c r="AX457" s="1"/>
      <c r="AY457" s="1" t="str">
        <f>IFERROR(__xludf.DUMMYFUNCTION("""COMPUTED_VALUE"""),"PAGO COMPLETO")</f>
        <v>PAGO COMPLETO</v>
      </c>
      <c r="AZ457" s="5">
        <f>IFERROR(__xludf.DUMMYFUNCTION("""COMPUTED_VALUE"""),45693.0)</f>
        <v>45693</v>
      </c>
      <c r="BA457" s="1">
        <f>IFERROR(__xludf.DUMMYFUNCTION("""COMPUTED_VALUE"""),0.0)</f>
        <v>0</v>
      </c>
      <c r="BB457" s="1">
        <f>IFERROR(__xludf.DUMMYFUNCTION("""COMPUTED_VALUE"""),0.0)</f>
        <v>0</v>
      </c>
      <c r="BC457" s="4">
        <f>IFERROR(__xludf.DUMMYFUNCTION("""COMPUTED_VALUE"""),0.0)</f>
        <v>0</v>
      </c>
      <c r="BD457" s="4">
        <f>IFERROR(__xludf.DUMMYFUNCTION("""COMPUTED_VALUE"""),1340.0)</f>
        <v>1340</v>
      </c>
      <c r="BE457" s="1">
        <f>IFERROR(__xludf.DUMMYFUNCTION("""COMPUTED_VALUE"""),2.0)</f>
        <v>2</v>
      </c>
      <c r="BF457" s="6">
        <f>IFERROR(__xludf.DUMMYFUNCTION("""COMPUTED_VALUE"""),1.0)</f>
        <v>1</v>
      </c>
      <c r="BG457" s="1">
        <f>IFERROR(__xludf.DUMMYFUNCTION("""COMPUTED_VALUE"""),1.0)</f>
        <v>1</v>
      </c>
      <c r="BH457" s="1" t="str">
        <f>IFERROR(__xludf.DUMMYFUNCTION("""COMPUTED_VALUE"""),"0")</f>
        <v>0</v>
      </c>
      <c r="BI457" s="4">
        <f>IFERROR(__xludf.DUMMYFUNCTION("""COMPUTED_VALUE"""),1340.0)</f>
        <v>1340</v>
      </c>
      <c r="BJ457" s="1">
        <f>IFERROR(__xludf.DUMMYFUNCTION("""COMPUTED_VALUE"""),0.0)</f>
        <v>0</v>
      </c>
      <c r="BK457" s="4">
        <f>IFERROR(__xludf.DUMMYFUNCTION("""COMPUTED_VALUE"""),1340.0)</f>
        <v>1340</v>
      </c>
      <c r="BL457" s="1">
        <f>IFERROR(__xludf.DUMMYFUNCTION("""COMPUTED_VALUE"""),1572.0)</f>
        <v>1572</v>
      </c>
      <c r="BM457" s="1">
        <f>IFERROR(__xludf.DUMMYFUNCTION("""COMPUTED_VALUE"""),6.0)</f>
        <v>6</v>
      </c>
      <c r="BN457" s="2">
        <f>IFERROR(__xludf.DUMMYFUNCTION("""COMPUTED_VALUE"""),45691.0)</f>
        <v>45691</v>
      </c>
      <c r="BO457" s="1">
        <f>IFERROR(__xludf.DUMMYFUNCTION("""COMPUTED_VALUE"""),2.0)</f>
        <v>2</v>
      </c>
      <c r="BP457" s="1">
        <f>IFERROR(__xludf.DUMMYFUNCTION("""COMPUTED_VALUE"""),2025.0)</f>
        <v>2025</v>
      </c>
    </row>
    <row r="458">
      <c r="A458" s="1">
        <f>IFERROR(__xludf.DUMMYFUNCTION("""COMPUTED_VALUE"""),457.0)</f>
        <v>457</v>
      </c>
      <c r="B458" s="1">
        <f>IFERROR(__xludf.DUMMYFUNCTION("""COMPUTED_VALUE"""),2694051.0)</f>
        <v>2694051</v>
      </c>
      <c r="C458" s="1" t="str">
        <f>IFERROR(__xludf.DUMMYFUNCTION("""COMPUTED_VALUE"""),"2025-1")</f>
        <v>2025-1</v>
      </c>
      <c r="D458" s="1" t="str">
        <f>IFERROR(__xludf.DUMMYFUNCTION("""COMPUTED_VALUE"""),"Admisión de Alto Rendimiento")</f>
        <v>Admisión de Alto Rendimiento</v>
      </c>
      <c r="E458" s="2">
        <f>IFERROR(__xludf.DUMMYFUNCTION("""COMPUTED_VALUE"""),45693.0)</f>
        <v>45693</v>
      </c>
      <c r="F458" s="1" t="str">
        <f>IFERROR(__xludf.DUMMYFUNCTION("""COMPUTED_VALUE"""),"BRENDA GERALDINE ")</f>
        <v>BRENDA GERALDINE </v>
      </c>
      <c r="G458" s="1" t="str">
        <f>IFERROR(__xludf.DUMMYFUNCTION("""COMPUTED_VALUE"""),"SANCHEZ ANCHO")</f>
        <v>SANCHEZ ANCHO</v>
      </c>
      <c r="H458" s="1" t="str">
        <f>IFERROR(__xludf.DUMMYFUNCTION("""COMPUTED_VALUE"""),"Psicología")</f>
        <v>Psicología</v>
      </c>
      <c r="I458" s="1" t="str">
        <f>IFERROR(__xludf.DUMMYFUNCTION("""COMPUTED_VALUE"""),"CARGO")</f>
        <v>CARGO</v>
      </c>
      <c r="J458" s="1" t="str">
        <f>IFERROR(__xludf.DUMMYFUNCTION("""COMPUTED_VALUE"""),"Diurno")</f>
        <v>Diurno</v>
      </c>
      <c r="K458" s="1" t="str">
        <f>IFERROR(__xludf.DUMMYFUNCTION("""COMPUTED_VALUE"""),"NUEVO")</f>
        <v>NUEVO</v>
      </c>
      <c r="L458" s="1">
        <f>IFERROR(__xludf.DUMMYFUNCTION("""COMPUTED_VALUE"""),0.0)</f>
        <v>0</v>
      </c>
      <c r="M458" s="1">
        <f>IFERROR(__xludf.DUMMYFUNCTION("""COMPUTED_VALUE"""),0.0)</f>
        <v>0</v>
      </c>
      <c r="N458" s="1" t="str">
        <f>IFERROR(__xludf.DUMMYFUNCTION("""COMPUTED_VALUE"""),"BECA")</f>
        <v>BECA</v>
      </c>
      <c r="O458" s="1" t="str">
        <f>IFERROR(__xludf.DUMMYFUNCTION("""COMPUTED_VALUE"""),"BECA CONGELADA DE 2 AÑOS")</f>
        <v>BECA CONGELADA DE 2 AÑOS</v>
      </c>
      <c r="P458" s="4">
        <f>IFERROR(__xludf.DUMMYFUNCTION("""COMPUTED_VALUE"""),100.0)</f>
        <v>100</v>
      </c>
      <c r="Q458" s="4">
        <f>IFERROR(__xludf.DUMMYFUNCTION("""COMPUTED_VALUE"""),237.5)</f>
        <v>237.5</v>
      </c>
      <c r="R458" s="4">
        <f>IFERROR(__xludf.DUMMYFUNCTION("""COMPUTED_VALUE"""),1550.0)</f>
        <v>1550</v>
      </c>
      <c r="S458" s="4">
        <f>IFERROR(__xludf.DUMMYFUNCTION("""COMPUTED_VALUE"""),1250.0)</f>
        <v>1250</v>
      </c>
      <c r="T458" s="1" t="str">
        <f>IFERROR(__xludf.DUMMYFUNCTION("""COMPUTED_VALUE"""),"PALANCA 500")</f>
        <v>PALANCA 500</v>
      </c>
      <c r="U458" s="1"/>
      <c r="V458" s="1" t="str">
        <f>IFERROR(__xludf.DUMMYFUNCTION("""COMPUTED_VALUE"""),"Ninguno")</f>
        <v>Ninguno</v>
      </c>
      <c r="W458" s="1" t="str">
        <f>IFERROR(__xludf.DUMMYFUNCTION("""COMPUTED_VALUE"""),"Metodología de enseñanza")</f>
        <v>Metodología de enseñanza</v>
      </c>
      <c r="X458" s="1"/>
      <c r="Y458" s="1" t="str">
        <f>IFERROR(__xludf.DUMMYFUNCTION("""COMPUTED_VALUE"""),"PAGO COMPLETO")</f>
        <v>PAGO COMPLETO</v>
      </c>
      <c r="Z458" s="1"/>
      <c r="AA458" s="1"/>
      <c r="AB458" s="1">
        <f>IFERROR(__xludf.DUMMYFUNCTION("""COMPUTED_VALUE"""),0.0)</f>
        <v>0</v>
      </c>
      <c r="AC458" s="1">
        <f>IFERROR(__xludf.DUMMYFUNCTION("""COMPUTED_VALUE"""),0.0)</f>
        <v>0</v>
      </c>
      <c r="AD458" s="1" t="str">
        <f>IFERROR(__xludf.DUMMYFUNCTION("""COMPUTED_VALUE"""),"Ingrid Guillermo Rivera")</f>
        <v>Ingrid Guillermo Rivera</v>
      </c>
      <c r="AE458" s="1" t="str">
        <f>IFERROR(__xludf.DUMMYFUNCTION("""COMPUTED_VALUE"""),"0")</f>
        <v>0</v>
      </c>
      <c r="AF458" s="1">
        <f>IFERROR(__xludf.DUMMYFUNCTION("""COMPUTED_VALUE"""),2024.0)</f>
        <v>2024</v>
      </c>
      <c r="AG458" s="1">
        <f>IFERROR(__xludf.DUMMYFUNCTION("""COMPUTED_VALUE"""),1075902.0)</f>
        <v>1075902</v>
      </c>
      <c r="AH458" s="1">
        <f>IFERROR(__xludf.DUMMYFUNCTION("""COMPUTED_VALUE"""),18.0)</f>
        <v>18</v>
      </c>
      <c r="AI458" s="1" t="str">
        <f>IFERROR(__xludf.DUMMYFUNCTION("""COMPUTED_VALUE"""),"0000413218")</f>
        <v>0000413218</v>
      </c>
      <c r="AJ458" s="1">
        <f>IFERROR(__xludf.DUMMYFUNCTION("""COMPUTED_VALUE"""),6.123142E7)</f>
        <v>61231420</v>
      </c>
      <c r="AK458" s="1">
        <f>IFERROR(__xludf.DUMMYFUNCTION("""COMPUTED_VALUE"""),9.64427111E8)</f>
        <v>964427111</v>
      </c>
      <c r="AL458" s="1" t="str">
        <f>IFERROR(__xludf.DUMMYFUNCTION("""COMPUTED_VALUE"""),"brendageraldinessanchez@gmail.com")</f>
        <v>brendageraldinessanchez@gmail.com</v>
      </c>
      <c r="AM458" s="1" t="str">
        <f>IFERROR(__xludf.DUMMYFUNCTION("""COMPUTED_VALUE"""),"FEMENINO")</f>
        <v>FEMENINO</v>
      </c>
      <c r="AN458" s="1">
        <f>IFERROR(__xludf.DUMMYFUNCTION("""COMPUTED_VALUE"""),2425.0)</f>
        <v>2425</v>
      </c>
      <c r="AO458" s="1">
        <f>IFERROR(__xludf.DUMMYFUNCTION("""COMPUTED_VALUE"""),975.0)</f>
        <v>975</v>
      </c>
      <c r="AP458" s="1" t="str">
        <f>IFERROR(__xludf.DUMMYFUNCTION("""COMPUTED_VALUE"""),"COLEGIOS")</f>
        <v>COLEGIOS</v>
      </c>
      <c r="AQ458" s="1" t="str">
        <f>IFERROR(__xludf.DUMMYFUNCTION("""COMPUTED_VALUE"""),"COLEGIOS")</f>
        <v>COLEGIOS</v>
      </c>
      <c r="AR458" s="1" t="str">
        <f>IFERROR(__xludf.DUMMYFUNCTION("""COMPUTED_VALUE"""),"NUEVO")</f>
        <v>NUEVO</v>
      </c>
      <c r="AS458" s="1"/>
      <c r="AT458" s="2">
        <f>IFERROR(__xludf.DUMMYFUNCTION("""COMPUTED_VALUE"""),45402.0)</f>
        <v>45402</v>
      </c>
      <c r="AU458" s="1">
        <f>IFERROR(__xludf.DUMMYFUNCTION("""COMPUTED_VALUE"""),1.0)</f>
        <v>1</v>
      </c>
      <c r="AV458" s="1" t="str">
        <f>IFERROR(__xludf.DUMMYFUNCTION("""COMPUTED_VALUE"""),"NUEVO")</f>
        <v>NUEVO</v>
      </c>
      <c r="AW458" s="1" t="str">
        <f>IFERROR(__xludf.DUMMYFUNCTION("""COMPUTED_VALUE"""),"SI")</f>
        <v>SI</v>
      </c>
      <c r="AX458" s="1"/>
      <c r="AY458" s="1" t="str">
        <f>IFERROR(__xludf.DUMMYFUNCTION("""COMPUTED_VALUE"""),"PAGO COMPLETO")</f>
        <v>PAGO COMPLETO</v>
      </c>
      <c r="AZ458" s="5">
        <f>IFERROR(__xludf.DUMMYFUNCTION("""COMPUTED_VALUE"""),45693.0)</f>
        <v>45693</v>
      </c>
      <c r="BA458" s="1">
        <f>IFERROR(__xludf.DUMMYFUNCTION("""COMPUTED_VALUE"""),0.0)</f>
        <v>0</v>
      </c>
      <c r="BB458" s="1">
        <f>IFERROR(__xludf.DUMMYFUNCTION("""COMPUTED_VALUE"""),0.0)</f>
        <v>0</v>
      </c>
      <c r="BC458" s="4">
        <f>IFERROR(__xludf.DUMMYFUNCTION("""COMPUTED_VALUE"""),0.0)</f>
        <v>0</v>
      </c>
      <c r="BD458" s="4">
        <f>IFERROR(__xludf.DUMMYFUNCTION("""COMPUTED_VALUE"""),750.0)</f>
        <v>750</v>
      </c>
      <c r="BE458" s="1">
        <f>IFERROR(__xludf.DUMMYFUNCTION("""COMPUTED_VALUE"""),2.0)</f>
        <v>2</v>
      </c>
      <c r="BF458" s="6">
        <f>IFERROR(__xludf.DUMMYFUNCTION("""COMPUTED_VALUE"""),1.0)</f>
        <v>1</v>
      </c>
      <c r="BG458" s="1">
        <f>IFERROR(__xludf.DUMMYFUNCTION("""COMPUTED_VALUE"""),1.0)</f>
        <v>1</v>
      </c>
      <c r="BH458" s="1" t="str">
        <f>IFERROR(__xludf.DUMMYFUNCTION("""COMPUTED_VALUE"""),"0")</f>
        <v>0</v>
      </c>
      <c r="BI458" s="4">
        <f>IFERROR(__xludf.DUMMYFUNCTION("""COMPUTED_VALUE"""),750.0)</f>
        <v>750</v>
      </c>
      <c r="BJ458" s="1">
        <f>IFERROR(__xludf.DUMMYFUNCTION("""COMPUTED_VALUE"""),0.0)</f>
        <v>0</v>
      </c>
      <c r="BK458" s="4">
        <f>IFERROR(__xludf.DUMMYFUNCTION("""COMPUTED_VALUE"""),750.0)</f>
        <v>750</v>
      </c>
      <c r="BL458" s="1">
        <f>IFERROR(__xludf.DUMMYFUNCTION("""COMPUTED_VALUE"""),1100.0)</f>
        <v>1100</v>
      </c>
      <c r="BM458" s="1">
        <f>IFERROR(__xludf.DUMMYFUNCTION("""COMPUTED_VALUE"""),6.0)</f>
        <v>6</v>
      </c>
      <c r="BN458" s="2">
        <f>IFERROR(__xludf.DUMMYFUNCTION("""COMPUTED_VALUE"""),45691.0)</f>
        <v>45691</v>
      </c>
      <c r="BO458" s="1">
        <f>IFERROR(__xludf.DUMMYFUNCTION("""COMPUTED_VALUE"""),2.0)</f>
        <v>2</v>
      </c>
      <c r="BP458" s="1">
        <f>IFERROR(__xludf.DUMMYFUNCTION("""COMPUTED_VALUE"""),2025.0)</f>
        <v>2025</v>
      </c>
    </row>
    <row r="459">
      <c r="A459" s="1">
        <f>IFERROR(__xludf.DUMMYFUNCTION("""COMPUTED_VALUE"""),458.0)</f>
        <v>458</v>
      </c>
      <c r="B459" s="1">
        <f>IFERROR(__xludf.DUMMYFUNCTION("""COMPUTED_VALUE"""),3383452.0)</f>
        <v>3383452</v>
      </c>
      <c r="C459" s="1" t="str">
        <f>IFERROR(__xludf.DUMMYFUNCTION("""COMPUTED_VALUE"""),"2025-1")</f>
        <v>2025-1</v>
      </c>
      <c r="D459" s="1" t="str">
        <f>IFERROR(__xludf.DUMMYFUNCTION("""COMPUTED_VALUE"""),"Admisión Extraordinaria (Traslados)")</f>
        <v>Admisión Extraordinaria (Traslados)</v>
      </c>
      <c r="E459" s="2">
        <f>IFERROR(__xludf.DUMMYFUNCTION("""COMPUTED_VALUE"""),45694.0)</f>
        <v>45694</v>
      </c>
      <c r="F459" s="1" t="str">
        <f>IFERROR(__xludf.DUMMYFUNCTION("""COMPUTED_VALUE"""),"RENZO ALBERTO")</f>
        <v>RENZO ALBERTO</v>
      </c>
      <c r="G459" s="1" t="str">
        <f>IFERROR(__xludf.DUMMYFUNCTION("""COMPUTED_VALUE"""),"QUISPE CHAVEZ")</f>
        <v>QUISPE CHAVEZ</v>
      </c>
      <c r="H459" s="1" t="str">
        <f>IFERROR(__xludf.DUMMYFUNCTION("""COMPUTED_VALUE"""),"Administración")</f>
        <v>Administración</v>
      </c>
      <c r="I459" s="1" t="str">
        <f>IFERROR(__xludf.DUMMYFUNCTION("""COMPUTED_VALUE"""),"Pago Link")</f>
        <v>Pago Link</v>
      </c>
      <c r="J459" s="1" t="str">
        <f>IFERROR(__xludf.DUMMYFUNCTION("""COMPUTED_VALUE"""),"Nocturno - A distancia")</f>
        <v>Nocturno - A distancia</v>
      </c>
      <c r="K459" s="1" t="str">
        <f>IFERROR(__xludf.DUMMYFUNCTION("""COMPUTED_VALUE"""),"TRASLADO")</f>
        <v>TRASLADO</v>
      </c>
      <c r="L459" s="1">
        <f>IFERROR(__xludf.DUMMYFUNCTION("""COMPUTED_VALUE"""),1.0)</f>
        <v>1</v>
      </c>
      <c r="M459" s="1">
        <f>IFERROR(__xludf.DUMMYFUNCTION("""COMPUTED_VALUE"""),0.0)</f>
        <v>0</v>
      </c>
      <c r="N459" s="1" t="str">
        <f>IFERROR(__xludf.DUMMYFUNCTION("""COMPUTED_VALUE"""),"ESCALA DISTANCIA")</f>
        <v>ESCALA DISTANCIA</v>
      </c>
      <c r="O459" s="1" t="str">
        <f>IFERROR(__xludf.DUMMYFUNCTION("""COMPUTED_VALUE"""),"ESCALA DISTANCIA TRASLADO")</f>
        <v>ESCALA DISTANCIA TRASLADO</v>
      </c>
      <c r="P459" s="4">
        <f>IFERROR(__xludf.DUMMYFUNCTION("""COMPUTED_VALUE"""),0.0)</f>
        <v>0</v>
      </c>
      <c r="Q459" s="4">
        <f>IFERROR(__xludf.DUMMYFUNCTION("""COMPUTED_VALUE"""),0.0)</f>
        <v>0</v>
      </c>
      <c r="R459" s="4">
        <f>IFERROR(__xludf.DUMMYFUNCTION("""COMPUTED_VALUE"""),950.0)</f>
        <v>950</v>
      </c>
      <c r="S459" s="4">
        <f>IFERROR(__xludf.DUMMYFUNCTION("""COMPUTED_VALUE"""),600.0)</f>
        <v>600</v>
      </c>
      <c r="T459" s="1" t="str">
        <f>IFERROR(__xludf.DUMMYFUNCTION("""COMPUTED_VALUE"""),"NINGUNO")</f>
        <v>NINGUNO</v>
      </c>
      <c r="U459" s="1" t="str">
        <f>IFERROR(__xludf.DUMMYFUNCTION("""COMPUTED_VALUE"""),"RODRIGO")</f>
        <v>RODRIGO</v>
      </c>
      <c r="V459" s="1" t="str">
        <f>IFERROR(__xludf.DUMMYFUNCTION("""COMPUTED_VALUE"""),"Ninguno")</f>
        <v>Ninguno</v>
      </c>
      <c r="W459" s="1" t="str">
        <f>IFERROR(__xludf.DUMMYFUNCTION("""COMPUTED_VALUE"""),"Prestigio de la institución")</f>
        <v>Prestigio de la institución</v>
      </c>
      <c r="X459" s="1" t="str">
        <f>IFERROR(__xludf.DUMMYFUNCTION("""COMPUTED_VALUE"""),"0")</f>
        <v>0</v>
      </c>
      <c r="Y459" s="1" t="str">
        <f>IFERROR(__xludf.DUMMYFUNCTION("""COMPUTED_VALUE"""),"PAGO COMPLETO")</f>
        <v>PAGO COMPLETO</v>
      </c>
      <c r="Z459" s="1"/>
      <c r="AA459" s="1"/>
      <c r="AB459" s="1">
        <f>IFERROR(__xludf.DUMMYFUNCTION("""COMPUTED_VALUE"""),1.0)</f>
        <v>1</v>
      </c>
      <c r="AC459" s="1">
        <f>IFERROR(__xludf.DUMMYFUNCTION("""COMPUTED_VALUE"""),0.0)</f>
        <v>0</v>
      </c>
      <c r="AD459" s="1" t="str">
        <f>IFERROR(__xludf.DUMMYFUNCTION("""COMPUTED_VALUE"""),"Andrea Araujo Antara")</f>
        <v>Andrea Araujo Antara</v>
      </c>
      <c r="AE459" s="1" t="str">
        <f>IFERROR(__xludf.DUMMYFUNCTION("""COMPUTED_VALUE"""),"IFB")</f>
        <v>IFB</v>
      </c>
      <c r="AF459" s="1">
        <f>IFERROR(__xludf.DUMMYFUNCTION("""COMPUTED_VALUE"""),0.0)</f>
        <v>0</v>
      </c>
      <c r="AG459" s="1">
        <f>IFERROR(__xludf.DUMMYFUNCTION("""COMPUTED_VALUE"""),764928.0)</f>
        <v>764928</v>
      </c>
      <c r="AH459" s="1">
        <f>IFERROR(__xludf.DUMMYFUNCTION("""COMPUTED_VALUE"""),30.0)</f>
        <v>30</v>
      </c>
      <c r="AI459" s="1" t="str">
        <f>IFERROR(__xludf.DUMMYFUNCTION("""COMPUTED_VALUE"""),"0000383427")</f>
        <v>0000383427</v>
      </c>
      <c r="AJ459" s="1">
        <f>IFERROR(__xludf.DUMMYFUNCTION("""COMPUTED_VALUE"""),7.0447782E7)</f>
        <v>70447782</v>
      </c>
      <c r="AK459" s="1">
        <f>IFERROR(__xludf.DUMMYFUNCTION("""COMPUTED_VALUE"""),9.2685302E8)</f>
        <v>926853020</v>
      </c>
      <c r="AL459" s="1" t="str">
        <f>IFERROR(__xludf.DUMMYFUNCTION("""COMPUTED_VALUE"""),"Renzoqch@gmail.com")</f>
        <v>Renzoqch@gmail.com</v>
      </c>
      <c r="AM459" s="1" t="str">
        <f>IFERROR(__xludf.DUMMYFUNCTION("""COMPUTED_VALUE"""),"MASCULINO")</f>
        <v>MASCULINO</v>
      </c>
      <c r="AN459" s="1">
        <f>IFERROR(__xludf.DUMMYFUNCTION("""COMPUTED_VALUE"""),1350.0)</f>
        <v>1350</v>
      </c>
      <c r="AO459" s="1">
        <f>IFERROR(__xludf.DUMMYFUNCTION("""COMPUTED_VALUE"""),0.0)</f>
        <v>0</v>
      </c>
      <c r="AP459" s="1" t="str">
        <f>IFERROR(__xludf.DUMMYFUNCTION("""COMPUTED_VALUE"""),"OUTBOUND")</f>
        <v>OUTBOUND</v>
      </c>
      <c r="AQ459" s="1" t="str">
        <f>IFERROR(__xludf.DUMMYFUNCTION("""COMPUTED_VALUE"""),"OUTBOUND")</f>
        <v>OUTBOUND</v>
      </c>
      <c r="AR459" s="1" t="str">
        <f>IFERROR(__xludf.DUMMYFUNCTION("""COMPUTED_VALUE"""),"NUEVO")</f>
        <v>NUEVO</v>
      </c>
      <c r="AS459" s="1"/>
      <c r="AT459" s="2">
        <f>IFERROR(__xludf.DUMMYFUNCTION("""COMPUTED_VALUE"""),45668.0)</f>
        <v>45668</v>
      </c>
      <c r="AU459" s="1">
        <f>IFERROR(__xludf.DUMMYFUNCTION("""COMPUTED_VALUE"""),1.0)</f>
        <v>1</v>
      </c>
      <c r="AV459" s="1" t="str">
        <f>IFERROR(__xludf.DUMMYFUNCTION("""COMPUTED_VALUE"""),"TRASLADO")</f>
        <v>TRASLADO</v>
      </c>
      <c r="AW459" s="1" t="str">
        <f>IFERROR(__xludf.DUMMYFUNCTION("""COMPUTED_VALUE"""),"SI")</f>
        <v>SI</v>
      </c>
      <c r="AX459" s="1"/>
      <c r="AY459" s="1" t="str">
        <f>IFERROR(__xludf.DUMMYFUNCTION("""COMPUTED_VALUE"""),"PAGO COMPLETO")</f>
        <v>PAGO COMPLETO</v>
      </c>
      <c r="AZ459" s="5">
        <f>IFERROR(__xludf.DUMMYFUNCTION("""COMPUTED_VALUE"""),45694.0)</f>
        <v>45694</v>
      </c>
      <c r="BA459" s="1">
        <f>IFERROR(__xludf.DUMMYFUNCTION("""COMPUTED_VALUE"""),0.0)</f>
        <v>0</v>
      </c>
      <c r="BB459" s="1">
        <f>IFERROR(__xludf.DUMMYFUNCTION("""COMPUTED_VALUE"""),0.0)</f>
        <v>0</v>
      </c>
      <c r="BC459" s="4">
        <f>IFERROR(__xludf.DUMMYFUNCTION("""COMPUTED_VALUE"""),0.0)</f>
        <v>0</v>
      </c>
      <c r="BD459" s="4">
        <f>IFERROR(__xludf.DUMMYFUNCTION("""COMPUTED_VALUE"""),0.0)</f>
        <v>0</v>
      </c>
      <c r="BE459" s="1">
        <f>IFERROR(__xludf.DUMMYFUNCTION("""COMPUTED_VALUE"""),2.0)</f>
        <v>2</v>
      </c>
      <c r="BF459" s="6">
        <f>IFERROR(__xludf.DUMMYFUNCTION("""COMPUTED_VALUE"""),1.0)</f>
        <v>1</v>
      </c>
      <c r="BG459" s="1">
        <f>IFERROR(__xludf.DUMMYFUNCTION("""COMPUTED_VALUE"""),1.0)</f>
        <v>1</v>
      </c>
      <c r="BH459" s="1" t="str">
        <f>IFERROR(__xludf.DUMMYFUNCTION("""COMPUTED_VALUE"""),"0")</f>
        <v>0</v>
      </c>
      <c r="BI459" s="4">
        <f>IFERROR(__xludf.DUMMYFUNCTION("""COMPUTED_VALUE"""),0.0)</f>
        <v>0</v>
      </c>
      <c r="BJ459" s="1">
        <f>IFERROR(__xludf.DUMMYFUNCTION("""COMPUTED_VALUE"""),0.0)</f>
        <v>0</v>
      </c>
      <c r="BK459" s="4">
        <f>IFERROR(__xludf.DUMMYFUNCTION("""COMPUTED_VALUE"""),0.0)</f>
        <v>0</v>
      </c>
      <c r="BL459" s="1">
        <f>IFERROR(__xludf.DUMMYFUNCTION("""COMPUTED_VALUE"""),600.0)</f>
        <v>600</v>
      </c>
      <c r="BM459" s="1">
        <f>IFERROR(__xludf.DUMMYFUNCTION("""COMPUTED_VALUE"""),6.0)</f>
        <v>6</v>
      </c>
      <c r="BN459" s="2">
        <f>IFERROR(__xludf.DUMMYFUNCTION("""COMPUTED_VALUE"""),45691.0)</f>
        <v>45691</v>
      </c>
      <c r="BO459" s="1">
        <f>IFERROR(__xludf.DUMMYFUNCTION("""COMPUTED_VALUE"""),2.0)</f>
        <v>2</v>
      </c>
      <c r="BP459" s="1">
        <f>IFERROR(__xludf.DUMMYFUNCTION("""COMPUTED_VALUE"""),2025.0)</f>
        <v>2025</v>
      </c>
    </row>
    <row r="460">
      <c r="A460" s="1">
        <f>IFERROR(__xludf.DUMMYFUNCTION("""COMPUTED_VALUE"""),459.0)</f>
        <v>459</v>
      </c>
      <c r="B460" s="1">
        <f>IFERROR(__xludf.DUMMYFUNCTION("""COMPUTED_VALUE"""),5003745.0)</f>
        <v>5003745</v>
      </c>
      <c r="C460" s="1" t="str">
        <f>IFERROR(__xludf.DUMMYFUNCTION("""COMPUTED_VALUE"""),"2025-1")</f>
        <v>2025-1</v>
      </c>
      <c r="D460" s="1" t="str">
        <f>IFERROR(__xludf.DUMMYFUNCTION("""COMPUTED_VALUE"""),"Admisión de Alto Rendimiento")</f>
        <v>Admisión de Alto Rendimiento</v>
      </c>
      <c r="E460" s="2">
        <f>IFERROR(__xludf.DUMMYFUNCTION("""COMPUTED_VALUE"""),45694.0)</f>
        <v>45694</v>
      </c>
      <c r="F460" s="1" t="str">
        <f>IFERROR(__xludf.DUMMYFUNCTION("""COMPUTED_VALUE"""),"ROSA MILAGROS")</f>
        <v>ROSA MILAGROS</v>
      </c>
      <c r="G460" s="1" t="str">
        <f>IFERROR(__xludf.DUMMYFUNCTION("""COMPUTED_VALUE"""),"VASQUEZ SAJAMI")</f>
        <v>VASQUEZ SAJAMI</v>
      </c>
      <c r="H460" s="1" t="str">
        <f>IFERROR(__xludf.DUMMYFUNCTION("""COMPUTED_VALUE"""),"Arquitectura de Interiores")</f>
        <v>Arquitectura de Interiores</v>
      </c>
      <c r="I460" s="1" t="str">
        <f>IFERROR(__xludf.DUMMYFUNCTION("""COMPUTED_VALUE"""),"CARGO")</f>
        <v>CARGO</v>
      </c>
      <c r="J460" s="1" t="str">
        <f>IFERROR(__xludf.DUMMYFUNCTION("""COMPUTED_VALUE"""),"Diurno")</f>
        <v>Diurno</v>
      </c>
      <c r="K460" s="1" t="str">
        <f>IFERROR(__xludf.DUMMYFUNCTION("""COMPUTED_VALUE"""),"NUEVO")</f>
        <v>NUEVO</v>
      </c>
      <c r="L460" s="1">
        <f>IFERROR(__xludf.DUMMYFUNCTION("""COMPUTED_VALUE"""),0.0)</f>
        <v>0</v>
      </c>
      <c r="M460" s="1">
        <f>IFERROR(__xludf.DUMMYFUNCTION("""COMPUTED_VALUE"""),0.0)</f>
        <v>0</v>
      </c>
      <c r="N460" s="1" t="str">
        <f>IFERROR(__xludf.DUMMYFUNCTION("""COMPUTED_VALUE"""),"BECA")</f>
        <v>BECA</v>
      </c>
      <c r="O460" s="1" t="str">
        <f>IFERROR(__xludf.DUMMYFUNCTION("""COMPUTED_VALUE"""),"BECA CONGELADA DE 2 AÑOS")</f>
        <v>BECA CONGELADA DE 2 AÑOS</v>
      </c>
      <c r="P460" s="4">
        <f>IFERROR(__xludf.DUMMYFUNCTION("""COMPUTED_VALUE"""),0.0)</f>
        <v>0</v>
      </c>
      <c r="Q460" s="4">
        <f>IFERROR(__xludf.DUMMYFUNCTION("""COMPUTED_VALUE"""),0.0)</f>
        <v>0</v>
      </c>
      <c r="R460" s="4">
        <f>IFERROR(__xludf.DUMMYFUNCTION("""COMPUTED_VALUE"""),1150.0)</f>
        <v>1150</v>
      </c>
      <c r="S460" s="4">
        <f>IFERROR(__xludf.DUMMYFUNCTION("""COMPUTED_VALUE"""),950.0)</f>
        <v>950</v>
      </c>
      <c r="T460" s="1" t="str">
        <f>IFERROR(__xludf.DUMMYFUNCTION("""COMPUTED_VALUE"""),"PALANCA 500")</f>
        <v>PALANCA 500</v>
      </c>
      <c r="U460" s="1" t="str">
        <f>IFERROR(__xludf.DUMMYFUNCTION("""COMPUTED_VALUE"""),"RODRIGO")</f>
        <v>RODRIGO</v>
      </c>
      <c r="V460" s="1" t="str">
        <f>IFERROR(__xludf.DUMMYFUNCTION("""COMPUTED_VALUE"""),"Ninguno")</f>
        <v>Ninguno</v>
      </c>
      <c r="W460" s="1" t="str">
        <f>IFERROR(__xludf.DUMMYFUNCTION("""COMPUTED_VALUE"""),"Beca")</f>
        <v>Beca</v>
      </c>
      <c r="X460" s="1"/>
      <c r="Y460" s="1" t="str">
        <f>IFERROR(__xludf.DUMMYFUNCTION("""COMPUTED_VALUE"""),"PAGO COMPLETO")</f>
        <v>PAGO COMPLETO</v>
      </c>
      <c r="Z460" s="1"/>
      <c r="AA460" s="1"/>
      <c r="AB460" s="1">
        <f>IFERROR(__xludf.DUMMYFUNCTION("""COMPUTED_VALUE"""),0.0)</f>
        <v>0</v>
      </c>
      <c r="AC460" s="1">
        <f>IFERROR(__xludf.DUMMYFUNCTION("""COMPUTED_VALUE"""),0.0)</f>
        <v>0</v>
      </c>
      <c r="AD460" s="1" t="str">
        <f>IFERROR(__xludf.DUMMYFUNCTION("""COMPUTED_VALUE"""),"Erwyn Terie Vital Avila")</f>
        <v>Erwyn Terie Vital Avila</v>
      </c>
      <c r="AE460" s="1" t="str">
        <f>IFERROR(__xludf.DUMMYFUNCTION("""COMPUTED_VALUE"""),"0")</f>
        <v>0</v>
      </c>
      <c r="AF460" s="1">
        <f>IFERROR(__xludf.DUMMYFUNCTION("""COMPUTED_VALUE"""),2023.0)</f>
        <v>2023</v>
      </c>
      <c r="AG460" s="1">
        <f>IFERROR(__xludf.DUMMYFUNCTION("""COMPUTED_VALUE"""),1242908.0)</f>
        <v>1242908</v>
      </c>
      <c r="AH460" s="1">
        <f>IFERROR(__xludf.DUMMYFUNCTION("""COMPUTED_VALUE"""),19.0)</f>
        <v>19</v>
      </c>
      <c r="AI460" s="1" t="str">
        <f>IFERROR(__xludf.DUMMYFUNCTION("""COMPUTED_VALUE"""),"0000413415")</f>
        <v>0000413415</v>
      </c>
      <c r="AJ460" s="1">
        <f>IFERROR(__xludf.DUMMYFUNCTION("""COMPUTED_VALUE"""),6.1689817E7)</f>
        <v>61689817</v>
      </c>
      <c r="AK460" s="1">
        <f>IFERROR(__xludf.DUMMYFUNCTION("""COMPUTED_VALUE"""),9.02271948E8)</f>
        <v>902271948</v>
      </c>
      <c r="AL460" s="1" t="str">
        <f>IFERROR(__xludf.DUMMYFUNCTION("""COMPUTED_VALUE"""),"rosi161619@gmail.com")</f>
        <v>rosi161619@gmail.com</v>
      </c>
      <c r="AM460" s="1" t="str">
        <f>IFERROR(__xludf.DUMMYFUNCTION("""COMPUTED_VALUE"""),"FEMENINO")</f>
        <v>FEMENINO</v>
      </c>
      <c r="AN460" s="1">
        <f>IFERROR(__xludf.DUMMYFUNCTION("""COMPUTED_VALUE"""),1350.0)</f>
        <v>1350</v>
      </c>
      <c r="AO460" s="1">
        <f>IFERROR(__xludf.DUMMYFUNCTION("""COMPUTED_VALUE"""),0.0)</f>
        <v>0</v>
      </c>
      <c r="AP460" s="1" t="str">
        <f>IFERROR(__xludf.DUMMYFUNCTION("""COMPUTED_VALUE"""),"FORMULARIO")</f>
        <v>FORMULARIO</v>
      </c>
      <c r="AQ460" s="1" t="str">
        <f>IFERROR(__xludf.DUMMYFUNCTION("""COMPUTED_VALUE"""),"SEARCH MARCA")</f>
        <v>SEARCH MARCA</v>
      </c>
      <c r="AR460" s="1" t="str">
        <f>IFERROR(__xludf.DUMMYFUNCTION("""COMPUTED_VALUE"""),"NUEVO")</f>
        <v>NUEVO</v>
      </c>
      <c r="AS460" s="1" t="str">
        <f>IFERROR(__xludf.DUMMYFUNCTION("""COMPUTED_VALUE"""),"ucal-pg-performance-sedes-abierta-cpl-search_conversion_marca-20240401")</f>
        <v>ucal-pg-performance-sedes-abierta-cpl-search_conversion_marca-20240401</v>
      </c>
      <c r="AT460" s="2">
        <f>IFERROR(__xludf.DUMMYFUNCTION("""COMPUTED_VALUE"""),45693.0)</f>
        <v>45693</v>
      </c>
      <c r="AU460" s="1">
        <f>IFERROR(__xludf.DUMMYFUNCTION("""COMPUTED_VALUE"""),1.0)</f>
        <v>1</v>
      </c>
      <c r="AV460" s="1" t="str">
        <f>IFERROR(__xludf.DUMMYFUNCTION("""COMPUTED_VALUE"""),"NUEVO")</f>
        <v>NUEVO</v>
      </c>
      <c r="AW460" s="1" t="str">
        <f>IFERROR(__xludf.DUMMYFUNCTION("""COMPUTED_VALUE"""),"SI")</f>
        <v>SI</v>
      </c>
      <c r="AX460" s="1"/>
      <c r="AY460" s="1" t="str">
        <f>IFERROR(__xludf.DUMMYFUNCTION("""COMPUTED_VALUE"""),"PAGO COMPLETO")</f>
        <v>PAGO COMPLETO</v>
      </c>
      <c r="AZ460" s="5">
        <f>IFERROR(__xludf.DUMMYFUNCTION("""COMPUTED_VALUE"""),45694.0)</f>
        <v>45694</v>
      </c>
      <c r="BA460" s="1">
        <f>IFERROR(__xludf.DUMMYFUNCTION("""COMPUTED_VALUE"""),0.0)</f>
        <v>0</v>
      </c>
      <c r="BB460" s="1">
        <f>IFERROR(__xludf.DUMMYFUNCTION("""COMPUTED_VALUE"""),0.0)</f>
        <v>0</v>
      </c>
      <c r="BC460" s="4">
        <f>IFERROR(__xludf.DUMMYFUNCTION("""COMPUTED_VALUE"""),0.0)</f>
        <v>0</v>
      </c>
      <c r="BD460" s="4">
        <f>IFERROR(__xludf.DUMMYFUNCTION("""COMPUTED_VALUE"""),450.0)</f>
        <v>450</v>
      </c>
      <c r="BE460" s="1">
        <f>IFERROR(__xludf.DUMMYFUNCTION("""COMPUTED_VALUE"""),2.0)</f>
        <v>2</v>
      </c>
      <c r="BF460" s="6">
        <f>IFERROR(__xludf.DUMMYFUNCTION("""COMPUTED_VALUE"""),1.0)</f>
        <v>1</v>
      </c>
      <c r="BG460" s="1">
        <f>IFERROR(__xludf.DUMMYFUNCTION("""COMPUTED_VALUE"""),1.0)</f>
        <v>1</v>
      </c>
      <c r="BH460" s="1" t="str">
        <f>IFERROR(__xludf.DUMMYFUNCTION("""COMPUTED_VALUE"""),"0")</f>
        <v>0</v>
      </c>
      <c r="BI460" s="4">
        <f>IFERROR(__xludf.DUMMYFUNCTION("""COMPUTED_VALUE"""),450.0)</f>
        <v>450</v>
      </c>
      <c r="BJ460" s="1">
        <f>IFERROR(__xludf.DUMMYFUNCTION("""COMPUTED_VALUE"""),0.0)</f>
        <v>0</v>
      </c>
      <c r="BK460" s="4">
        <f>IFERROR(__xludf.DUMMYFUNCTION("""COMPUTED_VALUE"""),450.0)</f>
        <v>450</v>
      </c>
      <c r="BL460" s="1">
        <f>IFERROR(__xludf.DUMMYFUNCTION("""COMPUTED_VALUE"""),860.0)</f>
        <v>860</v>
      </c>
      <c r="BM460" s="1">
        <f>IFERROR(__xludf.DUMMYFUNCTION("""COMPUTED_VALUE"""),6.0)</f>
        <v>6</v>
      </c>
      <c r="BN460" s="2">
        <f>IFERROR(__xludf.DUMMYFUNCTION("""COMPUTED_VALUE"""),45691.0)</f>
        <v>45691</v>
      </c>
      <c r="BO460" s="1">
        <f>IFERROR(__xludf.DUMMYFUNCTION("""COMPUTED_VALUE"""),2.0)</f>
        <v>2</v>
      </c>
      <c r="BP460" s="1">
        <f>IFERROR(__xludf.DUMMYFUNCTION("""COMPUTED_VALUE"""),2025.0)</f>
        <v>2025</v>
      </c>
    </row>
    <row r="461">
      <c r="A461" s="1">
        <f>IFERROR(__xludf.DUMMYFUNCTION("""COMPUTED_VALUE"""),460.0)</f>
        <v>460</v>
      </c>
      <c r="B461" s="1">
        <f>IFERROR(__xludf.DUMMYFUNCTION("""COMPUTED_VALUE"""),4998061.0)</f>
        <v>4998061</v>
      </c>
      <c r="C461" s="1" t="str">
        <f>IFERROR(__xludf.DUMMYFUNCTION("""COMPUTED_VALUE"""),"2025-1")</f>
        <v>2025-1</v>
      </c>
      <c r="D461" s="1" t="str">
        <f>IFERROR(__xludf.DUMMYFUNCTION("""COMPUTED_VALUE"""),"Admisión Ordinaria")</f>
        <v>Admisión Ordinaria</v>
      </c>
      <c r="E461" s="2">
        <f>IFERROR(__xludf.DUMMYFUNCTION("""COMPUTED_VALUE"""),45694.0)</f>
        <v>45694</v>
      </c>
      <c r="F461" s="1" t="str">
        <f>IFERROR(__xludf.DUMMYFUNCTION("""COMPUTED_VALUE"""),"ODETH ALESSANDRA ")</f>
        <v>ODETH ALESSANDRA </v>
      </c>
      <c r="G461" s="1" t="str">
        <f>IFERROR(__xludf.DUMMYFUNCTION("""COMPUTED_VALUE"""),"ORMEÑO VALDIVIEZO")</f>
        <v>ORMEÑO VALDIVIEZO</v>
      </c>
      <c r="H461" s="1" t="str">
        <f>IFERROR(__xludf.DUMMYFUNCTION("""COMPUTED_VALUE"""),"Arquitectura")</f>
        <v>Arquitectura</v>
      </c>
      <c r="I461" s="1" t="str">
        <f>IFERROR(__xludf.DUMMYFUNCTION("""COMPUTED_VALUE"""),"CARGO")</f>
        <v>CARGO</v>
      </c>
      <c r="J461" s="1" t="str">
        <f>IFERROR(__xludf.DUMMYFUNCTION("""COMPUTED_VALUE"""),"Diurno")</f>
        <v>Diurno</v>
      </c>
      <c r="K461" s="1" t="str">
        <f>IFERROR(__xludf.DUMMYFUNCTION("""COMPUTED_VALUE"""),"NUEVO")</f>
        <v>NUEVO</v>
      </c>
      <c r="L461" s="1">
        <f>IFERROR(__xludf.DUMMYFUNCTION("""COMPUTED_VALUE"""),0.0)</f>
        <v>0</v>
      </c>
      <c r="M461" s="1">
        <f>IFERROR(__xludf.DUMMYFUNCTION("""COMPUTED_VALUE"""),0.0)</f>
        <v>0</v>
      </c>
      <c r="N461" s="1" t="str">
        <f>IFERROR(__xludf.DUMMYFUNCTION("""COMPUTED_VALUE"""),"BECA")</f>
        <v>BECA</v>
      </c>
      <c r="O461" s="1" t="str">
        <f>IFERROR(__xludf.DUMMYFUNCTION("""COMPUTED_VALUE"""),"BECA CONGELADA DE 2 AÑOS")</f>
        <v>BECA CONGELADA DE 2 AÑOS</v>
      </c>
      <c r="P461" s="4">
        <f>IFERROR(__xludf.DUMMYFUNCTION("""COMPUTED_VALUE"""),0.0)</f>
        <v>0</v>
      </c>
      <c r="Q461" s="4">
        <f>IFERROR(__xludf.DUMMYFUNCTION("""COMPUTED_VALUE"""),0.0)</f>
        <v>0</v>
      </c>
      <c r="R461" s="4">
        <f>IFERROR(__xludf.DUMMYFUNCTION("""COMPUTED_VALUE"""),1300.0)</f>
        <v>1300</v>
      </c>
      <c r="S461" s="4">
        <f>IFERROR(__xludf.DUMMYFUNCTION("""COMPUTED_VALUE"""),1100.0)</f>
        <v>1100</v>
      </c>
      <c r="T461" s="1" t="str">
        <f>IFERROR(__xludf.DUMMYFUNCTION("""COMPUTED_VALUE"""),"PALANCA 500")</f>
        <v>PALANCA 500</v>
      </c>
      <c r="U461" s="1"/>
      <c r="V461" s="1" t="str">
        <f>IFERROR(__xludf.DUMMYFUNCTION("""COMPUTED_VALUE"""),"Ninguno")</f>
        <v>Ninguno</v>
      </c>
      <c r="W461" s="1" t="str">
        <f>IFERROR(__xludf.DUMMYFUNCTION("""COMPUTED_VALUE"""),"Beca")</f>
        <v>Beca</v>
      </c>
      <c r="X461" s="1" t="str">
        <f>IFERROR(__xludf.DUMMYFUNCTION("""COMPUTED_VALUE"""),"se coordino excepción con Fabiola")</f>
        <v>se coordino excepción con Fabiola</v>
      </c>
      <c r="Y461" s="1" t="str">
        <f>IFERROR(__xludf.DUMMYFUNCTION("""COMPUTED_VALUE"""),"PAGO COMPLETO")</f>
        <v>PAGO COMPLETO</v>
      </c>
      <c r="Z461" s="1"/>
      <c r="AA461" s="1"/>
      <c r="AB461" s="1">
        <f>IFERROR(__xludf.DUMMYFUNCTION("""COMPUTED_VALUE"""),0.0)</f>
        <v>0</v>
      </c>
      <c r="AC461" s="1">
        <f>IFERROR(__xludf.DUMMYFUNCTION("""COMPUTED_VALUE"""),0.0)</f>
        <v>0</v>
      </c>
      <c r="AD461" s="1" t="str">
        <f>IFERROR(__xludf.DUMMYFUNCTION("""COMPUTED_VALUE"""),"Erwyn Terie Vital Avila")</f>
        <v>Erwyn Terie Vital Avila</v>
      </c>
      <c r="AE461" s="1" t="str">
        <f>IFERROR(__xludf.DUMMYFUNCTION("""COMPUTED_VALUE"""),"0")</f>
        <v>0</v>
      </c>
      <c r="AF461" s="1">
        <f>IFERROR(__xludf.DUMMYFUNCTION("""COMPUTED_VALUE"""),2019.0)</f>
        <v>2019</v>
      </c>
      <c r="AG461" s="1">
        <f>IFERROR(__xludf.DUMMYFUNCTION("""COMPUTED_VALUE"""),1243955.0)</f>
        <v>1243955</v>
      </c>
      <c r="AH461" s="1">
        <f>IFERROR(__xludf.DUMMYFUNCTION("""COMPUTED_VALUE"""),22.0)</f>
        <v>22</v>
      </c>
      <c r="AI461" s="1" t="str">
        <f>IFERROR(__xludf.DUMMYFUNCTION("""COMPUTED_VALUE"""),"0000033693")</f>
        <v>0000033693</v>
      </c>
      <c r="AJ461" s="1">
        <f>IFERROR(__xludf.DUMMYFUNCTION("""COMPUTED_VALUE"""),7.6566907E7)</f>
        <v>76566907</v>
      </c>
      <c r="AK461" s="1">
        <f>IFERROR(__xludf.DUMMYFUNCTION("""COMPUTED_VALUE"""),9.34622017E8)</f>
        <v>934622017</v>
      </c>
      <c r="AL461" s="1" t="str">
        <f>IFERROR(__xludf.DUMMYFUNCTION("""COMPUTED_VALUE"""),"odethvaldiviezo03@outlook.com")</f>
        <v>odethvaldiviezo03@outlook.com</v>
      </c>
      <c r="AM461" s="1" t="str">
        <f>IFERROR(__xludf.DUMMYFUNCTION("""COMPUTED_VALUE"""),"FEMENINO")</f>
        <v>FEMENINO</v>
      </c>
      <c r="AN461" s="1">
        <f>IFERROR(__xludf.DUMMYFUNCTION("""COMPUTED_VALUE"""),1850.0)</f>
        <v>1850</v>
      </c>
      <c r="AO461" s="1">
        <f>IFERROR(__xludf.DUMMYFUNCTION("""COMPUTED_VALUE"""),640.0)</f>
        <v>640</v>
      </c>
      <c r="AP461" s="1" t="str">
        <f>IFERROR(__xludf.DUMMYFUNCTION("""COMPUTED_VALUE"""),"FORMULARIO")</f>
        <v>FORMULARIO</v>
      </c>
      <c r="AQ461" s="1" t="str">
        <f>IFERROR(__xludf.DUMMYFUNCTION("""COMPUTED_VALUE"""),"SEARCH MARCA")</f>
        <v>SEARCH MARCA</v>
      </c>
      <c r="AR461" s="1" t="str">
        <f>IFERROR(__xludf.DUMMYFUNCTION("""COMPUTED_VALUE"""),"NUEVO")</f>
        <v>NUEVO</v>
      </c>
      <c r="AS461" s="1" t="str">
        <f>IFERROR(__xludf.DUMMYFUNCTION("""COMPUTED_VALUE"""),"ucal-pg-performance-sedes-abierta-cpl-extensiones_traslados_marca-20240401")</f>
        <v>ucal-pg-performance-sedes-abierta-cpl-extensiones_traslados_marca-20240401</v>
      </c>
      <c r="AT461" s="2">
        <f>IFERROR(__xludf.DUMMYFUNCTION("""COMPUTED_VALUE"""),45692.0)</f>
        <v>45692</v>
      </c>
      <c r="AU461" s="1">
        <f>IFERROR(__xludf.DUMMYFUNCTION("""COMPUTED_VALUE"""),1.0)</f>
        <v>1</v>
      </c>
      <c r="AV461" s="1" t="str">
        <f>IFERROR(__xludf.DUMMYFUNCTION("""COMPUTED_VALUE"""),"NUEVO")</f>
        <v>NUEVO</v>
      </c>
      <c r="AW461" s="1" t="str">
        <f>IFERROR(__xludf.DUMMYFUNCTION("""COMPUTED_VALUE"""),"SI")</f>
        <v>SI</v>
      </c>
      <c r="AX461" s="1"/>
      <c r="AY461" s="1" t="str">
        <f>IFERROR(__xludf.DUMMYFUNCTION("""COMPUTED_VALUE"""),"PAGO COMPLETO")</f>
        <v>PAGO COMPLETO</v>
      </c>
      <c r="AZ461" s="5">
        <f>IFERROR(__xludf.DUMMYFUNCTION("""COMPUTED_VALUE"""),45694.0)</f>
        <v>45694</v>
      </c>
      <c r="BA461" s="1">
        <f>IFERROR(__xludf.DUMMYFUNCTION("""COMPUTED_VALUE"""),0.0)</f>
        <v>0</v>
      </c>
      <c r="BB461" s="1">
        <f>IFERROR(__xludf.DUMMYFUNCTION("""COMPUTED_VALUE"""),0.0)</f>
        <v>0</v>
      </c>
      <c r="BC461" s="4">
        <f>IFERROR(__xludf.DUMMYFUNCTION("""COMPUTED_VALUE"""),0.0)</f>
        <v>0</v>
      </c>
      <c r="BD461" s="4">
        <f>IFERROR(__xludf.DUMMYFUNCTION("""COMPUTED_VALUE"""),600.0)</f>
        <v>600</v>
      </c>
      <c r="BE461" s="1">
        <f>IFERROR(__xludf.DUMMYFUNCTION("""COMPUTED_VALUE"""),2.0)</f>
        <v>2</v>
      </c>
      <c r="BF461" s="6">
        <f>IFERROR(__xludf.DUMMYFUNCTION("""COMPUTED_VALUE"""),1.0)</f>
        <v>1</v>
      </c>
      <c r="BG461" s="1">
        <f>IFERROR(__xludf.DUMMYFUNCTION("""COMPUTED_VALUE"""),1.0)</f>
        <v>1</v>
      </c>
      <c r="BH461" s="1" t="str">
        <f>IFERROR(__xludf.DUMMYFUNCTION("""COMPUTED_VALUE"""),"0")</f>
        <v>0</v>
      </c>
      <c r="BI461" s="4">
        <f>IFERROR(__xludf.DUMMYFUNCTION("""COMPUTED_VALUE"""),600.0)</f>
        <v>600</v>
      </c>
      <c r="BJ461" s="1">
        <f>IFERROR(__xludf.DUMMYFUNCTION("""COMPUTED_VALUE"""),0.0)</f>
        <v>0</v>
      </c>
      <c r="BK461" s="4">
        <f>IFERROR(__xludf.DUMMYFUNCTION("""COMPUTED_VALUE"""),600.0)</f>
        <v>600</v>
      </c>
      <c r="BL461" s="1">
        <f>IFERROR(__xludf.DUMMYFUNCTION("""COMPUTED_VALUE"""),980.0)</f>
        <v>980</v>
      </c>
      <c r="BM461" s="1">
        <f>IFERROR(__xludf.DUMMYFUNCTION("""COMPUTED_VALUE"""),6.0)</f>
        <v>6</v>
      </c>
      <c r="BN461" s="2">
        <f>IFERROR(__xludf.DUMMYFUNCTION("""COMPUTED_VALUE"""),45691.0)</f>
        <v>45691</v>
      </c>
      <c r="BO461" s="1">
        <f>IFERROR(__xludf.DUMMYFUNCTION("""COMPUTED_VALUE"""),2.0)</f>
        <v>2</v>
      </c>
      <c r="BP461" s="1">
        <f>IFERROR(__xludf.DUMMYFUNCTION("""COMPUTED_VALUE"""),2025.0)</f>
        <v>2025</v>
      </c>
    </row>
    <row r="462">
      <c r="A462" s="1">
        <f>IFERROR(__xludf.DUMMYFUNCTION("""COMPUTED_VALUE"""),461.0)</f>
        <v>461</v>
      </c>
      <c r="B462" s="1">
        <f>IFERROR(__xludf.DUMMYFUNCTION("""COMPUTED_VALUE"""),4991635.0)</f>
        <v>4991635</v>
      </c>
      <c r="C462" s="1" t="str">
        <f>IFERROR(__xludf.DUMMYFUNCTION("""COMPUTED_VALUE"""),"2025-1")</f>
        <v>2025-1</v>
      </c>
      <c r="D462" s="1" t="str">
        <f>IFERROR(__xludf.DUMMYFUNCTION("""COMPUTED_VALUE"""),"Admisión Ordinaria")</f>
        <v>Admisión Ordinaria</v>
      </c>
      <c r="E462" s="2">
        <f>IFERROR(__xludf.DUMMYFUNCTION("""COMPUTED_VALUE"""),45694.0)</f>
        <v>45694</v>
      </c>
      <c r="F462" s="1" t="str">
        <f>IFERROR(__xludf.DUMMYFUNCTION("""COMPUTED_VALUE"""),"PERCY JEAN PAUL ")</f>
        <v>PERCY JEAN PAUL </v>
      </c>
      <c r="G462" s="1" t="str">
        <f>IFERROR(__xludf.DUMMYFUNCTION("""COMPUTED_VALUE"""),"VILCHEZ SALIS")</f>
        <v>VILCHEZ SALIS</v>
      </c>
      <c r="H462" s="1" t="str">
        <f>IFERROR(__xludf.DUMMYFUNCTION("""COMPUTED_VALUE"""),"Comunicación Audiovisual y Cine")</f>
        <v>Comunicación Audiovisual y Cine</v>
      </c>
      <c r="I462" s="1" t="str">
        <f>IFERROR(__xludf.DUMMYFUNCTION("""COMPUTED_VALUE"""),"Pago Link")</f>
        <v>Pago Link</v>
      </c>
      <c r="J462" s="1" t="str">
        <f>IFERROR(__xludf.DUMMYFUNCTION("""COMPUTED_VALUE"""),"Diurno")</f>
        <v>Diurno</v>
      </c>
      <c r="K462" s="1" t="str">
        <f>IFERROR(__xludf.DUMMYFUNCTION("""COMPUTED_VALUE"""),"NUEVO")</f>
        <v>NUEVO</v>
      </c>
      <c r="L462" s="1">
        <f>IFERROR(__xludf.DUMMYFUNCTION("""COMPUTED_VALUE"""),0.0)</f>
        <v>0</v>
      </c>
      <c r="M462" s="1">
        <f>IFERROR(__xludf.DUMMYFUNCTION("""COMPUTED_VALUE"""),0.0)</f>
        <v>0</v>
      </c>
      <c r="N462" s="1" t="str">
        <f>IFERROR(__xludf.DUMMYFUNCTION("""COMPUTED_VALUE"""),"BECA")</f>
        <v>BECA</v>
      </c>
      <c r="O462" s="1" t="str">
        <f>IFERROR(__xludf.DUMMYFUNCTION("""COMPUTED_VALUE"""),"BECA CONGELADA DE 2 AÑOS")</f>
        <v>BECA CONGELADA DE 2 AÑOS</v>
      </c>
      <c r="P462" s="4">
        <f>IFERROR(__xludf.DUMMYFUNCTION("""COMPUTED_VALUE"""),0.0)</f>
        <v>0</v>
      </c>
      <c r="Q462" s="4">
        <f>IFERROR(__xludf.DUMMYFUNCTION("""COMPUTED_VALUE"""),0.0)</f>
        <v>0</v>
      </c>
      <c r="R462" s="4">
        <f>IFERROR(__xludf.DUMMYFUNCTION("""COMPUTED_VALUE"""),950.0)</f>
        <v>950</v>
      </c>
      <c r="S462" s="4">
        <f>IFERROR(__xludf.DUMMYFUNCTION("""COMPUTED_VALUE"""),800.0)</f>
        <v>800</v>
      </c>
      <c r="T462" s="1" t="str">
        <f>IFERROR(__xludf.DUMMYFUNCTION("""COMPUTED_VALUE"""),"NINGUNO")</f>
        <v>NINGUNO</v>
      </c>
      <c r="U462" s="1" t="str">
        <f>IFERROR(__xludf.DUMMYFUNCTION("""COMPUTED_VALUE"""),"RODRIGO")</f>
        <v>RODRIGO</v>
      </c>
      <c r="V462" s="1" t="str">
        <f>IFERROR(__xludf.DUMMYFUNCTION("""COMPUTED_VALUE"""),"Ninguno")</f>
        <v>Ninguno</v>
      </c>
      <c r="W462" s="1" t="str">
        <f>IFERROR(__xludf.DUMMYFUNCTION("""COMPUTED_VALUE"""),"Metodología de enseñanza")</f>
        <v>Metodología de enseñanza</v>
      </c>
      <c r="X462" s="1"/>
      <c r="Y462" s="1" t="str">
        <f>IFERROR(__xludf.DUMMYFUNCTION("""COMPUTED_VALUE"""),"PAGO FRACCIONADO")</f>
        <v>PAGO FRACCIONADO</v>
      </c>
      <c r="Z462" s="1">
        <f>IFERROR(__xludf.DUMMYFUNCTION("""COMPUTED_VALUE"""),500.0)</f>
        <v>500</v>
      </c>
      <c r="AA462" s="1" t="str">
        <f>IFERROR(__xludf.DUMMYFUNCTION("""COMPUTED_VALUE"""),"28/02/2025")</f>
        <v>28/02/2025</v>
      </c>
      <c r="AB462" s="1">
        <f>IFERROR(__xludf.DUMMYFUNCTION("""COMPUTED_VALUE"""),0.0)</f>
        <v>0</v>
      </c>
      <c r="AC462" s="1">
        <f>IFERROR(__xludf.DUMMYFUNCTION("""COMPUTED_VALUE"""),0.0)</f>
        <v>0</v>
      </c>
      <c r="AD462" s="1" t="str">
        <f>IFERROR(__xludf.DUMMYFUNCTION("""COMPUTED_VALUE"""),"Ingrid Guillermo Rivera")</f>
        <v>Ingrid Guillermo Rivera</v>
      </c>
      <c r="AE462" s="1" t="str">
        <f>IFERROR(__xludf.DUMMYFUNCTION("""COMPUTED_VALUE"""),"0")</f>
        <v>0</v>
      </c>
      <c r="AF462" s="1">
        <f>IFERROR(__xludf.DUMMYFUNCTION("""COMPUTED_VALUE"""),2022.0)</f>
        <v>2022</v>
      </c>
      <c r="AG462" s="1">
        <f>IFERROR(__xludf.DUMMYFUNCTION("""COMPUTED_VALUE"""),605469.0)</f>
        <v>605469</v>
      </c>
      <c r="AH462" s="1">
        <f>IFERROR(__xludf.DUMMYFUNCTION("""COMPUTED_VALUE"""),20.0)</f>
        <v>20</v>
      </c>
      <c r="AI462" s="1" t="str">
        <f>IFERROR(__xludf.DUMMYFUNCTION("""COMPUTED_VALUE"""),"0000413457")</f>
        <v>0000413457</v>
      </c>
      <c r="AJ462" s="1">
        <f>IFERROR(__xludf.DUMMYFUNCTION("""COMPUTED_VALUE"""),7.2809664E7)</f>
        <v>72809664</v>
      </c>
      <c r="AK462" s="1">
        <f>IFERROR(__xludf.DUMMYFUNCTION("""COMPUTED_VALUE"""),9.75984192E8)</f>
        <v>975984192</v>
      </c>
      <c r="AL462" s="1" t="str">
        <f>IFERROR(__xludf.DUMMYFUNCTION("""COMPUTED_VALUE"""),"jeanpaul.vs05@gmail.com")</f>
        <v>jeanpaul.vs05@gmail.com</v>
      </c>
      <c r="AM462" s="1" t="str">
        <f>IFERROR(__xludf.DUMMYFUNCTION("""COMPUTED_VALUE"""),"MASCULINO")</f>
        <v>MASCULINO</v>
      </c>
      <c r="AN462" s="1">
        <f>IFERROR(__xludf.DUMMYFUNCTION("""COMPUTED_VALUE"""),1350.0)</f>
        <v>1350</v>
      </c>
      <c r="AO462" s="1">
        <f>IFERROR(__xludf.DUMMYFUNCTION("""COMPUTED_VALUE"""),0.0)</f>
        <v>0</v>
      </c>
      <c r="AP462" s="1" t="str">
        <f>IFERROR(__xludf.DUMMYFUNCTION("""COMPUTED_VALUE"""),"FORMULARIO")</f>
        <v>FORMULARIO</v>
      </c>
      <c r="AQ462" s="1" t="str">
        <f>IFERROR(__xludf.DUMMYFUNCTION("""COMPUTED_VALUE"""),"SEARCH MARCA")</f>
        <v>SEARCH MARCA</v>
      </c>
      <c r="AR462" s="1" t="str">
        <f>IFERROR(__xludf.DUMMYFUNCTION("""COMPUTED_VALUE"""),"NUEVO")</f>
        <v>NUEVO</v>
      </c>
      <c r="AS462" s="1" t="str">
        <f>IFERROR(__xludf.DUMMYFUNCTION("""COMPUTED_VALUE"""),"ucal-pg-performance-sedes-abierta-cpl-search_conversion_marca-20240401")</f>
        <v>ucal-pg-performance-sedes-abierta-cpl-search_conversion_marca-20240401</v>
      </c>
      <c r="AT462" s="2">
        <f>IFERROR(__xludf.DUMMYFUNCTION("""COMPUTED_VALUE"""),45691.0)</f>
        <v>45691</v>
      </c>
      <c r="AU462" s="1">
        <f>IFERROR(__xludf.DUMMYFUNCTION("""COMPUTED_VALUE"""),1.0)</f>
        <v>1</v>
      </c>
      <c r="AV462" s="1" t="str">
        <f>IFERROR(__xludf.DUMMYFUNCTION("""COMPUTED_VALUE"""),"NUEVO")</f>
        <v>NUEVO</v>
      </c>
      <c r="AW462" s="1" t="str">
        <f>IFERROR(__xludf.DUMMYFUNCTION("""COMPUTED_VALUE"""),"SI")</f>
        <v>SI</v>
      </c>
      <c r="AX462" s="1"/>
      <c r="AY462" s="1" t="str">
        <f>IFERROR(__xludf.DUMMYFUNCTION("""COMPUTED_VALUE"""),"PAGO COMPLETO")</f>
        <v>PAGO COMPLETO</v>
      </c>
      <c r="AZ462" s="5">
        <f>IFERROR(__xludf.DUMMYFUNCTION("""COMPUTED_VALUE"""),45705.0)</f>
        <v>45705</v>
      </c>
      <c r="BA462" s="1">
        <f>IFERROR(__xludf.DUMMYFUNCTION("""COMPUTED_VALUE"""),300.0)</f>
        <v>300</v>
      </c>
      <c r="BB462" s="1">
        <f>IFERROR(__xludf.DUMMYFUNCTION("""COMPUTED_VALUE"""),0.0)</f>
        <v>0</v>
      </c>
      <c r="BC462" s="4">
        <f>IFERROR(__xludf.DUMMYFUNCTION("""COMPUTED_VALUE"""),0.0)</f>
        <v>0</v>
      </c>
      <c r="BD462" s="4">
        <f>IFERROR(__xludf.DUMMYFUNCTION("""COMPUTED_VALUE"""),0.0)</f>
        <v>0</v>
      </c>
      <c r="BE462" s="1">
        <f>IFERROR(__xludf.DUMMYFUNCTION("""COMPUTED_VALUE"""),2.0)</f>
        <v>2</v>
      </c>
      <c r="BF462" s="6">
        <f>IFERROR(__xludf.DUMMYFUNCTION("""COMPUTED_VALUE"""),1.0)</f>
        <v>1</v>
      </c>
      <c r="BG462" s="1">
        <f>IFERROR(__xludf.DUMMYFUNCTION("""COMPUTED_VALUE"""),1.0)</f>
        <v>1</v>
      </c>
      <c r="BH462" s="1" t="str">
        <f>IFERROR(__xludf.DUMMYFUNCTION("""COMPUTED_VALUE"""),"0")</f>
        <v>0</v>
      </c>
      <c r="BI462" s="4">
        <f>IFERROR(__xludf.DUMMYFUNCTION("""COMPUTED_VALUE"""),800.0)</f>
        <v>800</v>
      </c>
      <c r="BJ462" s="1">
        <f>IFERROR(__xludf.DUMMYFUNCTION("""COMPUTED_VALUE"""),0.0)</f>
        <v>0</v>
      </c>
      <c r="BK462" s="4">
        <f>IFERROR(__xludf.DUMMYFUNCTION("""COMPUTED_VALUE"""),0.0)</f>
        <v>0</v>
      </c>
      <c r="BL462" s="1">
        <f>IFERROR(__xludf.DUMMYFUNCTION("""COMPUTED_VALUE"""),800.0)</f>
        <v>800</v>
      </c>
      <c r="BM462" s="1">
        <f>IFERROR(__xludf.DUMMYFUNCTION("""COMPUTED_VALUE"""),6.0)</f>
        <v>6</v>
      </c>
      <c r="BN462" s="2">
        <f>IFERROR(__xludf.DUMMYFUNCTION("""COMPUTED_VALUE"""),45691.0)</f>
        <v>45691</v>
      </c>
      <c r="BO462" s="1">
        <f>IFERROR(__xludf.DUMMYFUNCTION("""COMPUTED_VALUE"""),2.0)</f>
        <v>2</v>
      </c>
      <c r="BP462" s="1">
        <f>IFERROR(__xludf.DUMMYFUNCTION("""COMPUTED_VALUE"""),2025.0)</f>
        <v>2025</v>
      </c>
    </row>
    <row r="463">
      <c r="A463" s="1">
        <f>IFERROR(__xludf.DUMMYFUNCTION("""COMPUTED_VALUE"""),462.0)</f>
        <v>462</v>
      </c>
      <c r="B463" s="1">
        <f>IFERROR(__xludf.DUMMYFUNCTION("""COMPUTED_VALUE"""),2899481.0)</f>
        <v>2899481</v>
      </c>
      <c r="C463" s="1" t="str">
        <f>IFERROR(__xludf.DUMMYFUNCTION("""COMPUTED_VALUE"""),"2025-1")</f>
        <v>2025-1</v>
      </c>
      <c r="D463" s="1" t="str">
        <f>IFERROR(__xludf.DUMMYFUNCTION("""COMPUTED_VALUE"""),"Admisión Ordinaria")</f>
        <v>Admisión Ordinaria</v>
      </c>
      <c r="E463" s="2">
        <f>IFERROR(__xludf.DUMMYFUNCTION("""COMPUTED_VALUE"""),45695.0)</f>
        <v>45695</v>
      </c>
      <c r="F463" s="1" t="str">
        <f>IFERROR(__xludf.DUMMYFUNCTION("""COMPUTED_VALUE"""),"LISBETH MARIA ")</f>
        <v>LISBETH MARIA </v>
      </c>
      <c r="G463" s="1" t="str">
        <f>IFERROR(__xludf.DUMMYFUNCTION("""COMPUTED_VALUE"""),"OTORI TAME")</f>
        <v>OTORI TAME</v>
      </c>
      <c r="H463" s="1" t="str">
        <f>IFERROR(__xludf.DUMMYFUNCTION("""COMPUTED_VALUE"""),"Administración y Marketing")</f>
        <v>Administración y Marketing</v>
      </c>
      <c r="I463" s="1" t="str">
        <f>IFERROR(__xludf.DUMMYFUNCTION("""COMPUTED_VALUE"""),"POS")</f>
        <v>POS</v>
      </c>
      <c r="J463" s="1" t="str">
        <f>IFERROR(__xludf.DUMMYFUNCTION("""COMPUTED_VALUE"""),"Diurno")</f>
        <v>Diurno</v>
      </c>
      <c r="K463" s="1" t="str">
        <f>IFERROR(__xludf.DUMMYFUNCTION("""COMPUTED_VALUE"""),"NUEVO")</f>
        <v>NUEVO</v>
      </c>
      <c r="L463" s="1">
        <f>IFERROR(__xludf.DUMMYFUNCTION("""COMPUTED_VALUE"""),0.0)</f>
        <v>0</v>
      </c>
      <c r="M463" s="1">
        <f>IFERROR(__xludf.DUMMYFUNCTION("""COMPUTED_VALUE"""),0.0)</f>
        <v>0</v>
      </c>
      <c r="N463" s="1" t="str">
        <f>IFERROR(__xludf.DUMMYFUNCTION("""COMPUTED_VALUE"""),"BECA")</f>
        <v>BECA</v>
      </c>
      <c r="O463" s="1" t="str">
        <f>IFERROR(__xludf.DUMMYFUNCTION("""COMPUTED_VALUE"""),"BECA CONGELADA DE 2 AÑOS")</f>
        <v>BECA CONGELADA DE 2 AÑOS</v>
      </c>
      <c r="P463" s="4">
        <f>IFERROR(__xludf.DUMMYFUNCTION("""COMPUTED_VALUE"""),0.0)</f>
        <v>0</v>
      </c>
      <c r="Q463" s="4">
        <f>IFERROR(__xludf.DUMMYFUNCTION("""COMPUTED_VALUE"""),0.0)</f>
        <v>0</v>
      </c>
      <c r="R463" s="4">
        <f>IFERROR(__xludf.DUMMYFUNCTION("""COMPUTED_VALUE"""),1000.0)</f>
        <v>1000</v>
      </c>
      <c r="S463" s="4">
        <f>IFERROR(__xludf.DUMMYFUNCTION("""COMPUTED_VALUE"""),850.0)</f>
        <v>850</v>
      </c>
      <c r="T463" s="1" t="str">
        <f>IFERROR(__xludf.DUMMYFUNCTION("""COMPUTED_VALUE"""),"PALANCA 500")</f>
        <v>PALANCA 500</v>
      </c>
      <c r="U463" s="1" t="str">
        <f>IFERROR(__xludf.DUMMYFUNCTION("""COMPUTED_VALUE"""),"RODRIGO")</f>
        <v>RODRIGO</v>
      </c>
      <c r="V463" s="1" t="str">
        <f>IFERROR(__xludf.DUMMYFUNCTION("""COMPUTED_VALUE"""),"Ninguno")</f>
        <v>Ninguno</v>
      </c>
      <c r="W463" s="1" t="str">
        <f>IFERROR(__xludf.DUMMYFUNCTION("""COMPUTED_VALUE"""),"Otros")</f>
        <v>Otros</v>
      </c>
      <c r="X463" s="1" t="str">
        <f>IFERROR(__xludf.DUMMYFUNCTION("""COMPUTED_VALUE"""),"0")</f>
        <v>0</v>
      </c>
      <c r="Y463" s="1" t="str">
        <f>IFERROR(__xludf.DUMMYFUNCTION("""COMPUTED_VALUE"""),"PAGO COMPLETO")</f>
        <v>PAGO COMPLETO</v>
      </c>
      <c r="Z463" s="1"/>
      <c r="AA463" s="1"/>
      <c r="AB463" s="1">
        <f>IFERROR(__xludf.DUMMYFUNCTION("""COMPUTED_VALUE"""),0.0)</f>
        <v>0</v>
      </c>
      <c r="AC463" s="1">
        <f>IFERROR(__xludf.DUMMYFUNCTION("""COMPUTED_VALUE"""),0.0)</f>
        <v>0</v>
      </c>
      <c r="AD463" s="1" t="str">
        <f>IFERROR(__xludf.DUMMYFUNCTION("""COMPUTED_VALUE"""),"Andrea Araujo Antara")</f>
        <v>Andrea Araujo Antara</v>
      </c>
      <c r="AE463" s="1" t="str">
        <f>IFERROR(__xludf.DUMMYFUNCTION("""COMPUTED_VALUE"""),"0")</f>
        <v>0</v>
      </c>
      <c r="AF463" s="1">
        <f>IFERROR(__xludf.DUMMYFUNCTION("""COMPUTED_VALUE"""),2021.0)</f>
        <v>2021</v>
      </c>
      <c r="AG463" s="1">
        <f>IFERROR(__xludf.DUMMYFUNCTION("""COMPUTED_VALUE"""),0.0)</f>
        <v>0</v>
      </c>
      <c r="AH463" s="1">
        <f>IFERROR(__xludf.DUMMYFUNCTION("""COMPUTED_VALUE"""),20.0)</f>
        <v>20</v>
      </c>
      <c r="AI463" s="1" t="str">
        <f>IFERROR(__xludf.DUMMYFUNCTION("""COMPUTED_VALUE"""),"0000117934")</f>
        <v>0000117934</v>
      </c>
      <c r="AJ463" s="1">
        <f>IFERROR(__xludf.DUMMYFUNCTION("""COMPUTED_VALUE"""),9.0000563E7)</f>
        <v>90000563</v>
      </c>
      <c r="AK463" s="1">
        <f>IFERROR(__xludf.DUMMYFUNCTION("""COMPUTED_VALUE"""),9.00618407E8)</f>
        <v>900618407</v>
      </c>
      <c r="AL463" s="1" t="str">
        <f>IFERROR(__xludf.DUMMYFUNCTION("""COMPUTED_VALUE"""),"otorilisbeth@gmail.com")</f>
        <v>otorilisbeth@gmail.com</v>
      </c>
      <c r="AM463" s="1" t="str">
        <f>IFERROR(__xludf.DUMMYFUNCTION("""COMPUTED_VALUE"""),"MASCULINO")</f>
        <v>MASCULINO</v>
      </c>
      <c r="AN463" s="1">
        <f>IFERROR(__xludf.DUMMYFUNCTION("""COMPUTED_VALUE"""),1350.0)</f>
        <v>1350</v>
      </c>
      <c r="AO463" s="1">
        <f>IFERROR(__xludf.DUMMYFUNCTION("""COMPUTED_VALUE"""),0.0)</f>
        <v>0</v>
      </c>
      <c r="AP463" s="1" t="str">
        <f>IFERROR(__xludf.DUMMYFUNCTION("""COMPUTED_VALUE"""),"BIDIRECCIONAL")</f>
        <v>BIDIRECCIONAL</v>
      </c>
      <c r="AQ463" s="1" t="str">
        <f>IFERROR(__xludf.DUMMYFUNCTION("""COMPUTED_VALUE"""),"ORGANICO")</f>
        <v>ORGANICO</v>
      </c>
      <c r="AR463" s="1" t="str">
        <f>IFERROR(__xludf.DUMMYFUNCTION("""COMPUTED_VALUE"""),"HEREDADO")</f>
        <v>HEREDADO</v>
      </c>
      <c r="AS463" s="1"/>
      <c r="AT463" s="2">
        <f>IFERROR(__xludf.DUMMYFUNCTION("""COMPUTED_VALUE"""),45601.0)</f>
        <v>45601</v>
      </c>
      <c r="AU463" s="1">
        <f>IFERROR(__xludf.DUMMYFUNCTION("""COMPUTED_VALUE"""),1.0)</f>
        <v>1</v>
      </c>
      <c r="AV463" s="1" t="str">
        <f>IFERROR(__xludf.DUMMYFUNCTION("""COMPUTED_VALUE"""),"NUEVO")</f>
        <v>NUEVO</v>
      </c>
      <c r="AW463" s="1" t="str">
        <f>IFERROR(__xludf.DUMMYFUNCTION("""COMPUTED_VALUE"""),"SI")</f>
        <v>SI</v>
      </c>
      <c r="AX463" s="1"/>
      <c r="AY463" s="1" t="str">
        <f>IFERROR(__xludf.DUMMYFUNCTION("""COMPUTED_VALUE"""),"PAGO COMPLETO")</f>
        <v>PAGO COMPLETO</v>
      </c>
      <c r="AZ463" s="5">
        <f>IFERROR(__xludf.DUMMYFUNCTION("""COMPUTED_VALUE"""),45695.0)</f>
        <v>45695</v>
      </c>
      <c r="BA463" s="1">
        <f>IFERROR(__xludf.DUMMYFUNCTION("""COMPUTED_VALUE"""),0.0)</f>
        <v>0</v>
      </c>
      <c r="BB463" s="1">
        <f>IFERROR(__xludf.DUMMYFUNCTION("""COMPUTED_VALUE"""),0.0)</f>
        <v>0</v>
      </c>
      <c r="BC463" s="4">
        <f>IFERROR(__xludf.DUMMYFUNCTION("""COMPUTED_VALUE"""),0.0)</f>
        <v>0</v>
      </c>
      <c r="BD463" s="4">
        <f>IFERROR(__xludf.DUMMYFUNCTION("""COMPUTED_VALUE"""),350.0)</f>
        <v>350</v>
      </c>
      <c r="BE463" s="1">
        <f>IFERROR(__xludf.DUMMYFUNCTION("""COMPUTED_VALUE"""),2.0)</f>
        <v>2</v>
      </c>
      <c r="BF463" s="6">
        <f>IFERROR(__xludf.DUMMYFUNCTION("""COMPUTED_VALUE"""),1.0)</f>
        <v>1</v>
      </c>
      <c r="BG463" s="1">
        <f>IFERROR(__xludf.DUMMYFUNCTION("""COMPUTED_VALUE"""),1.0)</f>
        <v>1</v>
      </c>
      <c r="BH463" s="1" t="str">
        <f>IFERROR(__xludf.DUMMYFUNCTION("""COMPUTED_VALUE"""),"0")</f>
        <v>0</v>
      </c>
      <c r="BI463" s="4">
        <f>IFERROR(__xludf.DUMMYFUNCTION("""COMPUTED_VALUE"""),350.0)</f>
        <v>350</v>
      </c>
      <c r="BJ463" s="1">
        <f>IFERROR(__xludf.DUMMYFUNCTION("""COMPUTED_VALUE"""),0.0)</f>
        <v>0</v>
      </c>
      <c r="BK463" s="4">
        <f>IFERROR(__xludf.DUMMYFUNCTION("""COMPUTED_VALUE"""),350.0)</f>
        <v>350</v>
      </c>
      <c r="BL463" s="1">
        <f>IFERROR(__xludf.DUMMYFUNCTION("""COMPUTED_VALUE"""),780.0)</f>
        <v>780</v>
      </c>
      <c r="BM463" s="1">
        <f>IFERROR(__xludf.DUMMYFUNCTION("""COMPUTED_VALUE"""),6.0)</f>
        <v>6</v>
      </c>
      <c r="BN463" s="2">
        <f>IFERROR(__xludf.DUMMYFUNCTION("""COMPUTED_VALUE"""),45691.0)</f>
        <v>45691</v>
      </c>
      <c r="BO463" s="1">
        <f>IFERROR(__xludf.DUMMYFUNCTION("""COMPUTED_VALUE"""),2.0)</f>
        <v>2</v>
      </c>
      <c r="BP463" s="1">
        <f>IFERROR(__xludf.DUMMYFUNCTION("""COMPUTED_VALUE"""),2025.0)</f>
        <v>2025</v>
      </c>
    </row>
    <row r="464">
      <c r="A464" s="1">
        <f>IFERROR(__xludf.DUMMYFUNCTION("""COMPUTED_VALUE"""),463.0)</f>
        <v>463</v>
      </c>
      <c r="B464" s="1">
        <f>IFERROR(__xludf.DUMMYFUNCTION("""COMPUTED_VALUE"""),3291366.0)</f>
        <v>3291366</v>
      </c>
      <c r="C464" s="1" t="str">
        <f>IFERROR(__xludf.DUMMYFUNCTION("""COMPUTED_VALUE"""),"2025-1")</f>
        <v>2025-1</v>
      </c>
      <c r="D464" s="1" t="str">
        <f>IFERROR(__xludf.DUMMYFUNCTION("""COMPUTED_VALUE"""),"Admisión Extraordinaria (Traslados)")</f>
        <v>Admisión Extraordinaria (Traslados)</v>
      </c>
      <c r="E464" s="2">
        <f>IFERROR(__xludf.DUMMYFUNCTION("""COMPUTED_VALUE"""),45695.0)</f>
        <v>45695</v>
      </c>
      <c r="F464" s="1" t="str">
        <f>IFERROR(__xludf.DUMMYFUNCTION("""COMPUTED_VALUE"""),"FERNANDO DANIEL ")</f>
        <v>FERNANDO DANIEL </v>
      </c>
      <c r="G464" s="1" t="str">
        <f>IFERROR(__xludf.DUMMYFUNCTION("""COMPUTED_VALUE"""),"CHIPANA RAFAEL")</f>
        <v>CHIPANA RAFAEL</v>
      </c>
      <c r="H464" s="1" t="str">
        <f>IFERROR(__xludf.DUMMYFUNCTION("""COMPUTED_VALUE"""),"Comunicación Audiovisual y Cine")</f>
        <v>Comunicación Audiovisual y Cine</v>
      </c>
      <c r="I464" s="1" t="str">
        <f>IFERROR(__xludf.DUMMYFUNCTION("""COMPUTED_VALUE"""),"CARGO")</f>
        <v>CARGO</v>
      </c>
      <c r="J464" s="1" t="str">
        <f>IFERROR(__xludf.DUMMYFUNCTION("""COMPUTED_VALUE"""),"Diurno")</f>
        <v>Diurno</v>
      </c>
      <c r="K464" s="1" t="str">
        <f>IFERROR(__xludf.DUMMYFUNCTION("""COMPUTED_VALUE"""),"TRASLADO")</f>
        <v>TRASLADO</v>
      </c>
      <c r="L464" s="1">
        <f>IFERROR(__xludf.DUMMYFUNCTION("""COMPUTED_VALUE"""),0.0)</f>
        <v>0</v>
      </c>
      <c r="M464" s="1">
        <f>IFERROR(__xludf.DUMMYFUNCTION("""COMPUTED_VALUE"""),0.0)</f>
        <v>0</v>
      </c>
      <c r="N464" s="1" t="str">
        <f>IFERROR(__xludf.DUMMYFUNCTION("""COMPUTED_VALUE"""),"BECA")</f>
        <v>BECA</v>
      </c>
      <c r="O464" s="1" t="str">
        <f>IFERROR(__xludf.DUMMYFUNCTION("""COMPUTED_VALUE"""),"BECA CONGELADA DE 2 AÑOS")</f>
        <v>BECA CONGELADA DE 2 AÑOS</v>
      </c>
      <c r="P464" s="4">
        <f>IFERROR(__xludf.DUMMYFUNCTION("""COMPUTED_VALUE"""),0.0)</f>
        <v>0</v>
      </c>
      <c r="Q464" s="4">
        <f>IFERROR(__xludf.DUMMYFUNCTION("""COMPUTED_VALUE"""),0.0)</f>
        <v>0</v>
      </c>
      <c r="R464" s="4">
        <f>IFERROR(__xludf.DUMMYFUNCTION("""COMPUTED_VALUE"""),1000.0)</f>
        <v>1000</v>
      </c>
      <c r="S464" s="4">
        <f>IFERROR(__xludf.DUMMYFUNCTION("""COMPUTED_VALUE"""),900.0)</f>
        <v>900</v>
      </c>
      <c r="T464" s="1" t="str">
        <f>IFERROR(__xludf.DUMMYFUNCTION("""COMPUTED_VALUE"""),"NINGUNO")</f>
        <v>NINGUNO</v>
      </c>
      <c r="U464" s="1" t="str">
        <f>IFERROR(__xludf.DUMMYFUNCTION("""COMPUTED_VALUE"""),"FABIOLA")</f>
        <v>FABIOLA</v>
      </c>
      <c r="V464" s="1" t="str">
        <f>IFERROR(__xludf.DUMMYFUNCTION("""COMPUTED_VALUE"""),"Ninguno")</f>
        <v>Ninguno</v>
      </c>
      <c r="W464" s="1" t="str">
        <f>IFERROR(__xludf.DUMMYFUNCTION("""COMPUTED_VALUE"""),"Equipos e instalaciones")</f>
        <v>Equipos e instalaciones</v>
      </c>
      <c r="X464" s="1"/>
      <c r="Y464" s="1" t="str">
        <f>IFERROR(__xludf.DUMMYFUNCTION("""COMPUTED_VALUE"""),"PAGO COMPLETO")</f>
        <v>PAGO COMPLETO</v>
      </c>
      <c r="Z464" s="1"/>
      <c r="AA464" s="1"/>
      <c r="AB464" s="1">
        <f>IFERROR(__xludf.DUMMYFUNCTION("""COMPUTED_VALUE"""),0.0)</f>
        <v>0</v>
      </c>
      <c r="AC464" s="1">
        <f>IFERROR(__xludf.DUMMYFUNCTION("""COMPUTED_VALUE"""),0.0)</f>
        <v>0</v>
      </c>
      <c r="AD464" s="1" t="str">
        <f>IFERROR(__xludf.DUMMYFUNCTION("""COMPUTED_VALUE"""),"Fiorella Lanegra")</f>
        <v>Fiorella Lanegra</v>
      </c>
      <c r="AE464" s="1" t="str">
        <f>IFERROR(__xludf.DUMMYFUNCTION("""COMPUTED_VALUE"""),"Universidad Privada del Norte(UPN)")</f>
        <v>Universidad Privada del Norte(UPN)</v>
      </c>
      <c r="AF464" s="1">
        <f>IFERROR(__xludf.DUMMYFUNCTION("""COMPUTED_VALUE"""),2023.0)</f>
        <v>2023</v>
      </c>
      <c r="AG464" s="1">
        <f>IFERROR(__xludf.DUMMYFUNCTION("""COMPUTED_VALUE"""),209270.0)</f>
        <v>209270</v>
      </c>
      <c r="AH464" s="1">
        <f>IFERROR(__xludf.DUMMYFUNCTION("""COMPUTED_VALUE"""),18.0)</f>
        <v>18</v>
      </c>
      <c r="AI464" s="1" t="str">
        <f>IFERROR(__xludf.DUMMYFUNCTION("""COMPUTED_VALUE"""),"0000413698")</f>
        <v>0000413698</v>
      </c>
      <c r="AJ464" s="1">
        <f>IFERROR(__xludf.DUMMYFUNCTION("""COMPUTED_VALUE"""),7.0703363E7)</f>
        <v>70703363</v>
      </c>
      <c r="AK464" s="1">
        <f>IFERROR(__xludf.DUMMYFUNCTION("""COMPUTED_VALUE"""),9.93201295E8)</f>
        <v>993201295</v>
      </c>
      <c r="AL464" s="1" t="str">
        <f>IFERROR(__xludf.DUMMYFUNCTION("""COMPUTED_VALUE"""),"ferchip2017@hotmail.com")</f>
        <v>ferchip2017@hotmail.com</v>
      </c>
      <c r="AM464" s="1" t="str">
        <f>IFERROR(__xludf.DUMMYFUNCTION("""COMPUTED_VALUE"""),"MASCULINO")</f>
        <v>MASCULINO</v>
      </c>
      <c r="AN464" s="1">
        <f>IFERROR(__xludf.DUMMYFUNCTION("""COMPUTED_VALUE"""),1350.0)</f>
        <v>1350</v>
      </c>
      <c r="AO464" s="1">
        <f>IFERROR(__xludf.DUMMYFUNCTION("""COMPUTED_VALUE"""),0.0)</f>
        <v>0</v>
      </c>
      <c r="AP464" s="1" t="str">
        <f>IFERROR(__xludf.DUMMYFUNCTION("""COMPUTED_VALUE"""),"BIDIRECCIONAL")</f>
        <v>BIDIRECCIONAL</v>
      </c>
      <c r="AQ464" s="1" t="str">
        <f>IFERROR(__xludf.DUMMYFUNCTION("""COMPUTED_VALUE"""),"ORGANICO")</f>
        <v>ORGANICO</v>
      </c>
      <c r="AR464" s="1" t="str">
        <f>IFERROR(__xludf.DUMMYFUNCTION("""COMPUTED_VALUE"""),"NUEVO")</f>
        <v>NUEVO</v>
      </c>
      <c r="AS464" s="1"/>
      <c r="AT464" s="2">
        <f>IFERROR(__xludf.DUMMYFUNCTION("""COMPUTED_VALUE"""),45596.0)</f>
        <v>45596</v>
      </c>
      <c r="AU464" s="1">
        <f>IFERROR(__xludf.DUMMYFUNCTION("""COMPUTED_VALUE"""),1.0)</f>
        <v>1</v>
      </c>
      <c r="AV464" s="1" t="str">
        <f>IFERROR(__xludf.DUMMYFUNCTION("""COMPUTED_VALUE"""),"NUEVO")</f>
        <v>NUEVO</v>
      </c>
      <c r="AW464" s="1" t="str">
        <f>IFERROR(__xludf.DUMMYFUNCTION("""COMPUTED_VALUE"""),"SI")</f>
        <v>SI</v>
      </c>
      <c r="AX464" s="1"/>
      <c r="AY464" s="1" t="str">
        <f>IFERROR(__xludf.DUMMYFUNCTION("""COMPUTED_VALUE"""),"PAGO COMPLETO")</f>
        <v>PAGO COMPLETO</v>
      </c>
      <c r="AZ464" s="5">
        <f>IFERROR(__xludf.DUMMYFUNCTION("""COMPUTED_VALUE"""),45695.0)</f>
        <v>45695</v>
      </c>
      <c r="BA464" s="1">
        <f>IFERROR(__xludf.DUMMYFUNCTION("""COMPUTED_VALUE"""),0.0)</f>
        <v>0</v>
      </c>
      <c r="BB464" s="1">
        <f>IFERROR(__xludf.DUMMYFUNCTION("""COMPUTED_VALUE"""),0.0)</f>
        <v>0</v>
      </c>
      <c r="BC464" s="4">
        <f>IFERROR(__xludf.DUMMYFUNCTION("""COMPUTED_VALUE"""),0.0)</f>
        <v>0</v>
      </c>
      <c r="BD464" s="4">
        <f>IFERROR(__xludf.DUMMYFUNCTION("""COMPUTED_VALUE"""),0.0)</f>
        <v>0</v>
      </c>
      <c r="BE464" s="1">
        <f>IFERROR(__xludf.DUMMYFUNCTION("""COMPUTED_VALUE"""),2.0)</f>
        <v>2</v>
      </c>
      <c r="BF464" s="6">
        <f>IFERROR(__xludf.DUMMYFUNCTION("""COMPUTED_VALUE"""),1.0)</f>
        <v>1</v>
      </c>
      <c r="BG464" s="1">
        <f>IFERROR(__xludf.DUMMYFUNCTION("""COMPUTED_VALUE"""),1.0)</f>
        <v>1</v>
      </c>
      <c r="BH464" s="1" t="str">
        <f>IFERROR(__xludf.DUMMYFUNCTION("""COMPUTED_VALUE"""),"0")</f>
        <v>0</v>
      </c>
      <c r="BI464" s="4">
        <f>IFERROR(__xludf.DUMMYFUNCTION("""COMPUTED_VALUE"""),0.0)</f>
        <v>0</v>
      </c>
      <c r="BJ464" s="1">
        <f>IFERROR(__xludf.DUMMYFUNCTION("""COMPUTED_VALUE"""),0.0)</f>
        <v>0</v>
      </c>
      <c r="BK464" s="4">
        <f>IFERROR(__xludf.DUMMYFUNCTION("""COMPUTED_VALUE"""),0.0)</f>
        <v>0</v>
      </c>
      <c r="BL464" s="1">
        <f>IFERROR(__xludf.DUMMYFUNCTION("""COMPUTED_VALUE"""),900.0)</f>
        <v>900</v>
      </c>
      <c r="BM464" s="1">
        <f>IFERROR(__xludf.DUMMYFUNCTION("""COMPUTED_VALUE"""),6.0)</f>
        <v>6</v>
      </c>
      <c r="BN464" s="2">
        <f>IFERROR(__xludf.DUMMYFUNCTION("""COMPUTED_VALUE"""),45691.0)</f>
        <v>45691</v>
      </c>
      <c r="BO464" s="1">
        <f>IFERROR(__xludf.DUMMYFUNCTION("""COMPUTED_VALUE"""),2.0)</f>
        <v>2</v>
      </c>
      <c r="BP464" s="1">
        <f>IFERROR(__xludf.DUMMYFUNCTION("""COMPUTED_VALUE"""),2025.0)</f>
        <v>2025</v>
      </c>
    </row>
    <row r="465">
      <c r="A465" s="1">
        <f>IFERROR(__xludf.DUMMYFUNCTION("""COMPUTED_VALUE"""),464.0)</f>
        <v>464</v>
      </c>
      <c r="B465" s="1">
        <f>IFERROR(__xludf.DUMMYFUNCTION("""COMPUTED_VALUE"""),4678748.0)</f>
        <v>4678748</v>
      </c>
      <c r="C465" s="1" t="str">
        <f>IFERROR(__xludf.DUMMYFUNCTION("""COMPUTED_VALUE"""),"2025-1")</f>
        <v>2025-1</v>
      </c>
      <c r="D465" s="1" t="str">
        <f>IFERROR(__xludf.DUMMYFUNCTION("""COMPUTED_VALUE"""),"Admisión de Alto Rendimiento")</f>
        <v>Admisión de Alto Rendimiento</v>
      </c>
      <c r="E465" s="2">
        <f>IFERROR(__xludf.DUMMYFUNCTION("""COMPUTED_VALUE"""),45695.0)</f>
        <v>45695</v>
      </c>
      <c r="F465" s="1" t="str">
        <f>IFERROR(__xludf.DUMMYFUNCTION("""COMPUTED_VALUE"""),"EMILY ANTUANE ")</f>
        <v>EMILY ANTUANE </v>
      </c>
      <c r="G465" s="1" t="str">
        <f>IFERROR(__xludf.DUMMYFUNCTION("""COMPUTED_VALUE"""),"PICOY RUIZ")</f>
        <v>PICOY RUIZ</v>
      </c>
      <c r="H465" s="1" t="str">
        <f>IFERROR(__xludf.DUMMYFUNCTION("""COMPUTED_VALUE"""),"Arquitectura de Interiores")</f>
        <v>Arquitectura de Interiores</v>
      </c>
      <c r="I465" s="1" t="str">
        <f>IFERROR(__xludf.DUMMYFUNCTION("""COMPUTED_VALUE"""),"POS")</f>
        <v>POS</v>
      </c>
      <c r="J465" s="1" t="str">
        <f>IFERROR(__xludf.DUMMYFUNCTION("""COMPUTED_VALUE"""),"Diurno")</f>
        <v>Diurno</v>
      </c>
      <c r="K465" s="1" t="str">
        <f>IFERROR(__xludf.DUMMYFUNCTION("""COMPUTED_VALUE"""),"NUEVO")</f>
        <v>NUEVO</v>
      </c>
      <c r="L465" s="1">
        <f>IFERROR(__xludf.DUMMYFUNCTION("""COMPUTED_VALUE"""),0.0)</f>
        <v>0</v>
      </c>
      <c r="M465" s="1">
        <f>IFERROR(__xludf.DUMMYFUNCTION("""COMPUTED_VALUE"""),0.0)</f>
        <v>0</v>
      </c>
      <c r="N465" s="1" t="str">
        <f>IFERROR(__xludf.DUMMYFUNCTION("""COMPUTED_VALUE"""),"BECA")</f>
        <v>BECA</v>
      </c>
      <c r="O465" s="1" t="str">
        <f>IFERROR(__xludf.DUMMYFUNCTION("""COMPUTED_VALUE"""),"BECA EXCELENCIA ACADÉMICA")</f>
        <v>BECA EXCELENCIA ACADÉMICA</v>
      </c>
      <c r="P465" s="4">
        <f>IFERROR(__xludf.DUMMYFUNCTION("""COMPUTED_VALUE"""),0.0)</f>
        <v>0</v>
      </c>
      <c r="Q465" s="4">
        <f>IFERROR(__xludf.DUMMYFUNCTION("""COMPUTED_VALUE"""),237.5)</f>
        <v>237.5</v>
      </c>
      <c r="R465" s="4">
        <f>IFERROR(__xludf.DUMMYFUNCTION("""COMPUTED_VALUE"""),1450.0)</f>
        <v>1450</v>
      </c>
      <c r="S465" s="4">
        <f>IFERROR(__xludf.DUMMYFUNCTION("""COMPUTED_VALUE"""),600.0)</f>
        <v>600</v>
      </c>
      <c r="T465" s="1" t="str">
        <f>IFERROR(__xludf.DUMMYFUNCTION("""COMPUTED_VALUE"""),"NINGUNO")</f>
        <v>NINGUNO</v>
      </c>
      <c r="U465" s="1" t="str">
        <f>IFERROR(__xludf.DUMMYFUNCTION("""COMPUTED_VALUE"""),"FABIOLA")</f>
        <v>FABIOLA</v>
      </c>
      <c r="V465" s="1" t="str">
        <f>IFERROR(__xludf.DUMMYFUNCTION("""COMPUTED_VALUE"""),"Ninguno")</f>
        <v>Ninguno</v>
      </c>
      <c r="W465" s="1" t="str">
        <f>IFERROR(__xludf.DUMMYFUNCTION("""COMPUTED_VALUE"""),"Metodología de enseñanza")</f>
        <v>Metodología de enseñanza</v>
      </c>
      <c r="X465" s="1" t="str">
        <f>IFERROR(__xludf.DUMMYFUNCTION("""COMPUTED_VALUE"""),"beca excelencia academica s/.600")</f>
        <v>beca excelencia academica s/.600</v>
      </c>
      <c r="Y465" s="1" t="str">
        <f>IFERROR(__xludf.DUMMYFUNCTION("""COMPUTED_VALUE"""),"PAGO FRACCIONADO")</f>
        <v>PAGO FRACCIONADO</v>
      </c>
      <c r="Z465" s="1">
        <f>IFERROR(__xludf.DUMMYFUNCTION("""COMPUTED_VALUE"""),637.5)</f>
        <v>637.5</v>
      </c>
      <c r="AA465" s="1" t="str">
        <f>IFERROR(__xludf.DUMMYFUNCTION("""COMPUTED_VALUE"""),"15/02/2025")</f>
        <v>15/02/2025</v>
      </c>
      <c r="AB465" s="1">
        <f>IFERROR(__xludf.DUMMYFUNCTION("""COMPUTED_VALUE"""),0.0)</f>
        <v>0</v>
      </c>
      <c r="AC465" s="1">
        <f>IFERROR(__xludf.DUMMYFUNCTION("""COMPUTED_VALUE"""),0.0)</f>
        <v>0</v>
      </c>
      <c r="AD465" s="1" t="str">
        <f>IFERROR(__xludf.DUMMYFUNCTION("""COMPUTED_VALUE"""),"Fiorella Lanegra")</f>
        <v>Fiorella Lanegra</v>
      </c>
      <c r="AE465" s="1" t="str">
        <f>IFERROR(__xludf.DUMMYFUNCTION("""COMPUTED_VALUE"""),"0")</f>
        <v>0</v>
      </c>
      <c r="AF465" s="1">
        <f>IFERROR(__xludf.DUMMYFUNCTION("""COMPUTED_VALUE"""),2023.0)</f>
        <v>2023</v>
      </c>
      <c r="AG465" s="1">
        <f>IFERROR(__xludf.DUMMYFUNCTION("""COMPUTED_VALUE"""),1334523.0)</f>
        <v>1334523</v>
      </c>
      <c r="AH465" s="1">
        <f>IFERROR(__xludf.DUMMYFUNCTION("""COMPUTED_VALUE"""),17.0)</f>
        <v>17</v>
      </c>
      <c r="AI465" s="1" t="str">
        <f>IFERROR(__xludf.DUMMYFUNCTION("""COMPUTED_VALUE"""),"0000413953")</f>
        <v>0000413953</v>
      </c>
      <c r="AJ465" s="1">
        <f>IFERROR(__xludf.DUMMYFUNCTION("""COMPUTED_VALUE"""),7.0706488E7)</f>
        <v>70706488</v>
      </c>
      <c r="AK465" s="1">
        <f>IFERROR(__xludf.DUMMYFUNCTION("""COMPUTED_VALUE"""),9.40124086E8)</f>
        <v>940124086</v>
      </c>
      <c r="AL465" s="1" t="str">
        <f>IFERROR(__xludf.DUMMYFUNCTION("""COMPUTED_VALUE"""),"emiwilcon@gmail.com")</f>
        <v>emiwilcon@gmail.com</v>
      </c>
      <c r="AM465" s="1" t="str">
        <f>IFERROR(__xludf.DUMMYFUNCTION("""COMPUTED_VALUE"""),"FEMENINO")</f>
        <v>FEMENINO</v>
      </c>
      <c r="AN465" s="1">
        <f>IFERROR(__xludf.DUMMYFUNCTION("""COMPUTED_VALUE"""),1775.0)</f>
        <v>1775</v>
      </c>
      <c r="AO465" s="1">
        <f>IFERROR(__xludf.DUMMYFUNCTION("""COMPUTED_VALUE"""),485.0)</f>
        <v>485</v>
      </c>
      <c r="AP465" s="1" t="str">
        <f>IFERROR(__xludf.DUMMYFUNCTION("""COMPUTED_VALUE"""),"FORMULARIO")</f>
        <v>FORMULARIO</v>
      </c>
      <c r="AQ465" s="1" t="str">
        <f>IFERROR(__xludf.DUMMYFUNCTION("""COMPUTED_VALUE"""),"NO SUFICIENCIA")</f>
        <v>NO SUFICIENCIA</v>
      </c>
      <c r="AR465" s="1" t="str">
        <f>IFERROR(__xludf.DUMMYFUNCTION("""COMPUTED_VALUE"""),"NUEVO")</f>
        <v>NUEVO</v>
      </c>
      <c r="AS465" s="1" t="str">
        <f>IFERROR(__xludf.DUMMYFUNCTION("""COMPUTED_VALUE"""),"ucal-pg-performance-sedes-demografico-cpl-search_conversion_beca_excelencia_academica-20250113")</f>
        <v>ucal-pg-performance-sedes-demografico-cpl-search_conversion_beca_excelencia_academica-20250113</v>
      </c>
      <c r="AT465" s="2">
        <f>IFERROR(__xludf.DUMMYFUNCTION("""COMPUTED_VALUE"""),45692.0)</f>
        <v>45692</v>
      </c>
      <c r="AU465" s="1">
        <f>IFERROR(__xludf.DUMMYFUNCTION("""COMPUTED_VALUE"""),1.0)</f>
        <v>1</v>
      </c>
      <c r="AV465" s="1" t="str">
        <f>IFERROR(__xludf.DUMMYFUNCTION("""COMPUTED_VALUE"""),"NUEVO")</f>
        <v>NUEVO</v>
      </c>
      <c r="AW465" s="1" t="str">
        <f>IFERROR(__xludf.DUMMYFUNCTION("""COMPUTED_VALUE"""),"SI")</f>
        <v>SI</v>
      </c>
      <c r="AX465" s="1"/>
      <c r="AY465" s="1" t="str">
        <f>IFERROR(__xludf.DUMMYFUNCTION("""COMPUTED_VALUE"""),"PAGO COMPLETO")</f>
        <v>PAGO COMPLETO</v>
      </c>
      <c r="AZ465" s="5">
        <f>IFERROR(__xludf.DUMMYFUNCTION("""COMPUTED_VALUE"""),45716.0)</f>
        <v>45716</v>
      </c>
      <c r="BA465" s="1">
        <f>IFERROR(__xludf.DUMMYFUNCTION("""COMPUTED_VALUE"""),200.0)</f>
        <v>200</v>
      </c>
      <c r="BB465" s="1">
        <f>IFERROR(__xludf.DUMMYFUNCTION("""COMPUTED_VALUE"""),0.0)</f>
        <v>0</v>
      </c>
      <c r="BC465" s="4">
        <f>IFERROR(__xludf.DUMMYFUNCTION("""COMPUTED_VALUE"""),0.0)</f>
        <v>0</v>
      </c>
      <c r="BD465" s="4">
        <f>IFERROR(__xludf.DUMMYFUNCTION("""COMPUTED_VALUE"""),0.0)</f>
        <v>0</v>
      </c>
      <c r="BE465" s="1">
        <f>IFERROR(__xludf.DUMMYFUNCTION("""COMPUTED_VALUE"""),2.0)</f>
        <v>2</v>
      </c>
      <c r="BF465" s="6">
        <f>IFERROR(__xludf.DUMMYFUNCTION("""COMPUTED_VALUE"""),1.0)</f>
        <v>1</v>
      </c>
      <c r="BG465" s="1">
        <f>IFERROR(__xludf.DUMMYFUNCTION("""COMPUTED_VALUE"""),1.0)</f>
        <v>1</v>
      </c>
      <c r="BH465" s="1" t="str">
        <f>IFERROR(__xludf.DUMMYFUNCTION("""COMPUTED_VALUE"""),"0")</f>
        <v>0</v>
      </c>
      <c r="BI465" s="4">
        <f>IFERROR(__xludf.DUMMYFUNCTION("""COMPUTED_VALUE"""),837.5)</f>
        <v>837.5</v>
      </c>
      <c r="BJ465" s="1">
        <f>IFERROR(__xludf.DUMMYFUNCTION("""COMPUTED_VALUE"""),0.0)</f>
        <v>0</v>
      </c>
      <c r="BK465" s="4">
        <f>IFERROR(__xludf.DUMMYFUNCTION("""COMPUTED_VALUE"""),0.0)</f>
        <v>0</v>
      </c>
      <c r="BL465" s="1">
        <f>IFERROR(__xludf.DUMMYFUNCTION("""COMPUTED_VALUE"""),600.0)</f>
        <v>600</v>
      </c>
      <c r="BM465" s="1">
        <f>IFERROR(__xludf.DUMMYFUNCTION("""COMPUTED_VALUE"""),6.0)</f>
        <v>6</v>
      </c>
      <c r="BN465" s="2">
        <f>IFERROR(__xludf.DUMMYFUNCTION("""COMPUTED_VALUE"""),45691.0)</f>
        <v>45691</v>
      </c>
      <c r="BO465" s="1">
        <f>IFERROR(__xludf.DUMMYFUNCTION("""COMPUTED_VALUE"""),2.0)</f>
        <v>2</v>
      </c>
      <c r="BP465" s="1">
        <f>IFERROR(__xludf.DUMMYFUNCTION("""COMPUTED_VALUE"""),2025.0)</f>
        <v>2025</v>
      </c>
    </row>
    <row r="466">
      <c r="A466" s="1">
        <f>IFERROR(__xludf.DUMMYFUNCTION("""COMPUTED_VALUE"""),465.0)</f>
        <v>465</v>
      </c>
      <c r="B466" s="1">
        <f>IFERROR(__xludf.DUMMYFUNCTION("""COMPUTED_VALUE"""),4837517.0)</f>
        <v>4837517</v>
      </c>
      <c r="C466" s="1" t="str">
        <f>IFERROR(__xludf.DUMMYFUNCTION("""COMPUTED_VALUE"""),"2025-1")</f>
        <v>2025-1</v>
      </c>
      <c r="D466" s="1" t="str">
        <f>IFERROR(__xludf.DUMMYFUNCTION("""COMPUTED_VALUE"""),"Admisión de Alto Rendimiento")</f>
        <v>Admisión de Alto Rendimiento</v>
      </c>
      <c r="E466" s="2">
        <f>IFERROR(__xludf.DUMMYFUNCTION("""COMPUTED_VALUE"""),45695.0)</f>
        <v>45695</v>
      </c>
      <c r="F466" s="1" t="str">
        <f>IFERROR(__xludf.DUMMYFUNCTION("""COMPUTED_VALUE"""),"BRENDA SOFÍA")</f>
        <v>BRENDA SOFÍA</v>
      </c>
      <c r="G466" s="1" t="str">
        <f>IFERROR(__xludf.DUMMYFUNCTION("""COMPUTED_VALUE"""),"HUAMÁN PÉREZ")</f>
        <v>HUAMÁN PÉREZ</v>
      </c>
      <c r="H466" s="1" t="str">
        <f>IFERROR(__xludf.DUMMYFUNCTION("""COMPUTED_VALUE"""),"Comunicación Audiovisual y Cine")</f>
        <v>Comunicación Audiovisual y Cine</v>
      </c>
      <c r="I466" s="1" t="str">
        <f>IFERROR(__xludf.DUMMYFUNCTION("""COMPUTED_VALUE"""),"CARGO")</f>
        <v>CARGO</v>
      </c>
      <c r="J466" s="1" t="str">
        <f>IFERROR(__xludf.DUMMYFUNCTION("""COMPUTED_VALUE"""),"Diurno")</f>
        <v>Diurno</v>
      </c>
      <c r="K466" s="1" t="str">
        <f>IFERROR(__xludf.DUMMYFUNCTION("""COMPUTED_VALUE"""),"NUEVO")</f>
        <v>NUEVO</v>
      </c>
      <c r="L466" s="1">
        <f>IFERROR(__xludf.DUMMYFUNCTION("""COMPUTED_VALUE"""),0.0)</f>
        <v>0</v>
      </c>
      <c r="M466" s="1">
        <f>IFERROR(__xludf.DUMMYFUNCTION("""COMPUTED_VALUE"""),0.0)</f>
        <v>0</v>
      </c>
      <c r="N466" s="1" t="str">
        <f>IFERROR(__xludf.DUMMYFUNCTION("""COMPUTED_VALUE"""),"BECA")</f>
        <v>BECA</v>
      </c>
      <c r="O466" s="1" t="str">
        <f>IFERROR(__xludf.DUMMYFUNCTION("""COMPUTED_VALUE"""),"BECA EXCELENCIA ACADÉMICA")</f>
        <v>BECA EXCELENCIA ACADÉMICA</v>
      </c>
      <c r="P466" s="4">
        <f>IFERROR(__xludf.DUMMYFUNCTION("""COMPUTED_VALUE"""),0.0)</f>
        <v>0</v>
      </c>
      <c r="Q466" s="4">
        <f>IFERROR(__xludf.DUMMYFUNCTION("""COMPUTED_VALUE"""),0.0)</f>
        <v>0</v>
      </c>
      <c r="R466" s="4">
        <f>IFERROR(__xludf.DUMMYFUNCTION("""COMPUTED_VALUE"""),1100.0)</f>
        <v>1100</v>
      </c>
      <c r="S466" s="4">
        <f>IFERROR(__xludf.DUMMYFUNCTION("""COMPUTED_VALUE"""),600.0)</f>
        <v>600</v>
      </c>
      <c r="T466" s="1" t="str">
        <f>IFERROR(__xludf.DUMMYFUNCTION("""COMPUTED_VALUE"""),"NINGUNO")</f>
        <v>NINGUNO</v>
      </c>
      <c r="U466" s="1"/>
      <c r="V466" s="1" t="str">
        <f>IFERROR(__xludf.DUMMYFUNCTION("""COMPUTED_VALUE"""),"Ninguno")</f>
        <v>Ninguno</v>
      </c>
      <c r="W466" s="1"/>
      <c r="X466" s="1"/>
      <c r="Y466" s="1" t="str">
        <f>IFERROR(__xludf.DUMMYFUNCTION("""COMPUTED_VALUE"""),"PAGO COMPLETO")</f>
        <v>PAGO COMPLETO</v>
      </c>
      <c r="Z466" s="1"/>
      <c r="AA466" s="1"/>
      <c r="AB466" s="1">
        <f>IFERROR(__xludf.DUMMYFUNCTION("""COMPUTED_VALUE"""),0.0)</f>
        <v>0</v>
      </c>
      <c r="AC466" s="1">
        <f>IFERROR(__xludf.DUMMYFUNCTION("""COMPUTED_VALUE"""),0.0)</f>
        <v>0</v>
      </c>
      <c r="AD466" s="1" t="str">
        <f>IFERROR(__xludf.DUMMYFUNCTION("""COMPUTED_VALUE"""),"Rosa Ugarte")</f>
        <v>Rosa Ugarte</v>
      </c>
      <c r="AE466" s="1" t="str">
        <f>IFERROR(__xludf.DUMMYFUNCTION("""COMPUTED_VALUE"""),"0")</f>
        <v>0</v>
      </c>
      <c r="AF466" s="1">
        <f>IFERROR(__xludf.DUMMYFUNCTION("""COMPUTED_VALUE"""),2024.0)</f>
        <v>2024</v>
      </c>
      <c r="AG466" s="1">
        <f>IFERROR(__xludf.DUMMYFUNCTION("""COMPUTED_VALUE"""),694570.0)</f>
        <v>694570</v>
      </c>
      <c r="AH466" s="1">
        <f>IFERROR(__xludf.DUMMYFUNCTION("""COMPUTED_VALUE"""),17.0)</f>
        <v>17</v>
      </c>
      <c r="AI466" s="1" t="str">
        <f>IFERROR(__xludf.DUMMYFUNCTION("""COMPUTED_VALUE"""),"0000413679")</f>
        <v>0000413679</v>
      </c>
      <c r="AJ466" s="1">
        <f>IFERROR(__xludf.DUMMYFUNCTION("""COMPUTED_VALUE"""),7.1164831E7)</f>
        <v>71164831</v>
      </c>
      <c r="AK466" s="1">
        <f>IFERROR(__xludf.DUMMYFUNCTION("""COMPUTED_VALUE"""),9.26450784E8)</f>
        <v>926450784</v>
      </c>
      <c r="AL466" s="1" t="str">
        <f>IFERROR(__xludf.DUMMYFUNCTION("""COMPUTED_VALUE"""),"sophyhp2108@gmail.com")</f>
        <v>sophyhp2108@gmail.com</v>
      </c>
      <c r="AM466" s="1" t="str">
        <f>IFERROR(__xludf.DUMMYFUNCTION("""COMPUTED_VALUE"""),"FEMENINO")</f>
        <v>FEMENINO</v>
      </c>
      <c r="AN466" s="1">
        <f>IFERROR(__xludf.DUMMYFUNCTION("""COMPUTED_VALUE"""),1350.0)</f>
        <v>1350</v>
      </c>
      <c r="AO466" s="1">
        <f>IFERROR(__xludf.DUMMYFUNCTION("""COMPUTED_VALUE"""),0.0)</f>
        <v>0</v>
      </c>
      <c r="AP466" s="1" t="str">
        <f>IFERROR(__xludf.DUMMYFUNCTION("""COMPUTED_VALUE"""),"FORMULARIO")</f>
        <v>FORMULARIO</v>
      </c>
      <c r="AQ466" s="1" t="str">
        <f>IFERROR(__xludf.DUMMYFUNCTION("""COMPUTED_VALUE"""),"SEARCH MARCA")</f>
        <v>SEARCH MARCA</v>
      </c>
      <c r="AR466" s="1" t="str">
        <f>IFERROR(__xludf.DUMMYFUNCTION("""COMPUTED_VALUE"""),"NUEVO")</f>
        <v>NUEVO</v>
      </c>
      <c r="AS466" s="1" t="str">
        <f>IFERROR(__xludf.DUMMYFUNCTION("""COMPUTED_VALUE"""),"ucal-pg-performance-sedes-abierta-cpl-search_conversion_marca-20240401")</f>
        <v>ucal-pg-performance-sedes-abierta-cpl-search_conversion_marca-20240401</v>
      </c>
      <c r="AT466" s="2">
        <f>IFERROR(__xludf.DUMMYFUNCTION("""COMPUTED_VALUE"""),45627.0)</f>
        <v>45627</v>
      </c>
      <c r="AU466" s="1">
        <f>IFERROR(__xludf.DUMMYFUNCTION("""COMPUTED_VALUE"""),1.0)</f>
        <v>1</v>
      </c>
      <c r="AV466" s="1" t="str">
        <f>IFERROR(__xludf.DUMMYFUNCTION("""COMPUTED_VALUE"""),"NUEVO")</f>
        <v>NUEVO</v>
      </c>
      <c r="AW466" s="1" t="str">
        <f>IFERROR(__xludf.DUMMYFUNCTION("""COMPUTED_VALUE"""),"SI")</f>
        <v>SI</v>
      </c>
      <c r="AX466" s="1"/>
      <c r="AY466" s="1" t="str">
        <f>IFERROR(__xludf.DUMMYFUNCTION("""COMPUTED_VALUE"""),"PAGO COMPLETO")</f>
        <v>PAGO COMPLETO</v>
      </c>
      <c r="AZ466" s="5">
        <f>IFERROR(__xludf.DUMMYFUNCTION("""COMPUTED_VALUE"""),45695.0)</f>
        <v>45695</v>
      </c>
      <c r="BA466" s="1">
        <f>IFERROR(__xludf.DUMMYFUNCTION("""COMPUTED_VALUE"""),0.0)</f>
        <v>0</v>
      </c>
      <c r="BB466" s="1">
        <f>IFERROR(__xludf.DUMMYFUNCTION("""COMPUTED_VALUE"""),0.0)</f>
        <v>0</v>
      </c>
      <c r="BC466" s="4">
        <f>IFERROR(__xludf.DUMMYFUNCTION("""COMPUTED_VALUE"""),0.0)</f>
        <v>0</v>
      </c>
      <c r="BD466" s="4">
        <f>IFERROR(__xludf.DUMMYFUNCTION("""COMPUTED_VALUE"""),0.0)</f>
        <v>0</v>
      </c>
      <c r="BE466" s="1">
        <f>IFERROR(__xludf.DUMMYFUNCTION("""COMPUTED_VALUE"""),2.0)</f>
        <v>2</v>
      </c>
      <c r="BF466" s="6">
        <f>IFERROR(__xludf.DUMMYFUNCTION("""COMPUTED_VALUE"""),1.0)</f>
        <v>1</v>
      </c>
      <c r="BG466" s="1">
        <f>IFERROR(__xludf.DUMMYFUNCTION("""COMPUTED_VALUE"""),1.0)</f>
        <v>1</v>
      </c>
      <c r="BH466" s="1" t="str">
        <f>IFERROR(__xludf.DUMMYFUNCTION("""COMPUTED_VALUE"""),"0")</f>
        <v>0</v>
      </c>
      <c r="BI466" s="4">
        <f>IFERROR(__xludf.DUMMYFUNCTION("""COMPUTED_VALUE"""),0.0)</f>
        <v>0</v>
      </c>
      <c r="BJ466" s="1">
        <f>IFERROR(__xludf.DUMMYFUNCTION("""COMPUTED_VALUE"""),0.0)</f>
        <v>0</v>
      </c>
      <c r="BK466" s="4">
        <f>IFERROR(__xludf.DUMMYFUNCTION("""COMPUTED_VALUE"""),0.0)</f>
        <v>0</v>
      </c>
      <c r="BL466" s="1">
        <f>IFERROR(__xludf.DUMMYFUNCTION("""COMPUTED_VALUE"""),600.0)</f>
        <v>600</v>
      </c>
      <c r="BM466" s="1">
        <f>IFERROR(__xludf.DUMMYFUNCTION("""COMPUTED_VALUE"""),6.0)</f>
        <v>6</v>
      </c>
      <c r="BN466" s="2">
        <f>IFERROR(__xludf.DUMMYFUNCTION("""COMPUTED_VALUE"""),45691.0)</f>
        <v>45691</v>
      </c>
      <c r="BO466" s="1">
        <f>IFERROR(__xludf.DUMMYFUNCTION("""COMPUTED_VALUE"""),2.0)</f>
        <v>2</v>
      </c>
      <c r="BP466" s="1">
        <f>IFERROR(__xludf.DUMMYFUNCTION("""COMPUTED_VALUE"""),2025.0)</f>
        <v>2025</v>
      </c>
    </row>
    <row r="467">
      <c r="A467" s="1">
        <f>IFERROR(__xludf.DUMMYFUNCTION("""COMPUTED_VALUE"""),466.0)</f>
        <v>466</v>
      </c>
      <c r="B467" s="1">
        <f>IFERROR(__xludf.DUMMYFUNCTION("""COMPUTED_VALUE"""),1541761.0)</f>
        <v>1541761</v>
      </c>
      <c r="C467" s="1" t="str">
        <f>IFERROR(__xludf.DUMMYFUNCTION("""COMPUTED_VALUE"""),"2025-1")</f>
        <v>2025-1</v>
      </c>
      <c r="D467" s="1" t="str">
        <f>IFERROR(__xludf.DUMMYFUNCTION("""COMPUTED_VALUE"""),"Admisión Extraordinaria (Traslados)")</f>
        <v>Admisión Extraordinaria (Traslados)</v>
      </c>
      <c r="E467" s="2">
        <f>IFERROR(__xludf.DUMMYFUNCTION("""COMPUTED_VALUE"""),45696.0)</f>
        <v>45696</v>
      </c>
      <c r="F467" s="1" t="str">
        <f>IFERROR(__xludf.DUMMYFUNCTION("""COMPUTED_VALUE"""),"LUZ ANTONIA ")</f>
        <v>LUZ ANTONIA </v>
      </c>
      <c r="G467" s="1" t="str">
        <f>IFERROR(__xludf.DUMMYFUNCTION("""COMPUTED_VALUE"""),"ARANGO SULCA")</f>
        <v>ARANGO SULCA</v>
      </c>
      <c r="H467" s="1" t="str">
        <f>IFERROR(__xludf.DUMMYFUNCTION("""COMPUTED_VALUE"""),"Arquitectura de Interiores")</f>
        <v>Arquitectura de Interiores</v>
      </c>
      <c r="I467" s="1" t="str">
        <f>IFERROR(__xludf.DUMMYFUNCTION("""COMPUTED_VALUE"""),"Pago Link")</f>
        <v>Pago Link</v>
      </c>
      <c r="J467" s="1" t="str">
        <f>IFERROR(__xludf.DUMMYFUNCTION("""COMPUTED_VALUE"""),"Diurno")</f>
        <v>Diurno</v>
      </c>
      <c r="K467" s="1" t="str">
        <f>IFERROR(__xludf.DUMMYFUNCTION("""COMPUTED_VALUE"""),"TRASLADO")</f>
        <v>TRASLADO</v>
      </c>
      <c r="L467" s="1">
        <f>IFERROR(__xludf.DUMMYFUNCTION("""COMPUTED_VALUE"""),1.0)</f>
        <v>1</v>
      </c>
      <c r="M467" s="1">
        <f>IFERROR(__xludf.DUMMYFUNCTION("""COMPUTED_VALUE"""),0.0)</f>
        <v>0</v>
      </c>
      <c r="N467" s="1" t="str">
        <f>IFERROR(__xludf.DUMMYFUNCTION("""COMPUTED_VALUE"""),"RECA")</f>
        <v>RECA</v>
      </c>
      <c r="O467" s="1" t="str">
        <f>IFERROR(__xludf.DUMMYFUNCTION("""COMPUTED_VALUE"""),"RECA TRASLADO CON CONVA")</f>
        <v>RECA TRASLADO CON CONVA</v>
      </c>
      <c r="P467" s="4">
        <f>IFERROR(__xludf.DUMMYFUNCTION("""COMPUTED_VALUE"""),0.0)</f>
        <v>0</v>
      </c>
      <c r="Q467" s="4">
        <f>IFERROR(__xludf.DUMMYFUNCTION("""COMPUTED_VALUE"""),0.0)</f>
        <v>0</v>
      </c>
      <c r="R467" s="4">
        <f>IFERROR(__xludf.DUMMYFUNCTION("""COMPUTED_VALUE"""),700.0)</f>
        <v>700</v>
      </c>
      <c r="S467" s="4">
        <f>IFERROR(__xludf.DUMMYFUNCTION("""COMPUTED_VALUE"""),700.0)</f>
        <v>700</v>
      </c>
      <c r="T467" s="1" t="str">
        <f>IFERROR(__xludf.DUMMYFUNCTION("""COMPUTED_VALUE"""),"NINGUNO")</f>
        <v>NINGUNO</v>
      </c>
      <c r="U467" s="1" t="str">
        <f>IFERROR(__xludf.DUMMYFUNCTION("""COMPUTED_VALUE"""),"FABIOLA")</f>
        <v>FABIOLA</v>
      </c>
      <c r="V467" s="1" t="str">
        <f>IFERROR(__xludf.DUMMYFUNCTION("""COMPUTED_VALUE"""),"Ninguno")</f>
        <v>Ninguno</v>
      </c>
      <c r="W467" s="1" t="str">
        <f>IFERROR(__xludf.DUMMYFUNCTION("""COMPUTED_VALUE"""),"Metodología de enseñanza")</f>
        <v>Metodología de enseñanza</v>
      </c>
      <c r="X467" s="1" t="str">
        <f>IFERROR(__xludf.DUMMYFUNCTION("""COMPUTED_VALUE"""),"INNOVACION")</f>
        <v>INNOVACION</v>
      </c>
      <c r="Y467" s="1" t="str">
        <f>IFERROR(__xludf.DUMMYFUNCTION("""COMPUTED_VALUE"""),"PAGO FRACCIONADO")</f>
        <v>PAGO FRACCIONADO</v>
      </c>
      <c r="Z467" s="1">
        <f>IFERROR(__xludf.DUMMYFUNCTION("""COMPUTED_VALUE"""),350.0)</f>
        <v>350</v>
      </c>
      <c r="AA467" s="1" t="str">
        <f>IFERROR(__xludf.DUMMYFUNCTION("""COMPUTED_VALUE"""),"28/02/2025")</f>
        <v>28/02/2025</v>
      </c>
      <c r="AB467" s="1">
        <f>IFERROR(__xludf.DUMMYFUNCTION("""COMPUTED_VALUE"""),0.0)</f>
        <v>0</v>
      </c>
      <c r="AC467" s="1">
        <f>IFERROR(__xludf.DUMMYFUNCTION("""COMPUTED_VALUE"""),0.0)</f>
        <v>0</v>
      </c>
      <c r="AD467" s="1" t="str">
        <f>IFERROR(__xludf.DUMMYFUNCTION("""COMPUTED_VALUE"""),"Cinthia Mariella Orosco")</f>
        <v>Cinthia Mariella Orosco</v>
      </c>
      <c r="AE467" s="1" t="str">
        <f>IFERROR(__xludf.DUMMYFUNCTION("""COMPUTED_VALUE"""),"Universidad Tecnologica Del Peru - Utp")</f>
        <v>Universidad Tecnologica Del Peru - Utp</v>
      </c>
      <c r="AF467" s="1">
        <f>IFERROR(__xludf.DUMMYFUNCTION("""COMPUTED_VALUE"""),2021.0)</f>
        <v>2021</v>
      </c>
      <c r="AG467" s="1">
        <f>IFERROR(__xludf.DUMMYFUNCTION("""COMPUTED_VALUE"""),0.0)</f>
        <v>0</v>
      </c>
      <c r="AH467" s="1">
        <f>IFERROR(__xludf.DUMMYFUNCTION("""COMPUTED_VALUE"""),21.0)</f>
        <v>21</v>
      </c>
      <c r="AI467" s="1" t="str">
        <f>IFERROR(__xludf.DUMMYFUNCTION("""COMPUTED_VALUE"""),"0000413903")</f>
        <v>0000413903</v>
      </c>
      <c r="AJ467" s="1">
        <f>IFERROR(__xludf.DUMMYFUNCTION("""COMPUTED_VALUE"""),7.2411184E7)</f>
        <v>72411184</v>
      </c>
      <c r="AK467" s="1">
        <f>IFERROR(__xludf.DUMMYFUNCTION("""COMPUTED_VALUE"""),9.98352257E8)</f>
        <v>998352257</v>
      </c>
      <c r="AL467" s="1" t="str">
        <f>IFERROR(__xludf.DUMMYFUNCTION("""COMPUTED_VALUE"""),"arango10142004@gmail.com")</f>
        <v>arango10142004@gmail.com</v>
      </c>
      <c r="AM467" s="1" t="str">
        <f>IFERROR(__xludf.DUMMYFUNCTION("""COMPUTED_VALUE"""),"FEMENINO")</f>
        <v>FEMENINO</v>
      </c>
      <c r="AN467" s="1">
        <f>IFERROR(__xludf.DUMMYFUNCTION("""COMPUTED_VALUE"""),1350.0)</f>
        <v>1350</v>
      </c>
      <c r="AO467" s="1">
        <f>IFERROR(__xludf.DUMMYFUNCTION("""COMPUTED_VALUE"""),0.0)</f>
        <v>0</v>
      </c>
      <c r="AP467" s="1" t="str">
        <f>IFERROR(__xludf.DUMMYFUNCTION("""COMPUTED_VALUE"""),"EVENTOS")</f>
        <v>EVENTOS</v>
      </c>
      <c r="AQ467" s="1" t="str">
        <f>IFERROR(__xludf.DUMMYFUNCTION("""COMPUTED_VALUE"""),"EVENTOS")</f>
        <v>EVENTOS</v>
      </c>
      <c r="AR467" s="1" t="str">
        <f>IFERROR(__xludf.DUMMYFUNCTION("""COMPUTED_VALUE"""),"HEREDADO")</f>
        <v>HEREDADO</v>
      </c>
      <c r="AS467" s="1"/>
      <c r="AT467" s="2">
        <f>IFERROR(__xludf.DUMMYFUNCTION("""COMPUTED_VALUE"""),45688.0)</f>
        <v>45688</v>
      </c>
      <c r="AU467" s="1">
        <f>IFERROR(__xludf.DUMMYFUNCTION("""COMPUTED_VALUE"""),1.0)</f>
        <v>1</v>
      </c>
      <c r="AV467" s="1" t="str">
        <f>IFERROR(__xludf.DUMMYFUNCTION("""COMPUTED_VALUE"""),"TRASLADO")</f>
        <v>TRASLADO</v>
      </c>
      <c r="AW467" s="1" t="str">
        <f>IFERROR(__xludf.DUMMYFUNCTION("""COMPUTED_VALUE"""),"SI")</f>
        <v>SI</v>
      </c>
      <c r="AX467" s="1"/>
      <c r="AY467" s="1" t="str">
        <f>IFERROR(__xludf.DUMMYFUNCTION("""COMPUTED_VALUE"""),"PAGO COMPLETO")</f>
        <v>PAGO COMPLETO</v>
      </c>
      <c r="AZ467" s="5">
        <f>IFERROR(__xludf.DUMMYFUNCTION("""COMPUTED_VALUE"""),45717.0)</f>
        <v>45717</v>
      </c>
      <c r="BA467" s="1">
        <f>IFERROR(__xludf.DUMMYFUNCTION("""COMPUTED_VALUE"""),350.0)</f>
        <v>350</v>
      </c>
      <c r="BB467" s="1">
        <f>IFERROR(__xludf.DUMMYFUNCTION("""COMPUTED_VALUE"""),0.0)</f>
        <v>0</v>
      </c>
      <c r="BC467" s="4">
        <f>IFERROR(__xludf.DUMMYFUNCTION("""COMPUTED_VALUE"""),0.0)</f>
        <v>0</v>
      </c>
      <c r="BD467" s="4">
        <f>IFERROR(__xludf.DUMMYFUNCTION("""COMPUTED_VALUE"""),0.0)</f>
        <v>0</v>
      </c>
      <c r="BE467" s="1">
        <f>IFERROR(__xludf.DUMMYFUNCTION("""COMPUTED_VALUE"""),2.0)</f>
        <v>2</v>
      </c>
      <c r="BF467" s="6">
        <f>IFERROR(__xludf.DUMMYFUNCTION("""COMPUTED_VALUE"""),1.0)</f>
        <v>1</v>
      </c>
      <c r="BG467" s="1">
        <f>IFERROR(__xludf.DUMMYFUNCTION("""COMPUTED_VALUE"""),1.0)</f>
        <v>1</v>
      </c>
      <c r="BH467" s="1" t="str">
        <f>IFERROR(__xludf.DUMMYFUNCTION("""COMPUTED_VALUE"""),"1")</f>
        <v>1</v>
      </c>
      <c r="BI467" s="4">
        <f>IFERROR(__xludf.DUMMYFUNCTION("""COMPUTED_VALUE"""),700.0)</f>
        <v>700</v>
      </c>
      <c r="BJ467" s="1">
        <f>IFERROR(__xludf.DUMMYFUNCTION("""COMPUTED_VALUE"""),0.0)</f>
        <v>0</v>
      </c>
      <c r="BK467" s="4">
        <f>IFERROR(__xludf.DUMMYFUNCTION("""COMPUTED_VALUE"""),0.0)</f>
        <v>0</v>
      </c>
      <c r="BL467" s="1">
        <f>IFERROR(__xludf.DUMMYFUNCTION("""COMPUTED_VALUE"""),700.0)</f>
        <v>700</v>
      </c>
      <c r="BM467" s="1">
        <f>IFERROR(__xludf.DUMMYFUNCTION("""COMPUTED_VALUE"""),6.0)</f>
        <v>6</v>
      </c>
      <c r="BN467" s="2">
        <f>IFERROR(__xludf.DUMMYFUNCTION("""COMPUTED_VALUE"""),45691.0)</f>
        <v>45691</v>
      </c>
      <c r="BO467" s="1">
        <f>IFERROR(__xludf.DUMMYFUNCTION("""COMPUTED_VALUE"""),2.0)</f>
        <v>2</v>
      </c>
      <c r="BP467" s="1">
        <f>IFERROR(__xludf.DUMMYFUNCTION("""COMPUTED_VALUE"""),2025.0)</f>
        <v>2025</v>
      </c>
    </row>
    <row r="468">
      <c r="A468" s="1">
        <f>IFERROR(__xludf.DUMMYFUNCTION("""COMPUTED_VALUE"""),467.0)</f>
        <v>467</v>
      </c>
      <c r="B468" s="1">
        <f>IFERROR(__xludf.DUMMYFUNCTION("""COMPUTED_VALUE"""),4971719.0)</f>
        <v>4971719</v>
      </c>
      <c r="C468" s="1" t="str">
        <f>IFERROR(__xludf.DUMMYFUNCTION("""COMPUTED_VALUE"""),"2025-1")</f>
        <v>2025-1</v>
      </c>
      <c r="D468" s="1" t="str">
        <f>IFERROR(__xludf.DUMMYFUNCTION("""COMPUTED_VALUE"""),"Admisión Ordinaria")</f>
        <v>Admisión Ordinaria</v>
      </c>
      <c r="E468" s="2">
        <f>IFERROR(__xludf.DUMMYFUNCTION("""COMPUTED_VALUE"""),45696.0)</f>
        <v>45696</v>
      </c>
      <c r="F468" s="1" t="str">
        <f>IFERROR(__xludf.DUMMYFUNCTION("""COMPUTED_VALUE"""),"EDDY BHAYRON ")</f>
        <v>EDDY BHAYRON </v>
      </c>
      <c r="G468" s="1" t="str">
        <f>IFERROR(__xludf.DUMMYFUNCTION("""COMPUTED_VALUE"""),"CHAPILLIQUEN SUDARIO")</f>
        <v>CHAPILLIQUEN SUDARIO</v>
      </c>
      <c r="H468" s="1" t="str">
        <f>IFERROR(__xludf.DUMMYFUNCTION("""COMPUTED_VALUE"""),"Diseño Gráfico Publicitario")</f>
        <v>Diseño Gráfico Publicitario</v>
      </c>
      <c r="I468" s="1" t="str">
        <f>IFERROR(__xludf.DUMMYFUNCTION("""COMPUTED_VALUE"""),"CARGO")</f>
        <v>CARGO</v>
      </c>
      <c r="J468" s="1" t="str">
        <f>IFERROR(__xludf.DUMMYFUNCTION("""COMPUTED_VALUE"""),"Diurno")</f>
        <v>Diurno</v>
      </c>
      <c r="K468" s="1" t="str">
        <f>IFERROR(__xludf.DUMMYFUNCTION("""COMPUTED_VALUE"""),"NUEVO")</f>
        <v>NUEVO</v>
      </c>
      <c r="L468" s="1">
        <f>IFERROR(__xludf.DUMMYFUNCTION("""COMPUTED_VALUE"""),0.0)</f>
        <v>0</v>
      </c>
      <c r="M468" s="1">
        <f>IFERROR(__xludf.DUMMYFUNCTION("""COMPUTED_VALUE"""),0.0)</f>
        <v>0</v>
      </c>
      <c r="N468" s="1" t="str">
        <f>IFERROR(__xludf.DUMMYFUNCTION("""COMPUTED_VALUE"""),"BECA")</f>
        <v>BECA</v>
      </c>
      <c r="O468" s="1" t="str">
        <f>IFERROR(__xludf.DUMMYFUNCTION("""COMPUTED_VALUE"""),"BECA CONGELADA DE 2 AÑOS")</f>
        <v>BECA CONGELADA DE 2 AÑOS</v>
      </c>
      <c r="P468" s="4">
        <f>IFERROR(__xludf.DUMMYFUNCTION("""COMPUTED_VALUE"""),0.0)</f>
        <v>0</v>
      </c>
      <c r="Q468" s="4">
        <f>IFERROR(__xludf.DUMMYFUNCTION("""COMPUTED_VALUE"""),0.0)</f>
        <v>0</v>
      </c>
      <c r="R468" s="4">
        <f>IFERROR(__xludf.DUMMYFUNCTION("""COMPUTED_VALUE"""),1000.0)</f>
        <v>1000</v>
      </c>
      <c r="S468" s="4">
        <f>IFERROR(__xludf.DUMMYFUNCTION("""COMPUTED_VALUE"""),850.0)</f>
        <v>850</v>
      </c>
      <c r="T468" s="1" t="str">
        <f>IFERROR(__xludf.DUMMYFUNCTION("""COMPUTED_VALUE"""),"PALANCA 500")</f>
        <v>PALANCA 500</v>
      </c>
      <c r="U468" s="1" t="str">
        <f>IFERROR(__xludf.DUMMYFUNCTION("""COMPUTED_VALUE"""),"RODRIGO")</f>
        <v>RODRIGO</v>
      </c>
      <c r="V468" s="1" t="str">
        <f>IFERROR(__xludf.DUMMYFUNCTION("""COMPUTED_VALUE"""),"Ninguno")</f>
        <v>Ninguno</v>
      </c>
      <c r="W468" s="1" t="str">
        <f>IFERROR(__xludf.DUMMYFUNCTION("""COMPUTED_VALUE"""),"Otros")</f>
        <v>Otros</v>
      </c>
      <c r="X468" s="1" t="str">
        <f>IFERROR(__xludf.DUMMYFUNCTION("""COMPUTED_VALUE"""),"0")</f>
        <v>0</v>
      </c>
      <c r="Y468" s="1" t="str">
        <f>IFERROR(__xludf.DUMMYFUNCTION("""COMPUTED_VALUE"""),"PAGO COMPLETO")</f>
        <v>PAGO COMPLETO</v>
      </c>
      <c r="Z468" s="1"/>
      <c r="AA468" s="1"/>
      <c r="AB468" s="1">
        <f>IFERROR(__xludf.DUMMYFUNCTION("""COMPUTED_VALUE"""),0.0)</f>
        <v>0</v>
      </c>
      <c r="AC468" s="1">
        <f>IFERROR(__xludf.DUMMYFUNCTION("""COMPUTED_VALUE"""),0.0)</f>
        <v>0</v>
      </c>
      <c r="AD468" s="1" t="str">
        <f>IFERROR(__xludf.DUMMYFUNCTION("""COMPUTED_VALUE"""),"Andrea Araujo Antara")</f>
        <v>Andrea Araujo Antara</v>
      </c>
      <c r="AE468" s="1" t="str">
        <f>IFERROR(__xludf.DUMMYFUNCTION("""COMPUTED_VALUE"""),"0")</f>
        <v>0</v>
      </c>
      <c r="AF468" s="1">
        <f>IFERROR(__xludf.DUMMYFUNCTION("""COMPUTED_VALUE"""),2024.0)</f>
        <v>2024</v>
      </c>
      <c r="AG468" s="1">
        <f>IFERROR(__xludf.DUMMYFUNCTION("""COMPUTED_VALUE"""),0.0)</f>
        <v>0</v>
      </c>
      <c r="AH468" s="1">
        <f>IFERROR(__xludf.DUMMYFUNCTION("""COMPUTED_VALUE"""),17.0)</f>
        <v>17</v>
      </c>
      <c r="AI468" s="1" t="str">
        <f>IFERROR(__xludf.DUMMYFUNCTION("""COMPUTED_VALUE"""),"0000413794")</f>
        <v>0000413794</v>
      </c>
      <c r="AJ468" s="1">
        <f>IFERROR(__xludf.DUMMYFUNCTION("""COMPUTED_VALUE"""),6.1332924E7)</f>
        <v>61332924</v>
      </c>
      <c r="AK468" s="1">
        <f>IFERROR(__xludf.DUMMYFUNCTION("""COMPUTED_VALUE"""),9.0731321E8)</f>
        <v>907313210</v>
      </c>
      <c r="AL468" s="1" t="str">
        <f>IFERROR(__xludf.DUMMYFUNCTION("""COMPUTED_VALUE"""),"Eddychapilliquen4@gmail.com")</f>
        <v>Eddychapilliquen4@gmail.com</v>
      </c>
      <c r="AM468" s="1" t="str">
        <f>IFERROR(__xludf.DUMMYFUNCTION("""COMPUTED_VALUE"""),"MASCULINO")</f>
        <v>MASCULINO</v>
      </c>
      <c r="AN468" s="1">
        <f>IFERROR(__xludf.DUMMYFUNCTION("""COMPUTED_VALUE"""),1350.0)</f>
        <v>1350</v>
      </c>
      <c r="AO468" s="1">
        <f>IFERROR(__xludf.DUMMYFUNCTION("""COMPUTED_VALUE"""),0.0)</f>
        <v>0</v>
      </c>
      <c r="AP468" s="1" t="str">
        <f>IFERROR(__xludf.DUMMYFUNCTION("""COMPUTED_VALUE"""),"BIDIRECCIONAL")</f>
        <v>BIDIRECCIONAL</v>
      </c>
      <c r="AQ468" s="1" t="str">
        <f>IFERROR(__xludf.DUMMYFUNCTION("""COMPUTED_VALUE"""),"ORGANICO")</f>
        <v>ORGANICO</v>
      </c>
      <c r="AR468" s="1" t="str">
        <f>IFERROR(__xludf.DUMMYFUNCTION("""COMPUTED_VALUE"""),"NUEVO")</f>
        <v>NUEVO</v>
      </c>
      <c r="AS468" s="1"/>
      <c r="AT468" s="2">
        <f>IFERROR(__xludf.DUMMYFUNCTION("""COMPUTED_VALUE"""),45673.0)</f>
        <v>45673</v>
      </c>
      <c r="AU468" s="1">
        <f>IFERROR(__xludf.DUMMYFUNCTION("""COMPUTED_VALUE"""),1.0)</f>
        <v>1</v>
      </c>
      <c r="AV468" s="1" t="str">
        <f>IFERROR(__xludf.DUMMYFUNCTION("""COMPUTED_VALUE"""),"NUEVO")</f>
        <v>NUEVO</v>
      </c>
      <c r="AW468" s="1" t="str">
        <f>IFERROR(__xludf.DUMMYFUNCTION("""COMPUTED_VALUE"""),"SI")</f>
        <v>SI</v>
      </c>
      <c r="AX468" s="1"/>
      <c r="AY468" s="1" t="str">
        <f>IFERROR(__xludf.DUMMYFUNCTION("""COMPUTED_VALUE"""),"PAGO COMPLETO")</f>
        <v>PAGO COMPLETO</v>
      </c>
      <c r="AZ468" s="5">
        <f>IFERROR(__xludf.DUMMYFUNCTION("""COMPUTED_VALUE"""),45696.0)</f>
        <v>45696</v>
      </c>
      <c r="BA468" s="1">
        <f>IFERROR(__xludf.DUMMYFUNCTION("""COMPUTED_VALUE"""),0.0)</f>
        <v>0</v>
      </c>
      <c r="BB468" s="1">
        <f>IFERROR(__xludf.DUMMYFUNCTION("""COMPUTED_VALUE"""),0.0)</f>
        <v>0</v>
      </c>
      <c r="BC468" s="4">
        <f>IFERROR(__xludf.DUMMYFUNCTION("""COMPUTED_VALUE"""),0.0)</f>
        <v>0</v>
      </c>
      <c r="BD468" s="4">
        <f>IFERROR(__xludf.DUMMYFUNCTION("""COMPUTED_VALUE"""),350.0)</f>
        <v>350</v>
      </c>
      <c r="BE468" s="1">
        <f>IFERROR(__xludf.DUMMYFUNCTION("""COMPUTED_VALUE"""),2.0)</f>
        <v>2</v>
      </c>
      <c r="BF468" s="6">
        <f>IFERROR(__xludf.DUMMYFUNCTION("""COMPUTED_VALUE"""),1.0)</f>
        <v>1</v>
      </c>
      <c r="BG468" s="1">
        <f>IFERROR(__xludf.DUMMYFUNCTION("""COMPUTED_VALUE"""),1.0)</f>
        <v>1</v>
      </c>
      <c r="BH468" s="1" t="str">
        <f>IFERROR(__xludf.DUMMYFUNCTION("""COMPUTED_VALUE"""),"0")</f>
        <v>0</v>
      </c>
      <c r="BI468" s="4">
        <f>IFERROR(__xludf.DUMMYFUNCTION("""COMPUTED_VALUE"""),350.0)</f>
        <v>350</v>
      </c>
      <c r="BJ468" s="1">
        <f>IFERROR(__xludf.DUMMYFUNCTION("""COMPUTED_VALUE"""),0.0)</f>
        <v>0</v>
      </c>
      <c r="BK468" s="4">
        <f>IFERROR(__xludf.DUMMYFUNCTION("""COMPUTED_VALUE"""),350.0)</f>
        <v>350</v>
      </c>
      <c r="BL468" s="1">
        <f>IFERROR(__xludf.DUMMYFUNCTION("""COMPUTED_VALUE"""),780.0)</f>
        <v>780</v>
      </c>
      <c r="BM468" s="1">
        <f>IFERROR(__xludf.DUMMYFUNCTION("""COMPUTED_VALUE"""),6.0)</f>
        <v>6</v>
      </c>
      <c r="BN468" s="2">
        <f>IFERROR(__xludf.DUMMYFUNCTION("""COMPUTED_VALUE"""),45691.0)</f>
        <v>45691</v>
      </c>
      <c r="BO468" s="1">
        <f>IFERROR(__xludf.DUMMYFUNCTION("""COMPUTED_VALUE"""),2.0)</f>
        <v>2</v>
      </c>
      <c r="BP468" s="1">
        <f>IFERROR(__xludf.DUMMYFUNCTION("""COMPUTED_VALUE"""),2025.0)</f>
        <v>2025</v>
      </c>
    </row>
    <row r="469">
      <c r="A469" s="1">
        <f>IFERROR(__xludf.DUMMYFUNCTION("""COMPUTED_VALUE"""),468.0)</f>
        <v>468</v>
      </c>
      <c r="B469" s="1">
        <f>IFERROR(__xludf.DUMMYFUNCTION("""COMPUTED_VALUE"""),4997590.0)</f>
        <v>4997590</v>
      </c>
      <c r="C469" s="1" t="str">
        <f>IFERROR(__xludf.DUMMYFUNCTION("""COMPUTED_VALUE"""),"2025-1")</f>
        <v>2025-1</v>
      </c>
      <c r="D469" s="1" t="str">
        <f>IFERROR(__xludf.DUMMYFUNCTION("""COMPUTED_VALUE"""),"Admisión Ordinaria")</f>
        <v>Admisión Ordinaria</v>
      </c>
      <c r="E469" s="2">
        <f>IFERROR(__xludf.DUMMYFUNCTION("""COMPUTED_VALUE"""),45697.0)</f>
        <v>45697</v>
      </c>
      <c r="F469" s="1" t="str">
        <f>IFERROR(__xludf.DUMMYFUNCTION("""COMPUTED_VALUE"""),"PAOLA ALESSANDRA")</f>
        <v>PAOLA ALESSANDRA</v>
      </c>
      <c r="G469" s="1" t="str">
        <f>IFERROR(__xludf.DUMMYFUNCTION("""COMPUTED_VALUE"""),"FLORES AQUINO")</f>
        <v>FLORES AQUINO</v>
      </c>
      <c r="H469" s="1" t="str">
        <f>IFERROR(__xludf.DUMMYFUNCTION("""COMPUTED_VALUE"""),"Diseño Gráfico Publicitario")</f>
        <v>Diseño Gráfico Publicitario</v>
      </c>
      <c r="I469" s="1" t="str">
        <f>IFERROR(__xludf.DUMMYFUNCTION("""COMPUTED_VALUE"""),"CARGO")</f>
        <v>CARGO</v>
      </c>
      <c r="J469" s="1" t="str">
        <f>IFERROR(__xludf.DUMMYFUNCTION("""COMPUTED_VALUE"""),"Diurno")</f>
        <v>Diurno</v>
      </c>
      <c r="K469" s="1" t="str">
        <f>IFERROR(__xludf.DUMMYFUNCTION("""COMPUTED_VALUE"""),"NUEVO")</f>
        <v>NUEVO</v>
      </c>
      <c r="L469" s="1">
        <f>IFERROR(__xludf.DUMMYFUNCTION("""COMPUTED_VALUE"""),0.0)</f>
        <v>0</v>
      </c>
      <c r="M469" s="1">
        <f>IFERROR(__xludf.DUMMYFUNCTION("""COMPUTED_VALUE"""),0.0)</f>
        <v>0</v>
      </c>
      <c r="N469" s="1" t="str">
        <f>IFERROR(__xludf.DUMMYFUNCTION("""COMPUTED_VALUE"""),"BECA")</f>
        <v>BECA</v>
      </c>
      <c r="O469" s="1" t="str">
        <f>IFERROR(__xludf.DUMMYFUNCTION("""COMPUTED_VALUE"""),"BECA CONGELADA DE 2 AÑOS")</f>
        <v>BECA CONGELADA DE 2 AÑOS</v>
      </c>
      <c r="P469" s="4">
        <f>IFERROR(__xludf.DUMMYFUNCTION("""COMPUTED_VALUE"""),0.0)</f>
        <v>0</v>
      </c>
      <c r="Q469" s="4">
        <f>IFERROR(__xludf.DUMMYFUNCTION("""COMPUTED_VALUE"""),0.0)</f>
        <v>0</v>
      </c>
      <c r="R469" s="4">
        <f>IFERROR(__xludf.DUMMYFUNCTION("""COMPUTED_VALUE"""),950.0)</f>
        <v>950</v>
      </c>
      <c r="S469" s="4">
        <f>IFERROR(__xludf.DUMMYFUNCTION("""COMPUTED_VALUE"""),800.0)</f>
        <v>800</v>
      </c>
      <c r="T469" s="1" t="str">
        <f>IFERROR(__xludf.DUMMYFUNCTION("""COMPUTED_VALUE"""),"PALANCA 500")</f>
        <v>PALANCA 500</v>
      </c>
      <c r="U469" s="1" t="str">
        <f>IFERROR(__xludf.DUMMYFUNCTION("""COMPUTED_VALUE"""),"RODRIGO")</f>
        <v>RODRIGO</v>
      </c>
      <c r="V469" s="1" t="str">
        <f>IFERROR(__xludf.DUMMYFUNCTION("""COMPUTED_VALUE"""),"Ninguno")</f>
        <v>Ninguno</v>
      </c>
      <c r="W469" s="1" t="str">
        <f>IFERROR(__xludf.DUMMYFUNCTION("""COMPUTED_VALUE"""),"Docentes")</f>
        <v>Docentes</v>
      </c>
      <c r="X469" s="1"/>
      <c r="Y469" s="1" t="str">
        <f>IFERROR(__xludf.DUMMYFUNCTION("""COMPUTED_VALUE"""),"PAGO COMPLETO")</f>
        <v>PAGO COMPLETO</v>
      </c>
      <c r="Z469" s="1"/>
      <c r="AA469" s="1"/>
      <c r="AB469" s="1">
        <f>IFERROR(__xludf.DUMMYFUNCTION("""COMPUTED_VALUE"""),0.0)</f>
        <v>0</v>
      </c>
      <c r="AC469" s="1">
        <f>IFERROR(__xludf.DUMMYFUNCTION("""COMPUTED_VALUE"""),0.0)</f>
        <v>0</v>
      </c>
      <c r="AD469" s="1" t="str">
        <f>IFERROR(__xludf.DUMMYFUNCTION("""COMPUTED_VALUE"""),"Angelica Iparraguirre")</f>
        <v>Angelica Iparraguirre</v>
      </c>
      <c r="AE469" s="1" t="str">
        <f>IFERROR(__xludf.DUMMYFUNCTION("""COMPUTED_VALUE"""),"0")</f>
        <v>0</v>
      </c>
      <c r="AF469" s="1">
        <f>IFERROR(__xludf.DUMMYFUNCTION("""COMPUTED_VALUE"""),2021.0)</f>
        <v>2021</v>
      </c>
      <c r="AG469" s="1">
        <f>IFERROR(__xludf.DUMMYFUNCTION("""COMPUTED_VALUE"""),832337.0)</f>
        <v>832337</v>
      </c>
      <c r="AH469" s="1">
        <f>IFERROR(__xludf.DUMMYFUNCTION("""COMPUTED_VALUE"""),21.0)</f>
        <v>21</v>
      </c>
      <c r="AI469" s="1" t="str">
        <f>IFERROR(__xludf.DUMMYFUNCTION("""COMPUTED_VALUE"""),"0000033005")</f>
        <v>0000033005</v>
      </c>
      <c r="AJ469" s="1">
        <f>IFERROR(__xludf.DUMMYFUNCTION("""COMPUTED_VALUE"""),7.4774203E7)</f>
        <v>74774203</v>
      </c>
      <c r="AK469" s="1">
        <f>IFERROR(__xludf.DUMMYFUNCTION("""COMPUTED_VALUE"""),9.72793826E8)</f>
        <v>972793826</v>
      </c>
      <c r="AL469" s="1" t="str">
        <f>IFERROR(__xludf.DUMMYFUNCTION("""COMPUTED_VALUE"""),"alessandrapaolaflores2004@gmail.com")</f>
        <v>alessandrapaolaflores2004@gmail.com</v>
      </c>
      <c r="AM469" s="1" t="str">
        <f>IFERROR(__xludf.DUMMYFUNCTION("""COMPUTED_VALUE"""),"FEMENINO")</f>
        <v>FEMENINO</v>
      </c>
      <c r="AN469" s="1">
        <f>IFERROR(__xludf.DUMMYFUNCTION("""COMPUTED_VALUE"""),1350.0)</f>
        <v>1350</v>
      </c>
      <c r="AO469" s="1">
        <f>IFERROR(__xludf.DUMMYFUNCTION("""COMPUTED_VALUE"""),0.0)</f>
        <v>0</v>
      </c>
      <c r="AP469" s="1" t="str">
        <f>IFERROR(__xludf.DUMMYFUNCTION("""COMPUTED_VALUE"""),"FORMULARIO")</f>
        <v>FORMULARIO</v>
      </c>
      <c r="AQ469" s="1" t="str">
        <f>IFERROR(__xludf.DUMMYFUNCTION("""COMPUTED_VALUE"""),"SEARCH MARCA")</f>
        <v>SEARCH MARCA</v>
      </c>
      <c r="AR469" s="1" t="str">
        <f>IFERROR(__xludf.DUMMYFUNCTION("""COMPUTED_VALUE"""),"NUEVO")</f>
        <v>NUEVO</v>
      </c>
      <c r="AS469" s="1" t="str">
        <f>IFERROR(__xludf.DUMMYFUNCTION("""COMPUTED_VALUE"""),"ucal-pg-performance-sedes-abierta-cpl-search_conversion_marca-20240401")</f>
        <v>ucal-pg-performance-sedes-abierta-cpl-search_conversion_marca-20240401</v>
      </c>
      <c r="AT469" s="2">
        <f>IFERROR(__xludf.DUMMYFUNCTION("""COMPUTED_VALUE"""),45692.0)</f>
        <v>45692</v>
      </c>
      <c r="AU469" s="1">
        <f>IFERROR(__xludf.DUMMYFUNCTION("""COMPUTED_VALUE"""),1.0)</f>
        <v>1</v>
      </c>
      <c r="AV469" s="1" t="str">
        <f>IFERROR(__xludf.DUMMYFUNCTION("""COMPUTED_VALUE"""),"NUEVO")</f>
        <v>NUEVO</v>
      </c>
      <c r="AW469" s="1" t="str">
        <f>IFERROR(__xludf.DUMMYFUNCTION("""COMPUTED_VALUE"""),"SI")</f>
        <v>SI</v>
      </c>
      <c r="AX469" s="1"/>
      <c r="AY469" s="1" t="str">
        <f>IFERROR(__xludf.DUMMYFUNCTION("""COMPUTED_VALUE"""),"PAGO COMPLETO")</f>
        <v>PAGO COMPLETO</v>
      </c>
      <c r="AZ469" s="5">
        <f>IFERROR(__xludf.DUMMYFUNCTION("""COMPUTED_VALUE"""),45697.0)</f>
        <v>45697</v>
      </c>
      <c r="BA469" s="1">
        <f>IFERROR(__xludf.DUMMYFUNCTION("""COMPUTED_VALUE"""),0.0)</f>
        <v>0</v>
      </c>
      <c r="BB469" s="1">
        <f>IFERROR(__xludf.DUMMYFUNCTION("""COMPUTED_VALUE"""),0.0)</f>
        <v>0</v>
      </c>
      <c r="BC469" s="4">
        <f>IFERROR(__xludf.DUMMYFUNCTION("""COMPUTED_VALUE"""),0.0)</f>
        <v>0</v>
      </c>
      <c r="BD469" s="4">
        <f>IFERROR(__xludf.DUMMYFUNCTION("""COMPUTED_VALUE"""),300.0)</f>
        <v>300</v>
      </c>
      <c r="BE469" s="1">
        <f>IFERROR(__xludf.DUMMYFUNCTION("""COMPUTED_VALUE"""),2.0)</f>
        <v>2</v>
      </c>
      <c r="BF469" s="6">
        <f>IFERROR(__xludf.DUMMYFUNCTION("""COMPUTED_VALUE"""),1.0)</f>
        <v>1</v>
      </c>
      <c r="BG469" s="1">
        <f>IFERROR(__xludf.DUMMYFUNCTION("""COMPUTED_VALUE"""),1.0)</f>
        <v>1</v>
      </c>
      <c r="BH469" s="1" t="str">
        <f>IFERROR(__xludf.DUMMYFUNCTION("""COMPUTED_VALUE"""),"0")</f>
        <v>0</v>
      </c>
      <c r="BI469" s="4">
        <f>IFERROR(__xludf.DUMMYFUNCTION("""COMPUTED_VALUE"""),300.0)</f>
        <v>300</v>
      </c>
      <c r="BJ469" s="1">
        <f>IFERROR(__xludf.DUMMYFUNCTION("""COMPUTED_VALUE"""),0.0)</f>
        <v>0</v>
      </c>
      <c r="BK469" s="4">
        <f>IFERROR(__xludf.DUMMYFUNCTION("""COMPUTED_VALUE"""),300.0)</f>
        <v>300</v>
      </c>
      <c r="BL469" s="1">
        <f>IFERROR(__xludf.DUMMYFUNCTION("""COMPUTED_VALUE"""),740.0)</f>
        <v>740</v>
      </c>
      <c r="BM469" s="1">
        <f>IFERROR(__xludf.DUMMYFUNCTION("""COMPUTED_VALUE"""),6.0)</f>
        <v>6</v>
      </c>
      <c r="BN469" s="2">
        <f>IFERROR(__xludf.DUMMYFUNCTION("""COMPUTED_VALUE"""),45691.0)</f>
        <v>45691</v>
      </c>
      <c r="BO469" s="1">
        <f>IFERROR(__xludf.DUMMYFUNCTION("""COMPUTED_VALUE"""),2.0)</f>
        <v>2</v>
      </c>
      <c r="BP469" s="1">
        <f>IFERROR(__xludf.DUMMYFUNCTION("""COMPUTED_VALUE"""),2025.0)</f>
        <v>2025</v>
      </c>
    </row>
    <row r="470">
      <c r="A470" s="1">
        <f>IFERROR(__xludf.DUMMYFUNCTION("""COMPUTED_VALUE"""),469.0)</f>
        <v>469</v>
      </c>
      <c r="B470" s="1">
        <f>IFERROR(__xludf.DUMMYFUNCTION("""COMPUTED_VALUE"""),4982191.0)</f>
        <v>4982191</v>
      </c>
      <c r="C470" s="1" t="str">
        <f>IFERROR(__xludf.DUMMYFUNCTION("""COMPUTED_VALUE"""),"2025-1")</f>
        <v>2025-1</v>
      </c>
      <c r="D470" s="1" t="str">
        <f>IFERROR(__xludf.DUMMYFUNCTION("""COMPUTED_VALUE"""),"Admisión Extraordinaria (Traslados)")</f>
        <v>Admisión Extraordinaria (Traslados)</v>
      </c>
      <c r="E470" s="2">
        <f>IFERROR(__xludf.DUMMYFUNCTION("""COMPUTED_VALUE"""),45698.0)</f>
        <v>45698</v>
      </c>
      <c r="F470" s="1" t="str">
        <f>IFERROR(__xludf.DUMMYFUNCTION("""COMPUTED_VALUE"""),"DAMARIS DANIELA ")</f>
        <v>DAMARIS DANIELA </v>
      </c>
      <c r="G470" s="1" t="str">
        <f>IFERROR(__xludf.DUMMYFUNCTION("""COMPUTED_VALUE"""),"CHUPAYO FERNANDEZ")</f>
        <v>CHUPAYO FERNANDEZ</v>
      </c>
      <c r="H470" s="1" t="str">
        <f>IFERROR(__xludf.DUMMYFUNCTION("""COMPUTED_VALUE"""),"Arquitectura de Interiores")</f>
        <v>Arquitectura de Interiores</v>
      </c>
      <c r="I470" s="1" t="str">
        <f>IFERROR(__xludf.DUMMYFUNCTION("""COMPUTED_VALUE"""),"Pago Link")</f>
        <v>Pago Link</v>
      </c>
      <c r="J470" s="1" t="str">
        <f>IFERROR(__xludf.DUMMYFUNCTION("""COMPUTED_VALUE"""),"Diurno")</f>
        <v>Diurno</v>
      </c>
      <c r="K470" s="1" t="str">
        <f>IFERROR(__xludf.DUMMYFUNCTION("""COMPUTED_VALUE"""),"TRASLADO")</f>
        <v>TRASLADO</v>
      </c>
      <c r="L470" s="1">
        <f>IFERROR(__xludf.DUMMYFUNCTION("""COMPUTED_VALUE"""),1.0)</f>
        <v>1</v>
      </c>
      <c r="M470" s="1">
        <f>IFERROR(__xludf.DUMMYFUNCTION("""COMPUTED_VALUE"""),0.0)</f>
        <v>0</v>
      </c>
      <c r="N470" s="1" t="str">
        <f>IFERROR(__xludf.DUMMYFUNCTION("""COMPUTED_VALUE"""),"RECA")</f>
        <v>RECA</v>
      </c>
      <c r="O470" s="1" t="str">
        <f>IFERROR(__xludf.DUMMYFUNCTION("""COMPUTED_VALUE"""),"RECA TRASLADO CON CONVA")</f>
        <v>RECA TRASLADO CON CONVA</v>
      </c>
      <c r="P470" s="4">
        <f>IFERROR(__xludf.DUMMYFUNCTION("""COMPUTED_VALUE"""),0.0)</f>
        <v>0</v>
      </c>
      <c r="Q470" s="4">
        <f>IFERROR(__xludf.DUMMYFUNCTION("""COMPUTED_VALUE"""),0.0)</f>
        <v>0</v>
      </c>
      <c r="R470" s="4">
        <f>IFERROR(__xludf.DUMMYFUNCTION("""COMPUTED_VALUE"""),1300.0)</f>
        <v>1300</v>
      </c>
      <c r="S470" s="4">
        <f>IFERROR(__xludf.DUMMYFUNCTION("""COMPUTED_VALUE"""),700.0)</f>
        <v>700</v>
      </c>
      <c r="T470" s="1" t="str">
        <f>IFERROR(__xludf.DUMMYFUNCTION("""COMPUTED_VALUE"""),"NINGUNO")</f>
        <v>NINGUNO</v>
      </c>
      <c r="U470" s="1" t="str">
        <f>IFERROR(__xludf.DUMMYFUNCTION("""COMPUTED_VALUE"""),"RODRIGO")</f>
        <v>RODRIGO</v>
      </c>
      <c r="V470" s="1" t="str">
        <f>IFERROR(__xludf.DUMMYFUNCTION("""COMPUTED_VALUE"""),"Ninguno")</f>
        <v>Ninguno</v>
      </c>
      <c r="W470" s="1" t="str">
        <f>IFERROR(__xludf.DUMMYFUNCTION("""COMPUTED_VALUE"""),"Metodología de enseñanza")</f>
        <v>Metodología de enseñanza</v>
      </c>
      <c r="X470" s="1"/>
      <c r="Y470" s="1" t="str">
        <f>IFERROR(__xludf.DUMMYFUNCTION("""COMPUTED_VALUE"""),"PAGO FRACCIONADO")</f>
        <v>PAGO FRACCIONADO</v>
      </c>
      <c r="Z470" s="1">
        <f>IFERROR(__xludf.DUMMYFUNCTION("""COMPUTED_VALUE"""),350.0)</f>
        <v>350</v>
      </c>
      <c r="AA470" s="1" t="str">
        <f>IFERROR(__xludf.DUMMYFUNCTION("""COMPUTED_VALUE"""),"28/02/2025")</f>
        <v>28/02/2025</v>
      </c>
      <c r="AB470" s="1">
        <f>IFERROR(__xludf.DUMMYFUNCTION("""COMPUTED_VALUE"""),1.0)</f>
        <v>1</v>
      </c>
      <c r="AC470" s="1">
        <f>IFERROR(__xludf.DUMMYFUNCTION("""COMPUTED_VALUE"""),0.0)</f>
        <v>0</v>
      </c>
      <c r="AD470" s="1" t="str">
        <f>IFERROR(__xludf.DUMMYFUNCTION("""COMPUTED_VALUE"""),"Rosa Ugarte")</f>
        <v>Rosa Ugarte</v>
      </c>
      <c r="AE470" s="1" t="str">
        <f>IFERROR(__xludf.DUMMYFUNCTION("""COMPUTED_VALUE"""),"Universidad Privada Antenor Orrego(UPAO-Trujillo)")</f>
        <v>Universidad Privada Antenor Orrego(UPAO-Trujillo)</v>
      </c>
      <c r="AF470" s="1">
        <f>IFERROR(__xludf.DUMMYFUNCTION("""COMPUTED_VALUE"""),0.0)</f>
        <v>0</v>
      </c>
      <c r="AG470" s="1">
        <f>IFERROR(__xludf.DUMMYFUNCTION("""COMPUTED_VALUE"""),1770593.0)</f>
        <v>1770593</v>
      </c>
      <c r="AH470" s="1">
        <f>IFERROR(__xludf.DUMMYFUNCTION("""COMPUTED_VALUE"""),24.0)</f>
        <v>24</v>
      </c>
      <c r="AI470" s="1" t="str">
        <f>IFERROR(__xludf.DUMMYFUNCTION("""COMPUTED_VALUE"""),"0000414079")</f>
        <v>0000414079</v>
      </c>
      <c r="AJ470" s="1">
        <f>IFERROR(__xludf.DUMMYFUNCTION("""COMPUTED_VALUE"""),7.3895557E7)</f>
        <v>73895557</v>
      </c>
      <c r="AK470" s="1">
        <f>IFERROR(__xludf.DUMMYFUNCTION("""COMPUTED_VALUE"""),9.50756121E8)</f>
        <v>950756121</v>
      </c>
      <c r="AL470" s="1" t="str">
        <f>IFERROR(__xludf.DUMMYFUNCTION("""COMPUTED_VALUE"""),"chupayodamaris@gmail.com")</f>
        <v>chupayodamaris@gmail.com</v>
      </c>
      <c r="AM470" s="1" t="str">
        <f>IFERROR(__xludf.DUMMYFUNCTION("""COMPUTED_VALUE"""),"FEMENINO")</f>
        <v>FEMENINO</v>
      </c>
      <c r="AN470" s="1">
        <f>IFERROR(__xludf.DUMMYFUNCTION("""COMPUTED_VALUE"""),1525.0)</f>
        <v>1525</v>
      </c>
      <c r="AO470" s="1">
        <f>IFERROR(__xludf.DUMMYFUNCTION("""COMPUTED_VALUE"""),150.0)</f>
        <v>150</v>
      </c>
      <c r="AP470" s="1" t="str">
        <f>IFERROR(__xludf.DUMMYFUNCTION("""COMPUTED_VALUE"""),"EVENTOS")</f>
        <v>EVENTOS</v>
      </c>
      <c r="AQ470" s="1" t="str">
        <f>IFERROR(__xludf.DUMMYFUNCTION("""COMPUTED_VALUE"""),"EVENTOS")</f>
        <v>EVENTOS</v>
      </c>
      <c r="AR470" s="1" t="str">
        <f>IFERROR(__xludf.DUMMYFUNCTION("""COMPUTED_VALUE"""),"NUEVO")</f>
        <v>NUEVO</v>
      </c>
      <c r="AS470" s="1" t="str">
        <f>IFERROR(__xludf.DUMMYFUNCTION("""COMPUTED_VALUE"""),"ucal-pg-branding-sedes-abierta-lead_ads-lead_ads_branding_talleres_vivenciales-20250106")</f>
        <v>ucal-pg-branding-sedes-abierta-lead_ads-lead_ads_branding_talleres_vivenciales-20250106</v>
      </c>
      <c r="AT470" s="2">
        <f>IFERROR(__xludf.DUMMYFUNCTION("""COMPUTED_VALUE"""),45687.0)</f>
        <v>45687</v>
      </c>
      <c r="AU470" s="1">
        <f>IFERROR(__xludf.DUMMYFUNCTION("""COMPUTED_VALUE"""),1.0)</f>
        <v>1</v>
      </c>
      <c r="AV470" s="1" t="str">
        <f>IFERROR(__xludf.DUMMYFUNCTION("""COMPUTED_VALUE"""),"TRASLADO")</f>
        <v>TRASLADO</v>
      </c>
      <c r="AW470" s="1" t="str">
        <f>IFERROR(__xludf.DUMMYFUNCTION("""COMPUTED_VALUE"""),"SI")</f>
        <v>SI</v>
      </c>
      <c r="AX470" s="1"/>
      <c r="AY470" s="1" t="str">
        <f>IFERROR(__xludf.DUMMYFUNCTION("""COMPUTED_VALUE"""),"PAGO FRACCIONADO")</f>
        <v>PAGO FRACCIONADO</v>
      </c>
      <c r="AZ470" s="1"/>
      <c r="BA470" s="1">
        <f>IFERROR(__xludf.DUMMYFUNCTION("""COMPUTED_VALUE"""),0.0)</f>
        <v>0</v>
      </c>
      <c r="BB470" s="1">
        <f>IFERROR(__xludf.DUMMYFUNCTION("""COMPUTED_VALUE"""),0.0)</f>
        <v>0</v>
      </c>
      <c r="BC470" s="4">
        <f>IFERROR(__xludf.DUMMYFUNCTION("""COMPUTED_VALUE"""),350.0)</f>
        <v>350</v>
      </c>
      <c r="BD470" s="4">
        <f>IFERROR(__xludf.DUMMYFUNCTION("""COMPUTED_VALUE"""),0.0)</f>
        <v>0</v>
      </c>
      <c r="BE470" s="1">
        <f>IFERROR(__xludf.DUMMYFUNCTION("""COMPUTED_VALUE"""),2.0)</f>
        <v>2</v>
      </c>
      <c r="BF470" s="6">
        <f>IFERROR(__xludf.DUMMYFUNCTION("""COMPUTED_VALUE"""),0.5)</f>
        <v>0.5</v>
      </c>
      <c r="BG470" s="1">
        <f>IFERROR(__xludf.DUMMYFUNCTION("""COMPUTED_VALUE"""),1.0)</f>
        <v>1</v>
      </c>
      <c r="BH470" s="1" t="str">
        <f>IFERROR(__xludf.DUMMYFUNCTION("""COMPUTED_VALUE"""),"0")</f>
        <v>0</v>
      </c>
      <c r="BI470" s="4">
        <f>IFERROR(__xludf.DUMMYFUNCTION("""COMPUTED_VALUE"""),350.0)</f>
        <v>350</v>
      </c>
      <c r="BJ470" s="1">
        <f>IFERROR(__xludf.DUMMYFUNCTION("""COMPUTED_VALUE"""),0.0)</f>
        <v>0</v>
      </c>
      <c r="BK470" s="4">
        <f>IFERROR(__xludf.DUMMYFUNCTION("""COMPUTED_VALUE"""),0.0)</f>
        <v>0</v>
      </c>
      <c r="BL470" s="1">
        <f>IFERROR(__xludf.DUMMYFUNCTION("""COMPUTED_VALUE"""),700.0)</f>
        <v>700</v>
      </c>
      <c r="BM470" s="1">
        <f>IFERROR(__xludf.DUMMYFUNCTION("""COMPUTED_VALUE"""),7.0)</f>
        <v>7</v>
      </c>
      <c r="BN470" s="2">
        <f>IFERROR(__xludf.DUMMYFUNCTION("""COMPUTED_VALUE"""),45698.0)</f>
        <v>45698</v>
      </c>
      <c r="BO470" s="1">
        <f>IFERROR(__xludf.DUMMYFUNCTION("""COMPUTED_VALUE"""),2.0)</f>
        <v>2</v>
      </c>
      <c r="BP470" s="1">
        <f>IFERROR(__xludf.DUMMYFUNCTION("""COMPUTED_VALUE"""),2025.0)</f>
        <v>2025</v>
      </c>
    </row>
    <row r="471">
      <c r="A471" s="1">
        <f>IFERROR(__xludf.DUMMYFUNCTION("""COMPUTED_VALUE"""),470.0)</f>
        <v>470</v>
      </c>
      <c r="B471" s="1">
        <f>IFERROR(__xludf.DUMMYFUNCTION("""COMPUTED_VALUE"""),728398.0)</f>
        <v>728398</v>
      </c>
      <c r="C471" s="1" t="str">
        <f>IFERROR(__xludf.DUMMYFUNCTION("""COMPUTED_VALUE"""),"2025-1")</f>
        <v>2025-1</v>
      </c>
      <c r="D471" s="1" t="str">
        <f>IFERROR(__xludf.DUMMYFUNCTION("""COMPUTED_VALUE"""),"Admisión Extraordinaria (Traslados)")</f>
        <v>Admisión Extraordinaria (Traslados)</v>
      </c>
      <c r="E471" s="2">
        <f>IFERROR(__xludf.DUMMYFUNCTION("""COMPUTED_VALUE"""),45698.0)</f>
        <v>45698</v>
      </c>
      <c r="F471" s="1" t="str">
        <f>IFERROR(__xludf.DUMMYFUNCTION("""COMPUTED_VALUE"""),"JOSSY VILMA ")</f>
        <v>JOSSY VILMA </v>
      </c>
      <c r="G471" s="1" t="str">
        <f>IFERROR(__xludf.DUMMYFUNCTION("""COMPUTED_VALUE"""),"RAMOS ORTIZ")</f>
        <v>RAMOS ORTIZ</v>
      </c>
      <c r="H471" s="1" t="str">
        <f>IFERROR(__xludf.DUMMYFUNCTION("""COMPUTED_VALUE"""),"Arquitectura")</f>
        <v>Arquitectura</v>
      </c>
      <c r="I471" s="1" t="str">
        <f>IFERROR(__xludf.DUMMYFUNCTION("""COMPUTED_VALUE"""),"CARGO")</f>
        <v>CARGO</v>
      </c>
      <c r="J471" s="1" t="str">
        <f>IFERROR(__xludf.DUMMYFUNCTION("""COMPUTED_VALUE"""),"Diurno")</f>
        <v>Diurno</v>
      </c>
      <c r="K471" s="1" t="str">
        <f>IFERROR(__xludf.DUMMYFUNCTION("""COMPUTED_VALUE"""),"TRASLADO")</f>
        <v>TRASLADO</v>
      </c>
      <c r="L471" s="1">
        <f>IFERROR(__xludf.DUMMYFUNCTION("""COMPUTED_VALUE"""),1.0)</f>
        <v>1</v>
      </c>
      <c r="M471" s="1">
        <f>IFERROR(__xludf.DUMMYFUNCTION("""COMPUTED_VALUE"""),0.0)</f>
        <v>0</v>
      </c>
      <c r="N471" s="1" t="str">
        <f>IFERROR(__xludf.DUMMYFUNCTION("""COMPUTED_VALUE"""),"RECA")</f>
        <v>RECA</v>
      </c>
      <c r="O471" s="1" t="str">
        <f>IFERROR(__xludf.DUMMYFUNCTION("""COMPUTED_VALUE"""),"RECA TRASLADO CON CONVA")</f>
        <v>RECA TRASLADO CON CONVA</v>
      </c>
      <c r="P471" s="4">
        <f>IFERROR(__xludf.DUMMYFUNCTION("""COMPUTED_VALUE"""),0.0)</f>
        <v>0</v>
      </c>
      <c r="Q471" s="4">
        <f>IFERROR(__xludf.DUMMYFUNCTION("""COMPUTED_VALUE"""),0.0)</f>
        <v>0</v>
      </c>
      <c r="R471" s="4">
        <f>IFERROR(__xludf.DUMMYFUNCTION("""COMPUTED_VALUE"""),850.0)</f>
        <v>850</v>
      </c>
      <c r="S471" s="4">
        <f>IFERROR(__xludf.DUMMYFUNCTION("""COMPUTED_VALUE"""),800.0)</f>
        <v>800</v>
      </c>
      <c r="T471" s="1" t="str">
        <f>IFERROR(__xludf.DUMMYFUNCTION("""COMPUTED_VALUE"""),"NINGUNO")</f>
        <v>NINGUNO</v>
      </c>
      <c r="U471" s="1"/>
      <c r="V471" s="1" t="str">
        <f>IFERROR(__xludf.DUMMYFUNCTION("""COMPUTED_VALUE"""),"Ninguno")</f>
        <v>Ninguno</v>
      </c>
      <c r="W471" s="1" t="str">
        <f>IFERROR(__xludf.DUMMYFUNCTION("""COMPUTED_VALUE"""),"Descuentos en boletas de pago")</f>
        <v>Descuentos en boletas de pago</v>
      </c>
      <c r="X471" s="1"/>
      <c r="Y471" s="1" t="str">
        <f>IFERROR(__xludf.DUMMYFUNCTION("""COMPUTED_VALUE"""),"PAGO COMPLETO")</f>
        <v>PAGO COMPLETO</v>
      </c>
      <c r="Z471" s="1"/>
      <c r="AA471" s="1"/>
      <c r="AB471" s="1">
        <f>IFERROR(__xludf.DUMMYFUNCTION("""COMPUTED_VALUE"""),0.0)</f>
        <v>0</v>
      </c>
      <c r="AC471" s="1">
        <f>IFERROR(__xludf.DUMMYFUNCTION("""COMPUTED_VALUE"""),0.0)</f>
        <v>0</v>
      </c>
      <c r="AD471" s="1" t="str">
        <f>IFERROR(__xludf.DUMMYFUNCTION("""COMPUTED_VALUE"""),"Ingrid Guillermo Rivera")</f>
        <v>Ingrid Guillermo Rivera</v>
      </c>
      <c r="AE471" s="1" t="str">
        <f>IFERROR(__xludf.DUMMYFUNCTION("""COMPUTED_VALUE"""),"Instituto de Educación Superior Tecnológico Privado Toulouse Lautrec")</f>
        <v>Instituto de Educación Superior Tecnológico Privado Toulouse Lautrec</v>
      </c>
      <c r="AF471" s="1">
        <f>IFERROR(__xludf.DUMMYFUNCTION("""COMPUTED_VALUE"""),2022.0)</f>
        <v>2022</v>
      </c>
      <c r="AG471" s="1">
        <f>IFERROR(__xludf.DUMMYFUNCTION("""COMPUTED_VALUE"""),0.0)</f>
        <v>0</v>
      </c>
      <c r="AH471" s="1">
        <f>IFERROR(__xludf.DUMMYFUNCTION("""COMPUTED_VALUE"""),27.0)</f>
        <v>27</v>
      </c>
      <c r="AI471" s="1" t="str">
        <f>IFERROR(__xludf.DUMMYFUNCTION("""COMPUTED_VALUE"""),"2018000152")</f>
        <v>2018000152</v>
      </c>
      <c r="AJ471" s="1">
        <f>IFERROR(__xludf.DUMMYFUNCTION("""COMPUTED_VALUE"""),7.2758285E7)</f>
        <v>72758285</v>
      </c>
      <c r="AK471" s="1">
        <f>IFERROR(__xludf.DUMMYFUNCTION("""COMPUTED_VALUE"""),9.46534158E8)</f>
        <v>946534158</v>
      </c>
      <c r="AL471" s="1" t="str">
        <f>IFERROR(__xludf.DUMMYFUNCTION("""COMPUTED_VALUE"""),"jossyramos3@gmail.com")</f>
        <v>jossyramos3@gmail.com</v>
      </c>
      <c r="AM471" s="1" t="str">
        <f>IFERROR(__xludf.DUMMYFUNCTION("""COMPUTED_VALUE"""),"FEMENINO")</f>
        <v>FEMENINO</v>
      </c>
      <c r="AN471" s="1">
        <f>IFERROR(__xludf.DUMMYFUNCTION("""COMPUTED_VALUE"""),1350.0)</f>
        <v>1350</v>
      </c>
      <c r="AO471" s="1">
        <f>IFERROR(__xludf.DUMMYFUNCTION("""COMPUTED_VALUE"""),0.0)</f>
        <v>0</v>
      </c>
      <c r="AP471" s="1" t="str">
        <f>IFERROR(__xludf.DUMMYFUNCTION("""COMPUTED_VALUE"""),"BIDIRECCIONAL")</f>
        <v>BIDIRECCIONAL</v>
      </c>
      <c r="AQ471" s="1" t="str">
        <f>IFERROR(__xludf.DUMMYFUNCTION("""COMPUTED_VALUE"""),"ORGANICO")</f>
        <v>ORGANICO</v>
      </c>
      <c r="AR471" s="1" t="str">
        <f>IFERROR(__xludf.DUMMYFUNCTION("""COMPUTED_VALUE"""),"HEREDADO")</f>
        <v>HEREDADO</v>
      </c>
      <c r="AS471" s="1"/>
      <c r="AT471" s="2">
        <f>IFERROR(__xludf.DUMMYFUNCTION("""COMPUTED_VALUE"""),45672.0)</f>
        <v>45672</v>
      </c>
      <c r="AU471" s="1">
        <f>IFERROR(__xludf.DUMMYFUNCTION("""COMPUTED_VALUE"""),1.0)</f>
        <v>1</v>
      </c>
      <c r="AV471" s="1" t="str">
        <f>IFERROR(__xludf.DUMMYFUNCTION("""COMPUTED_VALUE"""),"TRASLADO")</f>
        <v>TRASLADO</v>
      </c>
      <c r="AW471" s="1" t="str">
        <f>IFERROR(__xludf.DUMMYFUNCTION("""COMPUTED_VALUE"""),"SI")</f>
        <v>SI</v>
      </c>
      <c r="AX471" s="1"/>
      <c r="AY471" s="1" t="str">
        <f>IFERROR(__xludf.DUMMYFUNCTION("""COMPUTED_VALUE"""),"PAGO COMPLETO")</f>
        <v>PAGO COMPLETO</v>
      </c>
      <c r="AZ471" s="5">
        <f>IFERROR(__xludf.DUMMYFUNCTION("""COMPUTED_VALUE"""),45698.0)</f>
        <v>45698</v>
      </c>
      <c r="BA471" s="1">
        <f>IFERROR(__xludf.DUMMYFUNCTION("""COMPUTED_VALUE"""),0.0)</f>
        <v>0</v>
      </c>
      <c r="BB471" s="1">
        <f>IFERROR(__xludf.DUMMYFUNCTION("""COMPUTED_VALUE"""),0.0)</f>
        <v>0</v>
      </c>
      <c r="BC471" s="4">
        <f>IFERROR(__xludf.DUMMYFUNCTION("""COMPUTED_VALUE"""),0.0)</f>
        <v>0</v>
      </c>
      <c r="BD471" s="4">
        <f>IFERROR(__xludf.DUMMYFUNCTION("""COMPUTED_VALUE"""),0.0)</f>
        <v>0</v>
      </c>
      <c r="BE471" s="1">
        <f>IFERROR(__xludf.DUMMYFUNCTION("""COMPUTED_VALUE"""),2.0)</f>
        <v>2</v>
      </c>
      <c r="BF471" s="6">
        <f>IFERROR(__xludf.DUMMYFUNCTION("""COMPUTED_VALUE"""),1.0)</f>
        <v>1</v>
      </c>
      <c r="BG471" s="1">
        <f>IFERROR(__xludf.DUMMYFUNCTION("""COMPUTED_VALUE"""),1.0)</f>
        <v>1</v>
      </c>
      <c r="BH471" s="1" t="str">
        <f>IFERROR(__xludf.DUMMYFUNCTION("""COMPUTED_VALUE"""),"1")</f>
        <v>1</v>
      </c>
      <c r="BI471" s="4">
        <f>IFERROR(__xludf.DUMMYFUNCTION("""COMPUTED_VALUE"""),0.0)</f>
        <v>0</v>
      </c>
      <c r="BJ471" s="1">
        <f>IFERROR(__xludf.DUMMYFUNCTION("""COMPUTED_VALUE"""),0.0)</f>
        <v>0</v>
      </c>
      <c r="BK471" s="4">
        <f>IFERROR(__xludf.DUMMYFUNCTION("""COMPUTED_VALUE"""),0.0)</f>
        <v>0</v>
      </c>
      <c r="BL471" s="1">
        <f>IFERROR(__xludf.DUMMYFUNCTION("""COMPUTED_VALUE"""),800.0)</f>
        <v>800</v>
      </c>
      <c r="BM471" s="1">
        <f>IFERROR(__xludf.DUMMYFUNCTION("""COMPUTED_VALUE"""),7.0)</f>
        <v>7</v>
      </c>
      <c r="BN471" s="2">
        <f>IFERROR(__xludf.DUMMYFUNCTION("""COMPUTED_VALUE"""),45698.0)</f>
        <v>45698</v>
      </c>
      <c r="BO471" s="1">
        <f>IFERROR(__xludf.DUMMYFUNCTION("""COMPUTED_VALUE"""),2.0)</f>
        <v>2</v>
      </c>
      <c r="BP471" s="1">
        <f>IFERROR(__xludf.DUMMYFUNCTION("""COMPUTED_VALUE"""),2025.0)</f>
        <v>2025</v>
      </c>
    </row>
    <row r="472">
      <c r="A472" s="1">
        <f>IFERROR(__xludf.DUMMYFUNCTION("""COMPUTED_VALUE"""),471.0)</f>
        <v>471</v>
      </c>
      <c r="B472" s="1">
        <f>IFERROR(__xludf.DUMMYFUNCTION("""COMPUTED_VALUE"""),1990115.0)</f>
        <v>1990115</v>
      </c>
      <c r="C472" s="1" t="str">
        <f>IFERROR(__xludf.DUMMYFUNCTION("""COMPUTED_VALUE"""),"2025-1")</f>
        <v>2025-1</v>
      </c>
      <c r="D472" s="1" t="str">
        <f>IFERROR(__xludf.DUMMYFUNCTION("""COMPUTED_VALUE"""),"Admisión Ordinaria")</f>
        <v>Admisión Ordinaria</v>
      </c>
      <c r="E472" s="2">
        <f>IFERROR(__xludf.DUMMYFUNCTION("""COMPUTED_VALUE"""),45699.0)</f>
        <v>45699</v>
      </c>
      <c r="F472" s="1" t="str">
        <f>IFERROR(__xludf.DUMMYFUNCTION("""COMPUTED_VALUE"""),"KEVIN CRIS ")</f>
        <v>KEVIN CRIS </v>
      </c>
      <c r="G472" s="1" t="str">
        <f>IFERROR(__xludf.DUMMYFUNCTION("""COMPUTED_VALUE"""),"ARONI NAVARRO")</f>
        <v>ARONI NAVARRO</v>
      </c>
      <c r="H472" s="1" t="str">
        <f>IFERROR(__xludf.DUMMYFUNCTION("""COMPUTED_VALUE"""),"Comunicación Audiovisual y Cine")</f>
        <v>Comunicación Audiovisual y Cine</v>
      </c>
      <c r="I472" s="1" t="str">
        <f>IFERROR(__xludf.DUMMYFUNCTION("""COMPUTED_VALUE"""),"CARGO")</f>
        <v>CARGO</v>
      </c>
      <c r="J472" s="1" t="str">
        <f>IFERROR(__xludf.DUMMYFUNCTION("""COMPUTED_VALUE"""),"Diurno")</f>
        <v>Diurno</v>
      </c>
      <c r="K472" s="1" t="str">
        <f>IFERROR(__xludf.DUMMYFUNCTION("""COMPUTED_VALUE"""),"TRASLADO")</f>
        <v>TRASLADO</v>
      </c>
      <c r="L472" s="1">
        <f>IFERROR(__xludf.DUMMYFUNCTION("""COMPUTED_VALUE"""),0.0)</f>
        <v>0</v>
      </c>
      <c r="M472" s="1">
        <f>IFERROR(__xludf.DUMMYFUNCTION("""COMPUTED_VALUE"""),1.0)</f>
        <v>1</v>
      </c>
      <c r="N472" s="1" t="str">
        <f>IFERROR(__xludf.DUMMYFUNCTION("""COMPUTED_VALUE"""),"BECA")</f>
        <v>BECA</v>
      </c>
      <c r="O472" s="1" t="str">
        <f>IFERROR(__xludf.DUMMYFUNCTION("""COMPUTED_VALUE"""),"BECA CONGELADA DE 2 AÑOS")</f>
        <v>BECA CONGELADA DE 2 AÑOS</v>
      </c>
      <c r="P472" s="4">
        <f>IFERROR(__xludf.DUMMYFUNCTION("""COMPUTED_VALUE"""),0.0)</f>
        <v>0</v>
      </c>
      <c r="Q472" s="4">
        <f>IFERROR(__xludf.DUMMYFUNCTION("""COMPUTED_VALUE"""),0.0)</f>
        <v>0</v>
      </c>
      <c r="R472" s="4">
        <f>IFERROR(__xludf.DUMMYFUNCTION("""COMPUTED_VALUE"""),950.0)</f>
        <v>950</v>
      </c>
      <c r="S472" s="4">
        <f>IFERROR(__xludf.DUMMYFUNCTION("""COMPUTED_VALUE"""),800.0)</f>
        <v>800</v>
      </c>
      <c r="T472" s="1" t="str">
        <f>IFERROR(__xludf.DUMMYFUNCTION("""COMPUTED_VALUE"""),"PALANCA 500")</f>
        <v>PALANCA 500</v>
      </c>
      <c r="U472" s="1" t="str">
        <f>IFERROR(__xludf.DUMMYFUNCTION("""COMPUTED_VALUE"""),"RODRIGO")</f>
        <v>RODRIGO</v>
      </c>
      <c r="V472" s="1" t="str">
        <f>IFERROR(__xludf.DUMMYFUNCTION("""COMPUTED_VALUE"""),"Ninguno")</f>
        <v>Ninguno</v>
      </c>
      <c r="W472" s="1" t="str">
        <f>IFERROR(__xludf.DUMMYFUNCTION("""COMPUTED_VALUE"""),"Metodología de enseñanza")</f>
        <v>Metodología de enseñanza</v>
      </c>
      <c r="X472" s="1" t="str">
        <f>IFERROR(__xludf.DUMMYFUNCTION("""COMPUTED_VALUE"""),"0")</f>
        <v>0</v>
      </c>
      <c r="Y472" s="1" t="str">
        <f>IFERROR(__xludf.DUMMYFUNCTION("""COMPUTED_VALUE"""),"PAGO COMPLETO")</f>
        <v>PAGO COMPLETO</v>
      </c>
      <c r="Z472" s="1"/>
      <c r="AA472" s="1"/>
      <c r="AB472" s="1">
        <f>IFERROR(__xludf.DUMMYFUNCTION("""COMPUTED_VALUE"""),0.0)</f>
        <v>0</v>
      </c>
      <c r="AC472" s="1">
        <f>IFERROR(__xludf.DUMMYFUNCTION("""COMPUTED_VALUE"""),0.0)</f>
        <v>0</v>
      </c>
      <c r="AD472" s="1" t="str">
        <f>IFERROR(__xludf.DUMMYFUNCTION("""COMPUTED_VALUE"""),"Andrea Araujo Antara")</f>
        <v>Andrea Araujo Antara</v>
      </c>
      <c r="AE472" s="1" t="str">
        <f>IFERROR(__xludf.DUMMYFUNCTION("""COMPUTED_VALUE"""),"0")</f>
        <v>0</v>
      </c>
      <c r="AF472" s="1">
        <f>IFERROR(__xludf.DUMMYFUNCTION("""COMPUTED_VALUE"""),2018.0)</f>
        <v>2018</v>
      </c>
      <c r="AG472" s="1">
        <f>IFERROR(__xludf.DUMMYFUNCTION("""COMPUTED_VALUE"""),1441310.0)</f>
        <v>1441310</v>
      </c>
      <c r="AH472" s="1">
        <f>IFERROR(__xludf.DUMMYFUNCTION("""COMPUTED_VALUE"""),24.0)</f>
        <v>24</v>
      </c>
      <c r="AI472" s="1" t="str">
        <f>IFERROR(__xludf.DUMMYFUNCTION("""COMPUTED_VALUE"""),"0000414122")</f>
        <v>0000414122</v>
      </c>
      <c r="AJ472" s="1">
        <f>IFERROR(__xludf.DUMMYFUNCTION("""COMPUTED_VALUE"""),7.4215708E7)</f>
        <v>74215708</v>
      </c>
      <c r="AK472" s="1">
        <f>IFERROR(__xludf.DUMMYFUNCTION("""COMPUTED_VALUE"""),9.23828335E8)</f>
        <v>923828335</v>
      </c>
      <c r="AL472" s="1" t="str">
        <f>IFERROR(__xludf.DUMMYFUNCTION("""COMPUTED_VALUE"""),"gameoverkevin55@gmail.com")</f>
        <v>gameoverkevin55@gmail.com</v>
      </c>
      <c r="AM472" s="1" t="str">
        <f>IFERROR(__xludf.DUMMYFUNCTION("""COMPUTED_VALUE"""),"MASCULINO")</f>
        <v>MASCULINO</v>
      </c>
      <c r="AN472" s="1">
        <f>IFERROR(__xludf.DUMMYFUNCTION("""COMPUTED_VALUE"""),1775.0)</f>
        <v>1775</v>
      </c>
      <c r="AO472" s="1">
        <f>IFERROR(__xludf.DUMMYFUNCTION("""COMPUTED_VALUE"""),380.0)</f>
        <v>380</v>
      </c>
      <c r="AP472" s="1" t="str">
        <f>IFERROR(__xludf.DUMMYFUNCTION("""COMPUTED_VALUE"""),"INBOUND")</f>
        <v>INBOUND</v>
      </c>
      <c r="AQ472" s="1" t="str">
        <f>IFERROR(__xludf.DUMMYFUNCTION("""COMPUTED_VALUE"""),"INBOUND")</f>
        <v>INBOUND</v>
      </c>
      <c r="AR472" s="1" t="str">
        <f>IFERROR(__xludf.DUMMYFUNCTION("""COMPUTED_VALUE"""),"HEREDADO")</f>
        <v>HEREDADO</v>
      </c>
      <c r="AS472" s="1"/>
      <c r="AT472" s="2">
        <f>IFERROR(__xludf.DUMMYFUNCTION("""COMPUTED_VALUE"""),45695.0)</f>
        <v>45695</v>
      </c>
      <c r="AU472" s="1">
        <f>IFERROR(__xludf.DUMMYFUNCTION("""COMPUTED_VALUE"""),1.0)</f>
        <v>1</v>
      </c>
      <c r="AV472" s="1" t="str">
        <f>IFERROR(__xludf.DUMMYFUNCTION("""COMPUTED_VALUE"""),"NUEVO")</f>
        <v>NUEVO</v>
      </c>
      <c r="AW472" s="1" t="str">
        <f>IFERROR(__xludf.DUMMYFUNCTION("""COMPUTED_VALUE"""),"SI")</f>
        <v>SI</v>
      </c>
      <c r="AX472" s="1"/>
      <c r="AY472" s="1" t="str">
        <f>IFERROR(__xludf.DUMMYFUNCTION("""COMPUTED_VALUE"""),"PAGO COMPLETO")</f>
        <v>PAGO COMPLETO</v>
      </c>
      <c r="AZ472" s="5">
        <f>IFERROR(__xludf.DUMMYFUNCTION("""COMPUTED_VALUE"""),45699.0)</f>
        <v>45699</v>
      </c>
      <c r="BA472" s="1">
        <f>IFERROR(__xludf.DUMMYFUNCTION("""COMPUTED_VALUE"""),0.0)</f>
        <v>0</v>
      </c>
      <c r="BB472" s="1">
        <f>IFERROR(__xludf.DUMMYFUNCTION("""COMPUTED_VALUE"""),0.0)</f>
        <v>0</v>
      </c>
      <c r="BC472" s="4">
        <f>IFERROR(__xludf.DUMMYFUNCTION("""COMPUTED_VALUE"""),0.0)</f>
        <v>0</v>
      </c>
      <c r="BD472" s="4">
        <f>IFERROR(__xludf.DUMMYFUNCTION("""COMPUTED_VALUE"""),300.0)</f>
        <v>300</v>
      </c>
      <c r="BE472" s="1">
        <f>IFERROR(__xludf.DUMMYFUNCTION("""COMPUTED_VALUE"""),2.0)</f>
        <v>2</v>
      </c>
      <c r="BF472" s="6">
        <f>IFERROR(__xludf.DUMMYFUNCTION("""COMPUTED_VALUE"""),1.0)</f>
        <v>1</v>
      </c>
      <c r="BG472" s="1">
        <f>IFERROR(__xludf.DUMMYFUNCTION("""COMPUTED_VALUE"""),1.0)</f>
        <v>1</v>
      </c>
      <c r="BH472" s="1" t="str">
        <f>IFERROR(__xludf.DUMMYFUNCTION("""COMPUTED_VALUE"""),"0")</f>
        <v>0</v>
      </c>
      <c r="BI472" s="4">
        <f>IFERROR(__xludf.DUMMYFUNCTION("""COMPUTED_VALUE"""),300.0)</f>
        <v>300</v>
      </c>
      <c r="BJ472" s="1">
        <f>IFERROR(__xludf.DUMMYFUNCTION("""COMPUTED_VALUE"""),0.0)</f>
        <v>0</v>
      </c>
      <c r="BK472" s="4">
        <f>IFERROR(__xludf.DUMMYFUNCTION("""COMPUTED_VALUE"""),300.0)</f>
        <v>300</v>
      </c>
      <c r="BL472" s="1">
        <f>IFERROR(__xludf.DUMMYFUNCTION("""COMPUTED_VALUE"""),740.0)</f>
        <v>740</v>
      </c>
      <c r="BM472" s="1">
        <f>IFERROR(__xludf.DUMMYFUNCTION("""COMPUTED_VALUE"""),7.0)</f>
        <v>7</v>
      </c>
      <c r="BN472" s="2">
        <f>IFERROR(__xludf.DUMMYFUNCTION("""COMPUTED_VALUE"""),45698.0)</f>
        <v>45698</v>
      </c>
      <c r="BO472" s="1">
        <f>IFERROR(__xludf.DUMMYFUNCTION("""COMPUTED_VALUE"""),2.0)</f>
        <v>2</v>
      </c>
      <c r="BP472" s="1">
        <f>IFERROR(__xludf.DUMMYFUNCTION("""COMPUTED_VALUE"""),2025.0)</f>
        <v>2025</v>
      </c>
    </row>
    <row r="473">
      <c r="A473" s="1">
        <f>IFERROR(__xludf.DUMMYFUNCTION("""COMPUTED_VALUE"""),472.0)</f>
        <v>472</v>
      </c>
      <c r="B473" s="1">
        <f>IFERROR(__xludf.DUMMYFUNCTION("""COMPUTED_VALUE"""),4963807.0)</f>
        <v>4963807</v>
      </c>
      <c r="C473" s="1" t="str">
        <f>IFERROR(__xludf.DUMMYFUNCTION("""COMPUTED_VALUE"""),"2025-1")</f>
        <v>2025-1</v>
      </c>
      <c r="D473" s="1" t="str">
        <f>IFERROR(__xludf.DUMMYFUNCTION("""COMPUTED_VALUE"""),"Admisión de Alto Rendimiento")</f>
        <v>Admisión de Alto Rendimiento</v>
      </c>
      <c r="E473" s="2">
        <f>IFERROR(__xludf.DUMMYFUNCTION("""COMPUTED_VALUE"""),45699.0)</f>
        <v>45699</v>
      </c>
      <c r="F473" s="1" t="str">
        <f>IFERROR(__xludf.DUMMYFUNCTION("""COMPUTED_VALUE"""),"ANGELY DEL MILAGRO ")</f>
        <v>ANGELY DEL MILAGRO </v>
      </c>
      <c r="G473" s="1" t="str">
        <f>IFERROR(__xludf.DUMMYFUNCTION("""COMPUTED_VALUE"""),"LIZANA TRIVEÑO")</f>
        <v>LIZANA TRIVEÑO</v>
      </c>
      <c r="H473" s="1" t="str">
        <f>IFERROR(__xludf.DUMMYFUNCTION("""COMPUTED_VALUE"""),"Comunicación")</f>
        <v>Comunicación</v>
      </c>
      <c r="I473" s="1" t="str">
        <f>IFERROR(__xludf.DUMMYFUNCTION("""COMPUTED_VALUE"""),"POS")</f>
        <v>POS</v>
      </c>
      <c r="J473" s="1" t="str">
        <f>IFERROR(__xludf.DUMMYFUNCTION("""COMPUTED_VALUE"""),"Diurno")</f>
        <v>Diurno</v>
      </c>
      <c r="K473" s="1" t="str">
        <f>IFERROR(__xludf.DUMMYFUNCTION("""COMPUTED_VALUE"""),"NUEVO")</f>
        <v>NUEVO</v>
      </c>
      <c r="L473" s="1">
        <f>IFERROR(__xludf.DUMMYFUNCTION("""COMPUTED_VALUE"""),0.0)</f>
        <v>0</v>
      </c>
      <c r="M473" s="1">
        <f>IFERROR(__xludf.DUMMYFUNCTION("""COMPUTED_VALUE"""),0.0)</f>
        <v>0</v>
      </c>
      <c r="N473" s="1" t="str">
        <f>IFERROR(__xludf.DUMMYFUNCTION("""COMPUTED_VALUE"""),"BECA")</f>
        <v>BECA</v>
      </c>
      <c r="O473" s="1" t="str">
        <f>IFERROR(__xludf.DUMMYFUNCTION("""COMPUTED_VALUE"""),"BECA CONGELADA DE 2 AÑOS")</f>
        <v>BECA CONGELADA DE 2 AÑOS</v>
      </c>
      <c r="P473" s="4">
        <f>IFERROR(__xludf.DUMMYFUNCTION("""COMPUTED_VALUE"""),0.0)</f>
        <v>0</v>
      </c>
      <c r="Q473" s="4">
        <f>IFERROR(__xludf.DUMMYFUNCTION("""COMPUTED_VALUE"""),0.0)</f>
        <v>0</v>
      </c>
      <c r="R473" s="4">
        <f>IFERROR(__xludf.DUMMYFUNCTION("""COMPUTED_VALUE"""),1100.0)</f>
        <v>1100</v>
      </c>
      <c r="S473" s="4">
        <f>IFERROR(__xludf.DUMMYFUNCTION("""COMPUTED_VALUE"""),1000.0)</f>
        <v>1000</v>
      </c>
      <c r="T473" s="1" t="str">
        <f>IFERROR(__xludf.DUMMYFUNCTION("""COMPUTED_VALUE"""),"PALANCA 500")</f>
        <v>PALANCA 500</v>
      </c>
      <c r="U473" s="1" t="str">
        <f>IFERROR(__xludf.DUMMYFUNCTION("""COMPUTED_VALUE"""),"RODRIGO")</f>
        <v>RODRIGO</v>
      </c>
      <c r="V473" s="1" t="str">
        <f>IFERROR(__xludf.DUMMYFUNCTION("""COMPUTED_VALUE"""),"Ninguno")</f>
        <v>Ninguno</v>
      </c>
      <c r="W473" s="1" t="str">
        <f>IFERROR(__xludf.DUMMYFUNCTION("""COMPUTED_VALUE"""),"Metodología de enseñanza")</f>
        <v>Metodología de enseñanza</v>
      </c>
      <c r="X473" s="1"/>
      <c r="Y473" s="1" t="str">
        <f>IFERROR(__xludf.DUMMYFUNCTION("""COMPUTED_VALUE"""),"PAGO COMPLETO")</f>
        <v>PAGO COMPLETO</v>
      </c>
      <c r="Z473" s="1"/>
      <c r="AA473" s="1"/>
      <c r="AB473" s="1">
        <f>IFERROR(__xludf.DUMMYFUNCTION("""COMPUTED_VALUE"""),0.0)</f>
        <v>0</v>
      </c>
      <c r="AC473" s="1">
        <f>IFERROR(__xludf.DUMMYFUNCTION("""COMPUTED_VALUE"""),0.0)</f>
        <v>0</v>
      </c>
      <c r="AD473" s="1" t="str">
        <f>IFERROR(__xludf.DUMMYFUNCTION("""COMPUTED_VALUE"""),"Ingrid Guillermo Rivera")</f>
        <v>Ingrid Guillermo Rivera</v>
      </c>
      <c r="AE473" s="1" t="str">
        <f>IFERROR(__xludf.DUMMYFUNCTION("""COMPUTED_VALUE"""),"0")</f>
        <v>0</v>
      </c>
      <c r="AF473" s="1">
        <f>IFERROR(__xludf.DUMMYFUNCTION("""COMPUTED_VALUE"""),2024.0)</f>
        <v>2024</v>
      </c>
      <c r="AG473" s="1">
        <f>IFERROR(__xludf.DUMMYFUNCTION("""COMPUTED_VALUE"""),1704329.0)</f>
        <v>1704329</v>
      </c>
      <c r="AH473" s="1">
        <f>IFERROR(__xludf.DUMMYFUNCTION("""COMPUTED_VALUE"""),18.0)</f>
        <v>18</v>
      </c>
      <c r="AI473" s="1" t="str">
        <f>IFERROR(__xludf.DUMMYFUNCTION("""COMPUTED_VALUE"""),"0000414274")</f>
        <v>0000414274</v>
      </c>
      <c r="AJ473" s="1">
        <f>IFERROR(__xludf.DUMMYFUNCTION("""COMPUTED_VALUE"""),6.1180644E7)</f>
        <v>61180644</v>
      </c>
      <c r="AK473" s="1">
        <f>IFERROR(__xludf.DUMMYFUNCTION("""COMPUTED_VALUE"""),9.60643245E8)</f>
        <v>960643245</v>
      </c>
      <c r="AL473" s="1" t="str">
        <f>IFERROR(__xludf.DUMMYFUNCTION("""COMPUTED_VALUE"""),"ANGELYLIZANA.OFF@gmail.com")</f>
        <v>ANGELYLIZANA.OFF@gmail.com</v>
      </c>
      <c r="AM473" s="1" t="str">
        <f>IFERROR(__xludf.DUMMYFUNCTION("""COMPUTED_VALUE"""),"FEMENINO")</f>
        <v>FEMENINO</v>
      </c>
      <c r="AN473" s="1">
        <f>IFERROR(__xludf.DUMMYFUNCTION("""COMPUTED_VALUE"""),1775.0)</f>
        <v>1775</v>
      </c>
      <c r="AO473" s="1">
        <f>IFERROR(__xludf.DUMMYFUNCTION("""COMPUTED_VALUE"""),390.0)</f>
        <v>390</v>
      </c>
      <c r="AP473" s="1" t="str">
        <f>IFERROR(__xludf.DUMMYFUNCTION("""COMPUTED_VALUE"""),"FORMULARIO")</f>
        <v>FORMULARIO</v>
      </c>
      <c r="AQ473" s="1" t="str">
        <f>IFERROR(__xludf.DUMMYFUNCTION("""COMPUTED_VALUE"""),"SEARCH CARRERA")</f>
        <v>SEARCH CARRERA</v>
      </c>
      <c r="AR473" s="1" t="str">
        <f>IFERROR(__xludf.DUMMYFUNCTION("""COMPUTED_VALUE"""),"NUEVO")</f>
        <v>NUEVO</v>
      </c>
      <c r="AS473" s="1" t="str">
        <f>IFERROR(__xludf.DUMMYFUNCTION("""COMPUTED_VALUE"""),"ucal-pg-performance-sedes-abierta-cpl-search_conversion_mundo_comunicaciones_reactivacion-20241105")</f>
        <v>ucal-pg-performance-sedes-abierta-cpl-search_conversion_mundo_comunicaciones_reactivacion-20241105</v>
      </c>
      <c r="AT473" s="2">
        <f>IFERROR(__xludf.DUMMYFUNCTION("""COMPUTED_VALUE"""),45678.0)</f>
        <v>45678</v>
      </c>
      <c r="AU473" s="1">
        <f>IFERROR(__xludf.DUMMYFUNCTION("""COMPUTED_VALUE"""),1.0)</f>
        <v>1</v>
      </c>
      <c r="AV473" s="1" t="str">
        <f>IFERROR(__xludf.DUMMYFUNCTION("""COMPUTED_VALUE"""),"NUEVO")</f>
        <v>NUEVO</v>
      </c>
      <c r="AW473" s="1" t="str">
        <f>IFERROR(__xludf.DUMMYFUNCTION("""COMPUTED_VALUE"""),"SI")</f>
        <v>SI</v>
      </c>
      <c r="AX473" s="1"/>
      <c r="AY473" s="1" t="str">
        <f>IFERROR(__xludf.DUMMYFUNCTION("""COMPUTED_VALUE"""),"PAGO COMPLETO")</f>
        <v>PAGO COMPLETO</v>
      </c>
      <c r="AZ473" s="5">
        <f>IFERROR(__xludf.DUMMYFUNCTION("""COMPUTED_VALUE"""),45699.0)</f>
        <v>45699</v>
      </c>
      <c r="BA473" s="1">
        <f>IFERROR(__xludf.DUMMYFUNCTION("""COMPUTED_VALUE"""),0.0)</f>
        <v>0</v>
      </c>
      <c r="BB473" s="1">
        <f>IFERROR(__xludf.DUMMYFUNCTION("""COMPUTED_VALUE"""),0.0)</f>
        <v>0</v>
      </c>
      <c r="BC473" s="4">
        <f>IFERROR(__xludf.DUMMYFUNCTION("""COMPUTED_VALUE"""),0.0)</f>
        <v>0</v>
      </c>
      <c r="BD473" s="4">
        <f>IFERROR(__xludf.DUMMYFUNCTION("""COMPUTED_VALUE"""),500.0)</f>
        <v>500</v>
      </c>
      <c r="BE473" s="1">
        <f>IFERROR(__xludf.DUMMYFUNCTION("""COMPUTED_VALUE"""),2.0)</f>
        <v>2</v>
      </c>
      <c r="BF473" s="6">
        <f>IFERROR(__xludf.DUMMYFUNCTION("""COMPUTED_VALUE"""),1.0)</f>
        <v>1</v>
      </c>
      <c r="BG473" s="1">
        <f>IFERROR(__xludf.DUMMYFUNCTION("""COMPUTED_VALUE"""),1.0)</f>
        <v>1</v>
      </c>
      <c r="BH473" s="1" t="str">
        <f>IFERROR(__xludf.DUMMYFUNCTION("""COMPUTED_VALUE"""),"0")</f>
        <v>0</v>
      </c>
      <c r="BI473" s="4">
        <f>IFERROR(__xludf.DUMMYFUNCTION("""COMPUTED_VALUE"""),500.0)</f>
        <v>500</v>
      </c>
      <c r="BJ473" s="1">
        <f>IFERROR(__xludf.DUMMYFUNCTION("""COMPUTED_VALUE"""),0.0)</f>
        <v>0</v>
      </c>
      <c r="BK473" s="4">
        <f>IFERROR(__xludf.DUMMYFUNCTION("""COMPUTED_VALUE"""),500.0)</f>
        <v>500</v>
      </c>
      <c r="BL473" s="1">
        <f>IFERROR(__xludf.DUMMYFUNCTION("""COMPUTED_VALUE"""),900.0)</f>
        <v>900</v>
      </c>
      <c r="BM473" s="1">
        <f>IFERROR(__xludf.DUMMYFUNCTION("""COMPUTED_VALUE"""),7.0)</f>
        <v>7</v>
      </c>
      <c r="BN473" s="2">
        <f>IFERROR(__xludf.DUMMYFUNCTION("""COMPUTED_VALUE"""),45698.0)</f>
        <v>45698</v>
      </c>
      <c r="BO473" s="1">
        <f>IFERROR(__xludf.DUMMYFUNCTION("""COMPUTED_VALUE"""),2.0)</f>
        <v>2</v>
      </c>
      <c r="BP473" s="1">
        <f>IFERROR(__xludf.DUMMYFUNCTION("""COMPUTED_VALUE"""),2025.0)</f>
        <v>2025</v>
      </c>
    </row>
    <row r="474">
      <c r="A474" s="1">
        <f>IFERROR(__xludf.DUMMYFUNCTION("""COMPUTED_VALUE"""),473.0)</f>
        <v>473</v>
      </c>
      <c r="B474" s="1">
        <f>IFERROR(__xludf.DUMMYFUNCTION("""COMPUTED_VALUE"""),4941138.0)</f>
        <v>4941138</v>
      </c>
      <c r="C474" s="1" t="str">
        <f>IFERROR(__xludf.DUMMYFUNCTION("""COMPUTED_VALUE"""),"2025-1")</f>
        <v>2025-1</v>
      </c>
      <c r="D474" s="1" t="str">
        <f>IFERROR(__xludf.DUMMYFUNCTION("""COMPUTED_VALUE"""),"Admisión Extraordinaria (Traslados)")</f>
        <v>Admisión Extraordinaria (Traslados)</v>
      </c>
      <c r="E474" s="2">
        <f>IFERROR(__xludf.DUMMYFUNCTION("""COMPUTED_VALUE"""),45699.0)</f>
        <v>45699</v>
      </c>
      <c r="F474" s="1" t="str">
        <f>IFERROR(__xludf.DUMMYFUNCTION("""COMPUTED_VALUE"""),"MATIAS ALONSO ")</f>
        <v>MATIAS ALONSO </v>
      </c>
      <c r="G474" s="1" t="str">
        <f>IFERROR(__xludf.DUMMYFUNCTION("""COMPUTED_VALUE"""),"RONDON GONZALES")</f>
        <v>RONDON GONZALES</v>
      </c>
      <c r="H474" s="1" t="str">
        <f>IFERROR(__xludf.DUMMYFUNCTION("""COMPUTED_VALUE"""),"Diseño Gráfico Publicitario")</f>
        <v>Diseño Gráfico Publicitario</v>
      </c>
      <c r="I474" s="1" t="str">
        <f>IFERROR(__xludf.DUMMYFUNCTION("""COMPUTED_VALUE"""),"CARGO")</f>
        <v>CARGO</v>
      </c>
      <c r="J474" s="1" t="str">
        <f>IFERROR(__xludf.DUMMYFUNCTION("""COMPUTED_VALUE"""),"Diurno")</f>
        <v>Diurno</v>
      </c>
      <c r="K474" s="1" t="str">
        <f>IFERROR(__xludf.DUMMYFUNCTION("""COMPUTED_VALUE"""),"TRASLADO")</f>
        <v>TRASLADO</v>
      </c>
      <c r="L474" s="1">
        <f>IFERROR(__xludf.DUMMYFUNCTION("""COMPUTED_VALUE"""),1.0)</f>
        <v>1</v>
      </c>
      <c r="M474" s="1">
        <f>IFERROR(__xludf.DUMMYFUNCTION("""COMPUTED_VALUE"""),0.0)</f>
        <v>0</v>
      </c>
      <c r="N474" s="1" t="str">
        <f>IFERROR(__xludf.DUMMYFUNCTION("""COMPUTED_VALUE"""),"RECA")</f>
        <v>RECA</v>
      </c>
      <c r="O474" s="1" t="str">
        <f>IFERROR(__xludf.DUMMYFUNCTION("""COMPUTED_VALUE"""),"RECA TRASLADO CON CONVA")</f>
        <v>RECA TRASLADO CON CONVA</v>
      </c>
      <c r="P474" s="4">
        <f>IFERROR(__xludf.DUMMYFUNCTION("""COMPUTED_VALUE"""),0.0)</f>
        <v>0</v>
      </c>
      <c r="Q474" s="4">
        <f>IFERROR(__xludf.DUMMYFUNCTION("""COMPUTED_VALUE"""),0.0)</f>
        <v>0</v>
      </c>
      <c r="R474" s="4">
        <f>IFERROR(__xludf.DUMMYFUNCTION("""COMPUTED_VALUE"""),700.0)</f>
        <v>700</v>
      </c>
      <c r="S474" s="4">
        <f>IFERROR(__xludf.DUMMYFUNCTION("""COMPUTED_VALUE"""),700.0)</f>
        <v>700</v>
      </c>
      <c r="T474" s="1" t="str">
        <f>IFERROR(__xludf.DUMMYFUNCTION("""COMPUTED_VALUE"""),"NINGUNO")</f>
        <v>NINGUNO</v>
      </c>
      <c r="U474" s="1" t="str">
        <f>IFERROR(__xludf.DUMMYFUNCTION("""COMPUTED_VALUE"""),"FABIOLA")</f>
        <v>FABIOLA</v>
      </c>
      <c r="V474" s="1" t="str">
        <f>IFERROR(__xludf.DUMMYFUNCTION("""COMPUTED_VALUE"""),"Ninguno")</f>
        <v>Ninguno</v>
      </c>
      <c r="W474" s="1" t="str">
        <f>IFERROR(__xludf.DUMMYFUNCTION("""COMPUTED_VALUE"""),"Metodología de enseñanza")</f>
        <v>Metodología de enseñanza</v>
      </c>
      <c r="X474" s="1" t="str">
        <f>IFERROR(__xludf.DUMMYFUNCTION("""COMPUTED_VALUE"""),"innovacion")</f>
        <v>innovacion</v>
      </c>
      <c r="Y474" s="1" t="str">
        <f>IFERROR(__xludf.DUMMYFUNCTION("""COMPUTED_VALUE"""),"PAGO COMPLETO")</f>
        <v>PAGO COMPLETO</v>
      </c>
      <c r="Z474" s="1"/>
      <c r="AA474" s="1"/>
      <c r="AB474" s="1">
        <f>IFERROR(__xludf.DUMMYFUNCTION("""COMPUTED_VALUE"""),0.0)</f>
        <v>0</v>
      </c>
      <c r="AC474" s="1">
        <f>IFERROR(__xludf.DUMMYFUNCTION("""COMPUTED_VALUE"""),0.0)</f>
        <v>0</v>
      </c>
      <c r="AD474" s="1" t="str">
        <f>IFERROR(__xludf.DUMMYFUNCTION("""COMPUTED_VALUE"""),"Cinthia Mariella Orosco")</f>
        <v>Cinthia Mariella Orosco</v>
      </c>
      <c r="AE474" s="1" t="str">
        <f>IFERROR(__xludf.DUMMYFUNCTION("""COMPUTED_VALUE"""),"IPAD")</f>
        <v>IPAD</v>
      </c>
      <c r="AF474" s="1">
        <f>IFERROR(__xludf.DUMMYFUNCTION("""COMPUTED_VALUE"""),2022.0)</f>
        <v>2022</v>
      </c>
      <c r="AG474" s="1">
        <f>IFERROR(__xludf.DUMMYFUNCTION("""COMPUTED_VALUE"""),742254.0)</f>
        <v>742254</v>
      </c>
      <c r="AH474" s="1">
        <f>IFERROR(__xludf.DUMMYFUNCTION("""COMPUTED_VALUE"""),19.0)</f>
        <v>19</v>
      </c>
      <c r="AI474" s="1" t="str">
        <f>IFERROR(__xludf.DUMMYFUNCTION("""COMPUTED_VALUE"""),"0000414241")</f>
        <v>0000414241</v>
      </c>
      <c r="AJ474" s="1">
        <f>IFERROR(__xludf.DUMMYFUNCTION("""COMPUTED_VALUE"""),7.0465202E7)</f>
        <v>70465202</v>
      </c>
      <c r="AK474" s="1">
        <f>IFERROR(__xludf.DUMMYFUNCTION("""COMPUTED_VALUE"""),9.68571553E8)</f>
        <v>968571553</v>
      </c>
      <c r="AL474" s="1" t="str">
        <f>IFERROR(__xludf.DUMMYFUNCTION("""COMPUTED_VALUE"""),"matirondon478@gmail.com")</f>
        <v>matirondon478@gmail.com</v>
      </c>
      <c r="AM474" s="1" t="str">
        <f>IFERROR(__xludf.DUMMYFUNCTION("""COMPUTED_VALUE"""),"MASCULINO")</f>
        <v>MASCULINO</v>
      </c>
      <c r="AN474" s="1">
        <f>IFERROR(__xludf.DUMMYFUNCTION("""COMPUTED_VALUE"""),1850.0)</f>
        <v>1850</v>
      </c>
      <c r="AO474" s="1">
        <f>IFERROR(__xludf.DUMMYFUNCTION("""COMPUTED_VALUE"""),780.0)</f>
        <v>780</v>
      </c>
      <c r="AP474" s="1" t="str">
        <f>IFERROR(__xludf.DUMMYFUNCTION("""COMPUTED_VALUE"""),"BIDIRECCIONAL")</f>
        <v>BIDIRECCIONAL</v>
      </c>
      <c r="AQ474" s="1" t="str">
        <f>IFERROR(__xludf.DUMMYFUNCTION("""COMPUTED_VALUE"""),"ORGANICO")</f>
        <v>ORGANICO</v>
      </c>
      <c r="AR474" s="1" t="str">
        <f>IFERROR(__xludf.DUMMYFUNCTION("""COMPUTED_VALUE"""),"NUEVO")</f>
        <v>NUEVO</v>
      </c>
      <c r="AS474" s="1"/>
      <c r="AT474" s="2">
        <f>IFERROR(__xludf.DUMMYFUNCTION("""COMPUTED_VALUE"""),45668.0)</f>
        <v>45668</v>
      </c>
      <c r="AU474" s="1">
        <f>IFERROR(__xludf.DUMMYFUNCTION("""COMPUTED_VALUE"""),1.0)</f>
        <v>1</v>
      </c>
      <c r="AV474" s="1" t="str">
        <f>IFERROR(__xludf.DUMMYFUNCTION("""COMPUTED_VALUE"""),"TRASLADO")</f>
        <v>TRASLADO</v>
      </c>
      <c r="AW474" s="1" t="str">
        <f>IFERROR(__xludf.DUMMYFUNCTION("""COMPUTED_VALUE"""),"SI")</f>
        <v>SI</v>
      </c>
      <c r="AX474" s="1"/>
      <c r="AY474" s="1" t="str">
        <f>IFERROR(__xludf.DUMMYFUNCTION("""COMPUTED_VALUE"""),"PAGO COMPLETO")</f>
        <v>PAGO COMPLETO</v>
      </c>
      <c r="AZ474" s="5">
        <f>IFERROR(__xludf.DUMMYFUNCTION("""COMPUTED_VALUE"""),45699.0)</f>
        <v>45699</v>
      </c>
      <c r="BA474" s="1">
        <f>IFERROR(__xludf.DUMMYFUNCTION("""COMPUTED_VALUE"""),0.0)</f>
        <v>0</v>
      </c>
      <c r="BB474" s="1">
        <f>IFERROR(__xludf.DUMMYFUNCTION("""COMPUTED_VALUE"""),0.0)</f>
        <v>0</v>
      </c>
      <c r="BC474" s="4">
        <f>IFERROR(__xludf.DUMMYFUNCTION("""COMPUTED_VALUE"""),0.0)</f>
        <v>0</v>
      </c>
      <c r="BD474" s="4">
        <f>IFERROR(__xludf.DUMMYFUNCTION("""COMPUTED_VALUE"""),0.0)</f>
        <v>0</v>
      </c>
      <c r="BE474" s="1">
        <f>IFERROR(__xludf.DUMMYFUNCTION("""COMPUTED_VALUE"""),2.0)</f>
        <v>2</v>
      </c>
      <c r="BF474" s="6">
        <f>IFERROR(__xludf.DUMMYFUNCTION("""COMPUTED_VALUE"""),1.0)</f>
        <v>1</v>
      </c>
      <c r="BG474" s="1">
        <f>IFERROR(__xludf.DUMMYFUNCTION("""COMPUTED_VALUE"""),1.0)</f>
        <v>1</v>
      </c>
      <c r="BH474" s="1" t="str">
        <f>IFERROR(__xludf.DUMMYFUNCTION("""COMPUTED_VALUE"""),"1")</f>
        <v>1</v>
      </c>
      <c r="BI474" s="4">
        <f>IFERROR(__xludf.DUMMYFUNCTION("""COMPUTED_VALUE"""),0.0)</f>
        <v>0</v>
      </c>
      <c r="BJ474" s="1">
        <f>IFERROR(__xludf.DUMMYFUNCTION("""COMPUTED_VALUE"""),0.0)</f>
        <v>0</v>
      </c>
      <c r="BK474" s="4">
        <f>IFERROR(__xludf.DUMMYFUNCTION("""COMPUTED_VALUE"""),0.0)</f>
        <v>0</v>
      </c>
      <c r="BL474" s="1">
        <f>IFERROR(__xludf.DUMMYFUNCTION("""COMPUTED_VALUE"""),700.0)</f>
        <v>700</v>
      </c>
      <c r="BM474" s="1">
        <f>IFERROR(__xludf.DUMMYFUNCTION("""COMPUTED_VALUE"""),7.0)</f>
        <v>7</v>
      </c>
      <c r="BN474" s="2">
        <f>IFERROR(__xludf.DUMMYFUNCTION("""COMPUTED_VALUE"""),45698.0)</f>
        <v>45698</v>
      </c>
      <c r="BO474" s="1">
        <f>IFERROR(__xludf.DUMMYFUNCTION("""COMPUTED_VALUE"""),2.0)</f>
        <v>2</v>
      </c>
      <c r="BP474" s="1">
        <f>IFERROR(__xludf.DUMMYFUNCTION("""COMPUTED_VALUE"""),2025.0)</f>
        <v>2025</v>
      </c>
    </row>
    <row r="475">
      <c r="A475" s="1">
        <f>IFERROR(__xludf.DUMMYFUNCTION("""COMPUTED_VALUE"""),474.0)</f>
        <v>474</v>
      </c>
      <c r="B475" s="1">
        <f>IFERROR(__xludf.DUMMYFUNCTION("""COMPUTED_VALUE"""),1996908.0)</f>
        <v>1996908</v>
      </c>
      <c r="C475" s="1" t="str">
        <f>IFERROR(__xludf.DUMMYFUNCTION("""COMPUTED_VALUE"""),"2025-1")</f>
        <v>2025-1</v>
      </c>
      <c r="D475" s="1" t="str">
        <f>IFERROR(__xludf.DUMMYFUNCTION("""COMPUTED_VALUE"""),"Admisión Ordinaria")</f>
        <v>Admisión Ordinaria</v>
      </c>
      <c r="E475" s="2">
        <f>IFERROR(__xludf.DUMMYFUNCTION("""COMPUTED_VALUE"""),45699.0)</f>
        <v>45699</v>
      </c>
      <c r="F475" s="1" t="str">
        <f>IFERROR(__xludf.DUMMYFUNCTION("""COMPUTED_VALUE"""),"FATIMA VALERIA ")</f>
        <v>FATIMA VALERIA </v>
      </c>
      <c r="G475" s="1" t="str">
        <f>IFERROR(__xludf.DUMMYFUNCTION("""COMPUTED_VALUE"""),"ARANCIBIA PEÑA")</f>
        <v>ARANCIBIA PEÑA</v>
      </c>
      <c r="H475" s="1" t="str">
        <f>IFERROR(__xludf.DUMMYFUNCTION("""COMPUTED_VALUE"""),"Comunicación y Publicidad Transmedia")</f>
        <v>Comunicación y Publicidad Transmedia</v>
      </c>
      <c r="I475" s="1" t="str">
        <f>IFERROR(__xludf.DUMMYFUNCTION("""COMPUTED_VALUE"""),"POS")</f>
        <v>POS</v>
      </c>
      <c r="J475" s="1" t="str">
        <f>IFERROR(__xludf.DUMMYFUNCTION("""COMPUTED_VALUE"""),"Diurno")</f>
        <v>Diurno</v>
      </c>
      <c r="K475" s="1" t="str">
        <f>IFERROR(__xludf.DUMMYFUNCTION("""COMPUTED_VALUE"""),"NUEVO")</f>
        <v>NUEVO</v>
      </c>
      <c r="L475" s="1">
        <f>IFERROR(__xludf.DUMMYFUNCTION("""COMPUTED_VALUE"""),0.0)</f>
        <v>0</v>
      </c>
      <c r="M475" s="1">
        <f>IFERROR(__xludf.DUMMYFUNCTION("""COMPUTED_VALUE"""),0.0)</f>
        <v>0</v>
      </c>
      <c r="N475" s="1" t="str">
        <f>IFERROR(__xludf.DUMMYFUNCTION("""COMPUTED_VALUE"""),"BECA")</f>
        <v>BECA</v>
      </c>
      <c r="O475" s="1" t="str">
        <f>IFERROR(__xludf.DUMMYFUNCTION("""COMPUTED_VALUE"""),"BECA CADENA COLEGIOS")</f>
        <v>BECA CADENA COLEGIOS</v>
      </c>
      <c r="P475" s="4">
        <f>IFERROR(__xludf.DUMMYFUNCTION("""COMPUTED_VALUE"""),0.0)</f>
        <v>0</v>
      </c>
      <c r="Q475" s="4">
        <f>IFERROR(__xludf.DUMMYFUNCTION("""COMPUTED_VALUE"""),0.0)</f>
        <v>0</v>
      </c>
      <c r="R475" s="4">
        <f>IFERROR(__xludf.DUMMYFUNCTION("""COMPUTED_VALUE"""),1250.0)</f>
        <v>1250</v>
      </c>
      <c r="S475" s="4">
        <f>IFERROR(__xludf.DUMMYFUNCTION("""COMPUTED_VALUE"""),850.0)</f>
        <v>850</v>
      </c>
      <c r="T475" s="1" t="str">
        <f>IFERROR(__xludf.DUMMYFUNCTION("""COMPUTED_VALUE"""),"Visita Guiada")</f>
        <v>Visita Guiada</v>
      </c>
      <c r="U475" s="1" t="str">
        <f>IFERROR(__xludf.DUMMYFUNCTION("""COMPUTED_VALUE"""),"FABIOLA")</f>
        <v>FABIOLA</v>
      </c>
      <c r="V475" s="1" t="str">
        <f>IFERROR(__xludf.DUMMYFUNCTION("""COMPUTED_VALUE"""),"Ninguno")</f>
        <v>Ninguno</v>
      </c>
      <c r="W475" s="1" t="str">
        <f>IFERROR(__xludf.DUMMYFUNCTION("""COMPUTED_VALUE"""),"Metodología de enseñanza")</f>
        <v>Metodología de enseñanza</v>
      </c>
      <c r="X475" s="1" t="str">
        <f>IFERROR(__xludf.DUMMYFUNCTION("""COMPUTED_VALUE"""),"metodologia")</f>
        <v>metodologia</v>
      </c>
      <c r="Y475" s="1" t="str">
        <f>IFERROR(__xludf.DUMMYFUNCTION("""COMPUTED_VALUE"""),"PAGO FRACCIONADO")</f>
        <v>PAGO FRACCIONADO</v>
      </c>
      <c r="Z475" s="1">
        <f>IFERROR(__xludf.DUMMYFUNCTION("""COMPUTED_VALUE"""),400.0)</f>
        <v>400</v>
      </c>
      <c r="AA475" s="1" t="str">
        <f>IFERROR(__xludf.DUMMYFUNCTION("""COMPUTED_VALUE"""),"16/02/2025")</f>
        <v>16/02/2025</v>
      </c>
      <c r="AB475" s="1">
        <f>IFERROR(__xludf.DUMMYFUNCTION("""COMPUTED_VALUE"""),0.0)</f>
        <v>0</v>
      </c>
      <c r="AC475" s="1">
        <f>IFERROR(__xludf.DUMMYFUNCTION("""COMPUTED_VALUE"""),0.0)</f>
        <v>0</v>
      </c>
      <c r="AD475" s="1" t="str">
        <f>IFERROR(__xludf.DUMMYFUNCTION("""COMPUTED_VALUE"""),"Cinthia Mariella Orosco")</f>
        <v>Cinthia Mariella Orosco</v>
      </c>
      <c r="AE475" s="1" t="str">
        <f>IFERROR(__xludf.DUMMYFUNCTION("""COMPUTED_VALUE"""),"0")</f>
        <v>0</v>
      </c>
      <c r="AF475" s="1">
        <f>IFERROR(__xludf.DUMMYFUNCTION("""COMPUTED_VALUE"""),2023.0)</f>
        <v>2023</v>
      </c>
      <c r="AG475" s="1">
        <f>IFERROR(__xludf.DUMMYFUNCTION("""COMPUTED_VALUE"""),1640671.0)</f>
        <v>1640671</v>
      </c>
      <c r="AH475" s="1">
        <f>IFERROR(__xludf.DUMMYFUNCTION("""COMPUTED_VALUE"""),18.0)</f>
        <v>18</v>
      </c>
      <c r="AI475" s="1" t="str">
        <f>IFERROR(__xludf.DUMMYFUNCTION("""COMPUTED_VALUE"""),"0000414230")</f>
        <v>0000414230</v>
      </c>
      <c r="AJ475" s="1">
        <f>IFERROR(__xludf.DUMMYFUNCTION("""COMPUTED_VALUE"""),6.1966938E7)</f>
        <v>61966938</v>
      </c>
      <c r="AK475" s="1">
        <f>IFERROR(__xludf.DUMMYFUNCTION("""COMPUTED_VALUE"""),9.20491176E8)</f>
        <v>920491176</v>
      </c>
      <c r="AL475" s="1" t="str">
        <f>IFERROR(__xludf.DUMMYFUNCTION("""COMPUTED_VALUE"""),"arpv2430@gmail.com")</f>
        <v>arpv2430@gmail.com</v>
      </c>
      <c r="AM475" s="1" t="str">
        <f>IFERROR(__xludf.DUMMYFUNCTION("""COMPUTED_VALUE"""),"FEMENINO")</f>
        <v>FEMENINO</v>
      </c>
      <c r="AN475" s="1">
        <f>IFERROR(__xludf.DUMMYFUNCTION("""COMPUTED_VALUE"""),1850.0)</f>
        <v>1850</v>
      </c>
      <c r="AO475" s="1">
        <f>IFERROR(__xludf.DUMMYFUNCTION("""COMPUTED_VALUE"""),755.0)</f>
        <v>755</v>
      </c>
      <c r="AP475" s="1" t="str">
        <f>IFERROR(__xludf.DUMMYFUNCTION("""COMPUTED_VALUE"""),"OUTBOUND")</f>
        <v>OUTBOUND</v>
      </c>
      <c r="AQ475" s="1" t="str">
        <f>IFERROR(__xludf.DUMMYFUNCTION("""COMPUTED_VALUE"""),"OUTBOUND")</f>
        <v>OUTBOUND</v>
      </c>
      <c r="AR475" s="1" t="str">
        <f>IFERROR(__xludf.DUMMYFUNCTION("""COMPUTED_VALUE"""),"HEREDADO")</f>
        <v>HEREDADO</v>
      </c>
      <c r="AS475" s="1"/>
      <c r="AT475" s="2">
        <f>IFERROR(__xludf.DUMMYFUNCTION("""COMPUTED_VALUE"""),45698.0)</f>
        <v>45698</v>
      </c>
      <c r="AU475" s="1">
        <f>IFERROR(__xludf.DUMMYFUNCTION("""COMPUTED_VALUE"""),1.0)</f>
        <v>1</v>
      </c>
      <c r="AV475" s="1" t="str">
        <f>IFERROR(__xludf.DUMMYFUNCTION("""COMPUTED_VALUE"""),"NUEVO")</f>
        <v>NUEVO</v>
      </c>
      <c r="AW475" s="1" t="str">
        <f>IFERROR(__xludf.DUMMYFUNCTION("""COMPUTED_VALUE"""),"SI")</f>
        <v>SI</v>
      </c>
      <c r="AX475" s="1"/>
      <c r="AY475" s="1" t="str">
        <f>IFERROR(__xludf.DUMMYFUNCTION("""COMPUTED_VALUE"""),"PAGO COMPLETO")</f>
        <v>PAGO COMPLETO</v>
      </c>
      <c r="AZ475" s="5">
        <f>IFERROR(__xludf.DUMMYFUNCTION("""COMPUTED_VALUE"""),45710.0)</f>
        <v>45710</v>
      </c>
      <c r="BA475" s="1">
        <f>IFERROR(__xludf.DUMMYFUNCTION("""COMPUTED_VALUE"""),350.0)</f>
        <v>350</v>
      </c>
      <c r="BB475" s="1">
        <f>IFERROR(__xludf.DUMMYFUNCTION("""COMPUTED_VALUE"""),0.0)</f>
        <v>0</v>
      </c>
      <c r="BC475" s="4">
        <f>IFERROR(__xludf.DUMMYFUNCTION("""COMPUTED_VALUE"""),0.0)</f>
        <v>0</v>
      </c>
      <c r="BD475" s="4">
        <f>IFERROR(__xludf.DUMMYFUNCTION("""COMPUTED_VALUE"""),100.0)</f>
        <v>100</v>
      </c>
      <c r="BE475" s="1">
        <f>IFERROR(__xludf.DUMMYFUNCTION("""COMPUTED_VALUE"""),2.0)</f>
        <v>2</v>
      </c>
      <c r="BF475" s="6">
        <f>IFERROR(__xludf.DUMMYFUNCTION("""COMPUTED_VALUE"""),1.0)</f>
        <v>1</v>
      </c>
      <c r="BG475" s="1">
        <f>IFERROR(__xludf.DUMMYFUNCTION("""COMPUTED_VALUE"""),1.0)</f>
        <v>1</v>
      </c>
      <c r="BH475" s="1" t="str">
        <f>IFERROR(__xludf.DUMMYFUNCTION("""COMPUTED_VALUE"""),"0")</f>
        <v>0</v>
      </c>
      <c r="BI475" s="4">
        <f>IFERROR(__xludf.DUMMYFUNCTION("""COMPUTED_VALUE"""),850.0)</f>
        <v>850</v>
      </c>
      <c r="BJ475" s="1">
        <f>IFERROR(__xludf.DUMMYFUNCTION("""COMPUTED_VALUE"""),0.0)</f>
        <v>0</v>
      </c>
      <c r="BK475" s="4">
        <f>IFERROR(__xludf.DUMMYFUNCTION("""COMPUTED_VALUE"""),100.0)</f>
        <v>100</v>
      </c>
      <c r="BL475" s="1">
        <f>IFERROR(__xludf.DUMMYFUNCTION("""COMPUTED_VALUE"""),830.0)</f>
        <v>830</v>
      </c>
      <c r="BM475" s="1">
        <f>IFERROR(__xludf.DUMMYFUNCTION("""COMPUTED_VALUE"""),7.0)</f>
        <v>7</v>
      </c>
      <c r="BN475" s="2">
        <f>IFERROR(__xludf.DUMMYFUNCTION("""COMPUTED_VALUE"""),45698.0)</f>
        <v>45698</v>
      </c>
      <c r="BO475" s="1">
        <f>IFERROR(__xludf.DUMMYFUNCTION("""COMPUTED_VALUE"""),2.0)</f>
        <v>2</v>
      </c>
      <c r="BP475" s="1">
        <f>IFERROR(__xludf.DUMMYFUNCTION("""COMPUTED_VALUE"""),2025.0)</f>
        <v>2025</v>
      </c>
    </row>
    <row r="476">
      <c r="A476" s="1">
        <f>IFERROR(__xludf.DUMMYFUNCTION("""COMPUTED_VALUE"""),475.0)</f>
        <v>475</v>
      </c>
      <c r="B476" s="1">
        <f>IFERROR(__xludf.DUMMYFUNCTION("""COMPUTED_VALUE"""),4975774.0)</f>
        <v>4975774</v>
      </c>
      <c r="C476" s="1" t="str">
        <f>IFERROR(__xludf.DUMMYFUNCTION("""COMPUTED_VALUE"""),"2025-1")</f>
        <v>2025-1</v>
      </c>
      <c r="D476" s="1" t="str">
        <f>IFERROR(__xludf.DUMMYFUNCTION("""COMPUTED_VALUE"""),"Admisión Ordinaria")</f>
        <v>Admisión Ordinaria</v>
      </c>
      <c r="E476" s="2">
        <f>IFERROR(__xludf.DUMMYFUNCTION("""COMPUTED_VALUE"""),45699.0)</f>
        <v>45699</v>
      </c>
      <c r="F476" s="1" t="str">
        <f>IFERROR(__xludf.DUMMYFUNCTION("""COMPUTED_VALUE"""),"SAMANTA FERNANDA")</f>
        <v>SAMANTA FERNANDA</v>
      </c>
      <c r="G476" s="1" t="str">
        <f>IFERROR(__xludf.DUMMYFUNCTION("""COMPUTED_VALUE""")," LOJA DAVILA")</f>
        <v> LOJA DAVILA</v>
      </c>
      <c r="H476" s="1" t="str">
        <f>IFERROR(__xludf.DUMMYFUNCTION("""COMPUTED_VALUE"""),"Administración y Marketing")</f>
        <v>Administración y Marketing</v>
      </c>
      <c r="I476" s="1" t="str">
        <f>IFERROR(__xludf.DUMMYFUNCTION("""COMPUTED_VALUE"""),"CARGO")</f>
        <v>CARGO</v>
      </c>
      <c r="J476" s="1" t="str">
        <f>IFERROR(__xludf.DUMMYFUNCTION("""COMPUTED_VALUE"""),"Nocturno - A distancia")</f>
        <v>Nocturno - A distancia</v>
      </c>
      <c r="K476" s="1" t="str">
        <f>IFERROR(__xludf.DUMMYFUNCTION("""COMPUTED_VALUE"""),"NUEVO")</f>
        <v>NUEVO</v>
      </c>
      <c r="L476" s="1">
        <f>IFERROR(__xludf.DUMMYFUNCTION("""COMPUTED_VALUE"""),0.0)</f>
        <v>0</v>
      </c>
      <c r="M476" s="1">
        <f>IFERROR(__xludf.DUMMYFUNCTION("""COMPUTED_VALUE"""),0.0)</f>
        <v>0</v>
      </c>
      <c r="N476" s="1" t="str">
        <f>IFERROR(__xludf.DUMMYFUNCTION("""COMPUTED_VALUE"""),"RECA")</f>
        <v>RECA</v>
      </c>
      <c r="O476" s="1" t="str">
        <f>IFERROR(__xludf.DUMMYFUNCTION("""COMPUTED_VALUE"""),"RECATEGORIZACIÓN")</f>
        <v>RECATEGORIZACIÓN</v>
      </c>
      <c r="P476" s="4">
        <f>IFERROR(__xludf.DUMMYFUNCTION("""COMPUTED_VALUE"""),0.0)</f>
        <v>0</v>
      </c>
      <c r="Q476" s="4">
        <f>IFERROR(__xludf.DUMMYFUNCTION("""COMPUTED_VALUE"""),0.0)</f>
        <v>0</v>
      </c>
      <c r="R476" s="4">
        <f>IFERROR(__xludf.DUMMYFUNCTION("""COMPUTED_VALUE"""),1200.0)</f>
        <v>1200</v>
      </c>
      <c r="S476" s="4">
        <f>IFERROR(__xludf.DUMMYFUNCTION("""COMPUTED_VALUE"""),700.0)</f>
        <v>700</v>
      </c>
      <c r="T476" s="1" t="str">
        <f>IFERROR(__xludf.DUMMYFUNCTION("""COMPUTED_VALUE"""),"NINGUNO")</f>
        <v>NINGUNO</v>
      </c>
      <c r="U476" s="1" t="str">
        <f>IFERROR(__xludf.DUMMYFUNCTION("""COMPUTED_VALUE"""),"FABIOLA")</f>
        <v>FABIOLA</v>
      </c>
      <c r="V476" s="1" t="str">
        <f>IFERROR(__xludf.DUMMYFUNCTION("""COMPUTED_VALUE"""),"Ninguno")</f>
        <v>Ninguno</v>
      </c>
      <c r="W476" s="1" t="str">
        <f>IFERROR(__xludf.DUMMYFUNCTION("""COMPUTED_VALUE"""),"Metodología de enseñanza")</f>
        <v>Metodología de enseñanza</v>
      </c>
      <c r="X476" s="1" t="str">
        <f>IFERROR(__xludf.DUMMYFUNCTION("""COMPUTED_VALUE"""),"metodologia")</f>
        <v>metodologia</v>
      </c>
      <c r="Y476" s="1" t="str">
        <f>IFERROR(__xludf.DUMMYFUNCTION("""COMPUTED_VALUE"""),"PAGO COMPLETO")</f>
        <v>PAGO COMPLETO</v>
      </c>
      <c r="Z476" s="1"/>
      <c r="AA476" s="1"/>
      <c r="AB476" s="1">
        <f>IFERROR(__xludf.DUMMYFUNCTION("""COMPUTED_VALUE"""),0.0)</f>
        <v>0</v>
      </c>
      <c r="AC476" s="1">
        <f>IFERROR(__xludf.DUMMYFUNCTION("""COMPUTED_VALUE"""),0.0)</f>
        <v>0</v>
      </c>
      <c r="AD476" s="1" t="str">
        <f>IFERROR(__xludf.DUMMYFUNCTION("""COMPUTED_VALUE"""),"Cinthia Mariella Orosco")</f>
        <v>Cinthia Mariella Orosco</v>
      </c>
      <c r="AE476" s="1" t="str">
        <f>IFERROR(__xludf.DUMMYFUNCTION("""COMPUTED_VALUE"""),"0")</f>
        <v>0</v>
      </c>
      <c r="AF476" s="1">
        <f>IFERROR(__xludf.DUMMYFUNCTION("""COMPUTED_VALUE"""),2020.0)</f>
        <v>2020</v>
      </c>
      <c r="AG476" s="1">
        <f>IFERROR(__xludf.DUMMYFUNCTION("""COMPUTED_VALUE"""),1349448.0)</f>
        <v>1349448</v>
      </c>
      <c r="AH476" s="1">
        <f>IFERROR(__xludf.DUMMYFUNCTION("""COMPUTED_VALUE"""),22.0)</f>
        <v>22</v>
      </c>
      <c r="AI476" s="1" t="str">
        <f>IFERROR(__xludf.DUMMYFUNCTION("""COMPUTED_VALUE"""),"0000056171")</f>
        <v>0000056171</v>
      </c>
      <c r="AJ476" s="1">
        <f>IFERROR(__xludf.DUMMYFUNCTION("""COMPUTED_VALUE"""),7.1246493E7)</f>
        <v>71246493</v>
      </c>
      <c r="AK476" s="1">
        <f>IFERROR(__xludf.DUMMYFUNCTION("""COMPUTED_VALUE"""),9.6520929E8)</f>
        <v>965209290</v>
      </c>
      <c r="AL476" s="1" t="str">
        <f>IFERROR(__xludf.DUMMYFUNCTION("""COMPUTED_VALUE"""),"samantaloja52@gmail.com")</f>
        <v>samantaloja52@gmail.com</v>
      </c>
      <c r="AM476" s="1" t="str">
        <f>IFERROR(__xludf.DUMMYFUNCTION("""COMPUTED_VALUE"""),"FEMENINO")</f>
        <v>FEMENINO</v>
      </c>
      <c r="AN476" s="1">
        <f>IFERROR(__xludf.DUMMYFUNCTION("""COMPUTED_VALUE"""),1775.0)</f>
        <v>1775</v>
      </c>
      <c r="AO476" s="1">
        <f>IFERROR(__xludf.DUMMYFUNCTION("""COMPUTED_VALUE"""),360.0)</f>
        <v>360</v>
      </c>
      <c r="AP476" s="1" t="str">
        <f>IFERROR(__xludf.DUMMYFUNCTION("""COMPUTED_VALUE"""),"FORMULARIO")</f>
        <v>FORMULARIO</v>
      </c>
      <c r="AQ476" s="1" t="str">
        <f>IFERROR(__xludf.DUMMYFUNCTION("""COMPUTED_VALUE"""),"SEARCH MARCA")</f>
        <v>SEARCH MARCA</v>
      </c>
      <c r="AR476" s="1" t="str">
        <f>IFERROR(__xludf.DUMMYFUNCTION("""COMPUTED_VALUE"""),"HEREDADO")</f>
        <v>HEREDADO</v>
      </c>
      <c r="AS476" s="1" t="str">
        <f>IFERROR(__xludf.DUMMYFUNCTION("""COMPUTED_VALUE"""),"ucal-pg-performance-sedes-abierta-cpl-search_conversion_marca-20240401")</f>
        <v>ucal-pg-performance-sedes-abierta-cpl-search_conversion_marca-20240401</v>
      </c>
      <c r="AT476" s="2">
        <f>IFERROR(__xludf.DUMMYFUNCTION("""COMPUTED_VALUE"""),45684.0)</f>
        <v>45684</v>
      </c>
      <c r="AU476" s="1">
        <f>IFERROR(__xludf.DUMMYFUNCTION("""COMPUTED_VALUE"""),1.0)</f>
        <v>1</v>
      </c>
      <c r="AV476" s="1" t="str">
        <f>IFERROR(__xludf.DUMMYFUNCTION("""COMPUTED_VALUE"""),"NUEVO")</f>
        <v>NUEVO</v>
      </c>
      <c r="AW476" s="1" t="str">
        <f>IFERROR(__xludf.DUMMYFUNCTION("""COMPUTED_VALUE"""),"SI")</f>
        <v>SI</v>
      </c>
      <c r="AX476" s="1"/>
      <c r="AY476" s="1" t="str">
        <f>IFERROR(__xludf.DUMMYFUNCTION("""COMPUTED_VALUE"""),"PAGO COMPLETO")</f>
        <v>PAGO COMPLETO</v>
      </c>
      <c r="AZ476" s="5">
        <f>IFERROR(__xludf.DUMMYFUNCTION("""COMPUTED_VALUE"""),45699.0)</f>
        <v>45699</v>
      </c>
      <c r="BA476" s="1">
        <f>IFERROR(__xludf.DUMMYFUNCTION("""COMPUTED_VALUE"""),0.0)</f>
        <v>0</v>
      </c>
      <c r="BB476" s="1">
        <f>IFERROR(__xludf.DUMMYFUNCTION("""COMPUTED_VALUE"""),0.0)</f>
        <v>0</v>
      </c>
      <c r="BC476" s="4">
        <f>IFERROR(__xludf.DUMMYFUNCTION("""COMPUTED_VALUE"""),0.0)</f>
        <v>0</v>
      </c>
      <c r="BD476" s="4">
        <f>IFERROR(__xludf.DUMMYFUNCTION("""COMPUTED_VALUE"""),0.0)</f>
        <v>0</v>
      </c>
      <c r="BE476" s="1">
        <f>IFERROR(__xludf.DUMMYFUNCTION("""COMPUTED_VALUE"""),2.0)</f>
        <v>2</v>
      </c>
      <c r="BF476" s="6">
        <f>IFERROR(__xludf.DUMMYFUNCTION("""COMPUTED_VALUE"""),1.0)</f>
        <v>1</v>
      </c>
      <c r="BG476" s="1">
        <f>IFERROR(__xludf.DUMMYFUNCTION("""COMPUTED_VALUE"""),1.0)</f>
        <v>1</v>
      </c>
      <c r="BH476" s="1" t="str">
        <f>IFERROR(__xludf.DUMMYFUNCTION("""COMPUTED_VALUE"""),"0")</f>
        <v>0</v>
      </c>
      <c r="BI476" s="4">
        <f>IFERROR(__xludf.DUMMYFUNCTION("""COMPUTED_VALUE"""),0.0)</f>
        <v>0</v>
      </c>
      <c r="BJ476" s="1">
        <f>IFERROR(__xludf.DUMMYFUNCTION("""COMPUTED_VALUE"""),0.0)</f>
        <v>0</v>
      </c>
      <c r="BK476" s="4">
        <f>IFERROR(__xludf.DUMMYFUNCTION("""COMPUTED_VALUE"""),0.0)</f>
        <v>0</v>
      </c>
      <c r="BL476" s="1">
        <f>IFERROR(__xludf.DUMMYFUNCTION("""COMPUTED_VALUE"""),700.0)</f>
        <v>700</v>
      </c>
      <c r="BM476" s="1">
        <f>IFERROR(__xludf.DUMMYFUNCTION("""COMPUTED_VALUE"""),7.0)</f>
        <v>7</v>
      </c>
      <c r="BN476" s="2">
        <f>IFERROR(__xludf.DUMMYFUNCTION("""COMPUTED_VALUE"""),45698.0)</f>
        <v>45698</v>
      </c>
      <c r="BO476" s="1">
        <f>IFERROR(__xludf.DUMMYFUNCTION("""COMPUTED_VALUE"""),2.0)</f>
        <v>2</v>
      </c>
      <c r="BP476" s="1">
        <f>IFERROR(__xludf.DUMMYFUNCTION("""COMPUTED_VALUE"""),2025.0)</f>
        <v>2025</v>
      </c>
    </row>
    <row r="477">
      <c r="A477" s="1">
        <f>IFERROR(__xludf.DUMMYFUNCTION("""COMPUTED_VALUE"""),476.0)</f>
        <v>476</v>
      </c>
      <c r="B477" s="1">
        <f>IFERROR(__xludf.DUMMYFUNCTION("""COMPUTED_VALUE"""),5015435.0)</f>
        <v>5015435</v>
      </c>
      <c r="C477" s="1" t="str">
        <f>IFERROR(__xludf.DUMMYFUNCTION("""COMPUTED_VALUE"""),"2025-1")</f>
        <v>2025-1</v>
      </c>
      <c r="D477" s="1" t="str">
        <f>IFERROR(__xludf.DUMMYFUNCTION("""COMPUTED_VALUE"""),"Admisión Ordinaria")</f>
        <v>Admisión Ordinaria</v>
      </c>
      <c r="E477" s="2">
        <f>IFERROR(__xludf.DUMMYFUNCTION("""COMPUTED_VALUE"""),45699.0)</f>
        <v>45699</v>
      </c>
      <c r="F477" s="1" t="str">
        <f>IFERROR(__xludf.DUMMYFUNCTION("""COMPUTED_VALUE"""),"MILENE NICOLE")</f>
        <v>MILENE NICOLE</v>
      </c>
      <c r="G477" s="1" t="str">
        <f>IFERROR(__xludf.DUMMYFUNCTION("""COMPUTED_VALUE"""),"QUISPE HUAYANTUPA")</f>
        <v>QUISPE HUAYANTUPA</v>
      </c>
      <c r="H477" s="1" t="str">
        <f>IFERROR(__xludf.DUMMYFUNCTION("""COMPUTED_VALUE"""),"Diseño Gráfico Publicitario")</f>
        <v>Diseño Gráfico Publicitario</v>
      </c>
      <c r="I477" s="1" t="str">
        <f>IFERROR(__xludf.DUMMYFUNCTION("""COMPUTED_VALUE"""),"CARGO")</f>
        <v>CARGO</v>
      </c>
      <c r="J477" s="1" t="str">
        <f>IFERROR(__xludf.DUMMYFUNCTION("""COMPUTED_VALUE"""),"Diurno")</f>
        <v>Diurno</v>
      </c>
      <c r="K477" s="1" t="str">
        <f>IFERROR(__xludf.DUMMYFUNCTION("""COMPUTED_VALUE"""),"NUEVO")</f>
        <v>NUEVO</v>
      </c>
      <c r="L477" s="1">
        <f>IFERROR(__xludf.DUMMYFUNCTION("""COMPUTED_VALUE"""),0.0)</f>
        <v>0</v>
      </c>
      <c r="M477" s="1">
        <f>IFERROR(__xludf.DUMMYFUNCTION("""COMPUTED_VALUE"""),0.0)</f>
        <v>0</v>
      </c>
      <c r="N477" s="1" t="str">
        <f>IFERROR(__xludf.DUMMYFUNCTION("""COMPUTED_VALUE"""),"BECA")</f>
        <v>BECA</v>
      </c>
      <c r="O477" s="1" t="str">
        <f>IFERROR(__xludf.DUMMYFUNCTION("""COMPUTED_VALUE"""),"BECA CONGELADA DE 2 AÑOS")</f>
        <v>BECA CONGELADA DE 2 AÑOS</v>
      </c>
      <c r="P477" s="4">
        <f>IFERROR(__xludf.DUMMYFUNCTION("""COMPUTED_VALUE"""),0.0)</f>
        <v>0</v>
      </c>
      <c r="Q477" s="4">
        <f>IFERROR(__xludf.DUMMYFUNCTION("""COMPUTED_VALUE"""),0.0)</f>
        <v>0</v>
      </c>
      <c r="R477" s="4">
        <f>IFERROR(__xludf.DUMMYFUNCTION("""COMPUTED_VALUE"""),1250.0)</f>
        <v>1250</v>
      </c>
      <c r="S477" s="4">
        <f>IFERROR(__xludf.DUMMYFUNCTION("""COMPUTED_VALUE"""),1000.0)</f>
        <v>1000</v>
      </c>
      <c r="T477" s="1" t="str">
        <f>IFERROR(__xludf.DUMMYFUNCTION("""COMPUTED_VALUE"""),"PALANCA 500")</f>
        <v>PALANCA 500</v>
      </c>
      <c r="U477" s="1" t="str">
        <f>IFERROR(__xludf.DUMMYFUNCTION("""COMPUTED_VALUE"""),"RODRIGO")</f>
        <v>RODRIGO</v>
      </c>
      <c r="V477" s="1" t="str">
        <f>IFERROR(__xludf.DUMMYFUNCTION("""COMPUTED_VALUE"""),"Ninguno")</f>
        <v>Ninguno</v>
      </c>
      <c r="W477" s="1" t="str">
        <f>IFERROR(__xludf.DUMMYFUNCTION("""COMPUTED_VALUE"""),"Beca")</f>
        <v>Beca</v>
      </c>
      <c r="X477" s="1"/>
      <c r="Y477" s="1" t="str">
        <f>IFERROR(__xludf.DUMMYFUNCTION("""COMPUTED_VALUE"""),"PAGO COMPLETO")</f>
        <v>PAGO COMPLETO</v>
      </c>
      <c r="Z477" s="1"/>
      <c r="AA477" s="1"/>
      <c r="AB477" s="1">
        <f>IFERROR(__xludf.DUMMYFUNCTION("""COMPUTED_VALUE"""),0.0)</f>
        <v>0</v>
      </c>
      <c r="AC477" s="1">
        <f>IFERROR(__xludf.DUMMYFUNCTION("""COMPUTED_VALUE"""),0.0)</f>
        <v>0</v>
      </c>
      <c r="AD477" s="1" t="str">
        <f>IFERROR(__xludf.DUMMYFUNCTION("""COMPUTED_VALUE"""),"Erwyn Terie Vital Avila")</f>
        <v>Erwyn Terie Vital Avila</v>
      </c>
      <c r="AE477" s="1" t="str">
        <f>IFERROR(__xludf.DUMMYFUNCTION("""COMPUTED_VALUE"""),"0")</f>
        <v>0</v>
      </c>
      <c r="AF477" s="1">
        <f>IFERROR(__xludf.DUMMYFUNCTION("""COMPUTED_VALUE"""),2020.0)</f>
        <v>2020</v>
      </c>
      <c r="AG477" s="1">
        <f>IFERROR(__xludf.DUMMYFUNCTION("""COMPUTED_VALUE"""),1074699.0)</f>
        <v>1074699</v>
      </c>
      <c r="AH477" s="1">
        <f>IFERROR(__xludf.DUMMYFUNCTION("""COMPUTED_VALUE"""),22.0)</f>
        <v>22</v>
      </c>
      <c r="AI477" s="1" t="str">
        <f>IFERROR(__xludf.DUMMYFUNCTION("""COMPUTED_VALUE"""),"0000414325")</f>
        <v>0000414325</v>
      </c>
      <c r="AJ477" s="1">
        <f>IFERROR(__xludf.DUMMYFUNCTION("""COMPUTED_VALUE"""),7.0903516E7)</f>
        <v>70903516</v>
      </c>
      <c r="AK477" s="1">
        <f>IFERROR(__xludf.DUMMYFUNCTION("""COMPUTED_VALUE"""),9.81046018E8)</f>
        <v>981046018</v>
      </c>
      <c r="AL477" s="1" t="str">
        <f>IFERROR(__xludf.DUMMYFUNCTION("""COMPUTED_VALUE"""),"nicolequi15@gmail.com")</f>
        <v>nicolequi15@gmail.com</v>
      </c>
      <c r="AM477" s="1" t="str">
        <f>IFERROR(__xludf.DUMMYFUNCTION("""COMPUTED_VALUE"""),"FEMENINO")</f>
        <v>FEMENINO</v>
      </c>
      <c r="AN477" s="1">
        <f>IFERROR(__xludf.DUMMYFUNCTION("""COMPUTED_VALUE"""),1775.0)</f>
        <v>1775</v>
      </c>
      <c r="AO477" s="1">
        <f>IFERROR(__xludf.DUMMYFUNCTION("""COMPUTED_VALUE"""),425.0)</f>
        <v>425</v>
      </c>
      <c r="AP477" s="1" t="str">
        <f>IFERROR(__xludf.DUMMYFUNCTION("""COMPUTED_VALUE"""),"FORMULARIO")</f>
        <v>FORMULARIO</v>
      </c>
      <c r="AQ477" s="1" t="str">
        <f>IFERROR(__xludf.DUMMYFUNCTION("""COMPUTED_VALUE"""),"ORGANICO")</f>
        <v>ORGANICO</v>
      </c>
      <c r="AR477" s="1" t="str">
        <f>IFERROR(__xludf.DUMMYFUNCTION("""COMPUTED_VALUE"""),"NUEVO")</f>
        <v>NUEVO</v>
      </c>
      <c r="AS477" s="1"/>
      <c r="AT477" s="2">
        <f>IFERROR(__xludf.DUMMYFUNCTION("""COMPUTED_VALUE"""),45699.0)</f>
        <v>45699</v>
      </c>
      <c r="AU477" s="1">
        <f>IFERROR(__xludf.DUMMYFUNCTION("""COMPUTED_VALUE"""),1.0)</f>
        <v>1</v>
      </c>
      <c r="AV477" s="1" t="str">
        <f>IFERROR(__xludf.DUMMYFUNCTION("""COMPUTED_VALUE"""),"NUEVO")</f>
        <v>NUEVO</v>
      </c>
      <c r="AW477" s="1" t="str">
        <f>IFERROR(__xludf.DUMMYFUNCTION("""COMPUTED_VALUE"""),"SI")</f>
        <v>SI</v>
      </c>
      <c r="AX477" s="1"/>
      <c r="AY477" s="1" t="str">
        <f>IFERROR(__xludf.DUMMYFUNCTION("""COMPUTED_VALUE"""),"PAGO COMPLETO")</f>
        <v>PAGO COMPLETO</v>
      </c>
      <c r="AZ477" s="5">
        <f>IFERROR(__xludf.DUMMYFUNCTION("""COMPUTED_VALUE"""),45699.0)</f>
        <v>45699</v>
      </c>
      <c r="BA477" s="1">
        <f>IFERROR(__xludf.DUMMYFUNCTION("""COMPUTED_VALUE"""),0.0)</f>
        <v>0</v>
      </c>
      <c r="BB477" s="1">
        <f>IFERROR(__xludf.DUMMYFUNCTION("""COMPUTED_VALUE"""),0.0)</f>
        <v>0</v>
      </c>
      <c r="BC477" s="4">
        <f>IFERROR(__xludf.DUMMYFUNCTION("""COMPUTED_VALUE"""),0.0)</f>
        <v>0</v>
      </c>
      <c r="BD477" s="4">
        <f>IFERROR(__xludf.DUMMYFUNCTION("""COMPUTED_VALUE"""),500.0)</f>
        <v>500</v>
      </c>
      <c r="BE477" s="1">
        <f>IFERROR(__xludf.DUMMYFUNCTION("""COMPUTED_VALUE"""),2.0)</f>
        <v>2</v>
      </c>
      <c r="BF477" s="6">
        <f>IFERROR(__xludf.DUMMYFUNCTION("""COMPUTED_VALUE"""),1.0)</f>
        <v>1</v>
      </c>
      <c r="BG477" s="1">
        <f>IFERROR(__xludf.DUMMYFUNCTION("""COMPUTED_VALUE"""),1.0)</f>
        <v>1</v>
      </c>
      <c r="BH477" s="1" t="str">
        <f>IFERROR(__xludf.DUMMYFUNCTION("""COMPUTED_VALUE"""),"0")</f>
        <v>0</v>
      </c>
      <c r="BI477" s="4">
        <f>IFERROR(__xludf.DUMMYFUNCTION("""COMPUTED_VALUE"""),500.0)</f>
        <v>500</v>
      </c>
      <c r="BJ477" s="1">
        <f>IFERROR(__xludf.DUMMYFUNCTION("""COMPUTED_VALUE"""),0.0)</f>
        <v>0</v>
      </c>
      <c r="BK477" s="4">
        <f>IFERROR(__xludf.DUMMYFUNCTION("""COMPUTED_VALUE"""),500.0)</f>
        <v>500</v>
      </c>
      <c r="BL477" s="1">
        <f>IFERROR(__xludf.DUMMYFUNCTION("""COMPUTED_VALUE"""),900.0)</f>
        <v>900</v>
      </c>
      <c r="BM477" s="1">
        <f>IFERROR(__xludf.DUMMYFUNCTION("""COMPUTED_VALUE"""),7.0)</f>
        <v>7</v>
      </c>
      <c r="BN477" s="2">
        <f>IFERROR(__xludf.DUMMYFUNCTION("""COMPUTED_VALUE"""),45698.0)</f>
        <v>45698</v>
      </c>
      <c r="BO477" s="1">
        <f>IFERROR(__xludf.DUMMYFUNCTION("""COMPUTED_VALUE"""),2.0)</f>
        <v>2</v>
      </c>
      <c r="BP477" s="1">
        <f>IFERROR(__xludf.DUMMYFUNCTION("""COMPUTED_VALUE"""),2025.0)</f>
        <v>2025</v>
      </c>
    </row>
    <row r="478">
      <c r="A478" s="1">
        <f>IFERROR(__xludf.DUMMYFUNCTION("""COMPUTED_VALUE"""),477.0)</f>
        <v>477</v>
      </c>
      <c r="B478" s="1">
        <f>IFERROR(__xludf.DUMMYFUNCTION("""COMPUTED_VALUE"""),4982817.0)</f>
        <v>4982817</v>
      </c>
      <c r="C478" s="1" t="str">
        <f>IFERROR(__xludf.DUMMYFUNCTION("""COMPUTED_VALUE"""),"2025-1")</f>
        <v>2025-1</v>
      </c>
      <c r="D478" s="1" t="str">
        <f>IFERROR(__xludf.DUMMYFUNCTION("""COMPUTED_VALUE"""),"Admisión Ordinaria")</f>
        <v>Admisión Ordinaria</v>
      </c>
      <c r="E478" s="2">
        <f>IFERROR(__xludf.DUMMYFUNCTION("""COMPUTED_VALUE"""),45700.0)</f>
        <v>45700</v>
      </c>
      <c r="F478" s="1" t="str">
        <f>IFERROR(__xludf.DUMMYFUNCTION("""COMPUTED_VALUE"""),"TIRSA GRASIEL MARIAM ")</f>
        <v>TIRSA GRASIEL MARIAM </v>
      </c>
      <c r="G478" s="1" t="str">
        <f>IFERROR(__xludf.DUMMYFUNCTION("""COMPUTED_VALUE"""),"SOLIS PALACIOS")</f>
        <v>SOLIS PALACIOS</v>
      </c>
      <c r="H478" s="1" t="str">
        <f>IFERROR(__xludf.DUMMYFUNCTION("""COMPUTED_VALUE"""),"Diseño Gráfico Publicitario")</f>
        <v>Diseño Gráfico Publicitario</v>
      </c>
      <c r="I478" s="1" t="str">
        <f>IFERROR(__xludf.DUMMYFUNCTION("""COMPUTED_VALUE"""),"CARGO")</f>
        <v>CARGO</v>
      </c>
      <c r="J478" s="1" t="str">
        <f>IFERROR(__xludf.DUMMYFUNCTION("""COMPUTED_VALUE"""),"Diurno")</f>
        <v>Diurno</v>
      </c>
      <c r="K478" s="1" t="str">
        <f>IFERROR(__xludf.DUMMYFUNCTION("""COMPUTED_VALUE"""),"NUEVO")</f>
        <v>NUEVO</v>
      </c>
      <c r="L478" s="1">
        <f>IFERROR(__xludf.DUMMYFUNCTION("""COMPUTED_VALUE"""),0.0)</f>
        <v>0</v>
      </c>
      <c r="M478" s="1">
        <f>IFERROR(__xludf.DUMMYFUNCTION("""COMPUTED_VALUE"""),0.0)</f>
        <v>0</v>
      </c>
      <c r="N478" s="1" t="str">
        <f>IFERROR(__xludf.DUMMYFUNCTION("""COMPUTED_VALUE"""),"BECA")</f>
        <v>BECA</v>
      </c>
      <c r="O478" s="1" t="str">
        <f>IFERROR(__xludf.DUMMYFUNCTION("""COMPUTED_VALUE"""),"BECA CONGELADA DE 2 AÑOS")</f>
        <v>BECA CONGELADA DE 2 AÑOS</v>
      </c>
      <c r="P478" s="4">
        <f>IFERROR(__xludf.DUMMYFUNCTION("""COMPUTED_VALUE"""),0.0)</f>
        <v>0</v>
      </c>
      <c r="Q478" s="4">
        <f>IFERROR(__xludf.DUMMYFUNCTION("""COMPUTED_VALUE"""),0.0)</f>
        <v>0</v>
      </c>
      <c r="R478" s="4">
        <f>IFERROR(__xludf.DUMMYFUNCTION("""COMPUTED_VALUE"""),1050.0)</f>
        <v>1050</v>
      </c>
      <c r="S478" s="4">
        <f>IFERROR(__xludf.DUMMYFUNCTION("""COMPUTED_VALUE"""),900.0)</f>
        <v>900</v>
      </c>
      <c r="T478" s="1" t="str">
        <f>IFERROR(__xludf.DUMMYFUNCTION("""COMPUTED_VALUE"""),"PALANCA 500")</f>
        <v>PALANCA 500</v>
      </c>
      <c r="U478" s="1" t="str">
        <f>IFERROR(__xludf.DUMMYFUNCTION("""COMPUTED_VALUE"""),"FABIOLA")</f>
        <v>FABIOLA</v>
      </c>
      <c r="V478" s="1" t="str">
        <f>IFERROR(__xludf.DUMMYFUNCTION("""COMPUTED_VALUE"""),"Ninguno")</f>
        <v>Ninguno</v>
      </c>
      <c r="W478" s="1" t="str">
        <f>IFERROR(__xludf.DUMMYFUNCTION("""COMPUTED_VALUE"""),"Malla curricular")</f>
        <v>Malla curricular</v>
      </c>
      <c r="X478" s="1"/>
      <c r="Y478" s="1" t="str">
        <f>IFERROR(__xludf.DUMMYFUNCTION("""COMPUTED_VALUE"""),"PAGO COMPLETO")</f>
        <v>PAGO COMPLETO</v>
      </c>
      <c r="Z478" s="1"/>
      <c r="AA478" s="1"/>
      <c r="AB478" s="1">
        <f>IFERROR(__xludf.DUMMYFUNCTION("""COMPUTED_VALUE"""),0.0)</f>
        <v>0</v>
      </c>
      <c r="AC478" s="1">
        <f>IFERROR(__xludf.DUMMYFUNCTION("""COMPUTED_VALUE"""),0.0)</f>
        <v>0</v>
      </c>
      <c r="AD478" s="1" t="str">
        <f>IFERROR(__xludf.DUMMYFUNCTION("""COMPUTED_VALUE"""),"Angelica Iparraguirre")</f>
        <v>Angelica Iparraguirre</v>
      </c>
      <c r="AE478" s="1" t="str">
        <f>IFERROR(__xludf.DUMMYFUNCTION("""COMPUTED_VALUE"""),"0")</f>
        <v>0</v>
      </c>
      <c r="AF478" s="1">
        <f>IFERROR(__xludf.DUMMYFUNCTION("""COMPUTED_VALUE"""),2020.0)</f>
        <v>2020</v>
      </c>
      <c r="AG478" s="1"/>
      <c r="AH478" s="1">
        <f>IFERROR(__xludf.DUMMYFUNCTION("""COMPUTED_VALUE"""),20.0)</f>
        <v>20</v>
      </c>
      <c r="AI478" s="1" t="str">
        <f>IFERROR(__xludf.DUMMYFUNCTION("""COMPUTED_VALUE"""),"0000414378")</f>
        <v>0000414378</v>
      </c>
      <c r="AJ478" s="1">
        <f>IFERROR(__xludf.DUMMYFUNCTION("""COMPUTED_VALUE"""),7.5074961E7)</f>
        <v>75074961</v>
      </c>
      <c r="AK478" s="1">
        <f>IFERROR(__xludf.DUMMYFUNCTION("""COMPUTED_VALUE"""),9.14902968E8)</f>
        <v>914902968</v>
      </c>
      <c r="AL478" s="1" t="str">
        <f>IFERROR(__xludf.DUMMYFUNCTION("""COMPUTED_VALUE"""),"solispalaciost@gmail.com")</f>
        <v>solispalaciost@gmail.com</v>
      </c>
      <c r="AM478" s="1" t="str">
        <f>IFERROR(__xludf.DUMMYFUNCTION("""COMPUTED_VALUE"""),"FEMENINO")</f>
        <v>FEMENINO</v>
      </c>
      <c r="AN478" s="1">
        <f>IFERROR(__xludf.DUMMYFUNCTION("""COMPUTED_VALUE"""),1850.0)</f>
        <v>1850</v>
      </c>
      <c r="AO478" s="1">
        <f>IFERROR(__xludf.DUMMYFUNCTION("""COMPUTED_VALUE"""),0.0)</f>
        <v>0</v>
      </c>
      <c r="AP478" s="1" t="str">
        <f>IFERROR(__xludf.DUMMYFUNCTION("""COMPUTED_VALUE"""),"FORMULARIO")</f>
        <v>FORMULARIO</v>
      </c>
      <c r="AQ478" s="1" t="str">
        <f>IFERROR(__xludf.DUMMYFUNCTION("""COMPUTED_VALUE"""),"SEARCH MARCA")</f>
        <v>SEARCH MARCA</v>
      </c>
      <c r="AR478" s="1" t="str">
        <f>IFERROR(__xludf.DUMMYFUNCTION("""COMPUTED_VALUE"""),"NUEVO")</f>
        <v>NUEVO</v>
      </c>
      <c r="AS478" s="1" t="str">
        <f>IFERROR(__xludf.DUMMYFUNCTION("""COMPUTED_VALUE"""),"ucal-pg-performance-sedes-abierta-cpl-search_conversion_marca-20240401")</f>
        <v>ucal-pg-performance-sedes-abierta-cpl-search_conversion_marca-20240401</v>
      </c>
      <c r="AT478" s="2">
        <f>IFERROR(__xludf.DUMMYFUNCTION("""COMPUTED_VALUE"""),45699.0)</f>
        <v>45699</v>
      </c>
      <c r="AU478" s="1">
        <f>IFERROR(__xludf.DUMMYFUNCTION("""COMPUTED_VALUE"""),1.0)</f>
        <v>1</v>
      </c>
      <c r="AV478" s="1" t="str">
        <f>IFERROR(__xludf.DUMMYFUNCTION("""COMPUTED_VALUE"""),"NUEVO")</f>
        <v>NUEVO</v>
      </c>
      <c r="AW478" s="1" t="str">
        <f>IFERROR(__xludf.DUMMYFUNCTION("""COMPUTED_VALUE"""),"SI")</f>
        <v>SI</v>
      </c>
      <c r="AX478" s="1"/>
      <c r="AY478" s="1" t="str">
        <f>IFERROR(__xludf.DUMMYFUNCTION("""COMPUTED_VALUE"""),"PAGO COMPLETO")</f>
        <v>PAGO COMPLETO</v>
      </c>
      <c r="AZ478" s="5">
        <f>IFERROR(__xludf.DUMMYFUNCTION("""COMPUTED_VALUE"""),45700.0)</f>
        <v>45700</v>
      </c>
      <c r="BA478" s="1">
        <f>IFERROR(__xludf.DUMMYFUNCTION("""COMPUTED_VALUE"""),0.0)</f>
        <v>0</v>
      </c>
      <c r="BB478" s="1">
        <f>IFERROR(__xludf.DUMMYFUNCTION("""COMPUTED_VALUE"""),0.0)</f>
        <v>0</v>
      </c>
      <c r="BC478" s="4">
        <f>IFERROR(__xludf.DUMMYFUNCTION("""COMPUTED_VALUE"""),0.0)</f>
        <v>0</v>
      </c>
      <c r="BD478" s="4">
        <f>IFERROR(__xludf.DUMMYFUNCTION("""COMPUTED_VALUE"""),400.0)</f>
        <v>400</v>
      </c>
      <c r="BE478" s="1">
        <f>IFERROR(__xludf.DUMMYFUNCTION("""COMPUTED_VALUE"""),2.0)</f>
        <v>2</v>
      </c>
      <c r="BF478" s="6">
        <f>IFERROR(__xludf.DUMMYFUNCTION("""COMPUTED_VALUE"""),1.0)</f>
        <v>1</v>
      </c>
      <c r="BG478" s="1">
        <f>IFERROR(__xludf.DUMMYFUNCTION("""COMPUTED_VALUE"""),1.0)</f>
        <v>1</v>
      </c>
      <c r="BH478" s="1" t="str">
        <f>IFERROR(__xludf.DUMMYFUNCTION("""COMPUTED_VALUE"""),"0")</f>
        <v>0</v>
      </c>
      <c r="BI478" s="4">
        <f>IFERROR(__xludf.DUMMYFUNCTION("""COMPUTED_VALUE"""),400.0)</f>
        <v>400</v>
      </c>
      <c r="BJ478" s="1">
        <f>IFERROR(__xludf.DUMMYFUNCTION("""COMPUTED_VALUE"""),0.0)</f>
        <v>0</v>
      </c>
      <c r="BK478" s="4">
        <f>IFERROR(__xludf.DUMMYFUNCTION("""COMPUTED_VALUE"""),400.0)</f>
        <v>400</v>
      </c>
      <c r="BL478" s="1">
        <f>IFERROR(__xludf.DUMMYFUNCTION("""COMPUTED_VALUE"""),820.0)</f>
        <v>820</v>
      </c>
      <c r="BM478" s="1">
        <f>IFERROR(__xludf.DUMMYFUNCTION("""COMPUTED_VALUE"""),7.0)</f>
        <v>7</v>
      </c>
      <c r="BN478" s="2">
        <f>IFERROR(__xludf.DUMMYFUNCTION("""COMPUTED_VALUE"""),45698.0)</f>
        <v>45698</v>
      </c>
      <c r="BO478" s="1">
        <f>IFERROR(__xludf.DUMMYFUNCTION("""COMPUTED_VALUE"""),2.0)</f>
        <v>2</v>
      </c>
      <c r="BP478" s="1">
        <f>IFERROR(__xludf.DUMMYFUNCTION("""COMPUTED_VALUE"""),2025.0)</f>
        <v>2025</v>
      </c>
    </row>
    <row r="479">
      <c r="A479" s="1">
        <f>IFERROR(__xludf.DUMMYFUNCTION("""COMPUTED_VALUE"""),478.0)</f>
        <v>478</v>
      </c>
      <c r="B479" s="1">
        <f>IFERROR(__xludf.DUMMYFUNCTION("""COMPUTED_VALUE"""),4861888.0)</f>
        <v>4861888</v>
      </c>
      <c r="C479" s="1" t="str">
        <f>IFERROR(__xludf.DUMMYFUNCTION("""COMPUTED_VALUE"""),"2025-1")</f>
        <v>2025-1</v>
      </c>
      <c r="D479" s="1" t="str">
        <f>IFERROR(__xludf.DUMMYFUNCTION("""COMPUTED_VALUE"""),"Admisión de Alto Rendimiento")</f>
        <v>Admisión de Alto Rendimiento</v>
      </c>
      <c r="E479" s="2">
        <f>IFERROR(__xludf.DUMMYFUNCTION("""COMPUTED_VALUE"""),45700.0)</f>
        <v>45700</v>
      </c>
      <c r="F479" s="1" t="str">
        <f>IFERROR(__xludf.DUMMYFUNCTION("""COMPUTED_VALUE"""),"NICOLE ANGELINA ")</f>
        <v>NICOLE ANGELINA </v>
      </c>
      <c r="G479" s="1" t="str">
        <f>IFERROR(__xludf.DUMMYFUNCTION("""COMPUTED_VALUE""")," PHILLIPS RODRIGUEZ")</f>
        <v> PHILLIPS RODRIGUEZ</v>
      </c>
      <c r="H479" s="1" t="str">
        <f>IFERROR(__xludf.DUMMYFUNCTION("""COMPUTED_VALUE"""),"Comunicación Audiovisual y Cine")</f>
        <v>Comunicación Audiovisual y Cine</v>
      </c>
      <c r="I479" s="1" t="str">
        <f>IFERROR(__xludf.DUMMYFUNCTION("""COMPUTED_VALUE"""),"CARGO")</f>
        <v>CARGO</v>
      </c>
      <c r="J479" s="1" t="str">
        <f>IFERROR(__xludf.DUMMYFUNCTION("""COMPUTED_VALUE"""),"Diurno")</f>
        <v>Diurno</v>
      </c>
      <c r="K479" s="1" t="str">
        <f>IFERROR(__xludf.DUMMYFUNCTION("""COMPUTED_VALUE"""),"NUEVO")</f>
        <v>NUEVO</v>
      </c>
      <c r="L479" s="1">
        <f>IFERROR(__xludf.DUMMYFUNCTION("""COMPUTED_VALUE"""),0.0)</f>
        <v>0</v>
      </c>
      <c r="M479" s="1">
        <f>IFERROR(__xludf.DUMMYFUNCTION("""COMPUTED_VALUE"""),0.0)</f>
        <v>0</v>
      </c>
      <c r="N479" s="1" t="str">
        <f>IFERROR(__xludf.DUMMYFUNCTION("""COMPUTED_VALUE"""),"BECA")</f>
        <v>BECA</v>
      </c>
      <c r="O479" s="1" t="str">
        <f>IFERROR(__xludf.DUMMYFUNCTION("""COMPUTED_VALUE"""),"BECA CONGELADA DE 2 AÑOS")</f>
        <v>BECA CONGELADA DE 2 AÑOS</v>
      </c>
      <c r="P479" s="4">
        <f>IFERROR(__xludf.DUMMYFUNCTION("""COMPUTED_VALUE"""),0.0)</f>
        <v>0</v>
      </c>
      <c r="Q479" s="4">
        <f>IFERROR(__xludf.DUMMYFUNCTION("""COMPUTED_VALUE"""),0.0)</f>
        <v>0</v>
      </c>
      <c r="R479" s="4">
        <f>IFERROR(__xludf.DUMMYFUNCTION("""COMPUTED_VALUE"""),950.0)</f>
        <v>950</v>
      </c>
      <c r="S479" s="4">
        <f>IFERROR(__xludf.DUMMYFUNCTION("""COMPUTED_VALUE"""),800.0)</f>
        <v>800</v>
      </c>
      <c r="T479" s="1" t="str">
        <f>IFERROR(__xludf.DUMMYFUNCTION("""COMPUTED_VALUE"""),"PALANCA 500")</f>
        <v>PALANCA 500</v>
      </c>
      <c r="U479" s="1" t="str">
        <f>IFERROR(__xludf.DUMMYFUNCTION("""COMPUTED_VALUE"""),"RODRIGO")</f>
        <v>RODRIGO</v>
      </c>
      <c r="V479" s="1" t="str">
        <f>IFERROR(__xludf.DUMMYFUNCTION("""COMPUTED_VALUE"""),"Ninguno")</f>
        <v>Ninguno</v>
      </c>
      <c r="W479" s="1" t="str">
        <f>IFERROR(__xludf.DUMMYFUNCTION("""COMPUTED_VALUE"""),"Prestigio de la institución")</f>
        <v>Prestigio de la institución</v>
      </c>
      <c r="X479" s="1"/>
      <c r="Y479" s="1" t="str">
        <f>IFERROR(__xludf.DUMMYFUNCTION("""COMPUTED_VALUE"""),"PAGO COMPLETO")</f>
        <v>PAGO COMPLETO</v>
      </c>
      <c r="Z479" s="1"/>
      <c r="AA479" s="1"/>
      <c r="AB479" s="1">
        <f>IFERROR(__xludf.DUMMYFUNCTION("""COMPUTED_VALUE"""),0.0)</f>
        <v>0</v>
      </c>
      <c r="AC479" s="1">
        <f>IFERROR(__xludf.DUMMYFUNCTION("""COMPUTED_VALUE"""),0.0)</f>
        <v>0</v>
      </c>
      <c r="AD479" s="1" t="str">
        <f>IFERROR(__xludf.DUMMYFUNCTION("""COMPUTED_VALUE"""),"Ingrid Guillermo Rivera")</f>
        <v>Ingrid Guillermo Rivera</v>
      </c>
      <c r="AE479" s="1" t="str">
        <f>IFERROR(__xludf.DUMMYFUNCTION("""COMPUTED_VALUE"""),"0")</f>
        <v>0</v>
      </c>
      <c r="AF479" s="1">
        <f>IFERROR(__xludf.DUMMYFUNCTION("""COMPUTED_VALUE"""),2024.0)</f>
        <v>2024</v>
      </c>
      <c r="AG479" s="1">
        <f>IFERROR(__xludf.DUMMYFUNCTION("""COMPUTED_VALUE"""),1482892.0)</f>
        <v>1482892</v>
      </c>
      <c r="AH479" s="1">
        <f>IFERROR(__xludf.DUMMYFUNCTION("""COMPUTED_VALUE"""),18.0)</f>
        <v>18</v>
      </c>
      <c r="AI479" s="1" t="str">
        <f>IFERROR(__xludf.DUMMYFUNCTION("""COMPUTED_VALUE"""),"0000414337")</f>
        <v>0000414337</v>
      </c>
      <c r="AJ479" s="1">
        <f>IFERROR(__xludf.DUMMYFUNCTION("""COMPUTED_VALUE"""),5812091.0)</f>
        <v>5812091</v>
      </c>
      <c r="AK479" s="1">
        <f>IFERROR(__xludf.DUMMYFUNCTION("""COMPUTED_VALUE"""),9.34857102E8)</f>
        <v>934857102</v>
      </c>
      <c r="AL479" s="1" t="str">
        <f>IFERROR(__xludf.DUMMYFUNCTION("""COMPUTED_VALUE"""),"niccolep350@gmail.com")</f>
        <v>niccolep350@gmail.com</v>
      </c>
      <c r="AM479" s="1" t="str">
        <f>IFERROR(__xludf.DUMMYFUNCTION("""COMPUTED_VALUE"""),"FEMENINO")</f>
        <v>FEMENINO</v>
      </c>
      <c r="AN479" s="1">
        <f>IFERROR(__xludf.DUMMYFUNCTION("""COMPUTED_VALUE"""),1775.0)</f>
        <v>1775</v>
      </c>
      <c r="AO479" s="1">
        <f>IFERROR(__xludf.DUMMYFUNCTION("""COMPUTED_VALUE"""),330.0)</f>
        <v>330</v>
      </c>
      <c r="AP479" s="1" t="str">
        <f>IFERROR(__xludf.DUMMYFUNCTION("""COMPUTED_VALUE"""),"BIDIRECCIONAL")</f>
        <v>BIDIRECCIONAL</v>
      </c>
      <c r="AQ479" s="1" t="str">
        <f>IFERROR(__xludf.DUMMYFUNCTION("""COMPUTED_VALUE"""),"ORGANICO")</f>
        <v>ORGANICO</v>
      </c>
      <c r="AR479" s="1" t="str">
        <f>IFERROR(__xludf.DUMMYFUNCTION("""COMPUTED_VALUE"""),"NUEVO")</f>
        <v>NUEVO</v>
      </c>
      <c r="AS479" s="1"/>
      <c r="AT479" s="2">
        <f>IFERROR(__xludf.DUMMYFUNCTION("""COMPUTED_VALUE"""),45632.0)</f>
        <v>45632</v>
      </c>
      <c r="AU479" s="1">
        <f>IFERROR(__xludf.DUMMYFUNCTION("""COMPUTED_VALUE"""),1.0)</f>
        <v>1</v>
      </c>
      <c r="AV479" s="1" t="str">
        <f>IFERROR(__xludf.DUMMYFUNCTION("""COMPUTED_VALUE"""),"NUEVO")</f>
        <v>NUEVO</v>
      </c>
      <c r="AW479" s="1" t="str">
        <f>IFERROR(__xludf.DUMMYFUNCTION("""COMPUTED_VALUE"""),"SI")</f>
        <v>SI</v>
      </c>
      <c r="AX479" s="1"/>
      <c r="AY479" s="1" t="str">
        <f>IFERROR(__xludf.DUMMYFUNCTION("""COMPUTED_VALUE"""),"PAGO COMPLETO")</f>
        <v>PAGO COMPLETO</v>
      </c>
      <c r="AZ479" s="5">
        <f>IFERROR(__xludf.DUMMYFUNCTION("""COMPUTED_VALUE"""),45700.0)</f>
        <v>45700</v>
      </c>
      <c r="BA479" s="1">
        <f>IFERROR(__xludf.DUMMYFUNCTION("""COMPUTED_VALUE"""),0.0)</f>
        <v>0</v>
      </c>
      <c r="BB479" s="1">
        <f>IFERROR(__xludf.DUMMYFUNCTION("""COMPUTED_VALUE"""),0.0)</f>
        <v>0</v>
      </c>
      <c r="BC479" s="4">
        <f>IFERROR(__xludf.DUMMYFUNCTION("""COMPUTED_VALUE"""),0.0)</f>
        <v>0</v>
      </c>
      <c r="BD479" s="4">
        <f>IFERROR(__xludf.DUMMYFUNCTION("""COMPUTED_VALUE"""),300.0)</f>
        <v>300</v>
      </c>
      <c r="BE479" s="1">
        <f>IFERROR(__xludf.DUMMYFUNCTION("""COMPUTED_VALUE"""),2.0)</f>
        <v>2</v>
      </c>
      <c r="BF479" s="6">
        <f>IFERROR(__xludf.DUMMYFUNCTION("""COMPUTED_VALUE"""),1.0)</f>
        <v>1</v>
      </c>
      <c r="BG479" s="1">
        <f>IFERROR(__xludf.DUMMYFUNCTION("""COMPUTED_VALUE"""),1.0)</f>
        <v>1</v>
      </c>
      <c r="BH479" s="1" t="str">
        <f>IFERROR(__xludf.DUMMYFUNCTION("""COMPUTED_VALUE"""),"0")</f>
        <v>0</v>
      </c>
      <c r="BI479" s="4">
        <f>IFERROR(__xludf.DUMMYFUNCTION("""COMPUTED_VALUE"""),300.0)</f>
        <v>300</v>
      </c>
      <c r="BJ479" s="1">
        <f>IFERROR(__xludf.DUMMYFUNCTION("""COMPUTED_VALUE"""),0.0)</f>
        <v>0</v>
      </c>
      <c r="BK479" s="4">
        <f>IFERROR(__xludf.DUMMYFUNCTION("""COMPUTED_VALUE"""),300.0)</f>
        <v>300</v>
      </c>
      <c r="BL479" s="1">
        <f>IFERROR(__xludf.DUMMYFUNCTION("""COMPUTED_VALUE"""),740.0)</f>
        <v>740</v>
      </c>
      <c r="BM479" s="1">
        <f>IFERROR(__xludf.DUMMYFUNCTION("""COMPUTED_VALUE"""),7.0)</f>
        <v>7</v>
      </c>
      <c r="BN479" s="2">
        <f>IFERROR(__xludf.DUMMYFUNCTION("""COMPUTED_VALUE"""),45698.0)</f>
        <v>45698</v>
      </c>
      <c r="BO479" s="1">
        <f>IFERROR(__xludf.DUMMYFUNCTION("""COMPUTED_VALUE"""),2.0)</f>
        <v>2</v>
      </c>
      <c r="BP479" s="1">
        <f>IFERROR(__xludf.DUMMYFUNCTION("""COMPUTED_VALUE"""),2025.0)</f>
        <v>2025</v>
      </c>
    </row>
    <row r="480">
      <c r="A480" s="1">
        <f>IFERROR(__xludf.DUMMYFUNCTION("""COMPUTED_VALUE"""),479.0)</f>
        <v>479</v>
      </c>
      <c r="B480" s="1">
        <f>IFERROR(__xludf.DUMMYFUNCTION("""COMPUTED_VALUE"""),1323339.0)</f>
        <v>1323339</v>
      </c>
      <c r="C480" s="1" t="str">
        <f>IFERROR(__xludf.DUMMYFUNCTION("""COMPUTED_VALUE"""),"2025-1")</f>
        <v>2025-1</v>
      </c>
      <c r="D480" s="1" t="str">
        <f>IFERROR(__xludf.DUMMYFUNCTION("""COMPUTED_VALUE"""),"Admisión Ordinaria")</f>
        <v>Admisión Ordinaria</v>
      </c>
      <c r="E480" s="2">
        <f>IFERROR(__xludf.DUMMYFUNCTION("""COMPUTED_VALUE"""),45700.0)</f>
        <v>45700</v>
      </c>
      <c r="F480" s="1" t="str">
        <f>IFERROR(__xludf.DUMMYFUNCTION("""COMPUTED_VALUE"""),"VALENTINA ")</f>
        <v>VALENTINA </v>
      </c>
      <c r="G480" s="1" t="str">
        <f>IFERROR(__xludf.DUMMYFUNCTION("""COMPUTED_VALUE"""),"ARANCIBIA GARCIA")</f>
        <v>ARANCIBIA GARCIA</v>
      </c>
      <c r="H480" s="1" t="str">
        <f>IFERROR(__xludf.DUMMYFUNCTION("""COMPUTED_VALUE"""),"Comunicación")</f>
        <v>Comunicación</v>
      </c>
      <c r="I480" s="1" t="str">
        <f>IFERROR(__xludf.DUMMYFUNCTION("""COMPUTED_VALUE"""),"CARGO")</f>
        <v>CARGO</v>
      </c>
      <c r="J480" s="1" t="str">
        <f>IFERROR(__xludf.DUMMYFUNCTION("""COMPUTED_VALUE"""),"Diurno")</f>
        <v>Diurno</v>
      </c>
      <c r="K480" s="1" t="str">
        <f>IFERROR(__xludf.DUMMYFUNCTION("""COMPUTED_VALUE"""),"NUEVO")</f>
        <v>NUEVO</v>
      </c>
      <c r="L480" s="1">
        <f>IFERROR(__xludf.DUMMYFUNCTION("""COMPUTED_VALUE"""),0.0)</f>
        <v>0</v>
      </c>
      <c r="M480" s="1">
        <f>IFERROR(__xludf.DUMMYFUNCTION("""COMPUTED_VALUE"""),0.0)</f>
        <v>0</v>
      </c>
      <c r="N480" s="1" t="str">
        <f>IFERROR(__xludf.DUMMYFUNCTION("""COMPUTED_VALUE"""),"BECA")</f>
        <v>BECA</v>
      </c>
      <c r="O480" s="1" t="str">
        <f>IFERROR(__xludf.DUMMYFUNCTION("""COMPUTED_VALUE"""),"BECA CARRERAS CORE")</f>
        <v>BECA CARRERAS CORE</v>
      </c>
      <c r="P480" s="4">
        <f>IFERROR(__xludf.DUMMYFUNCTION("""COMPUTED_VALUE"""),0.0)</f>
        <v>0</v>
      </c>
      <c r="Q480" s="4">
        <f>IFERROR(__xludf.DUMMYFUNCTION("""COMPUTED_VALUE"""),0.0)</f>
        <v>0</v>
      </c>
      <c r="R480" s="4">
        <f>IFERROR(__xludf.DUMMYFUNCTION("""COMPUTED_VALUE"""),1050.0)</f>
        <v>1050</v>
      </c>
      <c r="S480" s="4">
        <f>IFERROR(__xludf.DUMMYFUNCTION("""COMPUTED_VALUE"""),950.0)</f>
        <v>950</v>
      </c>
      <c r="T480" s="1" t="str">
        <f>IFERROR(__xludf.DUMMYFUNCTION("""COMPUTED_VALUE"""),"NINGUNO")</f>
        <v>NINGUNO</v>
      </c>
      <c r="U480" s="1" t="str">
        <f>IFERROR(__xludf.DUMMYFUNCTION("""COMPUTED_VALUE"""),"FABIOLA")</f>
        <v>FABIOLA</v>
      </c>
      <c r="V480" s="1" t="str">
        <f>IFERROR(__xludf.DUMMYFUNCTION("""COMPUTED_VALUE"""),"Ninguno")</f>
        <v>Ninguno</v>
      </c>
      <c r="W480" s="1" t="str">
        <f>IFERROR(__xludf.DUMMYFUNCTION("""COMPUTED_VALUE"""),"Metodología de enseñanza")</f>
        <v>Metodología de enseñanza</v>
      </c>
      <c r="X480" s="1" t="str">
        <f>IFERROR(__xludf.DUMMYFUNCTION("""COMPUTED_VALUE"""),"metodologia")</f>
        <v>metodologia</v>
      </c>
      <c r="Y480" s="1" t="str">
        <f>IFERROR(__xludf.DUMMYFUNCTION("""COMPUTED_VALUE"""),"PAGO COMPLETO")</f>
        <v>PAGO COMPLETO</v>
      </c>
      <c r="Z480" s="1"/>
      <c r="AA480" s="1"/>
      <c r="AB480" s="1">
        <f>IFERROR(__xludf.DUMMYFUNCTION("""COMPUTED_VALUE"""),0.0)</f>
        <v>0</v>
      </c>
      <c r="AC480" s="1">
        <f>IFERROR(__xludf.DUMMYFUNCTION("""COMPUTED_VALUE"""),0.0)</f>
        <v>0</v>
      </c>
      <c r="AD480" s="1" t="str">
        <f>IFERROR(__xludf.DUMMYFUNCTION("""COMPUTED_VALUE"""),"Cinthia Mariella Orosco")</f>
        <v>Cinthia Mariella Orosco</v>
      </c>
      <c r="AE480" s="1" t="str">
        <f>IFERROR(__xludf.DUMMYFUNCTION("""COMPUTED_VALUE"""),"0")</f>
        <v>0</v>
      </c>
      <c r="AF480" s="1">
        <f>IFERROR(__xludf.DUMMYFUNCTION("""COMPUTED_VALUE"""),2019.0)</f>
        <v>2019</v>
      </c>
      <c r="AG480" s="1">
        <f>IFERROR(__xludf.DUMMYFUNCTION("""COMPUTED_VALUE"""),309799.0)</f>
        <v>309799</v>
      </c>
      <c r="AH480" s="1">
        <f>IFERROR(__xludf.DUMMYFUNCTION("""COMPUTED_VALUE"""),22.0)</f>
        <v>22</v>
      </c>
      <c r="AI480" s="1" t="str">
        <f>IFERROR(__xludf.DUMMYFUNCTION("""COMPUTED_VALUE"""),"0000414106")</f>
        <v>0000414106</v>
      </c>
      <c r="AJ480" s="1">
        <f>IFERROR(__xludf.DUMMYFUNCTION("""COMPUTED_VALUE"""),7.3061242E7)</f>
        <v>73061242</v>
      </c>
      <c r="AK480" s="1">
        <f>IFERROR(__xludf.DUMMYFUNCTION("""COMPUTED_VALUE"""),9.27802562E8)</f>
        <v>927802562</v>
      </c>
      <c r="AL480" s="1" t="str">
        <f>IFERROR(__xludf.DUMMYFUNCTION("""COMPUTED_VALUE"""),"emily2003valentina@gmail.com")</f>
        <v>emily2003valentina@gmail.com</v>
      </c>
      <c r="AM480" s="1" t="str">
        <f>IFERROR(__xludf.DUMMYFUNCTION("""COMPUTED_VALUE"""),"FEMENINO")</f>
        <v>FEMENINO</v>
      </c>
      <c r="AN480" s="1">
        <f>IFERROR(__xludf.DUMMYFUNCTION("""COMPUTED_VALUE"""),1350.0)</f>
        <v>1350</v>
      </c>
      <c r="AO480" s="1">
        <f>IFERROR(__xludf.DUMMYFUNCTION("""COMPUTED_VALUE"""),0.0)</f>
        <v>0</v>
      </c>
      <c r="AP480" s="1" t="str">
        <f>IFERROR(__xludf.DUMMYFUNCTION("""COMPUTED_VALUE"""),"FORMULARIO")</f>
        <v>FORMULARIO</v>
      </c>
      <c r="AQ480" s="1" t="str">
        <f>IFERROR(__xludf.DUMMYFUNCTION("""COMPUTED_VALUE"""),"SEARCH MARCA")</f>
        <v>SEARCH MARCA</v>
      </c>
      <c r="AR480" s="1" t="str">
        <f>IFERROR(__xludf.DUMMYFUNCTION("""COMPUTED_VALUE"""),"HEREDADO")</f>
        <v>HEREDADO</v>
      </c>
      <c r="AS480" s="1" t="str">
        <f>IFERROR(__xludf.DUMMYFUNCTION("""COMPUTED_VALUE"""),"ucal-pg-performance-sedes-abierta-cpl-extensiones_nuevas_pensiones_marca-20240917")</f>
        <v>ucal-pg-performance-sedes-abierta-cpl-extensiones_nuevas_pensiones_marca-20240917</v>
      </c>
      <c r="AT480" s="2">
        <f>IFERROR(__xludf.DUMMYFUNCTION("""COMPUTED_VALUE"""),45562.0)</f>
        <v>45562</v>
      </c>
      <c r="AU480" s="1">
        <f>IFERROR(__xludf.DUMMYFUNCTION("""COMPUTED_VALUE"""),1.0)</f>
        <v>1</v>
      </c>
      <c r="AV480" s="1" t="str">
        <f>IFERROR(__xludf.DUMMYFUNCTION("""COMPUTED_VALUE"""),"NUEVO")</f>
        <v>NUEVO</v>
      </c>
      <c r="AW480" s="1" t="str">
        <f>IFERROR(__xludf.DUMMYFUNCTION("""COMPUTED_VALUE"""),"SI")</f>
        <v>SI</v>
      </c>
      <c r="AX480" s="1"/>
      <c r="AY480" s="1" t="str">
        <f>IFERROR(__xludf.DUMMYFUNCTION("""COMPUTED_VALUE"""),"PAGO COMPLETO")</f>
        <v>PAGO COMPLETO</v>
      </c>
      <c r="AZ480" s="5">
        <f>IFERROR(__xludf.DUMMYFUNCTION("""COMPUTED_VALUE"""),45700.0)</f>
        <v>45700</v>
      </c>
      <c r="BA480" s="1">
        <f>IFERROR(__xludf.DUMMYFUNCTION("""COMPUTED_VALUE"""),0.0)</f>
        <v>0</v>
      </c>
      <c r="BB480" s="1">
        <f>IFERROR(__xludf.DUMMYFUNCTION("""COMPUTED_VALUE"""),0.0)</f>
        <v>0</v>
      </c>
      <c r="BC480" s="4">
        <f>IFERROR(__xludf.DUMMYFUNCTION("""COMPUTED_VALUE"""),0.0)</f>
        <v>0</v>
      </c>
      <c r="BD480" s="4">
        <f>IFERROR(__xludf.DUMMYFUNCTION("""COMPUTED_VALUE"""),0.0)</f>
        <v>0</v>
      </c>
      <c r="BE480" s="1">
        <f>IFERROR(__xludf.DUMMYFUNCTION("""COMPUTED_VALUE"""),2.0)</f>
        <v>2</v>
      </c>
      <c r="BF480" s="6">
        <f>IFERROR(__xludf.DUMMYFUNCTION("""COMPUTED_VALUE"""),1.0)</f>
        <v>1</v>
      </c>
      <c r="BG480" s="1">
        <f>IFERROR(__xludf.DUMMYFUNCTION("""COMPUTED_VALUE"""),1.0)</f>
        <v>1</v>
      </c>
      <c r="BH480" s="1" t="str">
        <f>IFERROR(__xludf.DUMMYFUNCTION("""COMPUTED_VALUE"""),"0")</f>
        <v>0</v>
      </c>
      <c r="BI480" s="4">
        <f>IFERROR(__xludf.DUMMYFUNCTION("""COMPUTED_VALUE"""),0.0)</f>
        <v>0</v>
      </c>
      <c r="BJ480" s="1">
        <f>IFERROR(__xludf.DUMMYFUNCTION("""COMPUTED_VALUE"""),0.0)</f>
        <v>0</v>
      </c>
      <c r="BK480" s="4">
        <f>IFERROR(__xludf.DUMMYFUNCTION("""COMPUTED_VALUE"""),0.0)</f>
        <v>0</v>
      </c>
      <c r="BL480" s="1">
        <f>IFERROR(__xludf.DUMMYFUNCTION("""COMPUTED_VALUE"""),950.0)</f>
        <v>950</v>
      </c>
      <c r="BM480" s="1">
        <f>IFERROR(__xludf.DUMMYFUNCTION("""COMPUTED_VALUE"""),7.0)</f>
        <v>7</v>
      </c>
      <c r="BN480" s="2">
        <f>IFERROR(__xludf.DUMMYFUNCTION("""COMPUTED_VALUE"""),45698.0)</f>
        <v>45698</v>
      </c>
      <c r="BO480" s="1">
        <f>IFERROR(__xludf.DUMMYFUNCTION("""COMPUTED_VALUE"""),2.0)</f>
        <v>2</v>
      </c>
      <c r="BP480" s="1">
        <f>IFERROR(__xludf.DUMMYFUNCTION("""COMPUTED_VALUE"""),2025.0)</f>
        <v>2025</v>
      </c>
    </row>
    <row r="481">
      <c r="A481" s="1">
        <f>IFERROR(__xludf.DUMMYFUNCTION("""COMPUTED_VALUE"""),480.0)</f>
        <v>480</v>
      </c>
      <c r="B481" s="1">
        <f>IFERROR(__xludf.DUMMYFUNCTION("""COMPUTED_VALUE"""),4985273.0)</f>
        <v>4985273</v>
      </c>
      <c r="C481" s="1" t="str">
        <f>IFERROR(__xludf.DUMMYFUNCTION("""COMPUTED_VALUE"""),"2025-1")</f>
        <v>2025-1</v>
      </c>
      <c r="D481" s="1" t="str">
        <f>IFERROR(__xludf.DUMMYFUNCTION("""COMPUTED_VALUE"""),"Admisión de Alto Rendimiento")</f>
        <v>Admisión de Alto Rendimiento</v>
      </c>
      <c r="E481" s="2">
        <f>IFERROR(__xludf.DUMMYFUNCTION("""COMPUTED_VALUE"""),45700.0)</f>
        <v>45700</v>
      </c>
      <c r="F481" s="1" t="str">
        <f>IFERROR(__xludf.DUMMYFUNCTION("""COMPUTED_VALUE"""),"NICOLE MARICIELO")</f>
        <v>NICOLE MARICIELO</v>
      </c>
      <c r="G481" s="1" t="str">
        <f>IFERROR(__xludf.DUMMYFUNCTION("""COMPUTED_VALUE"""),"ORE ROCA")</f>
        <v>ORE ROCA</v>
      </c>
      <c r="H481" s="1" t="str">
        <f>IFERROR(__xludf.DUMMYFUNCTION("""COMPUTED_VALUE"""),"Psicología")</f>
        <v>Psicología</v>
      </c>
      <c r="I481" s="1" t="str">
        <f>IFERROR(__xludf.DUMMYFUNCTION("""COMPUTED_VALUE"""),"CARGO")</f>
        <v>CARGO</v>
      </c>
      <c r="J481" s="1" t="str">
        <f>IFERROR(__xludf.DUMMYFUNCTION("""COMPUTED_VALUE"""),"Diurno")</f>
        <v>Diurno</v>
      </c>
      <c r="K481" s="1" t="str">
        <f>IFERROR(__xludf.DUMMYFUNCTION("""COMPUTED_VALUE"""),"NUEVO")</f>
        <v>NUEVO</v>
      </c>
      <c r="L481" s="1">
        <f>IFERROR(__xludf.DUMMYFUNCTION("""COMPUTED_VALUE"""),0.0)</f>
        <v>0</v>
      </c>
      <c r="M481" s="1">
        <f>IFERROR(__xludf.DUMMYFUNCTION("""COMPUTED_VALUE"""),0.0)</f>
        <v>0</v>
      </c>
      <c r="N481" s="1" t="str">
        <f>IFERROR(__xludf.DUMMYFUNCTION("""COMPUTED_VALUE"""),"BECA")</f>
        <v>BECA</v>
      </c>
      <c r="O481" s="1" t="str">
        <f>IFERROR(__xludf.DUMMYFUNCTION("""COMPUTED_VALUE"""),"BECA CONGELADA DE 2 AÑOS")</f>
        <v>BECA CONGELADA DE 2 AÑOS</v>
      </c>
      <c r="P481" s="4">
        <f>IFERROR(__xludf.DUMMYFUNCTION("""COMPUTED_VALUE"""),0.0)</f>
        <v>0</v>
      </c>
      <c r="Q481" s="4">
        <f>IFERROR(__xludf.DUMMYFUNCTION("""COMPUTED_VALUE"""),0.0)</f>
        <v>0</v>
      </c>
      <c r="R481" s="4">
        <f>IFERROR(__xludf.DUMMYFUNCTION("""COMPUTED_VALUE"""),1000.0)</f>
        <v>1000</v>
      </c>
      <c r="S481" s="4">
        <f>IFERROR(__xludf.DUMMYFUNCTION("""COMPUTED_VALUE"""),850.0)</f>
        <v>850</v>
      </c>
      <c r="T481" s="1" t="str">
        <f>IFERROR(__xludf.DUMMYFUNCTION("""COMPUTED_VALUE"""),"PALANCA 500")</f>
        <v>PALANCA 500</v>
      </c>
      <c r="U481" s="1" t="str">
        <f>IFERROR(__xludf.DUMMYFUNCTION("""COMPUTED_VALUE"""),"RODRIGO")</f>
        <v>RODRIGO</v>
      </c>
      <c r="V481" s="1" t="str">
        <f>IFERROR(__xludf.DUMMYFUNCTION("""COMPUTED_VALUE"""),"Ninguno")</f>
        <v>Ninguno</v>
      </c>
      <c r="W481" s="1" t="str">
        <f>IFERROR(__xludf.DUMMYFUNCTION("""COMPUTED_VALUE"""),"Malla curricular")</f>
        <v>Malla curricular</v>
      </c>
      <c r="X481" s="1"/>
      <c r="Y481" s="1" t="str">
        <f>IFERROR(__xludf.DUMMYFUNCTION("""COMPUTED_VALUE"""),"PAGO COMPLETO")</f>
        <v>PAGO COMPLETO</v>
      </c>
      <c r="Z481" s="1"/>
      <c r="AA481" s="1"/>
      <c r="AB481" s="1">
        <f>IFERROR(__xludf.DUMMYFUNCTION("""COMPUTED_VALUE"""),0.0)</f>
        <v>0</v>
      </c>
      <c r="AC481" s="1">
        <f>IFERROR(__xludf.DUMMYFUNCTION("""COMPUTED_VALUE"""),0.0)</f>
        <v>0</v>
      </c>
      <c r="AD481" s="1" t="str">
        <f>IFERROR(__xludf.DUMMYFUNCTION("""COMPUTED_VALUE"""),"Angelica Iparraguirre")</f>
        <v>Angelica Iparraguirre</v>
      </c>
      <c r="AE481" s="1" t="str">
        <f>IFERROR(__xludf.DUMMYFUNCTION("""COMPUTED_VALUE"""),"0")</f>
        <v>0</v>
      </c>
      <c r="AF481" s="1">
        <f>IFERROR(__xludf.DUMMYFUNCTION("""COMPUTED_VALUE"""),2024.0)</f>
        <v>2024</v>
      </c>
      <c r="AG481" s="1">
        <f>IFERROR(__xludf.DUMMYFUNCTION("""COMPUTED_VALUE"""),765370.0)</f>
        <v>765370</v>
      </c>
      <c r="AH481" s="1">
        <f>IFERROR(__xludf.DUMMYFUNCTION("""COMPUTED_VALUE"""),18.0)</f>
        <v>18</v>
      </c>
      <c r="AI481" s="1" t="str">
        <f>IFERROR(__xludf.DUMMYFUNCTION("""COMPUTED_VALUE"""),"0000414457")</f>
        <v>0000414457</v>
      </c>
      <c r="AJ481" s="1">
        <f>IFERROR(__xludf.DUMMYFUNCTION("""COMPUTED_VALUE"""),7.6491114E7)</f>
        <v>76491114</v>
      </c>
      <c r="AK481" s="1">
        <f>IFERROR(__xludf.DUMMYFUNCTION("""COMPUTED_VALUE"""),9.10680132E8)</f>
        <v>910680132</v>
      </c>
      <c r="AL481" s="1" t="str">
        <f>IFERROR(__xludf.DUMMYFUNCTION("""COMPUTED_VALUE"""),"orenicole51@gmail.com")</f>
        <v>orenicole51@gmail.com</v>
      </c>
      <c r="AM481" s="1" t="str">
        <f>IFERROR(__xludf.DUMMYFUNCTION("""COMPUTED_VALUE"""),"FEMENINO")</f>
        <v>FEMENINO</v>
      </c>
      <c r="AN481" s="1">
        <f>IFERROR(__xludf.DUMMYFUNCTION("""COMPUTED_VALUE"""),1350.0)</f>
        <v>1350</v>
      </c>
      <c r="AO481" s="1">
        <f>IFERROR(__xludf.DUMMYFUNCTION("""COMPUTED_VALUE"""),0.0)</f>
        <v>0</v>
      </c>
      <c r="AP481" s="1" t="str">
        <f>IFERROR(__xludf.DUMMYFUNCTION("""COMPUTED_VALUE"""),"COLEGIOS")</f>
        <v>COLEGIOS</v>
      </c>
      <c r="AQ481" s="1" t="str">
        <f>IFERROR(__xludf.DUMMYFUNCTION("""COMPUTED_VALUE"""),"COLEGIOS")</f>
        <v>COLEGIOS</v>
      </c>
      <c r="AR481" s="1" t="str">
        <f>IFERROR(__xludf.DUMMYFUNCTION("""COMPUTED_VALUE"""),"NUEVO")</f>
        <v>NUEVO</v>
      </c>
      <c r="AS481" s="1"/>
      <c r="AT481" s="2">
        <f>IFERROR(__xludf.DUMMYFUNCTION("""COMPUTED_VALUE"""),45550.0)</f>
        <v>45550</v>
      </c>
      <c r="AU481" s="1">
        <f>IFERROR(__xludf.DUMMYFUNCTION("""COMPUTED_VALUE"""),1.0)</f>
        <v>1</v>
      </c>
      <c r="AV481" s="1" t="str">
        <f>IFERROR(__xludf.DUMMYFUNCTION("""COMPUTED_VALUE"""),"NUEVO")</f>
        <v>NUEVO</v>
      </c>
      <c r="AW481" s="1" t="str">
        <f>IFERROR(__xludf.DUMMYFUNCTION("""COMPUTED_VALUE"""),"SI")</f>
        <v>SI</v>
      </c>
      <c r="AX481" s="1"/>
      <c r="AY481" s="1" t="str">
        <f>IFERROR(__xludf.DUMMYFUNCTION("""COMPUTED_VALUE"""),"PAGO COMPLETO")</f>
        <v>PAGO COMPLETO</v>
      </c>
      <c r="AZ481" s="5">
        <f>IFERROR(__xludf.DUMMYFUNCTION("""COMPUTED_VALUE"""),45700.0)</f>
        <v>45700</v>
      </c>
      <c r="BA481" s="1">
        <f>IFERROR(__xludf.DUMMYFUNCTION("""COMPUTED_VALUE"""),0.0)</f>
        <v>0</v>
      </c>
      <c r="BB481" s="1">
        <f>IFERROR(__xludf.DUMMYFUNCTION("""COMPUTED_VALUE"""),0.0)</f>
        <v>0</v>
      </c>
      <c r="BC481" s="4">
        <f>IFERROR(__xludf.DUMMYFUNCTION("""COMPUTED_VALUE"""),0.0)</f>
        <v>0</v>
      </c>
      <c r="BD481" s="4">
        <f>IFERROR(__xludf.DUMMYFUNCTION("""COMPUTED_VALUE"""),350.0)</f>
        <v>350</v>
      </c>
      <c r="BE481" s="1">
        <f>IFERROR(__xludf.DUMMYFUNCTION("""COMPUTED_VALUE"""),2.0)</f>
        <v>2</v>
      </c>
      <c r="BF481" s="6">
        <f>IFERROR(__xludf.DUMMYFUNCTION("""COMPUTED_VALUE"""),1.0)</f>
        <v>1</v>
      </c>
      <c r="BG481" s="1">
        <f>IFERROR(__xludf.DUMMYFUNCTION("""COMPUTED_VALUE"""),1.0)</f>
        <v>1</v>
      </c>
      <c r="BH481" s="1" t="str">
        <f>IFERROR(__xludf.DUMMYFUNCTION("""COMPUTED_VALUE"""),"0")</f>
        <v>0</v>
      </c>
      <c r="BI481" s="4">
        <f>IFERROR(__xludf.DUMMYFUNCTION("""COMPUTED_VALUE"""),350.0)</f>
        <v>350</v>
      </c>
      <c r="BJ481" s="1">
        <f>IFERROR(__xludf.DUMMYFUNCTION("""COMPUTED_VALUE"""),0.0)</f>
        <v>0</v>
      </c>
      <c r="BK481" s="4">
        <f>IFERROR(__xludf.DUMMYFUNCTION("""COMPUTED_VALUE"""),350.0)</f>
        <v>350</v>
      </c>
      <c r="BL481" s="1">
        <f>IFERROR(__xludf.DUMMYFUNCTION("""COMPUTED_VALUE"""),780.0)</f>
        <v>780</v>
      </c>
      <c r="BM481" s="1">
        <f>IFERROR(__xludf.DUMMYFUNCTION("""COMPUTED_VALUE"""),7.0)</f>
        <v>7</v>
      </c>
      <c r="BN481" s="2">
        <f>IFERROR(__xludf.DUMMYFUNCTION("""COMPUTED_VALUE"""),45698.0)</f>
        <v>45698</v>
      </c>
      <c r="BO481" s="1">
        <f>IFERROR(__xludf.DUMMYFUNCTION("""COMPUTED_VALUE"""),2.0)</f>
        <v>2</v>
      </c>
      <c r="BP481" s="1">
        <f>IFERROR(__xludf.DUMMYFUNCTION("""COMPUTED_VALUE"""),2025.0)</f>
        <v>2025</v>
      </c>
    </row>
    <row r="482">
      <c r="A482" s="1">
        <f>IFERROR(__xludf.DUMMYFUNCTION("""COMPUTED_VALUE"""),481.0)</f>
        <v>481</v>
      </c>
      <c r="B482" s="1">
        <f>IFERROR(__xludf.DUMMYFUNCTION("""COMPUTED_VALUE"""),1446984.0)</f>
        <v>1446984</v>
      </c>
      <c r="C482" s="1" t="str">
        <f>IFERROR(__xludf.DUMMYFUNCTION("""COMPUTED_VALUE"""),"2025-1")</f>
        <v>2025-1</v>
      </c>
      <c r="D482" s="1" t="str">
        <f>IFERROR(__xludf.DUMMYFUNCTION("""COMPUTED_VALUE"""),"Admisión Ordinaria")</f>
        <v>Admisión Ordinaria</v>
      </c>
      <c r="E482" s="2">
        <f>IFERROR(__xludf.DUMMYFUNCTION("""COMPUTED_VALUE"""),45700.0)</f>
        <v>45700</v>
      </c>
      <c r="F482" s="1" t="str">
        <f>IFERROR(__xludf.DUMMYFUNCTION("""COMPUTED_VALUE"""),"EDDY GIAN PIER ")</f>
        <v>EDDY GIAN PIER </v>
      </c>
      <c r="G482" s="1" t="str">
        <f>IFERROR(__xludf.DUMMYFUNCTION("""COMPUTED_VALUE"""),"REYES DIAZ")</f>
        <v>REYES DIAZ</v>
      </c>
      <c r="H482" s="1" t="str">
        <f>IFERROR(__xludf.DUMMYFUNCTION("""COMPUTED_VALUE"""),"Diseño Gráfico Publicitario")</f>
        <v>Diseño Gráfico Publicitario</v>
      </c>
      <c r="I482" s="1" t="str">
        <f>IFERROR(__xludf.DUMMYFUNCTION("""COMPUTED_VALUE"""),"POS")</f>
        <v>POS</v>
      </c>
      <c r="J482" s="1" t="str">
        <f>IFERROR(__xludf.DUMMYFUNCTION("""COMPUTED_VALUE"""),"Diurno")</f>
        <v>Diurno</v>
      </c>
      <c r="K482" s="1" t="str">
        <f>IFERROR(__xludf.DUMMYFUNCTION("""COMPUTED_VALUE"""),"NUEVO")</f>
        <v>NUEVO</v>
      </c>
      <c r="L482" s="1">
        <f>IFERROR(__xludf.DUMMYFUNCTION("""COMPUTED_VALUE"""),0.0)</f>
        <v>0</v>
      </c>
      <c r="M482" s="1">
        <f>IFERROR(__xludf.DUMMYFUNCTION("""COMPUTED_VALUE"""),0.0)</f>
        <v>0</v>
      </c>
      <c r="N482" s="1" t="str">
        <f>IFERROR(__xludf.DUMMYFUNCTION("""COMPUTED_VALUE"""),"BECA")</f>
        <v>BECA</v>
      </c>
      <c r="O482" s="1" t="str">
        <f>IFERROR(__xludf.DUMMYFUNCTION("""COMPUTED_VALUE"""),"BECA DGP")</f>
        <v>BECA DGP</v>
      </c>
      <c r="P482" s="4">
        <f>IFERROR(__xludf.DUMMYFUNCTION("""COMPUTED_VALUE"""),0.0)</f>
        <v>0</v>
      </c>
      <c r="Q482" s="4">
        <f>IFERROR(__xludf.DUMMYFUNCTION("""COMPUTED_VALUE"""),0.0)</f>
        <v>0</v>
      </c>
      <c r="R482" s="4">
        <f>IFERROR(__xludf.DUMMYFUNCTION("""COMPUTED_VALUE"""),1150.0)</f>
        <v>1150</v>
      </c>
      <c r="S482" s="4">
        <f>IFERROR(__xludf.DUMMYFUNCTION("""COMPUTED_VALUE"""),950.0)</f>
        <v>950</v>
      </c>
      <c r="T482" s="1" t="str">
        <f>IFERROR(__xludf.DUMMYFUNCTION("""COMPUTED_VALUE"""),"PALANCA 500")</f>
        <v>PALANCA 500</v>
      </c>
      <c r="U482" s="1" t="str">
        <f>IFERROR(__xludf.DUMMYFUNCTION("""COMPUTED_VALUE"""),"RODRIGO")</f>
        <v>RODRIGO</v>
      </c>
      <c r="V482" s="1" t="str">
        <f>IFERROR(__xludf.DUMMYFUNCTION("""COMPUTED_VALUE"""),"Ninguno")</f>
        <v>Ninguno</v>
      </c>
      <c r="W482" s="1" t="str">
        <f>IFERROR(__xludf.DUMMYFUNCTION("""COMPUTED_VALUE"""),"Malla curricular")</f>
        <v>Malla curricular</v>
      </c>
      <c r="X482" s="1" t="str">
        <f>IFERROR(__xludf.DUMMYFUNCTION("""COMPUTED_VALUE"""),"LE GUSTA UCAL ")</f>
        <v>LE GUSTA UCAL </v>
      </c>
      <c r="Y482" s="1" t="str">
        <f>IFERROR(__xludf.DUMMYFUNCTION("""COMPUTED_VALUE"""),"PAGO COMPLETO")</f>
        <v>PAGO COMPLETO</v>
      </c>
      <c r="Z482" s="1"/>
      <c r="AA482" s="1"/>
      <c r="AB482" s="1">
        <f>IFERROR(__xludf.DUMMYFUNCTION("""COMPUTED_VALUE"""),0.0)</f>
        <v>0</v>
      </c>
      <c r="AC482" s="1">
        <f>IFERROR(__xludf.DUMMYFUNCTION("""COMPUTED_VALUE"""),0.0)</f>
        <v>0</v>
      </c>
      <c r="AD482" s="1" t="str">
        <f>IFERROR(__xludf.DUMMYFUNCTION("""COMPUTED_VALUE"""),"Daniel Zapata")</f>
        <v>Daniel Zapata</v>
      </c>
      <c r="AE482" s="1" t="str">
        <f>IFERROR(__xludf.DUMMYFUNCTION("""COMPUTED_VALUE"""),"0")</f>
        <v>0</v>
      </c>
      <c r="AF482" s="1">
        <f>IFERROR(__xludf.DUMMYFUNCTION("""COMPUTED_VALUE"""),2022.0)</f>
        <v>2022</v>
      </c>
      <c r="AG482" s="1">
        <f>IFERROR(__xludf.DUMMYFUNCTION("""COMPUTED_VALUE"""),1660919.0)</f>
        <v>1660919</v>
      </c>
      <c r="AH482" s="1">
        <f>IFERROR(__xludf.DUMMYFUNCTION("""COMPUTED_VALUE"""),20.0)</f>
        <v>20</v>
      </c>
      <c r="AI482" s="1" t="str">
        <f>IFERROR(__xludf.DUMMYFUNCTION("""COMPUTED_VALUE"""),"0000023548")</f>
        <v>0000023548</v>
      </c>
      <c r="AJ482" s="1">
        <f>IFERROR(__xludf.DUMMYFUNCTION("""COMPUTED_VALUE"""),7.2554944E7)</f>
        <v>72554944</v>
      </c>
      <c r="AK482" s="1">
        <f>IFERROR(__xludf.DUMMYFUNCTION("""COMPUTED_VALUE"""),9.24310217E8)</f>
        <v>924310217</v>
      </c>
      <c r="AL482" s="1" t="str">
        <f>IFERROR(__xludf.DUMMYFUNCTION("""COMPUTED_VALUE"""),"eddygianpierreyesdiaz@gmail.com")</f>
        <v>eddygianpierreyesdiaz@gmail.com</v>
      </c>
      <c r="AM482" s="1" t="str">
        <f>IFERROR(__xludf.DUMMYFUNCTION("""COMPUTED_VALUE"""),"MASCULINO")</f>
        <v>MASCULINO</v>
      </c>
      <c r="AN482" s="1">
        <f>IFERROR(__xludf.DUMMYFUNCTION("""COMPUTED_VALUE"""),1525.0)</f>
        <v>1525</v>
      </c>
      <c r="AO482" s="1">
        <f>IFERROR(__xludf.DUMMYFUNCTION("""COMPUTED_VALUE"""),200.0)</f>
        <v>200</v>
      </c>
      <c r="AP482" s="1" t="str">
        <f>IFERROR(__xludf.DUMMYFUNCTION("""COMPUTED_VALUE"""),"FORMULARIO")</f>
        <v>FORMULARIO</v>
      </c>
      <c r="AQ482" s="1" t="str">
        <f>IFERROR(__xludf.DUMMYFUNCTION("""COMPUTED_VALUE"""),"SEARCH MARCA")</f>
        <v>SEARCH MARCA</v>
      </c>
      <c r="AR482" s="1" t="str">
        <f>IFERROR(__xludf.DUMMYFUNCTION("""COMPUTED_VALUE"""),"NUEVO")</f>
        <v>NUEVO</v>
      </c>
      <c r="AS482" s="1" t="str">
        <f>IFERROR(__xludf.DUMMYFUNCTION("""COMPUTED_VALUE"""),"ucal-pg-performance-sedes-abierta-cpl-search_conversion_marca-20240401")</f>
        <v>ucal-pg-performance-sedes-abierta-cpl-search_conversion_marca-20240401</v>
      </c>
      <c r="AT482" s="2">
        <f>IFERROR(__xludf.DUMMYFUNCTION("""COMPUTED_VALUE"""),45677.0)</f>
        <v>45677</v>
      </c>
      <c r="AU482" s="1">
        <f>IFERROR(__xludf.DUMMYFUNCTION("""COMPUTED_VALUE"""),1.0)</f>
        <v>1</v>
      </c>
      <c r="AV482" s="1" t="str">
        <f>IFERROR(__xludf.DUMMYFUNCTION("""COMPUTED_VALUE"""),"NUEVO")</f>
        <v>NUEVO</v>
      </c>
      <c r="AW482" s="1" t="str">
        <f>IFERROR(__xludf.DUMMYFUNCTION("""COMPUTED_VALUE"""),"SI")</f>
        <v>SI</v>
      </c>
      <c r="AX482" s="1"/>
      <c r="AY482" s="1" t="str">
        <f>IFERROR(__xludf.DUMMYFUNCTION("""COMPUTED_VALUE"""),"PAGO COMPLETO")</f>
        <v>PAGO COMPLETO</v>
      </c>
      <c r="AZ482" s="5">
        <f>IFERROR(__xludf.DUMMYFUNCTION("""COMPUTED_VALUE"""),45700.0)</f>
        <v>45700</v>
      </c>
      <c r="BA482" s="1">
        <f>IFERROR(__xludf.DUMMYFUNCTION("""COMPUTED_VALUE"""),0.0)</f>
        <v>0</v>
      </c>
      <c r="BB482" s="1">
        <f>IFERROR(__xludf.DUMMYFUNCTION("""COMPUTED_VALUE"""),0.0)</f>
        <v>0</v>
      </c>
      <c r="BC482" s="4">
        <f>IFERROR(__xludf.DUMMYFUNCTION("""COMPUTED_VALUE"""),0.0)</f>
        <v>0</v>
      </c>
      <c r="BD482" s="4">
        <f>IFERROR(__xludf.DUMMYFUNCTION("""COMPUTED_VALUE"""),450.0)</f>
        <v>450</v>
      </c>
      <c r="BE482" s="1">
        <f>IFERROR(__xludf.DUMMYFUNCTION("""COMPUTED_VALUE"""),2.0)</f>
        <v>2</v>
      </c>
      <c r="BF482" s="6">
        <f>IFERROR(__xludf.DUMMYFUNCTION("""COMPUTED_VALUE"""),1.0)</f>
        <v>1</v>
      </c>
      <c r="BG482" s="1">
        <f>IFERROR(__xludf.DUMMYFUNCTION("""COMPUTED_VALUE"""),1.0)</f>
        <v>1</v>
      </c>
      <c r="BH482" s="1" t="str">
        <f>IFERROR(__xludf.DUMMYFUNCTION("""COMPUTED_VALUE"""),"0")</f>
        <v>0</v>
      </c>
      <c r="BI482" s="4">
        <f>IFERROR(__xludf.DUMMYFUNCTION("""COMPUTED_VALUE"""),450.0)</f>
        <v>450</v>
      </c>
      <c r="BJ482" s="1">
        <f>IFERROR(__xludf.DUMMYFUNCTION("""COMPUTED_VALUE"""),0.0)</f>
        <v>0</v>
      </c>
      <c r="BK482" s="4">
        <f>IFERROR(__xludf.DUMMYFUNCTION("""COMPUTED_VALUE"""),450.0)</f>
        <v>450</v>
      </c>
      <c r="BL482" s="1">
        <f>IFERROR(__xludf.DUMMYFUNCTION("""COMPUTED_VALUE"""),860.0)</f>
        <v>860</v>
      </c>
      <c r="BM482" s="1">
        <f>IFERROR(__xludf.DUMMYFUNCTION("""COMPUTED_VALUE"""),7.0)</f>
        <v>7</v>
      </c>
      <c r="BN482" s="2">
        <f>IFERROR(__xludf.DUMMYFUNCTION("""COMPUTED_VALUE"""),45698.0)</f>
        <v>45698</v>
      </c>
      <c r="BO482" s="1">
        <f>IFERROR(__xludf.DUMMYFUNCTION("""COMPUTED_VALUE"""),2.0)</f>
        <v>2</v>
      </c>
      <c r="BP482" s="1">
        <f>IFERROR(__xludf.DUMMYFUNCTION("""COMPUTED_VALUE"""),2025.0)</f>
        <v>2025</v>
      </c>
    </row>
    <row r="483">
      <c r="A483" s="1">
        <f>IFERROR(__xludf.DUMMYFUNCTION("""COMPUTED_VALUE"""),482.0)</f>
        <v>482</v>
      </c>
      <c r="B483" s="1">
        <f>IFERROR(__xludf.DUMMYFUNCTION("""COMPUTED_VALUE"""),5016050.0)</f>
        <v>5016050</v>
      </c>
      <c r="C483" s="1" t="str">
        <f>IFERROR(__xludf.DUMMYFUNCTION("""COMPUTED_VALUE"""),"2025-1")</f>
        <v>2025-1</v>
      </c>
      <c r="D483" s="1" t="str">
        <f>IFERROR(__xludf.DUMMYFUNCTION("""COMPUTED_VALUE"""),"Admisión Ordinaria")</f>
        <v>Admisión Ordinaria</v>
      </c>
      <c r="E483" s="2">
        <f>IFERROR(__xludf.DUMMYFUNCTION("""COMPUTED_VALUE"""),45700.0)</f>
        <v>45700</v>
      </c>
      <c r="F483" s="1" t="str">
        <f>IFERROR(__xludf.DUMMYFUNCTION("""COMPUTED_VALUE"""),"PAOLA ")</f>
        <v>PAOLA </v>
      </c>
      <c r="G483" s="1" t="str">
        <f>IFERROR(__xludf.DUMMYFUNCTION("""COMPUTED_VALUE"""),"ARIAS LOMAS")</f>
        <v>ARIAS LOMAS</v>
      </c>
      <c r="H483" s="1" t="str">
        <f>IFERROR(__xludf.DUMMYFUNCTION("""COMPUTED_VALUE"""),"Marketing e Innovación")</f>
        <v>Marketing e Innovación</v>
      </c>
      <c r="I483" s="1" t="str">
        <f>IFERROR(__xludf.DUMMYFUNCTION("""COMPUTED_VALUE"""),"Pago Link")</f>
        <v>Pago Link</v>
      </c>
      <c r="J483" s="1" t="str">
        <f>IFERROR(__xludf.DUMMYFUNCTION("""COMPUTED_VALUE"""),"Nocturno - A distancia")</f>
        <v>Nocturno - A distancia</v>
      </c>
      <c r="K483" s="1" t="str">
        <f>IFERROR(__xludf.DUMMYFUNCTION("""COMPUTED_VALUE"""),"NUEVO")</f>
        <v>NUEVO</v>
      </c>
      <c r="L483" s="1">
        <f>IFERROR(__xludf.DUMMYFUNCTION("""COMPUTED_VALUE"""),0.0)</f>
        <v>0</v>
      </c>
      <c r="M483" s="1">
        <f>IFERROR(__xludf.DUMMYFUNCTION("""COMPUTED_VALUE"""),0.0)</f>
        <v>0</v>
      </c>
      <c r="N483" s="1" t="str">
        <f>IFERROR(__xludf.DUMMYFUNCTION("""COMPUTED_VALUE"""),"ESCALA DISTANCIA")</f>
        <v>ESCALA DISTANCIA</v>
      </c>
      <c r="O483" s="1" t="str">
        <f>IFERROR(__xludf.DUMMYFUNCTION("""COMPUTED_VALUE"""),"ESCALA DISTANCIA REGULAR")</f>
        <v>ESCALA DISTANCIA REGULAR</v>
      </c>
      <c r="P483" s="4">
        <f>IFERROR(__xludf.DUMMYFUNCTION("""COMPUTED_VALUE"""),0.0)</f>
        <v>0</v>
      </c>
      <c r="Q483" s="4">
        <f>IFERROR(__xludf.DUMMYFUNCTION("""COMPUTED_VALUE"""),0.0)</f>
        <v>0</v>
      </c>
      <c r="R483" s="4">
        <f>IFERROR(__xludf.DUMMYFUNCTION("""COMPUTED_VALUE"""),700.0)</f>
        <v>700</v>
      </c>
      <c r="S483" s="4">
        <f>IFERROR(__xludf.DUMMYFUNCTION("""COMPUTED_VALUE"""),700.0)</f>
        <v>700</v>
      </c>
      <c r="T483" s="1" t="str">
        <f>IFERROR(__xludf.DUMMYFUNCTION("""COMPUTED_VALUE"""),"NINGUNO")</f>
        <v>NINGUNO</v>
      </c>
      <c r="U483" s="1" t="str">
        <f>IFERROR(__xludf.DUMMYFUNCTION("""COMPUTED_VALUE"""),"FABIOLA")</f>
        <v>FABIOLA</v>
      </c>
      <c r="V483" s="1" t="str">
        <f>IFERROR(__xludf.DUMMYFUNCTION("""COMPUTED_VALUE"""),"Ninguno")</f>
        <v>Ninguno</v>
      </c>
      <c r="W483" s="1" t="str">
        <f>IFERROR(__xludf.DUMMYFUNCTION("""COMPUTED_VALUE"""),"Metodología de enseñanza")</f>
        <v>Metodología de enseñanza</v>
      </c>
      <c r="X483" s="1" t="str">
        <f>IFERROR(__xludf.DUMMYFUNCTION("""COMPUTED_VALUE"""),"metodologia")</f>
        <v>metodologia</v>
      </c>
      <c r="Y483" s="1" t="str">
        <f>IFERROR(__xludf.DUMMYFUNCTION("""COMPUTED_VALUE"""),"PAGO COMPLETO")</f>
        <v>PAGO COMPLETO</v>
      </c>
      <c r="Z483" s="1"/>
      <c r="AA483" s="1"/>
      <c r="AB483" s="1">
        <f>IFERROR(__xludf.DUMMYFUNCTION("""COMPUTED_VALUE"""),1.0)</f>
        <v>1</v>
      </c>
      <c r="AC483" s="1">
        <f>IFERROR(__xludf.DUMMYFUNCTION("""COMPUTED_VALUE"""),0.0)</f>
        <v>0</v>
      </c>
      <c r="AD483" s="1" t="str">
        <f>IFERROR(__xludf.DUMMYFUNCTION("""COMPUTED_VALUE"""),"Cinthia Mariella Orosco")</f>
        <v>Cinthia Mariella Orosco</v>
      </c>
      <c r="AE483" s="1" t="str">
        <f>IFERROR(__xludf.DUMMYFUNCTION("""COMPUTED_VALUE"""),"0")</f>
        <v>0</v>
      </c>
      <c r="AF483" s="1">
        <f>IFERROR(__xludf.DUMMYFUNCTION("""COMPUTED_VALUE"""),2020.0)</f>
        <v>2020</v>
      </c>
      <c r="AG483" s="1">
        <f>IFERROR(__xludf.DUMMYFUNCTION("""COMPUTED_VALUE"""),325597.0)</f>
        <v>325597</v>
      </c>
      <c r="AH483" s="1">
        <f>IFERROR(__xludf.DUMMYFUNCTION("""COMPUTED_VALUE"""),36.0)</f>
        <v>36</v>
      </c>
      <c r="AI483" s="1" t="str">
        <f>IFERROR(__xludf.DUMMYFUNCTION("""COMPUTED_VALUE"""),"0000414465")</f>
        <v>0000414465</v>
      </c>
      <c r="AJ483" s="1">
        <f>IFERROR(__xludf.DUMMYFUNCTION("""COMPUTED_VALUE"""),4.5973544E7)</f>
        <v>45973544</v>
      </c>
      <c r="AK483" s="1">
        <f>IFERROR(__xludf.DUMMYFUNCTION("""COMPUTED_VALUE"""),9.75608265E8)</f>
        <v>975608265</v>
      </c>
      <c r="AL483" s="1" t="str">
        <f>IFERROR(__xludf.DUMMYFUNCTION("""COMPUTED_VALUE"""),"paolaariasnutricionista@gmail.com")</f>
        <v>paolaariasnutricionista@gmail.com</v>
      </c>
      <c r="AM483" s="1" t="str">
        <f>IFERROR(__xludf.DUMMYFUNCTION("""COMPUTED_VALUE"""),"FEMENINO")</f>
        <v>FEMENINO</v>
      </c>
      <c r="AN483" s="1">
        <f>IFERROR(__xludf.DUMMYFUNCTION("""COMPUTED_VALUE"""),1350.0)</f>
        <v>1350</v>
      </c>
      <c r="AO483" s="1">
        <f>IFERROR(__xludf.DUMMYFUNCTION("""COMPUTED_VALUE"""),0.0)</f>
        <v>0</v>
      </c>
      <c r="AP483" s="1" t="str">
        <f>IFERROR(__xludf.DUMMYFUNCTION("""COMPUTED_VALUE"""),"FORMULARIO")</f>
        <v>FORMULARIO</v>
      </c>
      <c r="AQ483" s="1" t="str">
        <f>IFERROR(__xludf.DUMMYFUNCTION("""COMPUTED_VALUE"""),"ORGANICO")</f>
        <v>ORGANICO</v>
      </c>
      <c r="AR483" s="1" t="str">
        <f>IFERROR(__xludf.DUMMYFUNCTION("""COMPUTED_VALUE"""),"NUEVO")</f>
        <v>NUEVO</v>
      </c>
      <c r="AS483" s="1"/>
      <c r="AT483" s="2">
        <f>IFERROR(__xludf.DUMMYFUNCTION("""COMPUTED_VALUE"""),45700.0)</f>
        <v>45700</v>
      </c>
      <c r="AU483" s="1">
        <f>IFERROR(__xludf.DUMMYFUNCTION("""COMPUTED_VALUE"""),1.0)</f>
        <v>1</v>
      </c>
      <c r="AV483" s="1" t="str">
        <f>IFERROR(__xludf.DUMMYFUNCTION("""COMPUTED_VALUE"""),"NUEVO")</f>
        <v>NUEVO</v>
      </c>
      <c r="AW483" s="1" t="str">
        <f>IFERROR(__xludf.DUMMYFUNCTION("""COMPUTED_VALUE"""),"SI")</f>
        <v>SI</v>
      </c>
      <c r="AX483" s="1"/>
      <c r="AY483" s="1" t="str">
        <f>IFERROR(__xludf.DUMMYFUNCTION("""COMPUTED_VALUE"""),"PAGO COMPLETO")</f>
        <v>PAGO COMPLETO</v>
      </c>
      <c r="AZ483" s="5">
        <f>IFERROR(__xludf.DUMMYFUNCTION("""COMPUTED_VALUE"""),45700.0)</f>
        <v>45700</v>
      </c>
      <c r="BA483" s="1">
        <f>IFERROR(__xludf.DUMMYFUNCTION("""COMPUTED_VALUE"""),0.0)</f>
        <v>0</v>
      </c>
      <c r="BB483" s="1">
        <f>IFERROR(__xludf.DUMMYFUNCTION("""COMPUTED_VALUE"""),0.0)</f>
        <v>0</v>
      </c>
      <c r="BC483" s="4">
        <f>IFERROR(__xludf.DUMMYFUNCTION("""COMPUTED_VALUE"""),0.0)</f>
        <v>0</v>
      </c>
      <c r="BD483" s="4">
        <f>IFERROR(__xludf.DUMMYFUNCTION("""COMPUTED_VALUE"""),0.0)</f>
        <v>0</v>
      </c>
      <c r="BE483" s="1">
        <f>IFERROR(__xludf.DUMMYFUNCTION("""COMPUTED_VALUE"""),2.0)</f>
        <v>2</v>
      </c>
      <c r="BF483" s="6">
        <f>IFERROR(__xludf.DUMMYFUNCTION("""COMPUTED_VALUE"""),1.0)</f>
        <v>1</v>
      </c>
      <c r="BG483" s="1">
        <f>IFERROR(__xludf.DUMMYFUNCTION("""COMPUTED_VALUE"""),1.0)</f>
        <v>1</v>
      </c>
      <c r="BH483" s="1" t="str">
        <f>IFERROR(__xludf.DUMMYFUNCTION("""COMPUTED_VALUE"""),"0")</f>
        <v>0</v>
      </c>
      <c r="BI483" s="4">
        <f>IFERROR(__xludf.DUMMYFUNCTION("""COMPUTED_VALUE"""),0.0)</f>
        <v>0</v>
      </c>
      <c r="BJ483" s="1">
        <f>IFERROR(__xludf.DUMMYFUNCTION("""COMPUTED_VALUE"""),0.0)</f>
        <v>0</v>
      </c>
      <c r="BK483" s="4">
        <f>IFERROR(__xludf.DUMMYFUNCTION("""COMPUTED_VALUE"""),0.0)</f>
        <v>0</v>
      </c>
      <c r="BL483" s="1">
        <f>IFERROR(__xludf.DUMMYFUNCTION("""COMPUTED_VALUE"""),700.0)</f>
        <v>700</v>
      </c>
      <c r="BM483" s="1">
        <f>IFERROR(__xludf.DUMMYFUNCTION("""COMPUTED_VALUE"""),7.0)</f>
        <v>7</v>
      </c>
      <c r="BN483" s="2">
        <f>IFERROR(__xludf.DUMMYFUNCTION("""COMPUTED_VALUE"""),45698.0)</f>
        <v>45698</v>
      </c>
      <c r="BO483" s="1">
        <f>IFERROR(__xludf.DUMMYFUNCTION("""COMPUTED_VALUE"""),2.0)</f>
        <v>2</v>
      </c>
      <c r="BP483" s="1">
        <f>IFERROR(__xludf.DUMMYFUNCTION("""COMPUTED_VALUE"""),2025.0)</f>
        <v>2025</v>
      </c>
    </row>
    <row r="484">
      <c r="A484" s="1">
        <f>IFERROR(__xludf.DUMMYFUNCTION("""COMPUTED_VALUE"""),483.0)</f>
        <v>483</v>
      </c>
      <c r="B484" s="1">
        <f>IFERROR(__xludf.DUMMYFUNCTION("""COMPUTED_VALUE"""),5009089.0)</f>
        <v>5009089</v>
      </c>
      <c r="C484" s="1" t="str">
        <f>IFERROR(__xludf.DUMMYFUNCTION("""COMPUTED_VALUE"""),"2025-1")</f>
        <v>2025-1</v>
      </c>
      <c r="D484" s="1" t="str">
        <f>IFERROR(__xludf.DUMMYFUNCTION("""COMPUTED_VALUE"""),"Admisión Extraordinaria (Traslados)")</f>
        <v>Admisión Extraordinaria (Traslados)</v>
      </c>
      <c r="E484" s="2">
        <f>IFERROR(__xludf.DUMMYFUNCTION("""COMPUTED_VALUE"""),45700.0)</f>
        <v>45700</v>
      </c>
      <c r="F484" s="1" t="str">
        <f>IFERROR(__xludf.DUMMYFUNCTION("""COMPUTED_VALUE"""),"ANDREA NICOLE ")</f>
        <v>ANDREA NICOLE </v>
      </c>
      <c r="G484" s="1" t="str">
        <f>IFERROR(__xludf.DUMMYFUNCTION("""COMPUTED_VALUE"""),"CAMPANA CHAVEZ")</f>
        <v>CAMPANA CHAVEZ</v>
      </c>
      <c r="H484" s="1" t="str">
        <f>IFERROR(__xludf.DUMMYFUNCTION("""COMPUTED_VALUE"""),"Arquitectura")</f>
        <v>Arquitectura</v>
      </c>
      <c r="I484" s="1" t="str">
        <f>IFERROR(__xludf.DUMMYFUNCTION("""COMPUTED_VALUE"""),"POS")</f>
        <v>POS</v>
      </c>
      <c r="J484" s="1" t="str">
        <f>IFERROR(__xludf.DUMMYFUNCTION("""COMPUTED_VALUE"""),"Diurno")</f>
        <v>Diurno</v>
      </c>
      <c r="K484" s="1" t="str">
        <f>IFERROR(__xludf.DUMMYFUNCTION("""COMPUTED_VALUE"""),"TRASLADO")</f>
        <v>TRASLADO</v>
      </c>
      <c r="L484" s="1">
        <f>IFERROR(__xludf.DUMMYFUNCTION("""COMPUTED_VALUE"""),1.0)</f>
        <v>1</v>
      </c>
      <c r="M484" s="1">
        <f>IFERROR(__xludf.DUMMYFUNCTION("""COMPUTED_VALUE"""),0.0)</f>
        <v>0</v>
      </c>
      <c r="N484" s="1" t="str">
        <f>IFERROR(__xludf.DUMMYFUNCTION("""COMPUTED_VALUE"""),"RECA")</f>
        <v>RECA</v>
      </c>
      <c r="O484" s="1" t="str">
        <f>IFERROR(__xludf.DUMMYFUNCTION("""COMPUTED_VALUE"""),"RECA TRASLADO CON CONVA")</f>
        <v>RECA TRASLADO CON CONVA</v>
      </c>
      <c r="P484" s="4">
        <f>IFERROR(__xludf.DUMMYFUNCTION("""COMPUTED_VALUE"""),0.0)</f>
        <v>0</v>
      </c>
      <c r="Q484" s="4">
        <f>IFERROR(__xludf.DUMMYFUNCTION("""COMPUTED_VALUE"""),0.0)</f>
        <v>0</v>
      </c>
      <c r="R484" s="4">
        <f>IFERROR(__xludf.DUMMYFUNCTION("""COMPUTED_VALUE"""),1250.0)</f>
        <v>1250</v>
      </c>
      <c r="S484" s="4">
        <f>IFERROR(__xludf.DUMMYFUNCTION("""COMPUTED_VALUE"""),700.0)</f>
        <v>700</v>
      </c>
      <c r="T484" s="1" t="str">
        <f>IFERROR(__xludf.DUMMYFUNCTION("""COMPUTED_VALUE"""),"NINGUNO")</f>
        <v>NINGUNO</v>
      </c>
      <c r="U484" s="1"/>
      <c r="V484" s="1" t="str">
        <f>IFERROR(__xludf.DUMMYFUNCTION("""COMPUTED_VALUE"""),"Ninguno")</f>
        <v>Ninguno</v>
      </c>
      <c r="W484" s="1" t="str">
        <f>IFERROR(__xludf.DUMMYFUNCTION("""COMPUTED_VALUE"""),"Malla curricular")</f>
        <v>Malla curricular</v>
      </c>
      <c r="X484" s="1" t="str">
        <f>IFERROR(__xludf.DUMMYFUNCTION("""COMPUTED_VALUE"""),"LE GUSTA LA MALLA CURRICULAR ")</f>
        <v>LE GUSTA LA MALLA CURRICULAR </v>
      </c>
      <c r="Y484" s="1" t="str">
        <f>IFERROR(__xludf.DUMMYFUNCTION("""COMPUTED_VALUE"""),"PAGO FRACCIONADO")</f>
        <v>PAGO FRACCIONADO</v>
      </c>
      <c r="Z484" s="1">
        <f>IFERROR(__xludf.DUMMYFUNCTION("""COMPUTED_VALUE"""),350.0)</f>
        <v>350</v>
      </c>
      <c r="AA484" s="1" t="str">
        <f>IFERROR(__xludf.DUMMYFUNCTION("""COMPUTED_VALUE"""),"14/02/2025")</f>
        <v>14/02/2025</v>
      </c>
      <c r="AB484" s="1">
        <f>IFERROR(__xludf.DUMMYFUNCTION("""COMPUTED_VALUE"""),1.0)</f>
        <v>1</v>
      </c>
      <c r="AC484" s="1">
        <f>IFERROR(__xludf.DUMMYFUNCTION("""COMPUTED_VALUE"""),0.0)</f>
        <v>0</v>
      </c>
      <c r="AD484" s="1" t="str">
        <f>IFERROR(__xludf.DUMMYFUNCTION("""COMPUTED_VALUE"""),"Daniel Zapata")</f>
        <v>Daniel Zapata</v>
      </c>
      <c r="AE484" s="1" t="str">
        <f>IFERROR(__xludf.DUMMYFUNCTION("""COMPUTED_VALUE"""),"Universidad Privada del Norte(UPN)")</f>
        <v>Universidad Privada del Norte(UPN)</v>
      </c>
      <c r="AF484" s="1">
        <f>IFERROR(__xludf.DUMMYFUNCTION("""COMPUTED_VALUE"""),2019.0)</f>
        <v>2019</v>
      </c>
      <c r="AG484" s="1">
        <f>IFERROR(__xludf.DUMMYFUNCTION("""COMPUTED_VALUE"""),1486950.0)</f>
        <v>1486950</v>
      </c>
      <c r="AH484" s="1">
        <f>IFERROR(__xludf.DUMMYFUNCTION("""COMPUTED_VALUE"""),23.0)</f>
        <v>23</v>
      </c>
      <c r="AI484" s="1" t="str">
        <f>IFERROR(__xludf.DUMMYFUNCTION("""COMPUTED_VALUE"""),"0000414219")</f>
        <v>0000414219</v>
      </c>
      <c r="AJ484" s="1">
        <f>IFERROR(__xludf.DUMMYFUNCTION("""COMPUTED_VALUE"""),7.325737E7)</f>
        <v>73257370</v>
      </c>
      <c r="AK484" s="1">
        <f>IFERROR(__xludf.DUMMYFUNCTION("""COMPUTED_VALUE"""),9.78832051E8)</f>
        <v>978832051</v>
      </c>
      <c r="AL484" s="1" t="str">
        <f>IFERROR(__xludf.DUMMYFUNCTION("""COMPUTED_VALUE"""),"andreacampanachavez@gmail.com")</f>
        <v>andreacampanachavez@gmail.com</v>
      </c>
      <c r="AM484" s="1" t="str">
        <f>IFERROR(__xludf.DUMMYFUNCTION("""COMPUTED_VALUE"""),"FEMENINO")</f>
        <v>FEMENINO</v>
      </c>
      <c r="AN484" s="1">
        <f>IFERROR(__xludf.DUMMYFUNCTION("""COMPUTED_VALUE"""),1775.0)</f>
        <v>1775</v>
      </c>
      <c r="AO484" s="1">
        <f>IFERROR(__xludf.DUMMYFUNCTION("""COMPUTED_VALUE"""),360.0)</f>
        <v>360</v>
      </c>
      <c r="AP484" s="1" t="str">
        <f>IFERROR(__xludf.DUMMYFUNCTION("""COMPUTED_VALUE"""),"FORMULARIO")</f>
        <v>FORMULARIO</v>
      </c>
      <c r="AQ484" s="1" t="str">
        <f>IFERROR(__xludf.DUMMYFUNCTION("""COMPUTED_VALUE"""),"ORGANICO")</f>
        <v>ORGANICO</v>
      </c>
      <c r="AR484" s="1" t="str">
        <f>IFERROR(__xludf.DUMMYFUNCTION("""COMPUTED_VALUE"""),"HEREDADO")</f>
        <v>HEREDADO</v>
      </c>
      <c r="AS484" s="1"/>
      <c r="AT484" s="2">
        <f>IFERROR(__xludf.DUMMYFUNCTION("""COMPUTED_VALUE"""),45696.0)</f>
        <v>45696</v>
      </c>
      <c r="AU484" s="1">
        <f>IFERROR(__xludf.DUMMYFUNCTION("""COMPUTED_VALUE"""),1.0)</f>
        <v>1</v>
      </c>
      <c r="AV484" s="1" t="str">
        <f>IFERROR(__xludf.DUMMYFUNCTION("""COMPUTED_VALUE"""),"TRASLADO")</f>
        <v>TRASLADO</v>
      </c>
      <c r="AW484" s="1" t="str">
        <f>IFERROR(__xludf.DUMMYFUNCTION("""COMPUTED_VALUE"""),"SI")</f>
        <v>SI</v>
      </c>
      <c r="AX484" s="1"/>
      <c r="AY484" s="1" t="str">
        <f>IFERROR(__xludf.DUMMYFUNCTION("""COMPUTED_VALUE"""),"PAGO COMPLETO")</f>
        <v>PAGO COMPLETO</v>
      </c>
      <c r="AZ484" s="5">
        <f>IFERROR(__xludf.DUMMYFUNCTION("""COMPUTED_VALUE"""),45707.0)</f>
        <v>45707</v>
      </c>
      <c r="BA484" s="1">
        <f>IFERROR(__xludf.DUMMYFUNCTION("""COMPUTED_VALUE"""),350.0)</f>
        <v>350</v>
      </c>
      <c r="BB484" s="1">
        <f>IFERROR(__xludf.DUMMYFUNCTION("""COMPUTED_VALUE"""),0.0)</f>
        <v>0</v>
      </c>
      <c r="BC484" s="4">
        <f>IFERROR(__xludf.DUMMYFUNCTION("""COMPUTED_VALUE"""),0.0)</f>
        <v>0</v>
      </c>
      <c r="BD484" s="4">
        <f>IFERROR(__xludf.DUMMYFUNCTION("""COMPUTED_VALUE"""),0.0)</f>
        <v>0</v>
      </c>
      <c r="BE484" s="1">
        <f>IFERROR(__xludf.DUMMYFUNCTION("""COMPUTED_VALUE"""),2.0)</f>
        <v>2</v>
      </c>
      <c r="BF484" s="6">
        <f>IFERROR(__xludf.DUMMYFUNCTION("""COMPUTED_VALUE"""),1.0)</f>
        <v>1</v>
      </c>
      <c r="BG484" s="1">
        <f>IFERROR(__xludf.DUMMYFUNCTION("""COMPUTED_VALUE"""),1.0)</f>
        <v>1</v>
      </c>
      <c r="BH484" s="1" t="str">
        <f>IFERROR(__xludf.DUMMYFUNCTION("""COMPUTED_VALUE"""),"1")</f>
        <v>1</v>
      </c>
      <c r="BI484" s="4">
        <f>IFERROR(__xludf.DUMMYFUNCTION("""COMPUTED_VALUE"""),700.0)</f>
        <v>700</v>
      </c>
      <c r="BJ484" s="1">
        <f>IFERROR(__xludf.DUMMYFUNCTION("""COMPUTED_VALUE"""),0.0)</f>
        <v>0</v>
      </c>
      <c r="BK484" s="4">
        <f>IFERROR(__xludf.DUMMYFUNCTION("""COMPUTED_VALUE"""),0.0)</f>
        <v>0</v>
      </c>
      <c r="BL484" s="1">
        <f>IFERROR(__xludf.DUMMYFUNCTION("""COMPUTED_VALUE"""),700.0)</f>
        <v>700</v>
      </c>
      <c r="BM484" s="1">
        <f>IFERROR(__xludf.DUMMYFUNCTION("""COMPUTED_VALUE"""),7.0)</f>
        <v>7</v>
      </c>
      <c r="BN484" s="2">
        <f>IFERROR(__xludf.DUMMYFUNCTION("""COMPUTED_VALUE"""),45698.0)</f>
        <v>45698</v>
      </c>
      <c r="BO484" s="1">
        <f>IFERROR(__xludf.DUMMYFUNCTION("""COMPUTED_VALUE"""),2.0)</f>
        <v>2</v>
      </c>
      <c r="BP484" s="1">
        <f>IFERROR(__xludf.DUMMYFUNCTION("""COMPUTED_VALUE"""),2025.0)</f>
        <v>2025</v>
      </c>
    </row>
    <row r="485">
      <c r="A485" s="1">
        <f>IFERROR(__xludf.DUMMYFUNCTION("""COMPUTED_VALUE"""),484.0)</f>
        <v>484</v>
      </c>
      <c r="B485" s="1">
        <f>IFERROR(__xludf.DUMMYFUNCTION("""COMPUTED_VALUE"""),4992828.0)</f>
        <v>4992828</v>
      </c>
      <c r="C485" s="1" t="str">
        <f>IFERROR(__xludf.DUMMYFUNCTION("""COMPUTED_VALUE"""),"2025-1")</f>
        <v>2025-1</v>
      </c>
      <c r="D485" s="1" t="str">
        <f>IFERROR(__xludf.DUMMYFUNCTION("""COMPUTED_VALUE"""),"Admisión Ordinaria")</f>
        <v>Admisión Ordinaria</v>
      </c>
      <c r="E485" s="2">
        <f>IFERROR(__xludf.DUMMYFUNCTION("""COMPUTED_VALUE"""),45700.0)</f>
        <v>45700</v>
      </c>
      <c r="F485" s="1" t="str">
        <f>IFERROR(__xludf.DUMMYFUNCTION("""COMPUTED_VALUE"""),"KATHERIN ESTHER ")</f>
        <v>KATHERIN ESTHER </v>
      </c>
      <c r="G485" s="1" t="str">
        <f>IFERROR(__xludf.DUMMYFUNCTION("""COMPUTED_VALUE"""),"AMASIFUEN FERNANDEZ")</f>
        <v>AMASIFUEN FERNANDEZ</v>
      </c>
      <c r="H485" s="1" t="str">
        <f>IFERROR(__xludf.DUMMYFUNCTION("""COMPUTED_VALUE"""),"Psicología")</f>
        <v>Psicología</v>
      </c>
      <c r="I485" s="1" t="str">
        <f>IFERROR(__xludf.DUMMYFUNCTION("""COMPUTED_VALUE"""),"Pago Link")</f>
        <v>Pago Link</v>
      </c>
      <c r="J485" s="1" t="str">
        <f>IFERROR(__xludf.DUMMYFUNCTION("""COMPUTED_VALUE"""),"Nocturno - A distancia")</f>
        <v>Nocturno - A distancia</v>
      </c>
      <c r="K485" s="1" t="str">
        <f>IFERROR(__xludf.DUMMYFUNCTION("""COMPUTED_VALUE"""),"NUEVO")</f>
        <v>NUEVO</v>
      </c>
      <c r="L485" s="1">
        <f>IFERROR(__xludf.DUMMYFUNCTION("""COMPUTED_VALUE"""),0.0)</f>
        <v>0</v>
      </c>
      <c r="M485" s="1">
        <f>IFERROR(__xludf.DUMMYFUNCTION("""COMPUTED_VALUE"""),0.0)</f>
        <v>0</v>
      </c>
      <c r="N485" s="1" t="str">
        <f>IFERROR(__xludf.DUMMYFUNCTION("""COMPUTED_VALUE"""),"ESCALA DISTANCIA")</f>
        <v>ESCALA DISTANCIA</v>
      </c>
      <c r="O485" s="1" t="str">
        <f>IFERROR(__xludf.DUMMYFUNCTION("""COMPUTED_VALUE"""),"ESCALA DISTANCIA REGULAR")</f>
        <v>ESCALA DISTANCIA REGULAR</v>
      </c>
      <c r="P485" s="4">
        <f>IFERROR(__xludf.DUMMYFUNCTION("""COMPUTED_VALUE"""),0.0)</f>
        <v>0</v>
      </c>
      <c r="Q485" s="4">
        <f>IFERROR(__xludf.DUMMYFUNCTION("""COMPUTED_VALUE"""),0.0)</f>
        <v>0</v>
      </c>
      <c r="R485" s="4">
        <f>IFERROR(__xludf.DUMMYFUNCTION("""COMPUTED_VALUE"""),1050.0)</f>
        <v>1050</v>
      </c>
      <c r="S485" s="4">
        <f>IFERROR(__xludf.DUMMYFUNCTION("""COMPUTED_VALUE"""),700.0)</f>
        <v>700</v>
      </c>
      <c r="T485" s="1" t="str">
        <f>IFERROR(__xludf.DUMMYFUNCTION("""COMPUTED_VALUE"""),"NINGUNO")</f>
        <v>NINGUNO</v>
      </c>
      <c r="U485" s="1"/>
      <c r="V485" s="1" t="str">
        <f>IFERROR(__xludf.DUMMYFUNCTION("""COMPUTED_VALUE"""),"Ninguno")</f>
        <v>Ninguno</v>
      </c>
      <c r="W485" s="1" t="str">
        <f>IFERROR(__xludf.DUMMYFUNCTION("""COMPUTED_VALUE"""),"Malla curricular")</f>
        <v>Malla curricular</v>
      </c>
      <c r="X485" s="1" t="str">
        <f>IFERROR(__xludf.DUMMYFUNCTION("""COMPUTED_VALUE"""),"LE GUSTA LA UNIVRSIDAD Y HORARIOS ")</f>
        <v>LE GUSTA LA UNIVRSIDAD Y HORARIOS </v>
      </c>
      <c r="Y485" s="1" t="str">
        <f>IFERROR(__xludf.DUMMYFUNCTION("""COMPUTED_VALUE"""),"PAGO COMPLETO")</f>
        <v>PAGO COMPLETO</v>
      </c>
      <c r="Z485" s="1"/>
      <c r="AA485" s="1"/>
      <c r="AB485" s="1">
        <f>IFERROR(__xludf.DUMMYFUNCTION("""COMPUTED_VALUE"""),1.0)</f>
        <v>1</v>
      </c>
      <c r="AC485" s="1">
        <f>IFERROR(__xludf.DUMMYFUNCTION("""COMPUTED_VALUE"""),0.0)</f>
        <v>0</v>
      </c>
      <c r="AD485" s="1" t="str">
        <f>IFERROR(__xludf.DUMMYFUNCTION("""COMPUTED_VALUE"""),"Daniel Zapata")</f>
        <v>Daniel Zapata</v>
      </c>
      <c r="AE485" s="1" t="str">
        <f>IFERROR(__xludf.DUMMYFUNCTION("""COMPUTED_VALUE"""),"0")</f>
        <v>0</v>
      </c>
      <c r="AF485" s="1">
        <f>IFERROR(__xludf.DUMMYFUNCTION("""COMPUTED_VALUE"""),2020.0)</f>
        <v>2020</v>
      </c>
      <c r="AG485" s="1">
        <f>IFERROR(__xludf.DUMMYFUNCTION("""COMPUTED_VALUE"""),1495407.0)</f>
        <v>1495407</v>
      </c>
      <c r="AH485" s="1">
        <f>IFERROR(__xludf.DUMMYFUNCTION("""COMPUTED_VALUE"""),36.0)</f>
        <v>36</v>
      </c>
      <c r="AI485" s="1" t="str">
        <f>IFERROR(__xludf.DUMMYFUNCTION("""COMPUTED_VALUE"""),"0000414497")</f>
        <v>0000414497</v>
      </c>
      <c r="AJ485" s="1">
        <f>IFERROR(__xludf.DUMMYFUNCTION("""COMPUTED_VALUE"""),4.6392053E7)</f>
        <v>46392053</v>
      </c>
      <c r="AK485" s="1">
        <f>IFERROR(__xludf.DUMMYFUNCTION("""COMPUTED_VALUE"""),9.22475266E8)</f>
        <v>922475266</v>
      </c>
      <c r="AL485" s="1" t="str">
        <f>IFERROR(__xludf.DUMMYFUNCTION("""COMPUTED_VALUE"""),"Katherin.amasifuen@gmail.com")</f>
        <v>Katherin.amasifuen@gmail.com</v>
      </c>
      <c r="AM485" s="1" t="str">
        <f>IFERROR(__xludf.DUMMYFUNCTION("""COMPUTED_VALUE"""),"FEMENINO")</f>
        <v>FEMENINO</v>
      </c>
      <c r="AN485" s="1">
        <f>IFERROR(__xludf.DUMMYFUNCTION("""COMPUTED_VALUE"""),1350.0)</f>
        <v>1350</v>
      </c>
      <c r="AO485" s="1">
        <f>IFERROR(__xludf.DUMMYFUNCTION("""COMPUTED_VALUE"""),0.0)</f>
        <v>0</v>
      </c>
      <c r="AP485" s="1" t="str">
        <f>IFERROR(__xludf.DUMMYFUNCTION("""COMPUTED_VALUE"""),"FORMULARIO")</f>
        <v>FORMULARIO</v>
      </c>
      <c r="AQ485" s="1" t="str">
        <f>IFERROR(__xludf.DUMMYFUNCTION("""COMPUTED_VALUE"""),"SEARCH CARRERA")</f>
        <v>SEARCH CARRERA</v>
      </c>
      <c r="AR485" s="1" t="str">
        <f>IFERROR(__xludf.DUMMYFUNCTION("""COMPUTED_VALUE"""),"NUEVO")</f>
        <v>NUEVO</v>
      </c>
      <c r="AS485" s="1" t="str">
        <f>IFERROR(__xludf.DUMMYFUNCTION("""COMPUTED_VALUE"""),"ucal-pg-performance-sedes-abierta-cpl-search_conversion_mundo_psicologia_reactivacion-20241105")</f>
        <v>ucal-pg-performance-sedes-abierta-cpl-search_conversion_mundo_psicologia_reactivacion-20241105</v>
      </c>
      <c r="AT485" s="2">
        <f>IFERROR(__xludf.DUMMYFUNCTION("""COMPUTED_VALUE"""),45691.0)</f>
        <v>45691</v>
      </c>
      <c r="AU485" s="1">
        <f>IFERROR(__xludf.DUMMYFUNCTION("""COMPUTED_VALUE"""),1.0)</f>
        <v>1</v>
      </c>
      <c r="AV485" s="1" t="str">
        <f>IFERROR(__xludf.DUMMYFUNCTION("""COMPUTED_VALUE"""),"NUEVO")</f>
        <v>NUEVO</v>
      </c>
      <c r="AW485" s="1" t="str">
        <f>IFERROR(__xludf.DUMMYFUNCTION("""COMPUTED_VALUE"""),"SI")</f>
        <v>SI</v>
      </c>
      <c r="AX485" s="1"/>
      <c r="AY485" s="1" t="str">
        <f>IFERROR(__xludf.DUMMYFUNCTION("""COMPUTED_VALUE"""),"PAGO COMPLETO")</f>
        <v>PAGO COMPLETO</v>
      </c>
      <c r="AZ485" s="5">
        <f>IFERROR(__xludf.DUMMYFUNCTION("""COMPUTED_VALUE"""),45700.0)</f>
        <v>45700</v>
      </c>
      <c r="BA485" s="1">
        <f>IFERROR(__xludf.DUMMYFUNCTION("""COMPUTED_VALUE"""),0.0)</f>
        <v>0</v>
      </c>
      <c r="BB485" s="1">
        <f>IFERROR(__xludf.DUMMYFUNCTION("""COMPUTED_VALUE"""),0.0)</f>
        <v>0</v>
      </c>
      <c r="BC485" s="4">
        <f>IFERROR(__xludf.DUMMYFUNCTION("""COMPUTED_VALUE"""),0.0)</f>
        <v>0</v>
      </c>
      <c r="BD485" s="4">
        <f>IFERROR(__xludf.DUMMYFUNCTION("""COMPUTED_VALUE"""),0.0)</f>
        <v>0</v>
      </c>
      <c r="BE485" s="1">
        <f>IFERROR(__xludf.DUMMYFUNCTION("""COMPUTED_VALUE"""),2.0)</f>
        <v>2</v>
      </c>
      <c r="BF485" s="6">
        <f>IFERROR(__xludf.DUMMYFUNCTION("""COMPUTED_VALUE"""),1.0)</f>
        <v>1</v>
      </c>
      <c r="BG485" s="1">
        <f>IFERROR(__xludf.DUMMYFUNCTION("""COMPUTED_VALUE"""),1.0)</f>
        <v>1</v>
      </c>
      <c r="BH485" s="1" t="str">
        <f>IFERROR(__xludf.DUMMYFUNCTION("""COMPUTED_VALUE"""),"0")</f>
        <v>0</v>
      </c>
      <c r="BI485" s="4">
        <f>IFERROR(__xludf.DUMMYFUNCTION("""COMPUTED_VALUE"""),0.0)</f>
        <v>0</v>
      </c>
      <c r="BJ485" s="1">
        <f>IFERROR(__xludf.DUMMYFUNCTION("""COMPUTED_VALUE"""),0.0)</f>
        <v>0</v>
      </c>
      <c r="BK485" s="4">
        <f>IFERROR(__xludf.DUMMYFUNCTION("""COMPUTED_VALUE"""),0.0)</f>
        <v>0</v>
      </c>
      <c r="BL485" s="1">
        <f>IFERROR(__xludf.DUMMYFUNCTION("""COMPUTED_VALUE"""),700.0)</f>
        <v>700</v>
      </c>
      <c r="BM485" s="1">
        <f>IFERROR(__xludf.DUMMYFUNCTION("""COMPUTED_VALUE"""),7.0)</f>
        <v>7</v>
      </c>
      <c r="BN485" s="2">
        <f>IFERROR(__xludf.DUMMYFUNCTION("""COMPUTED_VALUE"""),45698.0)</f>
        <v>45698</v>
      </c>
      <c r="BO485" s="1">
        <f>IFERROR(__xludf.DUMMYFUNCTION("""COMPUTED_VALUE"""),2.0)</f>
        <v>2</v>
      </c>
      <c r="BP485" s="1">
        <f>IFERROR(__xludf.DUMMYFUNCTION("""COMPUTED_VALUE"""),2025.0)</f>
        <v>2025</v>
      </c>
    </row>
    <row r="486">
      <c r="A486" s="1">
        <f>IFERROR(__xludf.DUMMYFUNCTION("""COMPUTED_VALUE"""),485.0)</f>
        <v>485</v>
      </c>
      <c r="B486" s="1">
        <f>IFERROR(__xludf.DUMMYFUNCTION("""COMPUTED_VALUE"""),4899431.0)</f>
        <v>4899431</v>
      </c>
      <c r="C486" s="1" t="str">
        <f>IFERROR(__xludf.DUMMYFUNCTION("""COMPUTED_VALUE"""),"2025-1")</f>
        <v>2025-1</v>
      </c>
      <c r="D486" s="1" t="str">
        <f>IFERROR(__xludf.DUMMYFUNCTION("""COMPUTED_VALUE"""),"Admisión de Alto Rendimiento")</f>
        <v>Admisión de Alto Rendimiento</v>
      </c>
      <c r="E486" s="2">
        <f>IFERROR(__xludf.DUMMYFUNCTION("""COMPUTED_VALUE"""),45701.0)</f>
        <v>45701</v>
      </c>
      <c r="F486" s="1" t="str">
        <f>IFERROR(__xludf.DUMMYFUNCTION("""COMPUTED_VALUE"""),"JOSE JESUS ")</f>
        <v>JOSE JESUS </v>
      </c>
      <c r="G486" s="1" t="str">
        <f>IFERROR(__xludf.DUMMYFUNCTION("""COMPUTED_VALUE""")," AGUIRRE PARIASA")</f>
        <v> AGUIRRE PARIASA</v>
      </c>
      <c r="H486" s="1" t="str">
        <f>IFERROR(__xludf.DUMMYFUNCTION("""COMPUTED_VALUE"""),"Comunicación Audiovisual y Cine")</f>
        <v>Comunicación Audiovisual y Cine</v>
      </c>
      <c r="I486" s="1" t="str">
        <f>IFERROR(__xludf.DUMMYFUNCTION("""COMPUTED_VALUE"""),"CARGO")</f>
        <v>CARGO</v>
      </c>
      <c r="J486" s="1" t="str">
        <f>IFERROR(__xludf.DUMMYFUNCTION("""COMPUTED_VALUE"""),"Diurno")</f>
        <v>Diurno</v>
      </c>
      <c r="K486" s="1" t="str">
        <f>IFERROR(__xludf.DUMMYFUNCTION("""COMPUTED_VALUE"""),"NUEVO")</f>
        <v>NUEVO</v>
      </c>
      <c r="L486" s="1">
        <f>IFERROR(__xludf.DUMMYFUNCTION("""COMPUTED_VALUE"""),0.0)</f>
        <v>0</v>
      </c>
      <c r="M486" s="1">
        <f>IFERROR(__xludf.DUMMYFUNCTION("""COMPUTED_VALUE"""),0.0)</f>
        <v>0</v>
      </c>
      <c r="N486" s="1" t="str">
        <f>IFERROR(__xludf.DUMMYFUNCTION("""COMPUTED_VALUE"""),"BECA")</f>
        <v>BECA</v>
      </c>
      <c r="O486" s="1" t="str">
        <f>IFERROR(__xludf.DUMMYFUNCTION("""COMPUTED_VALUE"""),"BECA CARRERAS CORE")</f>
        <v>BECA CARRERAS CORE</v>
      </c>
      <c r="P486" s="4">
        <f>IFERROR(__xludf.DUMMYFUNCTION("""COMPUTED_VALUE"""),0.0)</f>
        <v>0</v>
      </c>
      <c r="Q486" s="4">
        <f>IFERROR(__xludf.DUMMYFUNCTION("""COMPUTED_VALUE"""),0.0)</f>
        <v>0</v>
      </c>
      <c r="R486" s="4">
        <f>IFERROR(__xludf.DUMMYFUNCTION("""COMPUTED_VALUE"""),1450.0)</f>
        <v>1450</v>
      </c>
      <c r="S486" s="4">
        <f>IFERROR(__xludf.DUMMYFUNCTION("""COMPUTED_VALUE"""),1200.0)</f>
        <v>1200</v>
      </c>
      <c r="T486" s="1" t="str">
        <f>IFERROR(__xludf.DUMMYFUNCTION("""COMPUTED_VALUE"""),"PALANCA 500")</f>
        <v>PALANCA 500</v>
      </c>
      <c r="U486" s="1"/>
      <c r="V486" s="1" t="str">
        <f>IFERROR(__xludf.DUMMYFUNCTION("""COMPUTED_VALUE"""),"Ninguno")</f>
        <v>Ninguno</v>
      </c>
      <c r="W486" s="1" t="str">
        <f>IFERROR(__xludf.DUMMYFUNCTION("""COMPUTED_VALUE"""),"Beca")</f>
        <v>Beca</v>
      </c>
      <c r="X486" s="1" t="str">
        <f>IFERROR(__xludf.DUMMYFUNCTION("""COMPUTED_VALUE"""),"LE GUSTA LA UNIVERSIDAD ")</f>
        <v>LE GUSTA LA UNIVERSIDAD </v>
      </c>
      <c r="Y486" s="1" t="str">
        <f>IFERROR(__xludf.DUMMYFUNCTION("""COMPUTED_VALUE"""),"PAGO COMPLETO")</f>
        <v>PAGO COMPLETO</v>
      </c>
      <c r="Z486" s="1"/>
      <c r="AA486" s="1"/>
      <c r="AB486" s="1">
        <f>IFERROR(__xludf.DUMMYFUNCTION("""COMPUTED_VALUE"""),0.0)</f>
        <v>0</v>
      </c>
      <c r="AC486" s="1">
        <f>IFERROR(__xludf.DUMMYFUNCTION("""COMPUTED_VALUE"""),0.0)</f>
        <v>0</v>
      </c>
      <c r="AD486" s="1" t="str">
        <f>IFERROR(__xludf.DUMMYFUNCTION("""COMPUTED_VALUE"""),"Daniel Zapata")</f>
        <v>Daniel Zapata</v>
      </c>
      <c r="AE486" s="1" t="str">
        <f>IFERROR(__xludf.DUMMYFUNCTION("""COMPUTED_VALUE"""),"0")</f>
        <v>0</v>
      </c>
      <c r="AF486" s="1">
        <f>IFERROR(__xludf.DUMMYFUNCTION("""COMPUTED_VALUE"""),2024.0)</f>
        <v>2024</v>
      </c>
      <c r="AG486" s="1">
        <f>IFERROR(__xludf.DUMMYFUNCTION("""COMPUTED_VALUE"""),1244029.0)</f>
        <v>1244029</v>
      </c>
      <c r="AH486" s="1">
        <f>IFERROR(__xludf.DUMMYFUNCTION("""COMPUTED_VALUE"""),17.0)</f>
        <v>17</v>
      </c>
      <c r="AI486" s="1" t="str">
        <f>IFERROR(__xludf.DUMMYFUNCTION("""COMPUTED_VALUE"""),"0000414443")</f>
        <v>0000414443</v>
      </c>
      <c r="AJ486" s="1">
        <f>IFERROR(__xludf.DUMMYFUNCTION("""COMPUTED_VALUE"""),7.1166379E7)</f>
        <v>71166379</v>
      </c>
      <c r="AK486" s="1">
        <f>IFERROR(__xludf.DUMMYFUNCTION("""COMPUTED_VALUE"""),9.90272991E8)</f>
        <v>990272991</v>
      </c>
      <c r="AL486" s="1" t="str">
        <f>IFERROR(__xludf.DUMMYFUNCTION("""COMPUTED_VALUE"""),"pariascadextresofia@gmail.com")</f>
        <v>pariascadextresofia@gmail.com</v>
      </c>
      <c r="AM486" s="1" t="str">
        <f>IFERROR(__xludf.DUMMYFUNCTION("""COMPUTED_VALUE"""),"MASCULINO")</f>
        <v>MASCULINO</v>
      </c>
      <c r="AN486" s="1">
        <f>IFERROR(__xludf.DUMMYFUNCTION("""COMPUTED_VALUE"""),1850.0)</f>
        <v>1850</v>
      </c>
      <c r="AO486" s="1">
        <f>IFERROR(__xludf.DUMMYFUNCTION("""COMPUTED_VALUE"""),590.0)</f>
        <v>590</v>
      </c>
      <c r="AP486" s="1" t="str">
        <f>IFERROR(__xludf.DUMMYFUNCTION("""COMPUTED_VALUE"""),"COLEGIOS")</f>
        <v>COLEGIOS</v>
      </c>
      <c r="AQ486" s="1" t="str">
        <f>IFERROR(__xludf.DUMMYFUNCTION("""COMPUTED_VALUE"""),"COLEGIOS")</f>
        <v>COLEGIOS</v>
      </c>
      <c r="AR486" s="1" t="str">
        <f>IFERROR(__xludf.DUMMYFUNCTION("""COMPUTED_VALUE"""),"NUEVO")</f>
        <v>NUEVO</v>
      </c>
      <c r="AS486" s="1"/>
      <c r="AT486" s="2">
        <f>IFERROR(__xludf.DUMMYFUNCTION("""COMPUTED_VALUE"""),45644.0)</f>
        <v>45644</v>
      </c>
      <c r="AU486" s="1">
        <f>IFERROR(__xludf.DUMMYFUNCTION("""COMPUTED_VALUE"""),1.0)</f>
        <v>1</v>
      </c>
      <c r="AV486" s="1" t="str">
        <f>IFERROR(__xludf.DUMMYFUNCTION("""COMPUTED_VALUE"""),"NUEVO")</f>
        <v>NUEVO</v>
      </c>
      <c r="AW486" s="1" t="str">
        <f>IFERROR(__xludf.DUMMYFUNCTION("""COMPUTED_VALUE"""),"SI")</f>
        <v>SI</v>
      </c>
      <c r="AX486" s="1"/>
      <c r="AY486" s="1" t="str">
        <f>IFERROR(__xludf.DUMMYFUNCTION("""COMPUTED_VALUE"""),"PAGO COMPLETO")</f>
        <v>PAGO COMPLETO</v>
      </c>
      <c r="AZ486" s="5">
        <f>IFERROR(__xludf.DUMMYFUNCTION("""COMPUTED_VALUE"""),45701.0)</f>
        <v>45701</v>
      </c>
      <c r="BA486" s="1">
        <f>IFERROR(__xludf.DUMMYFUNCTION("""COMPUTED_VALUE"""),0.0)</f>
        <v>0</v>
      </c>
      <c r="BB486" s="1">
        <f>IFERROR(__xludf.DUMMYFUNCTION("""COMPUTED_VALUE"""),0.0)</f>
        <v>0</v>
      </c>
      <c r="BC486" s="4">
        <f>IFERROR(__xludf.DUMMYFUNCTION("""COMPUTED_VALUE"""),0.0)</f>
        <v>0</v>
      </c>
      <c r="BD486" s="4">
        <f>IFERROR(__xludf.DUMMYFUNCTION("""COMPUTED_VALUE"""),700.0)</f>
        <v>700</v>
      </c>
      <c r="BE486" s="1">
        <f>IFERROR(__xludf.DUMMYFUNCTION("""COMPUTED_VALUE"""),2.0)</f>
        <v>2</v>
      </c>
      <c r="BF486" s="6">
        <f>IFERROR(__xludf.DUMMYFUNCTION("""COMPUTED_VALUE"""),1.0)</f>
        <v>1</v>
      </c>
      <c r="BG486" s="1">
        <f>IFERROR(__xludf.DUMMYFUNCTION("""COMPUTED_VALUE"""),1.0)</f>
        <v>1</v>
      </c>
      <c r="BH486" s="1" t="str">
        <f>IFERROR(__xludf.DUMMYFUNCTION("""COMPUTED_VALUE"""),"0")</f>
        <v>0</v>
      </c>
      <c r="BI486" s="4">
        <f>IFERROR(__xludf.DUMMYFUNCTION("""COMPUTED_VALUE"""),700.0)</f>
        <v>700</v>
      </c>
      <c r="BJ486" s="1">
        <f>IFERROR(__xludf.DUMMYFUNCTION("""COMPUTED_VALUE"""),0.0)</f>
        <v>0</v>
      </c>
      <c r="BK486" s="4">
        <f>IFERROR(__xludf.DUMMYFUNCTION("""COMPUTED_VALUE"""),700.0)</f>
        <v>700</v>
      </c>
      <c r="BL486" s="1">
        <f>IFERROR(__xludf.DUMMYFUNCTION("""COMPUTED_VALUE"""),1060.0)</f>
        <v>1060</v>
      </c>
      <c r="BM486" s="1">
        <f>IFERROR(__xludf.DUMMYFUNCTION("""COMPUTED_VALUE"""),7.0)</f>
        <v>7</v>
      </c>
      <c r="BN486" s="2">
        <f>IFERROR(__xludf.DUMMYFUNCTION("""COMPUTED_VALUE"""),45698.0)</f>
        <v>45698</v>
      </c>
      <c r="BO486" s="1">
        <f>IFERROR(__xludf.DUMMYFUNCTION("""COMPUTED_VALUE"""),2.0)</f>
        <v>2</v>
      </c>
      <c r="BP486" s="1">
        <f>IFERROR(__xludf.DUMMYFUNCTION("""COMPUTED_VALUE"""),2025.0)</f>
        <v>2025</v>
      </c>
    </row>
    <row r="487">
      <c r="A487" s="1">
        <f>IFERROR(__xludf.DUMMYFUNCTION("""COMPUTED_VALUE"""),486.0)</f>
        <v>486</v>
      </c>
      <c r="B487" s="1">
        <f>IFERROR(__xludf.DUMMYFUNCTION("""COMPUTED_VALUE"""),4521815.0)</f>
        <v>4521815</v>
      </c>
      <c r="C487" s="1" t="str">
        <f>IFERROR(__xludf.DUMMYFUNCTION("""COMPUTED_VALUE"""),"2025-1")</f>
        <v>2025-1</v>
      </c>
      <c r="D487" s="1" t="str">
        <f>IFERROR(__xludf.DUMMYFUNCTION("""COMPUTED_VALUE"""),"Admisión de Alto Rendimiento")</f>
        <v>Admisión de Alto Rendimiento</v>
      </c>
      <c r="E487" s="2">
        <f>IFERROR(__xludf.DUMMYFUNCTION("""COMPUTED_VALUE"""),45701.0)</f>
        <v>45701</v>
      </c>
      <c r="F487" s="1" t="str">
        <f>IFERROR(__xludf.DUMMYFUNCTION("""COMPUTED_VALUE"""),"KIARA VALESKA ")</f>
        <v>KIARA VALESKA </v>
      </c>
      <c r="G487" s="1" t="str">
        <f>IFERROR(__xludf.DUMMYFUNCTION("""COMPUTED_VALUE"""),"TORRES BENAVENTE")</f>
        <v>TORRES BENAVENTE</v>
      </c>
      <c r="H487" s="1" t="str">
        <f>IFERROR(__xludf.DUMMYFUNCTION("""COMPUTED_VALUE"""),"Administración y Negocios Internacionales")</f>
        <v>Administración y Negocios Internacionales</v>
      </c>
      <c r="I487" s="1" t="str">
        <f>IFERROR(__xludf.DUMMYFUNCTION("""COMPUTED_VALUE"""),"Pago Link")</f>
        <v>Pago Link</v>
      </c>
      <c r="J487" s="1" t="str">
        <f>IFERROR(__xludf.DUMMYFUNCTION("""COMPUTED_VALUE"""),"Diurno")</f>
        <v>Diurno</v>
      </c>
      <c r="K487" s="1" t="str">
        <f>IFERROR(__xludf.DUMMYFUNCTION("""COMPUTED_VALUE"""),"NUEVO")</f>
        <v>NUEVO</v>
      </c>
      <c r="L487" s="1">
        <f>IFERROR(__xludf.DUMMYFUNCTION("""COMPUTED_VALUE"""),0.0)</f>
        <v>0</v>
      </c>
      <c r="M487" s="1">
        <f>IFERROR(__xludf.DUMMYFUNCTION("""COMPUTED_VALUE"""),0.0)</f>
        <v>0</v>
      </c>
      <c r="N487" s="1" t="str">
        <f>IFERROR(__xludf.DUMMYFUNCTION("""COMPUTED_VALUE"""),"BECA")</f>
        <v>BECA</v>
      </c>
      <c r="O487" s="1" t="str">
        <f>IFERROR(__xludf.DUMMYFUNCTION("""COMPUTED_VALUE"""),"BECA CONGELADA DE 2 AÑOS")</f>
        <v>BECA CONGELADA DE 2 AÑOS</v>
      </c>
      <c r="P487" s="4">
        <f>IFERROR(__xludf.DUMMYFUNCTION("""COMPUTED_VALUE"""),0.0)</f>
        <v>0</v>
      </c>
      <c r="Q487" s="4">
        <f>IFERROR(__xludf.DUMMYFUNCTION("""COMPUTED_VALUE"""),0.0)</f>
        <v>0</v>
      </c>
      <c r="R487" s="4">
        <f>IFERROR(__xludf.DUMMYFUNCTION("""COMPUTED_VALUE"""),1000.0)</f>
        <v>1000</v>
      </c>
      <c r="S487" s="4">
        <f>IFERROR(__xludf.DUMMYFUNCTION("""COMPUTED_VALUE"""),850.0)</f>
        <v>850</v>
      </c>
      <c r="T487" s="1" t="str">
        <f>IFERROR(__xludf.DUMMYFUNCTION("""COMPUTED_VALUE"""),"PALANCA 500 - Referido")</f>
        <v>PALANCA 500 - Referido</v>
      </c>
      <c r="U487" s="1" t="str">
        <f>IFERROR(__xludf.DUMMYFUNCTION("""COMPUTED_VALUE"""),"FABIOLA")</f>
        <v>FABIOLA</v>
      </c>
      <c r="V487" s="1" t="str">
        <f>IFERROR(__xludf.DUMMYFUNCTION("""COMPUTED_VALUE"""),"Fiorella Lanegra")</f>
        <v>Fiorella Lanegra</v>
      </c>
      <c r="W487" s="1" t="str">
        <f>IFERROR(__xludf.DUMMYFUNCTION("""COMPUTED_VALUE"""),"Metodología de enseñanza")</f>
        <v>Metodología de enseñanza</v>
      </c>
      <c r="X487" s="1" t="str">
        <f>IFERROR(__xludf.DUMMYFUNCTION("""COMPUTED_VALUE"""),"Referente de 71177047 ANGELES IVANNA DANCE HERNANDEZ")</f>
        <v>Referente de 71177047 ANGELES IVANNA DANCE HERNANDEZ</v>
      </c>
      <c r="Y487" s="1" t="str">
        <f>IFERROR(__xludf.DUMMYFUNCTION("""COMPUTED_VALUE"""),"PAGO COMPLETO")</f>
        <v>PAGO COMPLETO</v>
      </c>
      <c r="Z487" s="1"/>
      <c r="AA487" s="1"/>
      <c r="AB487" s="1">
        <f>IFERROR(__xludf.DUMMYFUNCTION("""COMPUTED_VALUE"""),0.0)</f>
        <v>0</v>
      </c>
      <c r="AC487" s="1">
        <f>IFERROR(__xludf.DUMMYFUNCTION("""COMPUTED_VALUE"""),0.0)</f>
        <v>0</v>
      </c>
      <c r="AD487" s="1" t="str">
        <f>IFERROR(__xludf.DUMMYFUNCTION("""COMPUTED_VALUE"""),"Fiorella Lanegra")</f>
        <v>Fiorella Lanegra</v>
      </c>
      <c r="AE487" s="1" t="str">
        <f>IFERROR(__xludf.DUMMYFUNCTION("""COMPUTED_VALUE"""),"0")</f>
        <v>0</v>
      </c>
      <c r="AF487" s="1">
        <f>IFERROR(__xludf.DUMMYFUNCTION("""COMPUTED_VALUE"""),2024.0)</f>
        <v>2024</v>
      </c>
      <c r="AG487" s="1">
        <f>IFERROR(__xludf.DUMMYFUNCTION("""COMPUTED_VALUE"""),325472.0)</f>
        <v>325472</v>
      </c>
      <c r="AH487" s="1">
        <f>IFERROR(__xludf.DUMMYFUNCTION("""COMPUTED_VALUE"""),17.0)</f>
        <v>17</v>
      </c>
      <c r="AI487" s="1" t="str">
        <f>IFERROR(__xludf.DUMMYFUNCTION("""COMPUTED_VALUE"""),"0000414308")</f>
        <v>0000414308</v>
      </c>
      <c r="AJ487" s="1">
        <f>IFERROR(__xludf.DUMMYFUNCTION("""COMPUTED_VALUE"""),6.134731E7)</f>
        <v>61347310</v>
      </c>
      <c r="AK487" s="1">
        <f>IFERROR(__xludf.DUMMYFUNCTION("""COMPUTED_VALUE"""),9.62619682E8)</f>
        <v>962619682</v>
      </c>
      <c r="AL487" s="1" t="str">
        <f>IFERROR(__xludf.DUMMYFUNCTION("""COMPUTED_VALUE"""),"yaritorresb@icloud.com")</f>
        <v>yaritorresb@icloud.com</v>
      </c>
      <c r="AM487" s="1" t="str">
        <f>IFERROR(__xludf.DUMMYFUNCTION("""COMPUTED_VALUE"""),"FEMENINO")</f>
        <v>FEMENINO</v>
      </c>
      <c r="AN487" s="1">
        <f>IFERROR(__xludf.DUMMYFUNCTION("""COMPUTED_VALUE"""),1350.0)</f>
        <v>1350</v>
      </c>
      <c r="AO487" s="1">
        <f>IFERROR(__xludf.DUMMYFUNCTION("""COMPUTED_VALUE"""),0.0)</f>
        <v>0</v>
      </c>
      <c r="AP487" s="1" t="str">
        <f>IFERROR(__xludf.DUMMYFUNCTION("""COMPUTED_VALUE"""),"COLEGIOS")</f>
        <v>COLEGIOS</v>
      </c>
      <c r="AQ487" s="1" t="str">
        <f>IFERROR(__xludf.DUMMYFUNCTION("""COMPUTED_VALUE"""),"COLEGIOS")</f>
        <v>COLEGIOS</v>
      </c>
      <c r="AR487" s="1" t="str">
        <f>IFERROR(__xludf.DUMMYFUNCTION("""COMPUTED_VALUE"""),"NUEVO")</f>
        <v>NUEVO</v>
      </c>
      <c r="AS487" s="1"/>
      <c r="AT487" s="2">
        <f>IFERROR(__xludf.DUMMYFUNCTION("""COMPUTED_VALUE"""),45526.0)</f>
        <v>45526</v>
      </c>
      <c r="AU487" s="1">
        <f>IFERROR(__xludf.DUMMYFUNCTION("""COMPUTED_VALUE"""),1.0)</f>
        <v>1</v>
      </c>
      <c r="AV487" s="1" t="str">
        <f>IFERROR(__xludf.DUMMYFUNCTION("""COMPUTED_VALUE"""),"NUEVO")</f>
        <v>NUEVO</v>
      </c>
      <c r="AW487" s="1" t="str">
        <f>IFERROR(__xludf.DUMMYFUNCTION("""COMPUTED_VALUE"""),"SI")</f>
        <v>SI</v>
      </c>
      <c r="AX487" s="1"/>
      <c r="AY487" s="1" t="str">
        <f>IFERROR(__xludf.DUMMYFUNCTION("""COMPUTED_VALUE"""),"PAGO COMPLETO")</f>
        <v>PAGO COMPLETO</v>
      </c>
      <c r="AZ487" s="5">
        <f>IFERROR(__xludf.DUMMYFUNCTION("""COMPUTED_VALUE"""),45701.0)</f>
        <v>45701</v>
      </c>
      <c r="BA487" s="1">
        <f>IFERROR(__xludf.DUMMYFUNCTION("""COMPUTED_VALUE"""),0.0)</f>
        <v>0</v>
      </c>
      <c r="BB487" s="1">
        <f>IFERROR(__xludf.DUMMYFUNCTION("""COMPUTED_VALUE"""),0.0)</f>
        <v>0</v>
      </c>
      <c r="BC487" s="4">
        <f>IFERROR(__xludf.DUMMYFUNCTION("""COMPUTED_VALUE"""),0.0)</f>
        <v>0</v>
      </c>
      <c r="BD487" s="4">
        <f>IFERROR(__xludf.DUMMYFUNCTION("""COMPUTED_VALUE"""),350.0)</f>
        <v>350</v>
      </c>
      <c r="BE487" s="1">
        <f>IFERROR(__xludf.DUMMYFUNCTION("""COMPUTED_VALUE"""),2.0)</f>
        <v>2</v>
      </c>
      <c r="BF487" s="6">
        <f>IFERROR(__xludf.DUMMYFUNCTION("""COMPUTED_VALUE"""),1.0)</f>
        <v>1</v>
      </c>
      <c r="BG487" s="1">
        <f>IFERROR(__xludf.DUMMYFUNCTION("""COMPUTED_VALUE"""),1.0)</f>
        <v>1</v>
      </c>
      <c r="BH487" s="1" t="str">
        <f>IFERROR(__xludf.DUMMYFUNCTION("""COMPUTED_VALUE"""),"0")</f>
        <v>0</v>
      </c>
      <c r="BI487" s="4">
        <f>IFERROR(__xludf.DUMMYFUNCTION("""COMPUTED_VALUE"""),350.0)</f>
        <v>350</v>
      </c>
      <c r="BJ487" s="1">
        <f>IFERROR(__xludf.DUMMYFUNCTION("""COMPUTED_VALUE"""),0.0)</f>
        <v>0</v>
      </c>
      <c r="BK487" s="4">
        <f>IFERROR(__xludf.DUMMYFUNCTION("""COMPUTED_VALUE"""),775.0)</f>
        <v>775</v>
      </c>
      <c r="BL487" s="1">
        <f>IFERROR(__xludf.DUMMYFUNCTION("""COMPUTED_VALUE"""),695.0)</f>
        <v>695</v>
      </c>
      <c r="BM487" s="1">
        <f>IFERROR(__xludf.DUMMYFUNCTION("""COMPUTED_VALUE"""),7.0)</f>
        <v>7</v>
      </c>
      <c r="BN487" s="2">
        <f>IFERROR(__xludf.DUMMYFUNCTION("""COMPUTED_VALUE"""),45698.0)</f>
        <v>45698</v>
      </c>
      <c r="BO487" s="1">
        <f>IFERROR(__xludf.DUMMYFUNCTION("""COMPUTED_VALUE"""),2.0)</f>
        <v>2</v>
      </c>
      <c r="BP487" s="1">
        <f>IFERROR(__xludf.DUMMYFUNCTION("""COMPUTED_VALUE"""),2025.0)</f>
        <v>2025</v>
      </c>
    </row>
    <row r="488">
      <c r="A488" s="1">
        <f>IFERROR(__xludf.DUMMYFUNCTION("""COMPUTED_VALUE"""),487.0)</f>
        <v>487</v>
      </c>
      <c r="B488" s="1">
        <f>IFERROR(__xludf.DUMMYFUNCTION("""COMPUTED_VALUE"""),5014268.0)</f>
        <v>5014268</v>
      </c>
      <c r="C488" s="1" t="str">
        <f>IFERROR(__xludf.DUMMYFUNCTION("""COMPUTED_VALUE"""),"2025-1")</f>
        <v>2025-1</v>
      </c>
      <c r="D488" s="1" t="str">
        <f>IFERROR(__xludf.DUMMYFUNCTION("""COMPUTED_VALUE"""),"Admisión Extraordinaria (Traslados)")</f>
        <v>Admisión Extraordinaria (Traslados)</v>
      </c>
      <c r="E488" s="2">
        <f>IFERROR(__xludf.DUMMYFUNCTION("""COMPUTED_VALUE"""),45701.0)</f>
        <v>45701</v>
      </c>
      <c r="F488" s="1" t="str">
        <f>IFERROR(__xludf.DUMMYFUNCTION("""COMPUTED_VALUE"""),"JHASSYRA MARIANA")</f>
        <v>JHASSYRA MARIANA</v>
      </c>
      <c r="G488" s="1" t="str">
        <f>IFERROR(__xludf.DUMMYFUNCTION("""COMPUTED_VALUE"""),"CHUMPITAZ HERRERA")</f>
        <v>CHUMPITAZ HERRERA</v>
      </c>
      <c r="H488" s="1" t="str">
        <f>IFERROR(__xludf.DUMMYFUNCTION("""COMPUTED_VALUE"""),"Diseño Gráfico Publicitario")</f>
        <v>Diseño Gráfico Publicitario</v>
      </c>
      <c r="I488" s="1" t="str">
        <f>IFERROR(__xludf.DUMMYFUNCTION("""COMPUTED_VALUE"""),"CARGO")</f>
        <v>CARGO</v>
      </c>
      <c r="J488" s="1" t="str">
        <f>IFERROR(__xludf.DUMMYFUNCTION("""COMPUTED_VALUE"""),"Diurno")</f>
        <v>Diurno</v>
      </c>
      <c r="K488" s="1" t="str">
        <f>IFERROR(__xludf.DUMMYFUNCTION("""COMPUTED_VALUE"""),"TRASLADO")</f>
        <v>TRASLADO</v>
      </c>
      <c r="L488" s="1">
        <f>IFERROR(__xludf.DUMMYFUNCTION("""COMPUTED_VALUE"""),1.0)</f>
        <v>1</v>
      </c>
      <c r="M488" s="1">
        <f>IFERROR(__xludf.DUMMYFUNCTION("""COMPUTED_VALUE"""),0.0)</f>
        <v>0</v>
      </c>
      <c r="N488" s="1" t="str">
        <f>IFERROR(__xludf.DUMMYFUNCTION("""COMPUTED_VALUE"""),"RECA")</f>
        <v>RECA</v>
      </c>
      <c r="O488" s="1" t="str">
        <f>IFERROR(__xludf.DUMMYFUNCTION("""COMPUTED_VALUE"""),"RECA TRASLADO CON CONVA")</f>
        <v>RECA TRASLADO CON CONVA</v>
      </c>
      <c r="P488" s="4">
        <f>IFERROR(__xludf.DUMMYFUNCTION("""COMPUTED_VALUE"""),0.0)</f>
        <v>0</v>
      </c>
      <c r="Q488" s="4">
        <f>IFERROR(__xludf.DUMMYFUNCTION("""COMPUTED_VALUE"""),0.0)</f>
        <v>0</v>
      </c>
      <c r="R488" s="4">
        <f>IFERROR(__xludf.DUMMYFUNCTION("""COMPUTED_VALUE"""),700.0)</f>
        <v>700</v>
      </c>
      <c r="S488" s="4">
        <f>IFERROR(__xludf.DUMMYFUNCTION("""COMPUTED_VALUE"""),700.0)</f>
        <v>700</v>
      </c>
      <c r="T488" s="1" t="str">
        <f>IFERROR(__xludf.DUMMYFUNCTION("""COMPUTED_VALUE"""),"NINGUNO")</f>
        <v>NINGUNO</v>
      </c>
      <c r="U488" s="1" t="str">
        <f>IFERROR(__xludf.DUMMYFUNCTION("""COMPUTED_VALUE"""),"RODRIGO")</f>
        <v>RODRIGO</v>
      </c>
      <c r="V488" s="1" t="str">
        <f>IFERROR(__xludf.DUMMYFUNCTION("""COMPUTED_VALUE"""),"Ninguno")</f>
        <v>Ninguno</v>
      </c>
      <c r="W488" s="1" t="str">
        <f>IFERROR(__xludf.DUMMYFUNCTION("""COMPUTED_VALUE"""),"Precio accesible")</f>
        <v>Precio accesible</v>
      </c>
      <c r="X488" s="1"/>
      <c r="Y488" s="1" t="str">
        <f>IFERROR(__xludf.DUMMYFUNCTION("""COMPUTED_VALUE"""),"PAGO COMPLETO")</f>
        <v>PAGO COMPLETO</v>
      </c>
      <c r="Z488" s="1"/>
      <c r="AA488" s="1"/>
      <c r="AB488" s="1">
        <f>IFERROR(__xludf.DUMMYFUNCTION("""COMPUTED_VALUE"""),0.0)</f>
        <v>0</v>
      </c>
      <c r="AC488" s="1">
        <f>IFERROR(__xludf.DUMMYFUNCTION("""COMPUTED_VALUE"""),0.0)</f>
        <v>0</v>
      </c>
      <c r="AD488" s="1" t="str">
        <f>IFERROR(__xludf.DUMMYFUNCTION("""COMPUTED_VALUE"""),"Erwyn Terie Vital Avila")</f>
        <v>Erwyn Terie Vital Avila</v>
      </c>
      <c r="AE488" s="1" t="str">
        <f>IFERROR(__xludf.DUMMYFUNCTION("""COMPUTED_VALUE"""),"0")</f>
        <v>0</v>
      </c>
      <c r="AF488" s="1">
        <f>IFERROR(__xludf.DUMMYFUNCTION("""COMPUTED_VALUE"""),2020.0)</f>
        <v>2020</v>
      </c>
      <c r="AG488" s="1">
        <f>IFERROR(__xludf.DUMMYFUNCTION("""COMPUTED_VALUE"""),1349448.0)</f>
        <v>1349448</v>
      </c>
      <c r="AH488" s="1">
        <f>IFERROR(__xludf.DUMMYFUNCTION("""COMPUTED_VALUE"""),22.0)</f>
        <v>22</v>
      </c>
      <c r="AI488" s="1" t="str">
        <f>IFERROR(__xludf.DUMMYFUNCTION("""COMPUTED_VALUE"""),"0000414639")</f>
        <v>0000414639</v>
      </c>
      <c r="AJ488" s="1">
        <f>IFERROR(__xludf.DUMMYFUNCTION("""COMPUTED_VALUE"""),7.3823543E7)</f>
        <v>73823543</v>
      </c>
      <c r="AK488" s="1">
        <f>IFERROR(__xludf.DUMMYFUNCTION("""COMPUTED_VALUE"""),9.55609191E8)</f>
        <v>955609191</v>
      </c>
      <c r="AL488" s="1" t="str">
        <f>IFERROR(__xludf.DUMMYFUNCTION("""COMPUTED_VALUE"""),"Jhassyramch@gmail.com")</f>
        <v>Jhassyramch@gmail.com</v>
      </c>
      <c r="AM488" s="1" t="str">
        <f>IFERROR(__xludf.DUMMYFUNCTION("""COMPUTED_VALUE"""),"FEMENINO")</f>
        <v>FEMENINO</v>
      </c>
      <c r="AN488" s="1">
        <f>IFERROR(__xludf.DUMMYFUNCTION("""COMPUTED_VALUE"""),1350.0)</f>
        <v>1350</v>
      </c>
      <c r="AO488" s="1">
        <f>IFERROR(__xludf.DUMMYFUNCTION("""COMPUTED_VALUE"""),360.0)</f>
        <v>360</v>
      </c>
      <c r="AP488" s="1" t="str">
        <f>IFERROR(__xludf.DUMMYFUNCTION("""COMPUTED_VALUE"""),"FORMULARIO")</f>
        <v>FORMULARIO</v>
      </c>
      <c r="AQ488" s="1" t="str">
        <f>IFERROR(__xludf.DUMMYFUNCTION("""COMPUTED_VALUE"""),"SEARCH MARCA")</f>
        <v>SEARCH MARCA</v>
      </c>
      <c r="AR488" s="1" t="str">
        <f>IFERROR(__xludf.DUMMYFUNCTION("""COMPUTED_VALUE"""),"NUEVO")</f>
        <v>NUEVO</v>
      </c>
      <c r="AS488" s="1" t="str">
        <f>IFERROR(__xludf.DUMMYFUNCTION("""COMPUTED_VALUE"""),"ucal-pg-performance-sedes-abierta-cpl-search_conversion_marca-20240401")</f>
        <v>ucal-pg-performance-sedes-abierta-cpl-search_conversion_marca-20240401</v>
      </c>
      <c r="AT488" s="2">
        <f>IFERROR(__xludf.DUMMYFUNCTION("""COMPUTED_VALUE"""),45699.0)</f>
        <v>45699</v>
      </c>
      <c r="AU488" s="1">
        <f>IFERROR(__xludf.DUMMYFUNCTION("""COMPUTED_VALUE"""),1.0)</f>
        <v>1</v>
      </c>
      <c r="AV488" s="1" t="str">
        <f>IFERROR(__xludf.DUMMYFUNCTION("""COMPUTED_VALUE"""),"TRASLADO")</f>
        <v>TRASLADO</v>
      </c>
      <c r="AW488" s="1" t="str">
        <f>IFERROR(__xludf.DUMMYFUNCTION("""COMPUTED_VALUE"""),"SI")</f>
        <v>SI</v>
      </c>
      <c r="AX488" s="1"/>
      <c r="AY488" s="1" t="str">
        <f>IFERROR(__xludf.DUMMYFUNCTION("""COMPUTED_VALUE"""),"PAGO COMPLETO")</f>
        <v>PAGO COMPLETO</v>
      </c>
      <c r="AZ488" s="5">
        <f>IFERROR(__xludf.DUMMYFUNCTION("""COMPUTED_VALUE"""),45701.0)</f>
        <v>45701</v>
      </c>
      <c r="BA488" s="1">
        <f>IFERROR(__xludf.DUMMYFUNCTION("""COMPUTED_VALUE"""),0.0)</f>
        <v>0</v>
      </c>
      <c r="BB488" s="1">
        <f>IFERROR(__xludf.DUMMYFUNCTION("""COMPUTED_VALUE"""),0.0)</f>
        <v>0</v>
      </c>
      <c r="BC488" s="4">
        <f>IFERROR(__xludf.DUMMYFUNCTION("""COMPUTED_VALUE"""),0.0)</f>
        <v>0</v>
      </c>
      <c r="BD488" s="4">
        <f>IFERROR(__xludf.DUMMYFUNCTION("""COMPUTED_VALUE"""),0.0)</f>
        <v>0</v>
      </c>
      <c r="BE488" s="1">
        <f>IFERROR(__xludf.DUMMYFUNCTION("""COMPUTED_VALUE"""),2.0)</f>
        <v>2</v>
      </c>
      <c r="BF488" s="6">
        <f>IFERROR(__xludf.DUMMYFUNCTION("""COMPUTED_VALUE"""),1.0)</f>
        <v>1</v>
      </c>
      <c r="BG488" s="1">
        <f>IFERROR(__xludf.DUMMYFUNCTION("""COMPUTED_VALUE"""),1.0)</f>
        <v>1</v>
      </c>
      <c r="BH488" s="1" t="str">
        <f>IFERROR(__xludf.DUMMYFUNCTION("""COMPUTED_VALUE"""),"1")</f>
        <v>1</v>
      </c>
      <c r="BI488" s="4">
        <f>IFERROR(__xludf.DUMMYFUNCTION("""COMPUTED_VALUE"""),0.0)</f>
        <v>0</v>
      </c>
      <c r="BJ488" s="1">
        <f>IFERROR(__xludf.DUMMYFUNCTION("""COMPUTED_VALUE"""),0.0)</f>
        <v>0</v>
      </c>
      <c r="BK488" s="4">
        <f>IFERROR(__xludf.DUMMYFUNCTION("""COMPUTED_VALUE"""),0.0)</f>
        <v>0</v>
      </c>
      <c r="BL488" s="1">
        <f>IFERROR(__xludf.DUMMYFUNCTION("""COMPUTED_VALUE"""),700.0)</f>
        <v>700</v>
      </c>
      <c r="BM488" s="1">
        <f>IFERROR(__xludf.DUMMYFUNCTION("""COMPUTED_VALUE"""),7.0)</f>
        <v>7</v>
      </c>
      <c r="BN488" s="2">
        <f>IFERROR(__xludf.DUMMYFUNCTION("""COMPUTED_VALUE"""),45698.0)</f>
        <v>45698</v>
      </c>
      <c r="BO488" s="1">
        <f>IFERROR(__xludf.DUMMYFUNCTION("""COMPUTED_VALUE"""),2.0)</f>
        <v>2</v>
      </c>
      <c r="BP488" s="1">
        <f>IFERROR(__xludf.DUMMYFUNCTION("""COMPUTED_VALUE"""),2025.0)</f>
        <v>2025</v>
      </c>
    </row>
    <row r="489">
      <c r="A489" s="1">
        <f>IFERROR(__xludf.DUMMYFUNCTION("""COMPUTED_VALUE"""),488.0)</f>
        <v>488</v>
      </c>
      <c r="B489" s="1">
        <f>IFERROR(__xludf.DUMMYFUNCTION("""COMPUTED_VALUE"""),1946333.0)</f>
        <v>1946333</v>
      </c>
      <c r="C489" s="1" t="str">
        <f>IFERROR(__xludf.DUMMYFUNCTION("""COMPUTED_VALUE"""),"2025-1")</f>
        <v>2025-1</v>
      </c>
      <c r="D489" s="1" t="str">
        <f>IFERROR(__xludf.DUMMYFUNCTION("""COMPUTED_VALUE"""),"Admisión Extraordinaria (Traslados)")</f>
        <v>Admisión Extraordinaria (Traslados)</v>
      </c>
      <c r="E489" s="2">
        <f>IFERROR(__xludf.DUMMYFUNCTION("""COMPUTED_VALUE"""),45701.0)</f>
        <v>45701</v>
      </c>
      <c r="F489" s="1" t="str">
        <f>IFERROR(__xludf.DUMMYFUNCTION("""COMPUTED_VALUE"""),"ANDREA LUCIA ")</f>
        <v>ANDREA LUCIA </v>
      </c>
      <c r="G489" s="1" t="str">
        <f>IFERROR(__xludf.DUMMYFUNCTION("""COMPUTED_VALUE"""),"SOLANO DÍAZ")</f>
        <v>SOLANO DÍAZ</v>
      </c>
      <c r="H489" s="1" t="str">
        <f>IFERROR(__xludf.DUMMYFUNCTION("""COMPUTED_VALUE"""),"Arquitectura")</f>
        <v>Arquitectura</v>
      </c>
      <c r="I489" s="1" t="str">
        <f>IFERROR(__xludf.DUMMYFUNCTION("""COMPUTED_VALUE"""),"POS")</f>
        <v>POS</v>
      </c>
      <c r="J489" s="1" t="str">
        <f>IFERROR(__xludf.DUMMYFUNCTION("""COMPUTED_VALUE"""),"Diurno")</f>
        <v>Diurno</v>
      </c>
      <c r="K489" s="1" t="str">
        <f>IFERROR(__xludf.DUMMYFUNCTION("""COMPUTED_VALUE"""),"TRASLADO")</f>
        <v>TRASLADO</v>
      </c>
      <c r="L489" s="1">
        <f>IFERROR(__xludf.DUMMYFUNCTION("""COMPUTED_VALUE"""),1.0)</f>
        <v>1</v>
      </c>
      <c r="M489" s="1">
        <f>IFERROR(__xludf.DUMMYFUNCTION("""COMPUTED_VALUE"""),0.0)</f>
        <v>0</v>
      </c>
      <c r="N489" s="1" t="str">
        <f>IFERROR(__xludf.DUMMYFUNCTION("""COMPUTED_VALUE"""),"RECA")</f>
        <v>RECA</v>
      </c>
      <c r="O489" s="1" t="str">
        <f>IFERROR(__xludf.DUMMYFUNCTION("""COMPUTED_VALUE"""),"RECA TRASLADO CON CONVA")</f>
        <v>RECA TRASLADO CON CONVA</v>
      </c>
      <c r="P489" s="4">
        <f>IFERROR(__xludf.DUMMYFUNCTION("""COMPUTED_VALUE"""),0.0)</f>
        <v>0</v>
      </c>
      <c r="Q489" s="4">
        <f>IFERROR(__xludf.DUMMYFUNCTION("""COMPUTED_VALUE"""),0.0)</f>
        <v>0</v>
      </c>
      <c r="R489" s="4">
        <f>IFERROR(__xludf.DUMMYFUNCTION("""COMPUTED_VALUE"""),750.0)</f>
        <v>750</v>
      </c>
      <c r="S489" s="4">
        <f>IFERROR(__xludf.DUMMYFUNCTION("""COMPUTED_VALUE"""),750.0)</f>
        <v>750</v>
      </c>
      <c r="T489" s="1" t="str">
        <f>IFERROR(__xludf.DUMMYFUNCTION("""COMPUTED_VALUE"""),"NINGUNO")</f>
        <v>NINGUNO</v>
      </c>
      <c r="U489" s="1" t="str">
        <f>IFERROR(__xludf.DUMMYFUNCTION("""COMPUTED_VALUE"""),"FABIOLA")</f>
        <v>FABIOLA</v>
      </c>
      <c r="V489" s="1" t="str">
        <f>IFERROR(__xludf.DUMMYFUNCTION("""COMPUTED_VALUE"""),"Angelica Iparraguirre")</f>
        <v>Angelica Iparraguirre</v>
      </c>
      <c r="W489" s="1" t="str">
        <f>IFERROR(__xludf.DUMMYFUNCTION("""COMPUTED_VALUE"""),"Metodología de enseñanza")</f>
        <v>Metodología de enseñanza</v>
      </c>
      <c r="X489" s="1" t="str">
        <f>IFERROR(__xludf.DUMMYFUNCTION("""COMPUTED_VALUE"""),"metodologia")</f>
        <v>metodologia</v>
      </c>
      <c r="Y489" s="1" t="str">
        <f>IFERROR(__xludf.DUMMYFUNCTION("""COMPUTED_VALUE"""),"PAGO COMPLETO")</f>
        <v>PAGO COMPLETO</v>
      </c>
      <c r="Z489" s="1"/>
      <c r="AA489" s="1"/>
      <c r="AB489" s="1">
        <f>IFERROR(__xludf.DUMMYFUNCTION("""COMPUTED_VALUE"""),0.0)</f>
        <v>0</v>
      </c>
      <c r="AC489" s="1">
        <f>IFERROR(__xludf.DUMMYFUNCTION("""COMPUTED_VALUE"""),0.0)</f>
        <v>0</v>
      </c>
      <c r="AD489" s="1" t="str">
        <f>IFERROR(__xludf.DUMMYFUNCTION("""COMPUTED_VALUE"""),"Cinthia Mariella Orosco")</f>
        <v>Cinthia Mariella Orosco</v>
      </c>
      <c r="AE489" s="1" t="str">
        <f>IFERROR(__xludf.DUMMYFUNCTION("""COMPUTED_VALUE"""),"Instituto de Educación Superior Tecnológico Privado Toulouse Lautrec")</f>
        <v>Instituto de Educación Superior Tecnológico Privado Toulouse Lautrec</v>
      </c>
      <c r="AF489" s="1">
        <f>IFERROR(__xludf.DUMMYFUNCTION("""COMPUTED_VALUE"""),2022.0)</f>
        <v>2022</v>
      </c>
      <c r="AG489" s="1">
        <f>IFERROR(__xludf.DUMMYFUNCTION("""COMPUTED_VALUE"""),1358936.0)</f>
        <v>1358936</v>
      </c>
      <c r="AH489" s="1">
        <f>IFERROR(__xludf.DUMMYFUNCTION("""COMPUTED_VALUE"""),19.0)</f>
        <v>19</v>
      </c>
      <c r="AI489" s="1" t="str">
        <f>IFERROR(__xludf.DUMMYFUNCTION("""COMPUTED_VALUE"""),"0000046885")</f>
        <v>0000046885</v>
      </c>
      <c r="AJ489" s="1">
        <f>IFERROR(__xludf.DUMMYFUNCTION("""COMPUTED_VALUE"""),6.0819309E7)</f>
        <v>60819309</v>
      </c>
      <c r="AK489" s="1">
        <f>IFERROR(__xludf.DUMMYFUNCTION("""COMPUTED_VALUE"""),9.35182417E8)</f>
        <v>935182417</v>
      </c>
      <c r="AL489" s="1" t="str">
        <f>IFERROR(__xludf.DUMMYFUNCTION("""COMPUTED_VALUE"""),"andreasolanodiaz2006@gmail.com")</f>
        <v>andreasolanodiaz2006@gmail.com</v>
      </c>
      <c r="AM489" s="1" t="str">
        <f>IFERROR(__xludf.DUMMYFUNCTION("""COMPUTED_VALUE"""),"FEMENINO")</f>
        <v>FEMENINO</v>
      </c>
      <c r="AN489" s="1">
        <f>IFERROR(__xludf.DUMMYFUNCTION("""COMPUTED_VALUE"""),1775.0)</f>
        <v>1775</v>
      </c>
      <c r="AO489" s="1">
        <f>IFERROR(__xludf.DUMMYFUNCTION("""COMPUTED_VALUE"""),340.0)</f>
        <v>340</v>
      </c>
      <c r="AP489" s="1" t="str">
        <f>IFERROR(__xludf.DUMMYFUNCTION("""COMPUTED_VALUE"""),"OUTBOUND")</f>
        <v>OUTBOUND</v>
      </c>
      <c r="AQ489" s="1" t="str">
        <f>IFERROR(__xludf.DUMMYFUNCTION("""COMPUTED_VALUE"""),"OUTBOUND")</f>
        <v>OUTBOUND</v>
      </c>
      <c r="AR489" s="1" t="str">
        <f>IFERROR(__xludf.DUMMYFUNCTION("""COMPUTED_VALUE"""),"HEREDADO")</f>
        <v>HEREDADO</v>
      </c>
      <c r="AS489" s="1"/>
      <c r="AT489" s="2">
        <f>IFERROR(__xludf.DUMMYFUNCTION("""COMPUTED_VALUE"""),45701.0)</f>
        <v>45701</v>
      </c>
      <c r="AU489" s="1">
        <f>IFERROR(__xludf.DUMMYFUNCTION("""COMPUTED_VALUE"""),1.0)</f>
        <v>1</v>
      </c>
      <c r="AV489" s="1" t="str">
        <f>IFERROR(__xludf.DUMMYFUNCTION("""COMPUTED_VALUE"""),"TRASLADO")</f>
        <v>TRASLADO</v>
      </c>
      <c r="AW489" s="1" t="str">
        <f>IFERROR(__xludf.DUMMYFUNCTION("""COMPUTED_VALUE"""),"SI")</f>
        <v>SI</v>
      </c>
      <c r="AX489" s="1"/>
      <c r="AY489" s="1" t="str">
        <f>IFERROR(__xludf.DUMMYFUNCTION("""COMPUTED_VALUE"""),"PAGO COMPLETO")</f>
        <v>PAGO COMPLETO</v>
      </c>
      <c r="AZ489" s="5">
        <f>IFERROR(__xludf.DUMMYFUNCTION("""COMPUTED_VALUE"""),45701.0)</f>
        <v>45701</v>
      </c>
      <c r="BA489" s="1">
        <f>IFERROR(__xludf.DUMMYFUNCTION("""COMPUTED_VALUE"""),0.0)</f>
        <v>0</v>
      </c>
      <c r="BB489" s="1">
        <f>IFERROR(__xludf.DUMMYFUNCTION("""COMPUTED_VALUE"""),0.0)</f>
        <v>0</v>
      </c>
      <c r="BC489" s="4">
        <f>IFERROR(__xludf.DUMMYFUNCTION("""COMPUTED_VALUE"""),0.0)</f>
        <v>0</v>
      </c>
      <c r="BD489" s="4">
        <f>IFERROR(__xludf.DUMMYFUNCTION("""COMPUTED_VALUE"""),0.0)</f>
        <v>0</v>
      </c>
      <c r="BE489" s="1">
        <f>IFERROR(__xludf.DUMMYFUNCTION("""COMPUTED_VALUE"""),2.0)</f>
        <v>2</v>
      </c>
      <c r="BF489" s="6">
        <f>IFERROR(__xludf.DUMMYFUNCTION("""COMPUTED_VALUE"""),1.0)</f>
        <v>1</v>
      </c>
      <c r="BG489" s="1">
        <f>IFERROR(__xludf.DUMMYFUNCTION("""COMPUTED_VALUE"""),1.0)</f>
        <v>1</v>
      </c>
      <c r="BH489" s="1" t="str">
        <f>IFERROR(__xludf.DUMMYFUNCTION("""COMPUTED_VALUE"""),"1")</f>
        <v>1</v>
      </c>
      <c r="BI489" s="4">
        <f>IFERROR(__xludf.DUMMYFUNCTION("""COMPUTED_VALUE"""),0.0)</f>
        <v>0</v>
      </c>
      <c r="BJ489" s="1">
        <f>IFERROR(__xludf.DUMMYFUNCTION("""COMPUTED_VALUE"""),0.0)</f>
        <v>0</v>
      </c>
      <c r="BK489" s="4">
        <f>IFERROR(__xludf.DUMMYFUNCTION("""COMPUTED_VALUE"""),0.0)</f>
        <v>0</v>
      </c>
      <c r="BL489" s="1">
        <f>IFERROR(__xludf.DUMMYFUNCTION("""COMPUTED_VALUE"""),750.0)</f>
        <v>750</v>
      </c>
      <c r="BM489" s="1">
        <f>IFERROR(__xludf.DUMMYFUNCTION("""COMPUTED_VALUE"""),7.0)</f>
        <v>7</v>
      </c>
      <c r="BN489" s="2">
        <f>IFERROR(__xludf.DUMMYFUNCTION("""COMPUTED_VALUE"""),45698.0)</f>
        <v>45698</v>
      </c>
      <c r="BO489" s="1">
        <f>IFERROR(__xludf.DUMMYFUNCTION("""COMPUTED_VALUE"""),2.0)</f>
        <v>2</v>
      </c>
      <c r="BP489" s="1">
        <f>IFERROR(__xludf.DUMMYFUNCTION("""COMPUTED_VALUE"""),2025.0)</f>
        <v>2025</v>
      </c>
    </row>
    <row r="490">
      <c r="A490" s="1">
        <f>IFERROR(__xludf.DUMMYFUNCTION("""COMPUTED_VALUE"""),489.0)</f>
        <v>489</v>
      </c>
      <c r="B490" s="1">
        <f>IFERROR(__xludf.DUMMYFUNCTION("""COMPUTED_VALUE"""),5015421.0)</f>
        <v>5015421</v>
      </c>
      <c r="C490" s="1" t="str">
        <f>IFERROR(__xludf.DUMMYFUNCTION("""COMPUTED_VALUE"""),"2025-1")</f>
        <v>2025-1</v>
      </c>
      <c r="D490" s="1" t="str">
        <f>IFERROR(__xludf.DUMMYFUNCTION("""COMPUTED_VALUE"""),"Admisión Ordinaria")</f>
        <v>Admisión Ordinaria</v>
      </c>
      <c r="E490" s="2">
        <f>IFERROR(__xludf.DUMMYFUNCTION("""COMPUTED_VALUE"""),45701.0)</f>
        <v>45701</v>
      </c>
      <c r="F490" s="1" t="str">
        <f>IFERROR(__xludf.DUMMYFUNCTION("""COMPUTED_VALUE"""),"CARLOS FERNANDO ")</f>
        <v>CARLOS FERNANDO </v>
      </c>
      <c r="G490" s="1" t="str">
        <f>IFERROR(__xludf.DUMMYFUNCTION("""COMPUTED_VALUE"""),"LIZANA TRIVEÑO")</f>
        <v>LIZANA TRIVEÑO</v>
      </c>
      <c r="H490" s="1" t="str">
        <f>IFERROR(__xludf.DUMMYFUNCTION("""COMPUTED_VALUE"""),"Psicología")</f>
        <v>Psicología</v>
      </c>
      <c r="I490" s="1" t="str">
        <f>IFERROR(__xludf.DUMMYFUNCTION("""COMPUTED_VALUE"""),"Pago Link")</f>
        <v>Pago Link</v>
      </c>
      <c r="J490" s="1" t="str">
        <f>IFERROR(__xludf.DUMMYFUNCTION("""COMPUTED_VALUE"""),"Diurno")</f>
        <v>Diurno</v>
      </c>
      <c r="K490" s="1" t="str">
        <f>IFERROR(__xludf.DUMMYFUNCTION("""COMPUTED_VALUE"""),"NUEVO")</f>
        <v>NUEVO</v>
      </c>
      <c r="L490" s="1">
        <f>IFERROR(__xludf.DUMMYFUNCTION("""COMPUTED_VALUE"""),0.0)</f>
        <v>0</v>
      </c>
      <c r="M490" s="1">
        <f>IFERROR(__xludf.DUMMYFUNCTION("""COMPUTED_VALUE"""),1.0)</f>
        <v>1</v>
      </c>
      <c r="N490" s="1" t="str">
        <f>IFERROR(__xludf.DUMMYFUNCTION("""COMPUTED_VALUE"""),"BECA")</f>
        <v>BECA</v>
      </c>
      <c r="O490" s="1" t="str">
        <f>IFERROR(__xludf.DUMMYFUNCTION("""COMPUTED_VALUE"""),"BECA RECUPERO")</f>
        <v>BECA RECUPERO</v>
      </c>
      <c r="P490" s="4">
        <f>IFERROR(__xludf.DUMMYFUNCTION("""COMPUTED_VALUE"""),0.0)</f>
        <v>0</v>
      </c>
      <c r="Q490" s="4">
        <f>IFERROR(__xludf.DUMMYFUNCTION("""COMPUTED_VALUE"""),0.0)</f>
        <v>0</v>
      </c>
      <c r="R490" s="4">
        <f>IFERROR(__xludf.DUMMYFUNCTION("""COMPUTED_VALUE"""),950.0)</f>
        <v>950</v>
      </c>
      <c r="S490" s="4">
        <f>IFERROR(__xludf.DUMMYFUNCTION("""COMPUTED_VALUE"""),800.0)</f>
        <v>800</v>
      </c>
      <c r="T490" s="1" t="str">
        <f>IFERROR(__xludf.DUMMYFUNCTION("""COMPUTED_VALUE"""),"PALANCA 500")</f>
        <v>PALANCA 500</v>
      </c>
      <c r="U490" s="1" t="str">
        <f>IFERROR(__xludf.DUMMYFUNCTION("""COMPUTED_VALUE"""),"RODRIGO")</f>
        <v>RODRIGO</v>
      </c>
      <c r="V490" s="1" t="str">
        <f>IFERROR(__xludf.DUMMYFUNCTION("""COMPUTED_VALUE"""),"Ninguno")</f>
        <v>Ninguno</v>
      </c>
      <c r="W490" s="1" t="str">
        <f>IFERROR(__xludf.DUMMYFUNCTION("""COMPUTED_VALUE"""),"Prestigio de la institución")</f>
        <v>Prestigio de la institución</v>
      </c>
      <c r="X490" s="1" t="str">
        <f>IFERROR(__xludf.DUMMYFUNCTION("""COMPUTED_VALUE"""),"0")</f>
        <v>0</v>
      </c>
      <c r="Y490" s="1" t="str">
        <f>IFERROR(__xludf.DUMMYFUNCTION("""COMPUTED_VALUE"""),"PAGO FRACCIONADO")</f>
        <v>PAGO FRACCIONADO</v>
      </c>
      <c r="Z490" s="1">
        <f>IFERROR(__xludf.DUMMYFUNCTION("""COMPUTED_VALUE"""),400.0)</f>
        <v>400</v>
      </c>
      <c r="AA490" s="1" t="str">
        <f>IFERROR(__xludf.DUMMYFUNCTION("""COMPUTED_VALUE"""),"15/02/2025")</f>
        <v>15/02/2025</v>
      </c>
      <c r="AB490" s="1">
        <f>IFERROR(__xludf.DUMMYFUNCTION("""COMPUTED_VALUE"""),0.0)</f>
        <v>0</v>
      </c>
      <c r="AC490" s="1">
        <f>IFERROR(__xludf.DUMMYFUNCTION("""COMPUTED_VALUE"""),0.0)</f>
        <v>0</v>
      </c>
      <c r="AD490" s="1" t="str">
        <f>IFERROR(__xludf.DUMMYFUNCTION("""COMPUTED_VALUE"""),"Andrea Araujo Antara")</f>
        <v>Andrea Araujo Antara</v>
      </c>
      <c r="AE490" s="1" t="str">
        <f>IFERROR(__xludf.DUMMYFUNCTION("""COMPUTED_VALUE"""),"Universidad Tecnologica Del Peru - Utp")</f>
        <v>Universidad Tecnologica Del Peru - Utp</v>
      </c>
      <c r="AF490" s="1">
        <f>IFERROR(__xludf.DUMMYFUNCTION("""COMPUTED_VALUE"""),2022.0)</f>
        <v>2022</v>
      </c>
      <c r="AG490" s="1">
        <f>IFERROR(__xludf.DUMMYFUNCTION("""COMPUTED_VALUE"""),1704329.0)</f>
        <v>1704329</v>
      </c>
      <c r="AH490" s="1">
        <f>IFERROR(__xludf.DUMMYFUNCTION("""COMPUTED_VALUE"""),21.0)</f>
        <v>21</v>
      </c>
      <c r="AI490" s="1" t="str">
        <f>IFERROR(__xludf.DUMMYFUNCTION("""COMPUTED_VALUE"""),"0000414507")</f>
        <v>0000414507</v>
      </c>
      <c r="AJ490" s="1">
        <f>IFERROR(__xludf.DUMMYFUNCTION("""COMPUTED_VALUE"""),7.1939825E7)</f>
        <v>71939825</v>
      </c>
      <c r="AK490" s="1">
        <f>IFERROR(__xludf.DUMMYFUNCTION("""COMPUTED_VALUE"""),9.78230392E8)</f>
        <v>978230392</v>
      </c>
      <c r="AL490" s="1" t="str">
        <f>IFERROR(__xludf.DUMMYFUNCTION("""COMPUTED_VALUE"""),"cflizana.23@gmail.com")</f>
        <v>cflizana.23@gmail.com</v>
      </c>
      <c r="AM490" s="1" t="str">
        <f>IFERROR(__xludf.DUMMYFUNCTION("""COMPUTED_VALUE"""),"MASCULINO")</f>
        <v>MASCULINO</v>
      </c>
      <c r="AN490" s="1">
        <f>IFERROR(__xludf.DUMMYFUNCTION("""COMPUTED_VALUE"""),1775.0)</f>
        <v>1775</v>
      </c>
      <c r="AO490" s="1">
        <f>IFERROR(__xludf.DUMMYFUNCTION("""COMPUTED_VALUE"""),390.0)</f>
        <v>390</v>
      </c>
      <c r="AP490" s="1" t="str">
        <f>IFERROR(__xludf.DUMMYFUNCTION("""COMPUTED_VALUE"""),"FORMULARIO")</f>
        <v>FORMULARIO</v>
      </c>
      <c r="AQ490" s="1" t="str">
        <f>IFERROR(__xludf.DUMMYFUNCTION("""COMPUTED_VALUE"""),"SEARCH MARCA")</f>
        <v>SEARCH MARCA</v>
      </c>
      <c r="AR490" s="1" t="str">
        <f>IFERROR(__xludf.DUMMYFUNCTION("""COMPUTED_VALUE"""),"NUEVO")</f>
        <v>NUEVO</v>
      </c>
      <c r="AS490" s="1" t="str">
        <f>IFERROR(__xludf.DUMMYFUNCTION("""COMPUTED_VALUE"""),"ucal-pg-performance-sedes-abierta-cpl-search_conversion_marca-20240401")</f>
        <v>ucal-pg-performance-sedes-abierta-cpl-search_conversion_marca-20240401</v>
      </c>
      <c r="AT490" s="2">
        <f>IFERROR(__xludf.DUMMYFUNCTION("""COMPUTED_VALUE"""),45699.0)</f>
        <v>45699</v>
      </c>
      <c r="AU490" s="1">
        <f>IFERROR(__xludf.DUMMYFUNCTION("""COMPUTED_VALUE"""),1.0)</f>
        <v>1</v>
      </c>
      <c r="AV490" s="1" t="str">
        <f>IFERROR(__xludf.DUMMYFUNCTION("""COMPUTED_VALUE"""),"NUEVO")</f>
        <v>NUEVO</v>
      </c>
      <c r="AW490" s="1" t="str">
        <f>IFERROR(__xludf.DUMMYFUNCTION("""COMPUTED_VALUE"""),"SI")</f>
        <v>SI</v>
      </c>
      <c r="AX490" s="1"/>
      <c r="AY490" s="1" t="str">
        <f>IFERROR(__xludf.DUMMYFUNCTION("""COMPUTED_VALUE"""),"PAGO COMPLETO")</f>
        <v>PAGO COMPLETO</v>
      </c>
      <c r="AZ490" s="5">
        <f>IFERROR(__xludf.DUMMYFUNCTION("""COMPUTED_VALUE"""),45703.0)</f>
        <v>45703</v>
      </c>
      <c r="BA490" s="1">
        <f>IFERROR(__xludf.DUMMYFUNCTION("""COMPUTED_VALUE"""),100.0)</f>
        <v>100</v>
      </c>
      <c r="BB490" s="1">
        <f>IFERROR(__xludf.DUMMYFUNCTION("""COMPUTED_VALUE"""),0.0)</f>
        <v>0</v>
      </c>
      <c r="BC490" s="4">
        <f>IFERROR(__xludf.DUMMYFUNCTION("""COMPUTED_VALUE"""),0.0)</f>
        <v>0</v>
      </c>
      <c r="BD490" s="4">
        <f>IFERROR(__xludf.DUMMYFUNCTION("""COMPUTED_VALUE"""),300.0)</f>
        <v>300</v>
      </c>
      <c r="BE490" s="1">
        <f>IFERROR(__xludf.DUMMYFUNCTION("""COMPUTED_VALUE"""),2.0)</f>
        <v>2</v>
      </c>
      <c r="BF490" s="6">
        <f>IFERROR(__xludf.DUMMYFUNCTION("""COMPUTED_VALUE"""),1.0)</f>
        <v>1</v>
      </c>
      <c r="BG490" s="1">
        <f>IFERROR(__xludf.DUMMYFUNCTION("""COMPUTED_VALUE"""),1.0)</f>
        <v>1</v>
      </c>
      <c r="BH490" s="1" t="str">
        <f>IFERROR(__xludf.DUMMYFUNCTION("""COMPUTED_VALUE"""),"0")</f>
        <v>0</v>
      </c>
      <c r="BI490" s="4">
        <f>IFERROR(__xludf.DUMMYFUNCTION("""COMPUTED_VALUE"""),800.0)</f>
        <v>800</v>
      </c>
      <c r="BJ490" s="1">
        <f>IFERROR(__xludf.DUMMYFUNCTION("""COMPUTED_VALUE"""),0.0)</f>
        <v>0</v>
      </c>
      <c r="BK490" s="4">
        <f>IFERROR(__xludf.DUMMYFUNCTION("""COMPUTED_VALUE"""),300.0)</f>
        <v>300</v>
      </c>
      <c r="BL490" s="1">
        <f>IFERROR(__xludf.DUMMYFUNCTION("""COMPUTED_VALUE"""),740.0)</f>
        <v>740</v>
      </c>
      <c r="BM490" s="1">
        <f>IFERROR(__xludf.DUMMYFUNCTION("""COMPUTED_VALUE"""),7.0)</f>
        <v>7</v>
      </c>
      <c r="BN490" s="2">
        <f>IFERROR(__xludf.DUMMYFUNCTION("""COMPUTED_VALUE"""),45698.0)</f>
        <v>45698</v>
      </c>
      <c r="BO490" s="1">
        <f>IFERROR(__xludf.DUMMYFUNCTION("""COMPUTED_VALUE"""),2.0)</f>
        <v>2</v>
      </c>
      <c r="BP490" s="1">
        <f>IFERROR(__xludf.DUMMYFUNCTION("""COMPUTED_VALUE"""),2025.0)</f>
        <v>2025</v>
      </c>
    </row>
    <row r="491">
      <c r="A491" s="1">
        <f>IFERROR(__xludf.DUMMYFUNCTION("""COMPUTED_VALUE"""),490.0)</f>
        <v>490</v>
      </c>
      <c r="B491" s="1">
        <f>IFERROR(__xludf.DUMMYFUNCTION("""COMPUTED_VALUE"""),4987115.0)</f>
        <v>4987115</v>
      </c>
      <c r="C491" s="1" t="str">
        <f>IFERROR(__xludf.DUMMYFUNCTION("""COMPUTED_VALUE"""),"2025-1")</f>
        <v>2025-1</v>
      </c>
      <c r="D491" s="1" t="str">
        <f>IFERROR(__xludf.DUMMYFUNCTION("""COMPUTED_VALUE"""),"Admisión Ordinaria")</f>
        <v>Admisión Ordinaria</v>
      </c>
      <c r="E491" s="2">
        <f>IFERROR(__xludf.DUMMYFUNCTION("""COMPUTED_VALUE"""),45701.0)</f>
        <v>45701</v>
      </c>
      <c r="F491" s="1" t="str">
        <f>IFERROR(__xludf.DUMMYFUNCTION("""COMPUTED_VALUE"""),"RAFAEL RICARDO ")</f>
        <v>RAFAEL RICARDO </v>
      </c>
      <c r="G491" s="1" t="str">
        <f>IFERROR(__xludf.DUMMYFUNCTION("""COMPUTED_VALUE"""),"LEIVA GUERRA")</f>
        <v>LEIVA GUERRA</v>
      </c>
      <c r="H491" s="1" t="str">
        <f>IFERROR(__xludf.DUMMYFUNCTION("""COMPUTED_VALUE"""),"Psicología")</f>
        <v>Psicología</v>
      </c>
      <c r="I491" s="1" t="str">
        <f>IFERROR(__xludf.DUMMYFUNCTION("""COMPUTED_VALUE"""),"CARGO")</f>
        <v>CARGO</v>
      </c>
      <c r="J491" s="1" t="str">
        <f>IFERROR(__xludf.DUMMYFUNCTION("""COMPUTED_VALUE"""),"Nocturno - A distancia")</f>
        <v>Nocturno - A distancia</v>
      </c>
      <c r="K491" s="1" t="str">
        <f>IFERROR(__xludf.DUMMYFUNCTION("""COMPUTED_VALUE"""),"NUEVO")</f>
        <v>NUEVO</v>
      </c>
      <c r="L491" s="1">
        <f>IFERROR(__xludf.DUMMYFUNCTION("""COMPUTED_VALUE"""),0.0)</f>
        <v>0</v>
      </c>
      <c r="M491" s="1">
        <f>IFERROR(__xludf.DUMMYFUNCTION("""COMPUTED_VALUE"""),0.0)</f>
        <v>0</v>
      </c>
      <c r="N491" s="1" t="str">
        <f>IFERROR(__xludf.DUMMYFUNCTION("""COMPUTED_VALUE"""),"ESCALA DISTANCIA")</f>
        <v>ESCALA DISTANCIA</v>
      </c>
      <c r="O491" s="1" t="str">
        <f>IFERROR(__xludf.DUMMYFUNCTION("""COMPUTED_VALUE"""),"ESCALA DISTANCIA REGULAR")</f>
        <v>ESCALA DISTANCIA REGULAR</v>
      </c>
      <c r="P491" s="4">
        <f>IFERROR(__xludf.DUMMYFUNCTION("""COMPUTED_VALUE"""),0.0)</f>
        <v>0</v>
      </c>
      <c r="Q491" s="4">
        <f>IFERROR(__xludf.DUMMYFUNCTION("""COMPUTED_VALUE"""),0.0)</f>
        <v>0</v>
      </c>
      <c r="R491" s="4">
        <f>IFERROR(__xludf.DUMMYFUNCTION("""COMPUTED_VALUE"""),700.0)</f>
        <v>700</v>
      </c>
      <c r="S491" s="4">
        <f>IFERROR(__xludf.DUMMYFUNCTION("""COMPUTED_VALUE"""),700.0)</f>
        <v>700</v>
      </c>
      <c r="T491" s="1" t="str">
        <f>IFERROR(__xludf.DUMMYFUNCTION("""COMPUTED_VALUE"""),"NINGUNO")</f>
        <v>NINGUNO</v>
      </c>
      <c r="U491" s="1" t="str">
        <f>IFERROR(__xludf.DUMMYFUNCTION("""COMPUTED_VALUE"""),"RODRIGO")</f>
        <v>RODRIGO</v>
      </c>
      <c r="V491" s="1" t="str">
        <f>IFERROR(__xludf.DUMMYFUNCTION("""COMPUTED_VALUE"""),"Natalia Ugarte")</f>
        <v>Natalia Ugarte</v>
      </c>
      <c r="W491" s="1" t="str">
        <f>IFERROR(__xludf.DUMMYFUNCTION("""COMPUTED_VALUE"""),"Malla curricular")</f>
        <v>Malla curricular</v>
      </c>
      <c r="X491" s="1" t="str">
        <f>IFERROR(__xludf.DUMMYFUNCTION("""COMPUTED_VALUE"""),"tercera carrera")</f>
        <v>tercera carrera</v>
      </c>
      <c r="Y491" s="1" t="str">
        <f>IFERROR(__xludf.DUMMYFUNCTION("""COMPUTED_VALUE"""),"PAGO COMPLETO")</f>
        <v>PAGO COMPLETO</v>
      </c>
      <c r="Z491" s="1"/>
      <c r="AA491" s="1"/>
      <c r="AB491" s="1">
        <f>IFERROR(__xludf.DUMMYFUNCTION("""COMPUTED_VALUE"""),0.0)</f>
        <v>0</v>
      </c>
      <c r="AC491" s="1">
        <f>IFERROR(__xludf.DUMMYFUNCTION("""COMPUTED_VALUE"""),0.0)</f>
        <v>0</v>
      </c>
      <c r="AD491" s="1" t="str">
        <f>IFERROR(__xludf.DUMMYFUNCTION("""COMPUTED_VALUE"""),"Rosa Ugarte")</f>
        <v>Rosa Ugarte</v>
      </c>
      <c r="AE491" s="1" t="str">
        <f>IFERROR(__xludf.DUMMYFUNCTION("""COMPUTED_VALUE"""),"0")</f>
        <v>0</v>
      </c>
      <c r="AF491" s="1">
        <f>IFERROR(__xludf.DUMMYFUNCTION("""COMPUTED_VALUE"""),2020.0)</f>
        <v>2020</v>
      </c>
      <c r="AG491" s="1">
        <f>IFERROR(__xludf.DUMMYFUNCTION("""COMPUTED_VALUE"""),1428556.0)</f>
        <v>1428556</v>
      </c>
      <c r="AH491" s="1">
        <f>IFERROR(__xludf.DUMMYFUNCTION("""COMPUTED_VALUE"""),42.0)</f>
        <v>42</v>
      </c>
      <c r="AI491" s="1" t="str">
        <f>IFERROR(__xludf.DUMMYFUNCTION("""COMPUTED_VALUE"""),"0000414671")</f>
        <v>0000414671</v>
      </c>
      <c r="AJ491" s="1">
        <f>IFERROR(__xludf.DUMMYFUNCTION("""COMPUTED_VALUE"""),4.1902681E7)</f>
        <v>41902681</v>
      </c>
      <c r="AK491" s="1">
        <f>IFERROR(__xludf.DUMMYFUNCTION("""COMPUTED_VALUE"""),9.51288484E8)</f>
        <v>951288484</v>
      </c>
      <c r="AL491" s="1" t="str">
        <f>IFERROR(__xludf.DUMMYFUNCTION("""COMPUTED_VALUE"""),"rafael.leiva.guerra@gmail.com")</f>
        <v>rafael.leiva.guerra@gmail.com</v>
      </c>
      <c r="AM491" s="1" t="str">
        <f>IFERROR(__xludf.DUMMYFUNCTION("""COMPUTED_VALUE"""),"MASCULINO")</f>
        <v>MASCULINO</v>
      </c>
      <c r="AN491" s="1">
        <f>IFERROR(__xludf.DUMMYFUNCTION("""COMPUTED_VALUE"""),1600.0)</f>
        <v>1600</v>
      </c>
      <c r="AO491" s="1">
        <f>IFERROR(__xludf.DUMMYFUNCTION("""COMPUTED_VALUE"""),250.0)</f>
        <v>250</v>
      </c>
      <c r="AP491" s="1" t="str">
        <f>IFERROR(__xludf.DUMMYFUNCTION("""COMPUTED_VALUE"""),"FORMULARIO")</f>
        <v>FORMULARIO</v>
      </c>
      <c r="AQ491" s="1" t="str">
        <f>IFERROR(__xludf.DUMMYFUNCTION("""COMPUTED_VALUE"""),"SEARCH CARRERA")</f>
        <v>SEARCH CARRERA</v>
      </c>
      <c r="AR491" s="1" t="str">
        <f>IFERROR(__xludf.DUMMYFUNCTION("""COMPUTED_VALUE"""),"NUEVO")</f>
        <v>NUEVO</v>
      </c>
      <c r="AS491" s="1" t="str">
        <f>IFERROR(__xludf.DUMMYFUNCTION("""COMPUTED_VALUE"""),"ucal-pg-performance-sedes-abierta-cpl-search_conversion_carreras_distancia-20250114")</f>
        <v>ucal-pg-performance-sedes-abierta-cpl-search_conversion_carreras_distancia-20250114</v>
      </c>
      <c r="AT491" s="2">
        <f>IFERROR(__xludf.DUMMYFUNCTION("""COMPUTED_VALUE"""),45688.0)</f>
        <v>45688</v>
      </c>
      <c r="AU491" s="1">
        <f>IFERROR(__xludf.DUMMYFUNCTION("""COMPUTED_VALUE"""),1.0)</f>
        <v>1</v>
      </c>
      <c r="AV491" s="1" t="str">
        <f>IFERROR(__xludf.DUMMYFUNCTION("""COMPUTED_VALUE"""),"NUEVO")</f>
        <v>NUEVO</v>
      </c>
      <c r="AW491" s="1" t="str">
        <f>IFERROR(__xludf.DUMMYFUNCTION("""COMPUTED_VALUE"""),"SI")</f>
        <v>SI</v>
      </c>
      <c r="AX491" s="1"/>
      <c r="AY491" s="1" t="str">
        <f>IFERROR(__xludf.DUMMYFUNCTION("""COMPUTED_VALUE"""),"PAGO COMPLETO")</f>
        <v>PAGO COMPLETO</v>
      </c>
      <c r="AZ491" s="5">
        <f>IFERROR(__xludf.DUMMYFUNCTION("""COMPUTED_VALUE"""),45701.0)</f>
        <v>45701</v>
      </c>
      <c r="BA491" s="1">
        <f>IFERROR(__xludf.DUMMYFUNCTION("""COMPUTED_VALUE"""),0.0)</f>
        <v>0</v>
      </c>
      <c r="BB491" s="1">
        <f>IFERROR(__xludf.DUMMYFUNCTION("""COMPUTED_VALUE"""),0.0)</f>
        <v>0</v>
      </c>
      <c r="BC491" s="4">
        <f>IFERROR(__xludf.DUMMYFUNCTION("""COMPUTED_VALUE"""),0.0)</f>
        <v>0</v>
      </c>
      <c r="BD491" s="4">
        <f>IFERROR(__xludf.DUMMYFUNCTION("""COMPUTED_VALUE"""),0.0)</f>
        <v>0</v>
      </c>
      <c r="BE491" s="1">
        <f>IFERROR(__xludf.DUMMYFUNCTION("""COMPUTED_VALUE"""),2.0)</f>
        <v>2</v>
      </c>
      <c r="BF491" s="6">
        <f>IFERROR(__xludf.DUMMYFUNCTION("""COMPUTED_VALUE"""),1.0)</f>
        <v>1</v>
      </c>
      <c r="BG491" s="1">
        <f>IFERROR(__xludf.DUMMYFUNCTION("""COMPUTED_VALUE"""),1.0)</f>
        <v>1</v>
      </c>
      <c r="BH491" s="1" t="str">
        <f>IFERROR(__xludf.DUMMYFUNCTION("""COMPUTED_VALUE"""),"0")</f>
        <v>0</v>
      </c>
      <c r="BI491" s="4">
        <f>IFERROR(__xludf.DUMMYFUNCTION("""COMPUTED_VALUE"""),0.0)</f>
        <v>0</v>
      </c>
      <c r="BJ491" s="1">
        <f>IFERROR(__xludf.DUMMYFUNCTION("""COMPUTED_VALUE"""),0.0)</f>
        <v>0</v>
      </c>
      <c r="BK491" s="4">
        <f>IFERROR(__xludf.DUMMYFUNCTION("""COMPUTED_VALUE"""),0.0)</f>
        <v>0</v>
      </c>
      <c r="BL491" s="1">
        <f>IFERROR(__xludf.DUMMYFUNCTION("""COMPUTED_VALUE"""),700.0)</f>
        <v>700</v>
      </c>
      <c r="BM491" s="1">
        <f>IFERROR(__xludf.DUMMYFUNCTION("""COMPUTED_VALUE"""),7.0)</f>
        <v>7</v>
      </c>
      <c r="BN491" s="2">
        <f>IFERROR(__xludf.DUMMYFUNCTION("""COMPUTED_VALUE"""),45698.0)</f>
        <v>45698</v>
      </c>
      <c r="BO491" s="1">
        <f>IFERROR(__xludf.DUMMYFUNCTION("""COMPUTED_VALUE"""),2.0)</f>
        <v>2</v>
      </c>
      <c r="BP491" s="1">
        <f>IFERROR(__xludf.DUMMYFUNCTION("""COMPUTED_VALUE"""),2025.0)</f>
        <v>2025</v>
      </c>
    </row>
    <row r="492">
      <c r="A492" s="1">
        <f>IFERROR(__xludf.DUMMYFUNCTION("""COMPUTED_VALUE"""),491.0)</f>
        <v>491</v>
      </c>
      <c r="B492" s="1">
        <f>IFERROR(__xludf.DUMMYFUNCTION("""COMPUTED_VALUE"""),5018756.0)</f>
        <v>5018756</v>
      </c>
      <c r="C492" s="1" t="str">
        <f>IFERROR(__xludf.DUMMYFUNCTION("""COMPUTED_VALUE"""),"2025-1")</f>
        <v>2025-1</v>
      </c>
      <c r="D492" s="1" t="str">
        <f>IFERROR(__xludf.DUMMYFUNCTION("""COMPUTED_VALUE"""),"Admisión de Alto Rendimiento")</f>
        <v>Admisión de Alto Rendimiento</v>
      </c>
      <c r="E492" s="2">
        <f>IFERROR(__xludf.DUMMYFUNCTION("""COMPUTED_VALUE"""),45702.0)</f>
        <v>45702</v>
      </c>
      <c r="F492" s="1" t="str">
        <f>IFERROR(__xludf.DUMMYFUNCTION("""COMPUTED_VALUE"""),"JOSE FERNANDO ")</f>
        <v>JOSE FERNANDO </v>
      </c>
      <c r="G492" s="1" t="str">
        <f>IFERROR(__xludf.DUMMYFUNCTION("""COMPUTED_VALUE"""),"ZEVALLOS SILVA")</f>
        <v>ZEVALLOS SILVA</v>
      </c>
      <c r="H492" s="1" t="str">
        <f>IFERROR(__xludf.DUMMYFUNCTION("""COMPUTED_VALUE"""),"Arquitectura de Interiores")</f>
        <v>Arquitectura de Interiores</v>
      </c>
      <c r="I492" s="1" t="str">
        <f>IFERROR(__xludf.DUMMYFUNCTION("""COMPUTED_VALUE"""),"POS")</f>
        <v>POS</v>
      </c>
      <c r="J492" s="1" t="str">
        <f>IFERROR(__xludf.DUMMYFUNCTION("""COMPUTED_VALUE"""),"Diurno")</f>
        <v>Diurno</v>
      </c>
      <c r="K492" s="1" t="str">
        <f>IFERROR(__xludf.DUMMYFUNCTION("""COMPUTED_VALUE"""),"NUEVO")</f>
        <v>NUEVO</v>
      </c>
      <c r="L492" s="1">
        <f>IFERROR(__xludf.DUMMYFUNCTION("""COMPUTED_VALUE"""),0.0)</f>
        <v>0</v>
      </c>
      <c r="M492" s="1">
        <f>IFERROR(__xludf.DUMMYFUNCTION("""COMPUTED_VALUE"""),0.0)</f>
        <v>0</v>
      </c>
      <c r="N492" s="1" t="str">
        <f>IFERROR(__xludf.DUMMYFUNCTION("""COMPUTED_VALUE"""),"BECA")</f>
        <v>BECA</v>
      </c>
      <c r="O492" s="1" t="str">
        <f>IFERROR(__xludf.DUMMYFUNCTION("""COMPUTED_VALUE"""),"BECA CONGELADA DE 2 AÑOS")</f>
        <v>BECA CONGELADA DE 2 AÑOS</v>
      </c>
      <c r="P492" s="4">
        <f>IFERROR(__xludf.DUMMYFUNCTION("""COMPUTED_VALUE"""),0.0)</f>
        <v>0</v>
      </c>
      <c r="Q492" s="4">
        <f>IFERROR(__xludf.DUMMYFUNCTION("""COMPUTED_VALUE"""),0.0)</f>
        <v>0</v>
      </c>
      <c r="R492" s="4">
        <f>IFERROR(__xludf.DUMMYFUNCTION("""COMPUTED_VALUE"""),1100.0)</f>
        <v>1100</v>
      </c>
      <c r="S492" s="4">
        <f>IFERROR(__xludf.DUMMYFUNCTION("""COMPUTED_VALUE"""),950.0)</f>
        <v>950</v>
      </c>
      <c r="T492" s="1" t="str">
        <f>IFERROR(__xludf.DUMMYFUNCTION("""COMPUTED_VALUE"""),"PALANCA 500")</f>
        <v>PALANCA 500</v>
      </c>
      <c r="U492" s="1" t="str">
        <f>IFERROR(__xludf.DUMMYFUNCTION("""COMPUTED_VALUE"""),"FABIOLA")</f>
        <v>FABIOLA</v>
      </c>
      <c r="V492" s="1" t="str">
        <f>IFERROR(__xludf.DUMMYFUNCTION("""COMPUTED_VALUE"""),"Ninguno")</f>
        <v>Ninguno</v>
      </c>
      <c r="W492" s="1" t="str">
        <f>IFERROR(__xludf.DUMMYFUNCTION("""COMPUTED_VALUE"""),"Metodología de enseñanza")</f>
        <v>Metodología de enseñanza</v>
      </c>
      <c r="X492" s="1" t="str">
        <f>IFERROR(__xludf.DUMMYFUNCTION("""COMPUTED_VALUE"""),"1ra boleta 500")</f>
        <v>1ra boleta 500</v>
      </c>
      <c r="Y492" s="1" t="str">
        <f>IFERROR(__xludf.DUMMYFUNCTION("""COMPUTED_VALUE"""),"PAGO COMPLETO")</f>
        <v>PAGO COMPLETO</v>
      </c>
      <c r="Z492" s="1"/>
      <c r="AA492" s="1"/>
      <c r="AB492" s="1">
        <f>IFERROR(__xludf.DUMMYFUNCTION("""COMPUTED_VALUE"""),0.0)</f>
        <v>0</v>
      </c>
      <c r="AC492" s="1">
        <f>IFERROR(__xludf.DUMMYFUNCTION("""COMPUTED_VALUE"""),0.0)</f>
        <v>0</v>
      </c>
      <c r="AD492" s="1" t="str">
        <f>IFERROR(__xludf.DUMMYFUNCTION("""COMPUTED_VALUE"""),"Fiorella Lanegra")</f>
        <v>Fiorella Lanegra</v>
      </c>
      <c r="AE492" s="1" t="str">
        <f>IFERROR(__xludf.DUMMYFUNCTION("""COMPUTED_VALUE"""),"0")</f>
        <v>0</v>
      </c>
      <c r="AF492" s="1">
        <f>IFERROR(__xludf.DUMMYFUNCTION("""COMPUTED_VALUE"""),2024.0)</f>
        <v>2024</v>
      </c>
      <c r="AG492" s="1">
        <f>IFERROR(__xludf.DUMMYFUNCTION("""COMPUTED_VALUE"""),1588805.0)</f>
        <v>1588805</v>
      </c>
      <c r="AH492" s="1">
        <f>IFERROR(__xludf.DUMMYFUNCTION("""COMPUTED_VALUE"""),17.0)</f>
        <v>17</v>
      </c>
      <c r="AI492" s="1" t="str">
        <f>IFERROR(__xludf.DUMMYFUNCTION("""COMPUTED_VALUE"""),"0000414754")</f>
        <v>0000414754</v>
      </c>
      <c r="AJ492" s="1">
        <f>IFERROR(__xludf.DUMMYFUNCTION("""COMPUTED_VALUE"""),6.1277957E7)</f>
        <v>61277957</v>
      </c>
      <c r="AK492" s="1">
        <f>IFERROR(__xludf.DUMMYFUNCTION("""COMPUTED_VALUE"""),9.26209773E8)</f>
        <v>926209773</v>
      </c>
      <c r="AL492" s="1" t="str">
        <f>IFERROR(__xludf.DUMMYFUNCTION("""COMPUTED_VALUE"""),"jesseanka9@gmail.com")</f>
        <v>jesseanka9@gmail.com</v>
      </c>
      <c r="AM492" s="1" t="str">
        <f>IFERROR(__xludf.DUMMYFUNCTION("""COMPUTED_VALUE"""),"MASCULINO")</f>
        <v>MASCULINO</v>
      </c>
      <c r="AN492" s="1">
        <f>IFERROR(__xludf.DUMMYFUNCTION("""COMPUTED_VALUE"""),0.0)</f>
        <v>0</v>
      </c>
      <c r="AO492" s="1">
        <f>IFERROR(__xludf.DUMMYFUNCTION("""COMPUTED_VALUE"""),0.0)</f>
        <v>0</v>
      </c>
      <c r="AP492" s="1" t="str">
        <f>IFERROR(__xludf.DUMMYFUNCTION("""COMPUTED_VALUE"""),"BIDIRECCIONAL")</f>
        <v>BIDIRECCIONAL</v>
      </c>
      <c r="AQ492" s="1" t="str">
        <f>IFERROR(__xludf.DUMMYFUNCTION("""COMPUTED_VALUE"""),"ORGANICO")</f>
        <v>ORGANICO</v>
      </c>
      <c r="AR492" s="1" t="str">
        <f>IFERROR(__xludf.DUMMYFUNCTION("""COMPUTED_VALUE"""),"NUEVO")</f>
        <v>NUEVO</v>
      </c>
      <c r="AS492" s="1"/>
      <c r="AT492" s="2">
        <f>IFERROR(__xludf.DUMMYFUNCTION("""COMPUTED_VALUE"""),45701.0)</f>
        <v>45701</v>
      </c>
      <c r="AU492" s="1">
        <f>IFERROR(__xludf.DUMMYFUNCTION("""COMPUTED_VALUE"""),1.0)</f>
        <v>1</v>
      </c>
      <c r="AV492" s="1" t="str">
        <f>IFERROR(__xludf.DUMMYFUNCTION("""COMPUTED_VALUE"""),"NUEVO")</f>
        <v>NUEVO</v>
      </c>
      <c r="AW492" s="1" t="str">
        <f>IFERROR(__xludf.DUMMYFUNCTION("""COMPUTED_VALUE"""),"SI")</f>
        <v>SI</v>
      </c>
      <c r="AX492" s="1"/>
      <c r="AY492" s="1" t="str">
        <f>IFERROR(__xludf.DUMMYFUNCTION("""COMPUTED_VALUE"""),"PAGO COMPLETO")</f>
        <v>PAGO COMPLETO</v>
      </c>
      <c r="AZ492" s="5">
        <f>IFERROR(__xludf.DUMMYFUNCTION("""COMPUTED_VALUE"""),45702.0)</f>
        <v>45702</v>
      </c>
      <c r="BA492" s="1">
        <f>IFERROR(__xludf.DUMMYFUNCTION("""COMPUTED_VALUE"""),0.0)</f>
        <v>0</v>
      </c>
      <c r="BB492" s="1">
        <f>IFERROR(__xludf.DUMMYFUNCTION("""COMPUTED_VALUE"""),0.0)</f>
        <v>0</v>
      </c>
      <c r="BC492" s="4">
        <f>IFERROR(__xludf.DUMMYFUNCTION("""COMPUTED_VALUE"""),0.0)</f>
        <v>0</v>
      </c>
      <c r="BD492" s="4">
        <f>IFERROR(__xludf.DUMMYFUNCTION("""COMPUTED_VALUE"""),450.0)</f>
        <v>450</v>
      </c>
      <c r="BE492" s="1">
        <f>IFERROR(__xludf.DUMMYFUNCTION("""COMPUTED_VALUE"""),2.0)</f>
        <v>2</v>
      </c>
      <c r="BF492" s="6">
        <f>IFERROR(__xludf.DUMMYFUNCTION("""COMPUTED_VALUE"""),1.0)</f>
        <v>1</v>
      </c>
      <c r="BG492" s="1">
        <f>IFERROR(__xludf.DUMMYFUNCTION("""COMPUTED_VALUE"""),1.0)</f>
        <v>1</v>
      </c>
      <c r="BH492" s="1" t="str">
        <f>IFERROR(__xludf.DUMMYFUNCTION("""COMPUTED_VALUE"""),"0")</f>
        <v>0</v>
      </c>
      <c r="BI492" s="4">
        <f>IFERROR(__xludf.DUMMYFUNCTION("""COMPUTED_VALUE"""),450.0)</f>
        <v>450</v>
      </c>
      <c r="BJ492" s="1">
        <f>IFERROR(__xludf.DUMMYFUNCTION("""COMPUTED_VALUE"""),0.0)</f>
        <v>0</v>
      </c>
      <c r="BK492" s="4">
        <f>IFERROR(__xludf.DUMMYFUNCTION("""COMPUTED_VALUE"""),450.0)</f>
        <v>450</v>
      </c>
      <c r="BL492" s="1">
        <f>IFERROR(__xludf.DUMMYFUNCTION("""COMPUTED_VALUE"""),860.0)</f>
        <v>860</v>
      </c>
      <c r="BM492" s="1">
        <f>IFERROR(__xludf.DUMMYFUNCTION("""COMPUTED_VALUE"""),7.0)</f>
        <v>7</v>
      </c>
      <c r="BN492" s="2">
        <f>IFERROR(__xludf.DUMMYFUNCTION("""COMPUTED_VALUE"""),45698.0)</f>
        <v>45698</v>
      </c>
      <c r="BO492" s="1">
        <f>IFERROR(__xludf.DUMMYFUNCTION("""COMPUTED_VALUE"""),2.0)</f>
        <v>2</v>
      </c>
      <c r="BP492" s="1">
        <f>IFERROR(__xludf.DUMMYFUNCTION("""COMPUTED_VALUE"""),2025.0)</f>
        <v>2025</v>
      </c>
    </row>
    <row r="493">
      <c r="A493" s="1">
        <f>IFERROR(__xludf.DUMMYFUNCTION("""COMPUTED_VALUE"""),492.0)</f>
        <v>492</v>
      </c>
      <c r="B493" s="1">
        <f>IFERROR(__xludf.DUMMYFUNCTION("""COMPUTED_VALUE"""),443962.0)</f>
        <v>443962</v>
      </c>
      <c r="C493" s="1" t="str">
        <f>IFERROR(__xludf.DUMMYFUNCTION("""COMPUTED_VALUE"""),"2025-1")</f>
        <v>2025-1</v>
      </c>
      <c r="D493" s="1" t="str">
        <f>IFERROR(__xludf.DUMMYFUNCTION("""COMPUTED_VALUE"""),"Admisión Extraordinaria (Traslados)")</f>
        <v>Admisión Extraordinaria (Traslados)</v>
      </c>
      <c r="E493" s="2">
        <f>IFERROR(__xludf.DUMMYFUNCTION("""COMPUTED_VALUE"""),45702.0)</f>
        <v>45702</v>
      </c>
      <c r="F493" s="1" t="str">
        <f>IFERROR(__xludf.DUMMYFUNCTION("""COMPUTED_VALUE"""),"GLADYS DEL PILAR ")</f>
        <v>GLADYS DEL PILAR </v>
      </c>
      <c r="G493" s="1" t="str">
        <f>IFERROR(__xludf.DUMMYFUNCTION("""COMPUTED_VALUE"""),"ROMERO GAMBOA")</f>
        <v>ROMERO GAMBOA</v>
      </c>
      <c r="H493" s="1" t="str">
        <f>IFERROR(__xludf.DUMMYFUNCTION("""COMPUTED_VALUE"""),"Diseño Gráfico Publicitario")</f>
        <v>Diseño Gráfico Publicitario</v>
      </c>
      <c r="I493" s="1" t="str">
        <f>IFERROR(__xludf.DUMMYFUNCTION("""COMPUTED_VALUE"""),"Pago Link")</f>
        <v>Pago Link</v>
      </c>
      <c r="J493" s="1" t="str">
        <f>IFERROR(__xludf.DUMMYFUNCTION("""COMPUTED_VALUE"""),"Diurno")</f>
        <v>Diurno</v>
      </c>
      <c r="K493" s="1" t="str">
        <f>IFERROR(__xludf.DUMMYFUNCTION("""COMPUTED_VALUE"""),"TRASLADO")</f>
        <v>TRASLADO</v>
      </c>
      <c r="L493" s="1">
        <f>IFERROR(__xludf.DUMMYFUNCTION("""COMPUTED_VALUE"""),1.0)</f>
        <v>1</v>
      </c>
      <c r="M493" s="1">
        <f>IFERROR(__xludf.DUMMYFUNCTION("""COMPUTED_VALUE"""),0.0)</f>
        <v>0</v>
      </c>
      <c r="N493" s="1" t="str">
        <f>IFERROR(__xludf.DUMMYFUNCTION("""COMPUTED_VALUE"""),"RECA")</f>
        <v>RECA</v>
      </c>
      <c r="O493" s="1" t="str">
        <f>IFERROR(__xludf.DUMMYFUNCTION("""COMPUTED_VALUE"""),"RECA TRASLADO CON CONVA")</f>
        <v>RECA TRASLADO CON CONVA</v>
      </c>
      <c r="P493" s="4">
        <f>IFERROR(__xludf.DUMMYFUNCTION("""COMPUTED_VALUE"""),0.0)</f>
        <v>0</v>
      </c>
      <c r="Q493" s="4">
        <f>IFERROR(__xludf.DUMMYFUNCTION("""COMPUTED_VALUE"""),0.0)</f>
        <v>0</v>
      </c>
      <c r="R493" s="4">
        <f>IFERROR(__xludf.DUMMYFUNCTION("""COMPUTED_VALUE"""),1000.0)</f>
        <v>1000</v>
      </c>
      <c r="S493" s="4">
        <f>IFERROR(__xludf.DUMMYFUNCTION("""COMPUTED_VALUE"""),700.0)</f>
        <v>700</v>
      </c>
      <c r="T493" s="1" t="str">
        <f>IFERROR(__xludf.DUMMYFUNCTION("""COMPUTED_VALUE"""),"NINGUNO")</f>
        <v>NINGUNO</v>
      </c>
      <c r="U493" s="1"/>
      <c r="V493" s="1" t="str">
        <f>IFERROR(__xludf.DUMMYFUNCTION("""COMPUTED_VALUE"""),"Ninguno")</f>
        <v>Ninguno</v>
      </c>
      <c r="W493" s="1" t="str">
        <f>IFERROR(__xludf.DUMMYFUNCTION("""COMPUTED_VALUE"""),"Malla curricular")</f>
        <v>Malla curricular</v>
      </c>
      <c r="X493" s="1" t="str">
        <f>IFERROR(__xludf.DUMMYFUNCTION("""COMPUTED_VALUE"""),"QUIERE LICENCIAMIENTO ")</f>
        <v>QUIERE LICENCIAMIENTO </v>
      </c>
      <c r="Y493" s="1" t="str">
        <f>IFERROR(__xludf.DUMMYFUNCTION("""COMPUTED_VALUE"""),"PAGO FRACCIONADO")</f>
        <v>PAGO FRACCIONADO</v>
      </c>
      <c r="Z493" s="1">
        <f>IFERROR(__xludf.DUMMYFUNCTION("""COMPUTED_VALUE"""),350.0)</f>
        <v>350</v>
      </c>
      <c r="AA493" s="1" t="str">
        <f>IFERROR(__xludf.DUMMYFUNCTION("""COMPUTED_VALUE"""),"25/02/2025")</f>
        <v>25/02/2025</v>
      </c>
      <c r="AB493" s="1">
        <f>IFERROR(__xludf.DUMMYFUNCTION("""COMPUTED_VALUE"""),0.0)</f>
        <v>0</v>
      </c>
      <c r="AC493" s="1">
        <f>IFERROR(__xludf.DUMMYFUNCTION("""COMPUTED_VALUE"""),0.0)</f>
        <v>0</v>
      </c>
      <c r="AD493" s="1" t="str">
        <f>IFERROR(__xludf.DUMMYFUNCTION("""COMPUTED_VALUE"""),"Daniel Zapata")</f>
        <v>Daniel Zapata</v>
      </c>
      <c r="AE493" s="1" t="str">
        <f>IFERROR(__xludf.DUMMYFUNCTION("""COMPUTED_VALUE"""),"Metropolitano")</f>
        <v>Metropolitano</v>
      </c>
      <c r="AF493" s="1">
        <f>IFERROR(__xludf.DUMMYFUNCTION("""COMPUTED_VALUE"""),2022.0)</f>
        <v>2022</v>
      </c>
      <c r="AG493" s="1">
        <f>IFERROR(__xludf.DUMMYFUNCTION("""COMPUTED_VALUE"""),1034016.0)</f>
        <v>1034016</v>
      </c>
      <c r="AH493" s="1">
        <f>IFERROR(__xludf.DUMMYFUNCTION("""COMPUTED_VALUE"""),34.0)</f>
        <v>34</v>
      </c>
      <c r="AI493" s="1" t="str">
        <f>IFERROR(__xludf.DUMMYFUNCTION("""COMPUTED_VALUE"""),"0000414723")</f>
        <v>0000414723</v>
      </c>
      <c r="AJ493" s="1">
        <f>IFERROR(__xludf.DUMMYFUNCTION("""COMPUTED_VALUE"""),7.0029844E7)</f>
        <v>70029844</v>
      </c>
      <c r="AK493" s="1">
        <f>IFERROR(__xludf.DUMMYFUNCTION("""COMPUTED_VALUE"""),9.41141936E8)</f>
        <v>941141936</v>
      </c>
      <c r="AL493" s="1" t="str">
        <f>IFERROR(__xludf.DUMMYFUNCTION("""COMPUTED_VALUE"""),"gladysromerog25@gmail.com")</f>
        <v>gladysromerog25@gmail.com</v>
      </c>
      <c r="AM493" s="1" t="str">
        <f>IFERROR(__xludf.DUMMYFUNCTION("""COMPUTED_VALUE"""),"FEMENINO")</f>
        <v>FEMENINO</v>
      </c>
      <c r="AN493" s="1">
        <f>IFERROR(__xludf.DUMMYFUNCTION("""COMPUTED_VALUE"""),1350.0)</f>
        <v>1350</v>
      </c>
      <c r="AO493" s="1">
        <f>IFERROR(__xludf.DUMMYFUNCTION("""COMPUTED_VALUE"""),0.0)</f>
        <v>0</v>
      </c>
      <c r="AP493" s="1" t="str">
        <f>IFERROR(__xludf.DUMMYFUNCTION("""COMPUTED_VALUE"""),"BIDIRECCIONAL")</f>
        <v>BIDIRECCIONAL</v>
      </c>
      <c r="AQ493" s="1" t="str">
        <f>IFERROR(__xludf.DUMMYFUNCTION("""COMPUTED_VALUE"""),"SEARCH CARRERA")</f>
        <v>SEARCH CARRERA</v>
      </c>
      <c r="AR493" s="1" t="str">
        <f>IFERROR(__xludf.DUMMYFUNCTION("""COMPUTED_VALUE"""),"HEREDADO")</f>
        <v>HEREDADO</v>
      </c>
      <c r="AS493" s="1" t="str">
        <f>IFERROR(__xludf.DUMMYFUNCTION("""COMPUTED_VALUE"""),"ucal-pg-performance-sedes-abierta-cpl-search_conversion_mundo_diseno_reactivacion-20241105")</f>
        <v>ucal-pg-performance-sedes-abierta-cpl-search_conversion_mundo_diseno_reactivacion-20241105</v>
      </c>
      <c r="AT493" s="2">
        <f>IFERROR(__xludf.DUMMYFUNCTION("""COMPUTED_VALUE"""),45697.0)</f>
        <v>45697</v>
      </c>
      <c r="AU493" s="1">
        <f>IFERROR(__xludf.DUMMYFUNCTION("""COMPUTED_VALUE"""),1.0)</f>
        <v>1</v>
      </c>
      <c r="AV493" s="1" t="str">
        <f>IFERROR(__xludf.DUMMYFUNCTION("""COMPUTED_VALUE"""),"TRASLADO")</f>
        <v>TRASLADO</v>
      </c>
      <c r="AW493" s="1" t="str">
        <f>IFERROR(__xludf.DUMMYFUNCTION("""COMPUTED_VALUE"""),"SI")</f>
        <v>SI</v>
      </c>
      <c r="AX493" s="1"/>
      <c r="AY493" s="1" t="str">
        <f>IFERROR(__xludf.DUMMYFUNCTION("""COMPUTED_VALUE"""),"PAGO COMPLETO")</f>
        <v>PAGO COMPLETO</v>
      </c>
      <c r="AZ493" s="5">
        <f>IFERROR(__xludf.DUMMYFUNCTION("""COMPUTED_VALUE"""),45712.0)</f>
        <v>45712</v>
      </c>
      <c r="BA493" s="1">
        <f>IFERROR(__xludf.DUMMYFUNCTION("""COMPUTED_VALUE"""),350.0)</f>
        <v>350</v>
      </c>
      <c r="BB493" s="1">
        <f>IFERROR(__xludf.DUMMYFUNCTION("""COMPUTED_VALUE"""),0.0)</f>
        <v>0</v>
      </c>
      <c r="BC493" s="4">
        <f>IFERROR(__xludf.DUMMYFUNCTION("""COMPUTED_VALUE"""),0.0)</f>
        <v>0</v>
      </c>
      <c r="BD493" s="4">
        <f>IFERROR(__xludf.DUMMYFUNCTION("""COMPUTED_VALUE"""),0.0)</f>
        <v>0</v>
      </c>
      <c r="BE493" s="1">
        <f>IFERROR(__xludf.DUMMYFUNCTION("""COMPUTED_VALUE"""),2.0)</f>
        <v>2</v>
      </c>
      <c r="BF493" s="6">
        <f>IFERROR(__xludf.DUMMYFUNCTION("""COMPUTED_VALUE"""),1.0)</f>
        <v>1</v>
      </c>
      <c r="BG493" s="1">
        <f>IFERROR(__xludf.DUMMYFUNCTION("""COMPUTED_VALUE"""),1.0)</f>
        <v>1</v>
      </c>
      <c r="BH493" s="1" t="str">
        <f>IFERROR(__xludf.DUMMYFUNCTION("""COMPUTED_VALUE"""),"1")</f>
        <v>1</v>
      </c>
      <c r="BI493" s="4">
        <f>IFERROR(__xludf.DUMMYFUNCTION("""COMPUTED_VALUE"""),700.0)</f>
        <v>700</v>
      </c>
      <c r="BJ493" s="1">
        <f>IFERROR(__xludf.DUMMYFUNCTION("""COMPUTED_VALUE"""),0.0)</f>
        <v>0</v>
      </c>
      <c r="BK493" s="4">
        <f>IFERROR(__xludf.DUMMYFUNCTION("""COMPUTED_VALUE"""),0.0)</f>
        <v>0</v>
      </c>
      <c r="BL493" s="1">
        <f>IFERROR(__xludf.DUMMYFUNCTION("""COMPUTED_VALUE"""),700.0)</f>
        <v>700</v>
      </c>
      <c r="BM493" s="1">
        <f>IFERROR(__xludf.DUMMYFUNCTION("""COMPUTED_VALUE"""),7.0)</f>
        <v>7</v>
      </c>
      <c r="BN493" s="2">
        <f>IFERROR(__xludf.DUMMYFUNCTION("""COMPUTED_VALUE"""),45698.0)</f>
        <v>45698</v>
      </c>
      <c r="BO493" s="1">
        <f>IFERROR(__xludf.DUMMYFUNCTION("""COMPUTED_VALUE"""),2.0)</f>
        <v>2</v>
      </c>
      <c r="BP493" s="1">
        <f>IFERROR(__xludf.DUMMYFUNCTION("""COMPUTED_VALUE"""),2025.0)</f>
        <v>2025</v>
      </c>
    </row>
    <row r="494">
      <c r="A494" s="1">
        <f>IFERROR(__xludf.DUMMYFUNCTION("""COMPUTED_VALUE"""),493.0)</f>
        <v>493</v>
      </c>
      <c r="B494" s="1">
        <f>IFERROR(__xludf.DUMMYFUNCTION("""COMPUTED_VALUE"""),4721471.0)</f>
        <v>4721471</v>
      </c>
      <c r="C494" s="1" t="str">
        <f>IFERROR(__xludf.DUMMYFUNCTION("""COMPUTED_VALUE"""),"2025-1")</f>
        <v>2025-1</v>
      </c>
      <c r="D494" s="1" t="str">
        <f>IFERROR(__xludf.DUMMYFUNCTION("""COMPUTED_VALUE"""),"Admisión Extraordinaria (Traslados)")</f>
        <v>Admisión Extraordinaria (Traslados)</v>
      </c>
      <c r="E494" s="2">
        <f>IFERROR(__xludf.DUMMYFUNCTION("""COMPUTED_VALUE"""),45702.0)</f>
        <v>45702</v>
      </c>
      <c r="F494" s="1" t="str">
        <f>IFERROR(__xludf.DUMMYFUNCTION("""COMPUTED_VALUE"""),"ADRIAN JESUS")</f>
        <v>ADRIAN JESUS</v>
      </c>
      <c r="G494" s="1" t="str">
        <f>IFERROR(__xludf.DUMMYFUNCTION("""COMPUTED_VALUE"""),"MAMANI BURGOS")</f>
        <v>MAMANI BURGOS</v>
      </c>
      <c r="H494" s="1" t="str">
        <f>IFERROR(__xludf.DUMMYFUNCTION("""COMPUTED_VALUE"""),"Diseño Gráfico Publicitario")</f>
        <v>Diseño Gráfico Publicitario</v>
      </c>
      <c r="I494" s="1" t="str">
        <f>IFERROR(__xludf.DUMMYFUNCTION("""COMPUTED_VALUE"""),"CARGO")</f>
        <v>CARGO</v>
      </c>
      <c r="J494" s="1" t="str">
        <f>IFERROR(__xludf.DUMMYFUNCTION("""COMPUTED_VALUE"""),"Diurno")</f>
        <v>Diurno</v>
      </c>
      <c r="K494" s="1" t="str">
        <f>IFERROR(__xludf.DUMMYFUNCTION("""COMPUTED_VALUE"""),"TRASLADO")</f>
        <v>TRASLADO</v>
      </c>
      <c r="L494" s="1">
        <f>IFERROR(__xludf.DUMMYFUNCTION("""COMPUTED_VALUE"""),1.0)</f>
        <v>1</v>
      </c>
      <c r="M494" s="1">
        <f>IFERROR(__xludf.DUMMYFUNCTION("""COMPUTED_VALUE"""),0.0)</f>
        <v>0</v>
      </c>
      <c r="N494" s="1" t="str">
        <f>IFERROR(__xludf.DUMMYFUNCTION("""COMPUTED_VALUE"""),"RECA")</f>
        <v>RECA</v>
      </c>
      <c r="O494" s="1" t="str">
        <f>IFERROR(__xludf.DUMMYFUNCTION("""COMPUTED_VALUE"""),"RECA TRASLADO CON CONVA")</f>
        <v>RECA TRASLADO CON CONVA</v>
      </c>
      <c r="P494" s="4">
        <f>IFERROR(__xludf.DUMMYFUNCTION("""COMPUTED_VALUE"""),0.0)</f>
        <v>0</v>
      </c>
      <c r="Q494" s="4">
        <f>IFERROR(__xludf.DUMMYFUNCTION("""COMPUTED_VALUE"""),0.0)</f>
        <v>0</v>
      </c>
      <c r="R494" s="4">
        <f>IFERROR(__xludf.DUMMYFUNCTION("""COMPUTED_VALUE"""),1100.0)</f>
        <v>1100</v>
      </c>
      <c r="S494" s="4">
        <f>IFERROR(__xludf.DUMMYFUNCTION("""COMPUTED_VALUE"""),700.0)</f>
        <v>700</v>
      </c>
      <c r="T494" s="1" t="str">
        <f>IFERROR(__xludf.DUMMYFUNCTION("""COMPUTED_VALUE"""),"NINGUNO")</f>
        <v>NINGUNO</v>
      </c>
      <c r="U494" s="1" t="str">
        <f>IFERROR(__xludf.DUMMYFUNCTION("""COMPUTED_VALUE"""),"FABIOLA")</f>
        <v>FABIOLA</v>
      </c>
      <c r="V494" s="1" t="str">
        <f>IFERROR(__xludf.DUMMYFUNCTION("""COMPUTED_VALUE"""),"Ninguno")</f>
        <v>Ninguno</v>
      </c>
      <c r="W494" s="1" t="str">
        <f>IFERROR(__xludf.DUMMYFUNCTION("""COMPUTED_VALUE"""),"Prestigio de la institución")</f>
        <v>Prestigio de la institución</v>
      </c>
      <c r="X494" s="1"/>
      <c r="Y494" s="1" t="str">
        <f>IFERROR(__xludf.DUMMYFUNCTION("""COMPUTED_VALUE"""),"PAGO COMPLETO")</f>
        <v>PAGO COMPLETO</v>
      </c>
      <c r="Z494" s="1"/>
      <c r="AA494" s="1"/>
      <c r="AB494" s="1">
        <f>IFERROR(__xludf.DUMMYFUNCTION("""COMPUTED_VALUE"""),0.0)</f>
        <v>0</v>
      </c>
      <c r="AC494" s="1">
        <f>IFERROR(__xludf.DUMMYFUNCTION("""COMPUTED_VALUE"""),0.0)</f>
        <v>0</v>
      </c>
      <c r="AD494" s="1" t="str">
        <f>IFERROR(__xludf.DUMMYFUNCTION("""COMPUTED_VALUE"""),"Angelica Iparraguirre")</f>
        <v>Angelica Iparraguirre</v>
      </c>
      <c r="AE494" s="1" t="str">
        <f>IFERROR(__xludf.DUMMYFUNCTION("""COMPUTED_VALUE"""),"Certus")</f>
        <v>Certus</v>
      </c>
      <c r="AF494" s="1">
        <f>IFERROR(__xludf.DUMMYFUNCTION("""COMPUTED_VALUE"""),2021.0)</f>
        <v>2021</v>
      </c>
      <c r="AG494" s="1">
        <f>IFERROR(__xludf.DUMMYFUNCTION("""COMPUTED_VALUE"""),325464.0)</f>
        <v>325464</v>
      </c>
      <c r="AH494" s="1">
        <f>IFERROR(__xludf.DUMMYFUNCTION("""COMPUTED_VALUE"""),20.0)</f>
        <v>20</v>
      </c>
      <c r="AI494" s="1" t="str">
        <f>IFERROR(__xludf.DUMMYFUNCTION("""COMPUTED_VALUE"""),"0000130414")</f>
        <v>0000130414</v>
      </c>
      <c r="AJ494" s="1">
        <f>IFERROR(__xludf.DUMMYFUNCTION("""COMPUTED_VALUE"""),7.4981451E7)</f>
        <v>74981451</v>
      </c>
      <c r="AK494" s="1">
        <f>IFERROR(__xludf.DUMMYFUNCTION("""COMPUTED_VALUE"""),9.8091139E8)</f>
        <v>980911390</v>
      </c>
      <c r="AL494" s="1" t="str">
        <f>IFERROR(__xludf.DUMMYFUNCTION("""COMPUTED_VALUE"""),"adrianjmb300705@gmail.com")</f>
        <v>adrianjmb300705@gmail.com</v>
      </c>
      <c r="AM494" s="1" t="str">
        <f>IFERROR(__xludf.DUMMYFUNCTION("""COMPUTED_VALUE"""),"MASCULINO")</f>
        <v>MASCULINO</v>
      </c>
      <c r="AN494" s="1">
        <f>IFERROR(__xludf.DUMMYFUNCTION("""COMPUTED_VALUE"""),1350.0)</f>
        <v>1350</v>
      </c>
      <c r="AO494" s="1">
        <f>IFERROR(__xludf.DUMMYFUNCTION("""COMPUTED_VALUE"""),0.0)</f>
        <v>0</v>
      </c>
      <c r="AP494" s="1" t="str">
        <f>IFERROR(__xludf.DUMMYFUNCTION("""COMPUTED_VALUE"""),"FORMULARIO")</f>
        <v>FORMULARIO</v>
      </c>
      <c r="AQ494" s="1" t="str">
        <f>IFERROR(__xludf.DUMMYFUNCTION("""COMPUTED_VALUE"""),"ORGANICO")</f>
        <v>ORGANICO</v>
      </c>
      <c r="AR494" s="1" t="str">
        <f>IFERROR(__xludf.DUMMYFUNCTION("""COMPUTED_VALUE"""),"NUEVO")</f>
        <v>NUEVO</v>
      </c>
      <c r="AS494" s="1"/>
      <c r="AT494" s="2">
        <f>IFERROR(__xludf.DUMMYFUNCTION("""COMPUTED_VALUE"""),45702.0)</f>
        <v>45702</v>
      </c>
      <c r="AU494" s="1">
        <f>IFERROR(__xludf.DUMMYFUNCTION("""COMPUTED_VALUE"""),1.0)</f>
        <v>1</v>
      </c>
      <c r="AV494" s="1" t="str">
        <f>IFERROR(__xludf.DUMMYFUNCTION("""COMPUTED_VALUE"""),"TRASLADO")</f>
        <v>TRASLADO</v>
      </c>
      <c r="AW494" s="1" t="str">
        <f>IFERROR(__xludf.DUMMYFUNCTION("""COMPUTED_VALUE"""),"SI")</f>
        <v>SI</v>
      </c>
      <c r="AX494" s="1"/>
      <c r="AY494" s="1" t="str">
        <f>IFERROR(__xludf.DUMMYFUNCTION("""COMPUTED_VALUE"""),"PAGO COMPLETO")</f>
        <v>PAGO COMPLETO</v>
      </c>
      <c r="AZ494" s="5">
        <f>IFERROR(__xludf.DUMMYFUNCTION("""COMPUTED_VALUE"""),45702.0)</f>
        <v>45702</v>
      </c>
      <c r="BA494" s="1">
        <f>IFERROR(__xludf.DUMMYFUNCTION("""COMPUTED_VALUE"""),0.0)</f>
        <v>0</v>
      </c>
      <c r="BB494" s="1">
        <f>IFERROR(__xludf.DUMMYFUNCTION("""COMPUTED_VALUE"""),0.0)</f>
        <v>0</v>
      </c>
      <c r="BC494" s="4">
        <f>IFERROR(__xludf.DUMMYFUNCTION("""COMPUTED_VALUE"""),0.0)</f>
        <v>0</v>
      </c>
      <c r="BD494" s="4">
        <f>IFERROR(__xludf.DUMMYFUNCTION("""COMPUTED_VALUE"""),0.0)</f>
        <v>0</v>
      </c>
      <c r="BE494" s="1">
        <f>IFERROR(__xludf.DUMMYFUNCTION("""COMPUTED_VALUE"""),2.0)</f>
        <v>2</v>
      </c>
      <c r="BF494" s="6">
        <f>IFERROR(__xludf.DUMMYFUNCTION("""COMPUTED_VALUE"""),1.0)</f>
        <v>1</v>
      </c>
      <c r="BG494" s="1">
        <f>IFERROR(__xludf.DUMMYFUNCTION("""COMPUTED_VALUE"""),1.0)</f>
        <v>1</v>
      </c>
      <c r="BH494" s="1" t="str">
        <f>IFERROR(__xludf.DUMMYFUNCTION("""COMPUTED_VALUE"""),"1")</f>
        <v>1</v>
      </c>
      <c r="BI494" s="4">
        <f>IFERROR(__xludf.DUMMYFUNCTION("""COMPUTED_VALUE"""),0.0)</f>
        <v>0</v>
      </c>
      <c r="BJ494" s="1">
        <f>IFERROR(__xludf.DUMMYFUNCTION("""COMPUTED_VALUE"""),0.0)</f>
        <v>0</v>
      </c>
      <c r="BK494" s="4">
        <f>IFERROR(__xludf.DUMMYFUNCTION("""COMPUTED_VALUE"""),0.0)</f>
        <v>0</v>
      </c>
      <c r="BL494" s="1">
        <f>IFERROR(__xludf.DUMMYFUNCTION("""COMPUTED_VALUE"""),700.0)</f>
        <v>700</v>
      </c>
      <c r="BM494" s="1">
        <f>IFERROR(__xludf.DUMMYFUNCTION("""COMPUTED_VALUE"""),7.0)</f>
        <v>7</v>
      </c>
      <c r="BN494" s="2">
        <f>IFERROR(__xludf.DUMMYFUNCTION("""COMPUTED_VALUE"""),45698.0)</f>
        <v>45698</v>
      </c>
      <c r="BO494" s="1">
        <f>IFERROR(__xludf.DUMMYFUNCTION("""COMPUTED_VALUE"""),2.0)</f>
        <v>2</v>
      </c>
      <c r="BP494" s="1">
        <f>IFERROR(__xludf.DUMMYFUNCTION("""COMPUTED_VALUE"""),2025.0)</f>
        <v>2025</v>
      </c>
    </row>
    <row r="495">
      <c r="A495" s="1">
        <f>IFERROR(__xludf.DUMMYFUNCTION("""COMPUTED_VALUE"""),494.0)</f>
        <v>494</v>
      </c>
      <c r="B495" s="1">
        <f>IFERROR(__xludf.DUMMYFUNCTION("""COMPUTED_VALUE"""),4405294.0)</f>
        <v>4405294</v>
      </c>
      <c r="C495" s="1" t="str">
        <f>IFERROR(__xludf.DUMMYFUNCTION("""COMPUTED_VALUE"""),"2025-1")</f>
        <v>2025-1</v>
      </c>
      <c r="D495" s="1" t="str">
        <f>IFERROR(__xludf.DUMMYFUNCTION("""COMPUTED_VALUE"""),"Admisión de Alto Rendimiento")</f>
        <v>Admisión de Alto Rendimiento</v>
      </c>
      <c r="E495" s="2">
        <f>IFERROR(__xludf.DUMMYFUNCTION("""COMPUTED_VALUE"""),45703.0)</f>
        <v>45703</v>
      </c>
      <c r="F495" s="1" t="str">
        <f>IFERROR(__xludf.DUMMYFUNCTION("""COMPUTED_VALUE"""),"VALENTINA ANTONELLA ")</f>
        <v>VALENTINA ANTONELLA </v>
      </c>
      <c r="G495" s="1" t="str">
        <f>IFERROR(__xludf.DUMMYFUNCTION("""COMPUTED_VALUE"""),"RIVAS SOTERO")</f>
        <v>RIVAS SOTERO</v>
      </c>
      <c r="H495" s="1" t="str">
        <f>IFERROR(__xludf.DUMMYFUNCTION("""COMPUTED_VALUE"""),"Comunicación Audiovisual y Cine")</f>
        <v>Comunicación Audiovisual y Cine</v>
      </c>
      <c r="I495" s="1" t="str">
        <f>IFERROR(__xludf.DUMMYFUNCTION("""COMPUTED_VALUE"""),"POS")</f>
        <v>POS</v>
      </c>
      <c r="J495" s="1" t="str">
        <f>IFERROR(__xludf.DUMMYFUNCTION("""COMPUTED_VALUE"""),"Diurno")</f>
        <v>Diurno</v>
      </c>
      <c r="K495" s="1" t="str">
        <f>IFERROR(__xludf.DUMMYFUNCTION("""COMPUTED_VALUE"""),"NUEVO")</f>
        <v>NUEVO</v>
      </c>
      <c r="L495" s="1">
        <f>IFERROR(__xludf.DUMMYFUNCTION("""COMPUTED_VALUE"""),0.0)</f>
        <v>0</v>
      </c>
      <c r="M495" s="1">
        <f>IFERROR(__xludf.DUMMYFUNCTION("""COMPUTED_VALUE"""),0.0)</f>
        <v>0</v>
      </c>
      <c r="N495" s="1" t="str">
        <f>IFERROR(__xludf.DUMMYFUNCTION("""COMPUTED_VALUE"""),"BECA")</f>
        <v>BECA</v>
      </c>
      <c r="O495" s="1" t="str">
        <f>IFERROR(__xludf.DUMMYFUNCTION("""COMPUTED_VALUE"""),"BECA EXCELENCIA ACADÉMICA")</f>
        <v>BECA EXCELENCIA ACADÉMICA</v>
      </c>
      <c r="P495" s="4">
        <f>IFERROR(__xludf.DUMMYFUNCTION("""COMPUTED_VALUE"""),0.0)</f>
        <v>0</v>
      </c>
      <c r="Q495" s="4">
        <f>IFERROR(__xludf.DUMMYFUNCTION("""COMPUTED_VALUE"""),237.5)</f>
        <v>237.5</v>
      </c>
      <c r="R495" s="4">
        <f>IFERROR(__xludf.DUMMYFUNCTION("""COMPUTED_VALUE"""),1300.0)</f>
        <v>1300</v>
      </c>
      <c r="S495" s="4">
        <f>IFERROR(__xludf.DUMMYFUNCTION("""COMPUTED_VALUE"""),600.0)</f>
        <v>600</v>
      </c>
      <c r="T495" s="1" t="str">
        <f>IFERROR(__xludf.DUMMYFUNCTION("""COMPUTED_VALUE"""),"NINGUNO")</f>
        <v>NINGUNO</v>
      </c>
      <c r="U495" s="1" t="str">
        <f>IFERROR(__xludf.DUMMYFUNCTION("""COMPUTED_VALUE"""),"FABIOLA")</f>
        <v>FABIOLA</v>
      </c>
      <c r="V495" s="1" t="str">
        <f>IFERROR(__xludf.DUMMYFUNCTION("""COMPUTED_VALUE"""),"Ninguno")</f>
        <v>Ninguno</v>
      </c>
      <c r="W495" s="1" t="str">
        <f>IFERROR(__xludf.DUMMYFUNCTION("""COMPUTED_VALUE"""),"Metodología de enseñanza")</f>
        <v>Metodología de enseñanza</v>
      </c>
      <c r="X495" s="1" t="str">
        <f>IFERROR(__xludf.DUMMYFUNCTION("""COMPUTED_VALUE"""),"metodologia")</f>
        <v>metodologia</v>
      </c>
      <c r="Y495" s="1" t="str">
        <f>IFERROR(__xludf.DUMMYFUNCTION("""COMPUTED_VALUE"""),"PAGO FRACCIONADO")</f>
        <v>PAGO FRACCIONADO</v>
      </c>
      <c r="Z495" s="1">
        <f>IFERROR(__xludf.DUMMYFUNCTION("""COMPUTED_VALUE"""),300.0)</f>
        <v>300</v>
      </c>
      <c r="AA495" s="1" t="str">
        <f>IFERROR(__xludf.DUMMYFUNCTION("""COMPUTED_VALUE"""),"15/02/2025")</f>
        <v>15/02/2025</v>
      </c>
      <c r="AB495" s="1">
        <f>IFERROR(__xludf.DUMMYFUNCTION("""COMPUTED_VALUE"""),0.0)</f>
        <v>0</v>
      </c>
      <c r="AC495" s="1">
        <f>IFERROR(__xludf.DUMMYFUNCTION("""COMPUTED_VALUE"""),0.0)</f>
        <v>0</v>
      </c>
      <c r="AD495" s="1" t="str">
        <f>IFERROR(__xludf.DUMMYFUNCTION("""COMPUTED_VALUE"""),"Cinthia Mariella Orosco")</f>
        <v>Cinthia Mariella Orosco</v>
      </c>
      <c r="AE495" s="1" t="str">
        <f>IFERROR(__xludf.DUMMYFUNCTION("""COMPUTED_VALUE"""),"0")</f>
        <v>0</v>
      </c>
      <c r="AF495" s="1">
        <f>IFERROR(__xludf.DUMMYFUNCTION("""COMPUTED_VALUE"""),2024.0)</f>
        <v>2024</v>
      </c>
      <c r="AG495" s="1">
        <f>IFERROR(__xludf.DUMMYFUNCTION("""COMPUTED_VALUE"""),1481266.0)</f>
        <v>1481266</v>
      </c>
      <c r="AH495" s="1">
        <f>IFERROR(__xludf.DUMMYFUNCTION("""COMPUTED_VALUE"""),17.0)</f>
        <v>17</v>
      </c>
      <c r="AI495" s="1" t="str">
        <f>IFERROR(__xludf.DUMMYFUNCTION("""COMPUTED_VALUE"""),"0000413549")</f>
        <v>0000413549</v>
      </c>
      <c r="AJ495" s="1">
        <f>IFERROR(__xludf.DUMMYFUNCTION("""COMPUTED_VALUE"""),7.1352344E7)</f>
        <v>71352344</v>
      </c>
      <c r="AK495" s="1">
        <f>IFERROR(__xludf.DUMMYFUNCTION("""COMPUTED_VALUE"""),9.91814898E8)</f>
        <v>991814898</v>
      </c>
      <c r="AL495" s="1" t="str">
        <f>IFERROR(__xludf.DUMMYFUNCTION("""COMPUTED_VALUE"""),"valentina.rivasot@gmail.com")</f>
        <v>valentina.rivasot@gmail.com</v>
      </c>
      <c r="AM495" s="1" t="str">
        <f>IFERROR(__xludf.DUMMYFUNCTION("""COMPUTED_VALUE"""),"FEMENINO")</f>
        <v>FEMENINO</v>
      </c>
      <c r="AN495" s="1">
        <f>IFERROR(__xludf.DUMMYFUNCTION("""COMPUTED_VALUE"""),1775.0)</f>
        <v>1775</v>
      </c>
      <c r="AO495" s="1">
        <f>IFERROR(__xludf.DUMMYFUNCTION("""COMPUTED_VALUE"""),380.0)</f>
        <v>380</v>
      </c>
      <c r="AP495" s="1" t="str">
        <f>IFERROR(__xludf.DUMMYFUNCTION("""COMPUTED_VALUE"""),"FORMULARIO")</f>
        <v>FORMULARIO</v>
      </c>
      <c r="AQ495" s="1" t="str">
        <f>IFERROR(__xludf.DUMMYFUNCTION("""COMPUTED_VALUE"""),"ORGANICO")</f>
        <v>ORGANICO</v>
      </c>
      <c r="AR495" s="1" t="str">
        <f>IFERROR(__xludf.DUMMYFUNCTION("""COMPUTED_VALUE"""),"NUEVO")</f>
        <v>NUEVO</v>
      </c>
      <c r="AS495" s="1"/>
      <c r="AT495" s="2">
        <f>IFERROR(__xludf.DUMMYFUNCTION("""COMPUTED_VALUE"""),45503.0)</f>
        <v>45503</v>
      </c>
      <c r="AU495" s="1">
        <f>IFERROR(__xludf.DUMMYFUNCTION("""COMPUTED_VALUE"""),1.0)</f>
        <v>1</v>
      </c>
      <c r="AV495" s="1" t="str">
        <f>IFERROR(__xludf.DUMMYFUNCTION("""COMPUTED_VALUE"""),"NUEVO")</f>
        <v>NUEVO</v>
      </c>
      <c r="AW495" s="1" t="str">
        <f>IFERROR(__xludf.DUMMYFUNCTION("""COMPUTED_VALUE"""),"SI")</f>
        <v>SI</v>
      </c>
      <c r="AX495" s="1"/>
      <c r="AY495" s="1" t="str">
        <f>IFERROR(__xludf.DUMMYFUNCTION("""COMPUTED_VALUE"""),"PAGO COMPLETO")</f>
        <v>PAGO COMPLETO</v>
      </c>
      <c r="AZ495" s="5">
        <f>IFERROR(__xludf.DUMMYFUNCTION("""COMPUTED_VALUE"""),45703.0)</f>
        <v>45703</v>
      </c>
      <c r="BA495" s="1">
        <f>IFERROR(__xludf.DUMMYFUNCTION("""COMPUTED_VALUE"""),537.5)</f>
        <v>537.5</v>
      </c>
      <c r="BB495" s="1">
        <f>IFERROR(__xludf.DUMMYFUNCTION("""COMPUTED_VALUE"""),0.0)</f>
        <v>0</v>
      </c>
      <c r="BC495" s="4">
        <f>IFERROR(__xludf.DUMMYFUNCTION("""COMPUTED_VALUE"""),0.0)</f>
        <v>0</v>
      </c>
      <c r="BD495" s="4">
        <f>IFERROR(__xludf.DUMMYFUNCTION("""COMPUTED_VALUE"""),0.0)</f>
        <v>0</v>
      </c>
      <c r="BE495" s="1">
        <f>IFERROR(__xludf.DUMMYFUNCTION("""COMPUTED_VALUE"""),2.0)</f>
        <v>2</v>
      </c>
      <c r="BF495" s="6">
        <f>IFERROR(__xludf.DUMMYFUNCTION("""COMPUTED_VALUE"""),1.0)</f>
        <v>1</v>
      </c>
      <c r="BG495" s="1">
        <f>IFERROR(__xludf.DUMMYFUNCTION("""COMPUTED_VALUE"""),1.0)</f>
        <v>1</v>
      </c>
      <c r="BH495" s="1" t="str">
        <f>IFERROR(__xludf.DUMMYFUNCTION("""COMPUTED_VALUE"""),"0")</f>
        <v>0</v>
      </c>
      <c r="BI495" s="4">
        <f>IFERROR(__xludf.DUMMYFUNCTION("""COMPUTED_VALUE"""),837.5)</f>
        <v>837.5</v>
      </c>
      <c r="BJ495" s="1">
        <f>IFERROR(__xludf.DUMMYFUNCTION("""COMPUTED_VALUE"""),0.0)</f>
        <v>0</v>
      </c>
      <c r="BK495" s="4">
        <f>IFERROR(__xludf.DUMMYFUNCTION("""COMPUTED_VALUE"""),0.0)</f>
        <v>0</v>
      </c>
      <c r="BL495" s="1">
        <f>IFERROR(__xludf.DUMMYFUNCTION("""COMPUTED_VALUE"""),600.0)</f>
        <v>600</v>
      </c>
      <c r="BM495" s="1">
        <f>IFERROR(__xludf.DUMMYFUNCTION("""COMPUTED_VALUE"""),7.0)</f>
        <v>7</v>
      </c>
      <c r="BN495" s="2">
        <f>IFERROR(__xludf.DUMMYFUNCTION("""COMPUTED_VALUE"""),45698.0)</f>
        <v>45698</v>
      </c>
      <c r="BO495" s="1">
        <f>IFERROR(__xludf.DUMMYFUNCTION("""COMPUTED_VALUE"""),2.0)</f>
        <v>2</v>
      </c>
      <c r="BP495" s="1">
        <f>IFERROR(__xludf.DUMMYFUNCTION("""COMPUTED_VALUE"""),2025.0)</f>
        <v>2025</v>
      </c>
    </row>
    <row r="496">
      <c r="A496" s="1">
        <f>IFERROR(__xludf.DUMMYFUNCTION("""COMPUTED_VALUE"""),495.0)</f>
        <v>495</v>
      </c>
      <c r="B496" s="1">
        <f>IFERROR(__xludf.DUMMYFUNCTION("""COMPUTED_VALUE"""),1552430.0)</f>
        <v>1552430</v>
      </c>
      <c r="C496" s="1" t="str">
        <f>IFERROR(__xludf.DUMMYFUNCTION("""COMPUTED_VALUE"""),"2025-1")</f>
        <v>2025-1</v>
      </c>
      <c r="D496" s="1" t="str">
        <f>IFERROR(__xludf.DUMMYFUNCTION("""COMPUTED_VALUE"""),"Admisión Extraordinaria (Traslados)")</f>
        <v>Admisión Extraordinaria (Traslados)</v>
      </c>
      <c r="E496" s="2">
        <f>IFERROR(__xludf.DUMMYFUNCTION("""COMPUTED_VALUE"""),45703.0)</f>
        <v>45703</v>
      </c>
      <c r="F496" s="1" t="str">
        <f>IFERROR(__xludf.DUMMYFUNCTION("""COMPUTED_VALUE"""),"EDU KENYI ")</f>
        <v>EDU KENYI </v>
      </c>
      <c r="G496" s="1" t="str">
        <f>IFERROR(__xludf.DUMMYFUNCTION("""COMPUTED_VALUE"""),"PALACIOS OLORTEGUI")</f>
        <v>PALACIOS OLORTEGUI</v>
      </c>
      <c r="H496" s="1" t="str">
        <f>IFERROR(__xludf.DUMMYFUNCTION("""COMPUTED_VALUE"""),"Diseño Gráfico Publicitario")</f>
        <v>Diseño Gráfico Publicitario</v>
      </c>
      <c r="I496" s="1" t="str">
        <f>IFERROR(__xludf.DUMMYFUNCTION("""COMPUTED_VALUE"""),"Pago Link")</f>
        <v>Pago Link</v>
      </c>
      <c r="J496" s="1" t="str">
        <f>IFERROR(__xludf.DUMMYFUNCTION("""COMPUTED_VALUE"""),"Diurno")</f>
        <v>Diurno</v>
      </c>
      <c r="K496" s="1" t="str">
        <f>IFERROR(__xludf.DUMMYFUNCTION("""COMPUTED_VALUE"""),"TRASLADO")</f>
        <v>TRASLADO</v>
      </c>
      <c r="L496" s="1">
        <f>IFERROR(__xludf.DUMMYFUNCTION("""COMPUTED_VALUE"""),1.0)</f>
        <v>1</v>
      </c>
      <c r="M496" s="1">
        <f>IFERROR(__xludf.DUMMYFUNCTION("""COMPUTED_VALUE"""),0.0)</f>
        <v>0</v>
      </c>
      <c r="N496" s="1" t="str">
        <f>IFERROR(__xludf.DUMMYFUNCTION("""COMPUTED_VALUE"""),"RECA")</f>
        <v>RECA</v>
      </c>
      <c r="O496" s="1" t="str">
        <f>IFERROR(__xludf.DUMMYFUNCTION("""COMPUTED_VALUE"""),"RECA TRASLADO CON CONVA")</f>
        <v>RECA TRASLADO CON CONVA</v>
      </c>
      <c r="P496" s="4">
        <f>IFERROR(__xludf.DUMMYFUNCTION("""COMPUTED_VALUE"""),0.0)</f>
        <v>0</v>
      </c>
      <c r="Q496" s="4">
        <f>IFERROR(__xludf.DUMMYFUNCTION("""COMPUTED_VALUE"""),0.0)</f>
        <v>0</v>
      </c>
      <c r="R496" s="4">
        <f>IFERROR(__xludf.DUMMYFUNCTION("""COMPUTED_VALUE"""),1600.0)</f>
        <v>1600</v>
      </c>
      <c r="S496" s="4">
        <f>IFERROR(__xludf.DUMMYFUNCTION("""COMPUTED_VALUE"""),700.0)</f>
        <v>700</v>
      </c>
      <c r="T496" s="1" t="str">
        <f>IFERROR(__xludf.DUMMYFUNCTION("""COMPUTED_VALUE"""),"NINGUNO")</f>
        <v>NINGUNO</v>
      </c>
      <c r="U496" s="1" t="str">
        <f>IFERROR(__xludf.DUMMYFUNCTION("""COMPUTED_VALUE"""),"RODRIGO")</f>
        <v>RODRIGO</v>
      </c>
      <c r="V496" s="1" t="str">
        <f>IFERROR(__xludf.DUMMYFUNCTION("""COMPUTED_VALUE"""),"Ninguno")</f>
        <v>Ninguno</v>
      </c>
      <c r="W496" s="1" t="str">
        <f>IFERROR(__xludf.DUMMYFUNCTION("""COMPUTED_VALUE"""),"Metodología de enseñanza")</f>
        <v>Metodología de enseñanza</v>
      </c>
      <c r="X496" s="1" t="str">
        <f>IFERROR(__xludf.DUMMYFUNCTION("""COMPUTED_VALUE"""),"se traslada de Senati")</f>
        <v>se traslada de Senati</v>
      </c>
      <c r="Y496" s="1" t="str">
        <f>IFERROR(__xludf.DUMMYFUNCTION("""COMPUTED_VALUE"""),"PAGO FRACCIONADO")</f>
        <v>PAGO FRACCIONADO</v>
      </c>
      <c r="Z496" s="1">
        <f>IFERROR(__xludf.DUMMYFUNCTION("""COMPUTED_VALUE"""),350.0)</f>
        <v>350</v>
      </c>
      <c r="AA496" s="1" t="str">
        <f>IFERROR(__xludf.DUMMYFUNCTION("""COMPUTED_VALUE"""),"28/02/2025")</f>
        <v>28/02/2025</v>
      </c>
      <c r="AB496" s="1">
        <f>IFERROR(__xludf.DUMMYFUNCTION("""COMPUTED_VALUE"""),0.0)</f>
        <v>0</v>
      </c>
      <c r="AC496" s="1">
        <f>IFERROR(__xludf.DUMMYFUNCTION("""COMPUTED_VALUE"""),0.0)</f>
        <v>0</v>
      </c>
      <c r="AD496" s="1" t="str">
        <f>IFERROR(__xludf.DUMMYFUNCTION("""COMPUTED_VALUE"""),"Rosa Ugarte")</f>
        <v>Rosa Ugarte</v>
      </c>
      <c r="AE496" s="1" t="str">
        <f>IFERROR(__xludf.DUMMYFUNCTION("""COMPUTED_VALUE"""),"SENATI")</f>
        <v>SENATI</v>
      </c>
      <c r="AF496" s="1">
        <f>IFERROR(__xludf.DUMMYFUNCTION("""COMPUTED_VALUE"""),2022.0)</f>
        <v>2022</v>
      </c>
      <c r="AG496" s="1">
        <f>IFERROR(__xludf.DUMMYFUNCTION("""COMPUTED_VALUE"""),582304.0)</f>
        <v>582304</v>
      </c>
      <c r="AH496" s="1">
        <f>IFERROR(__xludf.DUMMYFUNCTION("""COMPUTED_VALUE"""),20.0)</f>
        <v>20</v>
      </c>
      <c r="AI496" s="1" t="str">
        <f>IFERROR(__xludf.DUMMYFUNCTION("""COMPUTED_VALUE"""),"0000414955")</f>
        <v>0000414955</v>
      </c>
      <c r="AJ496" s="1">
        <f>IFERROR(__xludf.DUMMYFUNCTION("""COMPUTED_VALUE"""),7.2491108E7)</f>
        <v>72491108</v>
      </c>
      <c r="AK496" s="1">
        <f>IFERROR(__xludf.DUMMYFUNCTION("""COMPUTED_VALUE"""),9.23569405E8)</f>
        <v>923569405</v>
      </c>
      <c r="AL496" s="1" t="str">
        <f>IFERROR(__xludf.DUMMYFUNCTION("""COMPUTED_VALUE"""),"edup261@gmail.com")</f>
        <v>edup261@gmail.com</v>
      </c>
      <c r="AM496" s="1" t="str">
        <f>IFERROR(__xludf.DUMMYFUNCTION("""COMPUTED_VALUE"""),"MASCULINO")</f>
        <v>MASCULINO</v>
      </c>
      <c r="AN496" s="1">
        <f>IFERROR(__xludf.DUMMYFUNCTION("""COMPUTED_VALUE"""),1350.0)</f>
        <v>1350</v>
      </c>
      <c r="AO496" s="1">
        <f>IFERROR(__xludf.DUMMYFUNCTION("""COMPUTED_VALUE"""),0.0)</f>
        <v>0</v>
      </c>
      <c r="AP496" s="1" t="str">
        <f>IFERROR(__xludf.DUMMYFUNCTION("""COMPUTED_VALUE"""),"FORMULARIO")</f>
        <v>FORMULARIO</v>
      </c>
      <c r="AQ496" s="1" t="str">
        <f>IFERROR(__xludf.DUMMYFUNCTION("""COMPUTED_VALUE"""),"ORGANICO")</f>
        <v>ORGANICO</v>
      </c>
      <c r="AR496" s="1" t="str">
        <f>IFERROR(__xludf.DUMMYFUNCTION("""COMPUTED_VALUE"""),"NUEVO")</f>
        <v>NUEVO</v>
      </c>
      <c r="AS496" s="1"/>
      <c r="AT496" s="2">
        <f>IFERROR(__xludf.DUMMYFUNCTION("""COMPUTED_VALUE"""),45700.0)</f>
        <v>45700</v>
      </c>
      <c r="AU496" s="1">
        <f>IFERROR(__xludf.DUMMYFUNCTION("""COMPUTED_VALUE"""),1.0)</f>
        <v>1</v>
      </c>
      <c r="AV496" s="1" t="str">
        <f>IFERROR(__xludf.DUMMYFUNCTION("""COMPUTED_VALUE"""),"TRASLADO")</f>
        <v>TRASLADO</v>
      </c>
      <c r="AW496" s="1" t="str">
        <f>IFERROR(__xludf.DUMMYFUNCTION("""COMPUTED_VALUE"""),"SI")</f>
        <v>SI</v>
      </c>
      <c r="AX496" s="1"/>
      <c r="AY496" s="1" t="str">
        <f>IFERROR(__xludf.DUMMYFUNCTION("""COMPUTED_VALUE"""),"PAGO COMPLETO")</f>
        <v>PAGO COMPLETO</v>
      </c>
      <c r="AZ496" s="5">
        <f>IFERROR(__xludf.DUMMYFUNCTION("""COMPUTED_VALUE"""),45716.0)</f>
        <v>45716</v>
      </c>
      <c r="BA496" s="1">
        <f>IFERROR(__xludf.DUMMYFUNCTION("""COMPUTED_VALUE"""),350.0)</f>
        <v>350</v>
      </c>
      <c r="BB496" s="1">
        <f>IFERROR(__xludf.DUMMYFUNCTION("""COMPUTED_VALUE"""),0.0)</f>
        <v>0</v>
      </c>
      <c r="BC496" s="4">
        <f>IFERROR(__xludf.DUMMYFUNCTION("""COMPUTED_VALUE"""),0.0)</f>
        <v>0</v>
      </c>
      <c r="BD496" s="4">
        <f>IFERROR(__xludf.DUMMYFUNCTION("""COMPUTED_VALUE"""),0.0)</f>
        <v>0</v>
      </c>
      <c r="BE496" s="1">
        <f>IFERROR(__xludf.DUMMYFUNCTION("""COMPUTED_VALUE"""),2.0)</f>
        <v>2</v>
      </c>
      <c r="BF496" s="6">
        <f>IFERROR(__xludf.DUMMYFUNCTION("""COMPUTED_VALUE"""),1.0)</f>
        <v>1</v>
      </c>
      <c r="BG496" s="1">
        <f>IFERROR(__xludf.DUMMYFUNCTION("""COMPUTED_VALUE"""),1.0)</f>
        <v>1</v>
      </c>
      <c r="BH496" s="1" t="str">
        <f>IFERROR(__xludf.DUMMYFUNCTION("""COMPUTED_VALUE"""),"1")</f>
        <v>1</v>
      </c>
      <c r="BI496" s="4">
        <f>IFERROR(__xludf.DUMMYFUNCTION("""COMPUTED_VALUE"""),700.0)</f>
        <v>700</v>
      </c>
      <c r="BJ496" s="1">
        <f>IFERROR(__xludf.DUMMYFUNCTION("""COMPUTED_VALUE"""),0.0)</f>
        <v>0</v>
      </c>
      <c r="BK496" s="4">
        <f>IFERROR(__xludf.DUMMYFUNCTION("""COMPUTED_VALUE"""),0.0)</f>
        <v>0</v>
      </c>
      <c r="BL496" s="1">
        <f>IFERROR(__xludf.DUMMYFUNCTION("""COMPUTED_VALUE"""),700.0)</f>
        <v>700</v>
      </c>
      <c r="BM496" s="1">
        <f>IFERROR(__xludf.DUMMYFUNCTION("""COMPUTED_VALUE"""),7.0)</f>
        <v>7</v>
      </c>
      <c r="BN496" s="2">
        <f>IFERROR(__xludf.DUMMYFUNCTION("""COMPUTED_VALUE"""),45698.0)</f>
        <v>45698</v>
      </c>
      <c r="BO496" s="1">
        <f>IFERROR(__xludf.DUMMYFUNCTION("""COMPUTED_VALUE"""),2.0)</f>
        <v>2</v>
      </c>
      <c r="BP496" s="1">
        <f>IFERROR(__xludf.DUMMYFUNCTION("""COMPUTED_VALUE"""),2025.0)</f>
        <v>2025</v>
      </c>
    </row>
    <row r="497">
      <c r="A497" s="1">
        <f>IFERROR(__xludf.DUMMYFUNCTION("""COMPUTED_VALUE"""),496.0)</f>
        <v>496</v>
      </c>
      <c r="B497" s="1">
        <f>IFERROR(__xludf.DUMMYFUNCTION("""COMPUTED_VALUE"""),2864588.0)</f>
        <v>2864588</v>
      </c>
      <c r="C497" s="1" t="str">
        <f>IFERROR(__xludf.DUMMYFUNCTION("""COMPUTED_VALUE"""),"2025-1")</f>
        <v>2025-1</v>
      </c>
      <c r="D497" s="1" t="str">
        <f>IFERROR(__xludf.DUMMYFUNCTION("""COMPUTED_VALUE"""),"Admisión Ordinaria")</f>
        <v>Admisión Ordinaria</v>
      </c>
      <c r="E497" s="2">
        <f>IFERROR(__xludf.DUMMYFUNCTION("""COMPUTED_VALUE"""),45704.0)</f>
        <v>45704</v>
      </c>
      <c r="F497" s="1" t="str">
        <f>IFERROR(__xludf.DUMMYFUNCTION("""COMPUTED_VALUE"""),"MILAGROS MARIA PAZ")</f>
        <v>MILAGROS MARIA PAZ</v>
      </c>
      <c r="G497" s="1" t="str">
        <f>IFERROR(__xludf.DUMMYFUNCTION("""COMPUTED_VALUE"""),"RADA PAREDES")</f>
        <v>RADA PAREDES</v>
      </c>
      <c r="H497" s="1" t="str">
        <f>IFERROR(__xludf.DUMMYFUNCTION("""COMPUTED_VALUE"""),"Psicología")</f>
        <v>Psicología</v>
      </c>
      <c r="I497" s="1" t="str">
        <f>IFERROR(__xludf.DUMMYFUNCTION("""COMPUTED_VALUE"""),"Pago Link")</f>
        <v>Pago Link</v>
      </c>
      <c r="J497" s="1" t="str">
        <f>IFERROR(__xludf.DUMMYFUNCTION("""COMPUTED_VALUE"""),"Nocturno - A distancia")</f>
        <v>Nocturno - A distancia</v>
      </c>
      <c r="K497" s="1" t="str">
        <f>IFERROR(__xludf.DUMMYFUNCTION("""COMPUTED_VALUE"""),"NUEVO")</f>
        <v>NUEVO</v>
      </c>
      <c r="L497" s="1">
        <f>IFERROR(__xludf.DUMMYFUNCTION("""COMPUTED_VALUE"""),0.0)</f>
        <v>0</v>
      </c>
      <c r="M497" s="1">
        <f>IFERROR(__xludf.DUMMYFUNCTION("""COMPUTED_VALUE"""),0.0)</f>
        <v>0</v>
      </c>
      <c r="N497" s="1" t="str">
        <f>IFERROR(__xludf.DUMMYFUNCTION("""COMPUTED_VALUE"""),"ESCALA DISTANCIA")</f>
        <v>ESCALA DISTANCIA</v>
      </c>
      <c r="O497" s="1" t="str">
        <f>IFERROR(__xludf.DUMMYFUNCTION("""COMPUTED_VALUE"""),"ESCALA DISTANCIA REGULAR")</f>
        <v>ESCALA DISTANCIA REGULAR</v>
      </c>
      <c r="P497" s="4">
        <f>IFERROR(__xludf.DUMMYFUNCTION("""COMPUTED_VALUE"""),0.0)</f>
        <v>0</v>
      </c>
      <c r="Q497" s="4">
        <f>IFERROR(__xludf.DUMMYFUNCTION("""COMPUTED_VALUE"""),0.0)</f>
        <v>0</v>
      </c>
      <c r="R497" s="4">
        <f>IFERROR(__xludf.DUMMYFUNCTION("""COMPUTED_VALUE"""),1200.0)</f>
        <v>1200</v>
      </c>
      <c r="S497" s="4">
        <f>IFERROR(__xludf.DUMMYFUNCTION("""COMPUTED_VALUE"""),700.0)</f>
        <v>700</v>
      </c>
      <c r="T497" s="1" t="str">
        <f>IFERROR(__xludf.DUMMYFUNCTION("""COMPUTED_VALUE"""),"NINGUNO")</f>
        <v>NINGUNO</v>
      </c>
      <c r="U497" s="1" t="str">
        <f>IFERROR(__xludf.DUMMYFUNCTION("""COMPUTED_VALUE"""),"FABIOLA")</f>
        <v>FABIOLA</v>
      </c>
      <c r="V497" s="1" t="str">
        <f>IFERROR(__xludf.DUMMYFUNCTION("""COMPUTED_VALUE"""),"Ninguno")</f>
        <v>Ninguno</v>
      </c>
      <c r="W497" s="1" t="str">
        <f>IFERROR(__xludf.DUMMYFUNCTION("""COMPUTED_VALUE"""),"Metodología de enseñanza")</f>
        <v>Metodología de enseñanza</v>
      </c>
      <c r="X497" s="1" t="str">
        <f>IFERROR(__xludf.DUMMYFUNCTION("""COMPUTED_VALUE"""),"metodologia")</f>
        <v>metodologia</v>
      </c>
      <c r="Y497" s="1" t="str">
        <f>IFERROR(__xludf.DUMMYFUNCTION("""COMPUTED_VALUE"""),"PAGO FRACCIONADO")</f>
        <v>PAGO FRACCIONADO</v>
      </c>
      <c r="Z497" s="1">
        <f>IFERROR(__xludf.DUMMYFUNCTION("""COMPUTED_VALUE"""),400.0)</f>
        <v>400</v>
      </c>
      <c r="AA497" s="1" t="str">
        <f>IFERROR(__xludf.DUMMYFUNCTION("""COMPUTED_VALUE"""),"17/02/2025")</f>
        <v>17/02/2025</v>
      </c>
      <c r="AB497" s="1">
        <f>IFERROR(__xludf.DUMMYFUNCTION("""COMPUTED_VALUE"""),0.0)</f>
        <v>0</v>
      </c>
      <c r="AC497" s="1">
        <f>IFERROR(__xludf.DUMMYFUNCTION("""COMPUTED_VALUE"""),0.0)</f>
        <v>0</v>
      </c>
      <c r="AD497" s="1" t="str">
        <f>IFERROR(__xludf.DUMMYFUNCTION("""COMPUTED_VALUE"""),"Erwyn Terie Vital Avila")</f>
        <v>Erwyn Terie Vital Avila</v>
      </c>
      <c r="AE497" s="1" t="str">
        <f>IFERROR(__xludf.DUMMYFUNCTION("""COMPUTED_VALUE"""),"0")</f>
        <v>0</v>
      </c>
      <c r="AF497" s="1">
        <f>IFERROR(__xludf.DUMMYFUNCTION("""COMPUTED_VALUE"""),2018.0)</f>
        <v>2018</v>
      </c>
      <c r="AG497" s="1">
        <f>IFERROR(__xludf.DUMMYFUNCTION("""COMPUTED_VALUE"""),588905.0)</f>
        <v>588905</v>
      </c>
      <c r="AH497" s="1">
        <f>IFERROR(__xludf.DUMMYFUNCTION("""COMPUTED_VALUE"""),23.0)</f>
        <v>23</v>
      </c>
      <c r="AI497" s="1" t="str">
        <f>IFERROR(__xludf.DUMMYFUNCTION("""COMPUTED_VALUE"""),"0000087144")</f>
        <v>0000087144</v>
      </c>
      <c r="AJ497" s="1">
        <f>IFERROR(__xludf.DUMMYFUNCTION("""COMPUTED_VALUE"""),7.3090629E7)</f>
        <v>73090629</v>
      </c>
      <c r="AK497" s="1">
        <f>IFERROR(__xludf.DUMMYFUNCTION("""COMPUTED_VALUE"""),9.89628669E8)</f>
        <v>989628669</v>
      </c>
      <c r="AL497" s="1" t="str">
        <f>IFERROR(__xludf.DUMMYFUNCTION("""COMPUTED_VALUE"""),"mapi689@gmail.com")</f>
        <v>mapi689@gmail.com</v>
      </c>
      <c r="AM497" s="1" t="str">
        <f>IFERROR(__xludf.DUMMYFUNCTION("""COMPUTED_VALUE"""),"FEMENINO")</f>
        <v>FEMENINO</v>
      </c>
      <c r="AN497" s="1">
        <f>IFERROR(__xludf.DUMMYFUNCTION("""COMPUTED_VALUE"""),1850.0)</f>
        <v>1850</v>
      </c>
      <c r="AO497" s="1">
        <f>IFERROR(__xludf.DUMMYFUNCTION("""COMPUTED_VALUE"""),780.0)</f>
        <v>780</v>
      </c>
      <c r="AP497" s="1" t="str">
        <f>IFERROR(__xludf.DUMMYFUNCTION("""COMPUTED_VALUE"""),"FORMULARIO")</f>
        <v>FORMULARIO</v>
      </c>
      <c r="AQ497" s="1" t="str">
        <f>IFERROR(__xludf.DUMMYFUNCTION("""COMPUTED_VALUE"""),"SEARCH CARRERA")</f>
        <v>SEARCH CARRERA</v>
      </c>
      <c r="AR497" s="1" t="str">
        <f>IFERROR(__xludf.DUMMYFUNCTION("""COMPUTED_VALUE"""),"HEREDADO")</f>
        <v>HEREDADO</v>
      </c>
      <c r="AS497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497" s="2">
        <f>IFERROR(__xludf.DUMMYFUNCTION("""COMPUTED_VALUE"""),45698.0)</f>
        <v>45698</v>
      </c>
      <c r="AU497" s="1">
        <f>IFERROR(__xludf.DUMMYFUNCTION("""COMPUTED_VALUE"""),1.0)</f>
        <v>1</v>
      </c>
      <c r="AV497" s="1" t="str">
        <f>IFERROR(__xludf.DUMMYFUNCTION("""COMPUTED_VALUE"""),"NUEVO")</f>
        <v>NUEVO</v>
      </c>
      <c r="AW497" s="1" t="str">
        <f>IFERROR(__xludf.DUMMYFUNCTION("""COMPUTED_VALUE"""),"SI")</f>
        <v>SI</v>
      </c>
      <c r="AX497" s="1"/>
      <c r="AY497" s="1" t="str">
        <f>IFERROR(__xludf.DUMMYFUNCTION("""COMPUTED_VALUE"""),"PAGO COMPLETO")</f>
        <v>PAGO COMPLETO</v>
      </c>
      <c r="AZ497" s="5">
        <f>IFERROR(__xludf.DUMMYFUNCTION("""COMPUTED_VALUE"""),45706.0)</f>
        <v>45706</v>
      </c>
      <c r="BA497" s="1">
        <f>IFERROR(__xludf.DUMMYFUNCTION("""COMPUTED_VALUE"""),300.0)</f>
        <v>300</v>
      </c>
      <c r="BB497" s="1">
        <f>IFERROR(__xludf.DUMMYFUNCTION("""COMPUTED_VALUE"""),0.0)</f>
        <v>0</v>
      </c>
      <c r="BC497" s="4">
        <f>IFERROR(__xludf.DUMMYFUNCTION("""COMPUTED_VALUE"""),0.0)</f>
        <v>0</v>
      </c>
      <c r="BD497" s="4">
        <f>IFERROR(__xludf.DUMMYFUNCTION("""COMPUTED_VALUE"""),0.0)</f>
        <v>0</v>
      </c>
      <c r="BE497" s="1">
        <f>IFERROR(__xludf.DUMMYFUNCTION("""COMPUTED_VALUE"""),2.0)</f>
        <v>2</v>
      </c>
      <c r="BF497" s="6">
        <f>IFERROR(__xludf.DUMMYFUNCTION("""COMPUTED_VALUE"""),1.0)</f>
        <v>1</v>
      </c>
      <c r="BG497" s="1">
        <f>IFERROR(__xludf.DUMMYFUNCTION("""COMPUTED_VALUE"""),1.0)</f>
        <v>1</v>
      </c>
      <c r="BH497" s="1" t="str">
        <f>IFERROR(__xludf.DUMMYFUNCTION("""COMPUTED_VALUE"""),"0")</f>
        <v>0</v>
      </c>
      <c r="BI497" s="4">
        <f>IFERROR(__xludf.DUMMYFUNCTION("""COMPUTED_VALUE"""),700.0)</f>
        <v>700</v>
      </c>
      <c r="BJ497" s="1">
        <f>IFERROR(__xludf.DUMMYFUNCTION("""COMPUTED_VALUE"""),0.0)</f>
        <v>0</v>
      </c>
      <c r="BK497" s="4">
        <f>IFERROR(__xludf.DUMMYFUNCTION("""COMPUTED_VALUE"""),0.0)</f>
        <v>0</v>
      </c>
      <c r="BL497" s="1">
        <f>IFERROR(__xludf.DUMMYFUNCTION("""COMPUTED_VALUE"""),700.0)</f>
        <v>700</v>
      </c>
      <c r="BM497" s="1">
        <f>IFERROR(__xludf.DUMMYFUNCTION("""COMPUTED_VALUE"""),7.0)</f>
        <v>7</v>
      </c>
      <c r="BN497" s="2">
        <f>IFERROR(__xludf.DUMMYFUNCTION("""COMPUTED_VALUE"""),45698.0)</f>
        <v>45698</v>
      </c>
      <c r="BO497" s="1">
        <f>IFERROR(__xludf.DUMMYFUNCTION("""COMPUTED_VALUE"""),2.0)</f>
        <v>2</v>
      </c>
      <c r="BP497" s="1">
        <f>IFERROR(__xludf.DUMMYFUNCTION("""COMPUTED_VALUE"""),2025.0)</f>
        <v>2025</v>
      </c>
    </row>
    <row r="498">
      <c r="A498" s="1">
        <f>IFERROR(__xludf.DUMMYFUNCTION("""COMPUTED_VALUE"""),497.0)</f>
        <v>497</v>
      </c>
      <c r="B498" s="1">
        <f>IFERROR(__xludf.DUMMYFUNCTION("""COMPUTED_VALUE"""),3292842.0)</f>
        <v>3292842</v>
      </c>
      <c r="C498" s="1" t="str">
        <f>IFERROR(__xludf.DUMMYFUNCTION("""COMPUTED_VALUE"""),"2025-1")</f>
        <v>2025-1</v>
      </c>
      <c r="D498" s="1" t="str">
        <f>IFERROR(__xludf.DUMMYFUNCTION("""COMPUTED_VALUE"""),"Admisión de Alto Rendimiento")</f>
        <v>Admisión de Alto Rendimiento</v>
      </c>
      <c r="E498" s="2">
        <f>IFERROR(__xludf.DUMMYFUNCTION("""COMPUTED_VALUE"""),45704.0)</f>
        <v>45704</v>
      </c>
      <c r="F498" s="1" t="str">
        <f>IFERROR(__xludf.DUMMYFUNCTION("""COMPUTED_VALUE"""),"ALISSON SHAKIRA ")</f>
        <v>ALISSON SHAKIRA </v>
      </c>
      <c r="G498" s="1" t="str">
        <f>IFERROR(__xludf.DUMMYFUNCTION("""COMPUTED_VALUE"""),"MALDONADO MATA")</f>
        <v>MALDONADO MATA</v>
      </c>
      <c r="H498" s="1" t="str">
        <f>IFERROR(__xludf.DUMMYFUNCTION("""COMPUTED_VALUE"""),"Arquitectura de Interiores")</f>
        <v>Arquitectura de Interiores</v>
      </c>
      <c r="I498" s="1" t="str">
        <f>IFERROR(__xludf.DUMMYFUNCTION("""COMPUTED_VALUE"""),"CARGO")</f>
        <v>CARGO</v>
      </c>
      <c r="J498" s="1" t="str">
        <f>IFERROR(__xludf.DUMMYFUNCTION("""COMPUTED_VALUE"""),"Diurno")</f>
        <v>Diurno</v>
      </c>
      <c r="K498" s="1" t="str">
        <f>IFERROR(__xludf.DUMMYFUNCTION("""COMPUTED_VALUE"""),"NUEVO")</f>
        <v>NUEVO</v>
      </c>
      <c r="L498" s="1">
        <f>IFERROR(__xludf.DUMMYFUNCTION("""COMPUTED_VALUE"""),0.0)</f>
        <v>0</v>
      </c>
      <c r="M498" s="1">
        <f>IFERROR(__xludf.DUMMYFUNCTION("""COMPUTED_VALUE"""),0.0)</f>
        <v>0</v>
      </c>
      <c r="N498" s="1" t="str">
        <f>IFERROR(__xludf.DUMMYFUNCTION("""COMPUTED_VALUE"""),"BECA")</f>
        <v>BECA</v>
      </c>
      <c r="O498" s="1" t="str">
        <f>IFERROR(__xludf.DUMMYFUNCTION("""COMPUTED_VALUE"""),"BECA CONGELADA DE 2 AÑOS")</f>
        <v>BECA CONGELADA DE 2 AÑOS</v>
      </c>
      <c r="P498" s="4">
        <f>IFERROR(__xludf.DUMMYFUNCTION("""COMPUTED_VALUE"""),0.0)</f>
        <v>0</v>
      </c>
      <c r="Q498" s="4">
        <f>IFERROR(__xludf.DUMMYFUNCTION("""COMPUTED_VALUE"""),0.0)</f>
        <v>0</v>
      </c>
      <c r="R498" s="4">
        <f>IFERROR(__xludf.DUMMYFUNCTION("""COMPUTED_VALUE"""),1100.0)</f>
        <v>1100</v>
      </c>
      <c r="S498" s="4">
        <f>IFERROR(__xludf.DUMMYFUNCTION("""COMPUTED_VALUE"""),950.0)</f>
        <v>950</v>
      </c>
      <c r="T498" s="1" t="str">
        <f>IFERROR(__xludf.DUMMYFUNCTION("""COMPUTED_VALUE"""),"PALANCA 500")</f>
        <v>PALANCA 500</v>
      </c>
      <c r="U498" s="1"/>
      <c r="V498" s="1" t="str">
        <f>IFERROR(__xludf.DUMMYFUNCTION("""COMPUTED_VALUE"""),"Ninguno")</f>
        <v>Ninguno</v>
      </c>
      <c r="W498" s="1" t="str">
        <f>IFERROR(__xludf.DUMMYFUNCTION("""COMPUTED_VALUE"""),"Metodología de enseñanza")</f>
        <v>Metodología de enseñanza</v>
      </c>
      <c r="X498" s="1"/>
      <c r="Y498" s="1" t="str">
        <f>IFERROR(__xludf.DUMMYFUNCTION("""COMPUTED_VALUE"""),"PAGO COMPLETO")</f>
        <v>PAGO COMPLETO</v>
      </c>
      <c r="Z498" s="1"/>
      <c r="AA498" s="1"/>
      <c r="AB498" s="1">
        <f>IFERROR(__xludf.DUMMYFUNCTION("""COMPUTED_VALUE"""),1.0)</f>
        <v>1</v>
      </c>
      <c r="AC498" s="1">
        <f>IFERROR(__xludf.DUMMYFUNCTION("""COMPUTED_VALUE"""),0.0)</f>
        <v>0</v>
      </c>
      <c r="AD498" s="1" t="str">
        <f>IFERROR(__xludf.DUMMYFUNCTION("""COMPUTED_VALUE"""),"Ingrid Guillermo Rivera")</f>
        <v>Ingrid Guillermo Rivera</v>
      </c>
      <c r="AE498" s="1" t="str">
        <f>IFERROR(__xludf.DUMMYFUNCTION("""COMPUTED_VALUE"""),"0")</f>
        <v>0</v>
      </c>
      <c r="AF498" s="1">
        <f>IFERROR(__xludf.DUMMYFUNCTION("""COMPUTED_VALUE"""),2024.0)</f>
        <v>2024</v>
      </c>
      <c r="AG498" s="1">
        <f>IFERROR(__xludf.DUMMYFUNCTION("""COMPUTED_VALUE"""),704460.0)</f>
        <v>704460</v>
      </c>
      <c r="AH498" s="1">
        <f>IFERROR(__xludf.DUMMYFUNCTION("""COMPUTED_VALUE"""),17.0)</f>
        <v>17</v>
      </c>
      <c r="AI498" s="1" t="str">
        <f>IFERROR(__xludf.DUMMYFUNCTION("""COMPUTED_VALUE"""),"0000414997")</f>
        <v>0000414997</v>
      </c>
      <c r="AJ498" s="1">
        <f>IFERROR(__xludf.DUMMYFUNCTION("""COMPUTED_VALUE"""),6.1354803E7)</f>
        <v>61354803</v>
      </c>
      <c r="AK498" s="1">
        <f>IFERROR(__xludf.DUMMYFUNCTION("""COMPUTED_VALUE"""),9.24003275E8)</f>
        <v>924003275</v>
      </c>
      <c r="AL498" s="1" t="str">
        <f>IFERROR(__xludf.DUMMYFUNCTION("""COMPUTED_VALUE"""),"alisson.maldonado.mata21@gmail.com")</f>
        <v>alisson.maldonado.mata21@gmail.com</v>
      </c>
      <c r="AM498" s="1" t="str">
        <f>IFERROR(__xludf.DUMMYFUNCTION("""COMPUTED_VALUE"""),"FEMENINO")</f>
        <v>FEMENINO</v>
      </c>
      <c r="AN498" s="1">
        <f>IFERROR(__xludf.DUMMYFUNCTION("""COMPUTED_VALUE"""),1350.0)</f>
        <v>1350</v>
      </c>
      <c r="AO498" s="1">
        <f>IFERROR(__xludf.DUMMYFUNCTION("""COMPUTED_VALUE"""),0.0)</f>
        <v>0</v>
      </c>
      <c r="AP498" s="1" t="str">
        <f>IFERROR(__xludf.DUMMYFUNCTION("""COMPUTED_VALUE"""),"BIDIRECCIONAL")</f>
        <v>BIDIRECCIONAL</v>
      </c>
      <c r="AQ498" s="1" t="str">
        <f>IFERROR(__xludf.DUMMYFUNCTION("""COMPUTED_VALUE"""),"SEARCH MARCA")</f>
        <v>SEARCH MARCA</v>
      </c>
      <c r="AR498" s="1" t="str">
        <f>IFERROR(__xludf.DUMMYFUNCTION("""COMPUTED_VALUE"""),"NUEVO")</f>
        <v>NUEVO</v>
      </c>
      <c r="AS498" s="1" t="str">
        <f>IFERROR(__xludf.DUMMYFUNCTION("""COMPUTED_VALUE"""),"ucal-pg-performance-sedes-abierta-cpl-search_conversion_marca-20240401")</f>
        <v>ucal-pg-performance-sedes-abierta-cpl-search_conversion_marca-20240401</v>
      </c>
      <c r="AT498" s="2">
        <f>IFERROR(__xludf.DUMMYFUNCTION("""COMPUTED_VALUE"""),45451.0)</f>
        <v>45451</v>
      </c>
      <c r="AU498" s="1">
        <f>IFERROR(__xludf.DUMMYFUNCTION("""COMPUTED_VALUE"""),1.0)</f>
        <v>1</v>
      </c>
      <c r="AV498" s="1" t="str">
        <f>IFERROR(__xludf.DUMMYFUNCTION("""COMPUTED_VALUE"""),"NUEVO")</f>
        <v>NUEVO</v>
      </c>
      <c r="AW498" s="1" t="str">
        <f>IFERROR(__xludf.DUMMYFUNCTION("""COMPUTED_VALUE"""),"SI")</f>
        <v>SI</v>
      </c>
      <c r="AX498" s="1"/>
      <c r="AY498" s="1" t="str">
        <f>IFERROR(__xludf.DUMMYFUNCTION("""COMPUTED_VALUE"""),"PAGO COMPLETO")</f>
        <v>PAGO COMPLETO</v>
      </c>
      <c r="AZ498" s="5">
        <f>IFERROR(__xludf.DUMMYFUNCTION("""COMPUTED_VALUE"""),45704.0)</f>
        <v>45704</v>
      </c>
      <c r="BA498" s="1">
        <f>IFERROR(__xludf.DUMMYFUNCTION("""COMPUTED_VALUE"""),0.0)</f>
        <v>0</v>
      </c>
      <c r="BB498" s="1">
        <f>IFERROR(__xludf.DUMMYFUNCTION("""COMPUTED_VALUE"""),0.0)</f>
        <v>0</v>
      </c>
      <c r="BC498" s="4">
        <f>IFERROR(__xludf.DUMMYFUNCTION("""COMPUTED_VALUE"""),0.0)</f>
        <v>0</v>
      </c>
      <c r="BD498" s="4">
        <f>IFERROR(__xludf.DUMMYFUNCTION("""COMPUTED_VALUE"""),450.0)</f>
        <v>450</v>
      </c>
      <c r="BE498" s="1">
        <f>IFERROR(__xludf.DUMMYFUNCTION("""COMPUTED_VALUE"""),2.0)</f>
        <v>2</v>
      </c>
      <c r="BF498" s="6">
        <f>IFERROR(__xludf.DUMMYFUNCTION("""COMPUTED_VALUE"""),1.0)</f>
        <v>1</v>
      </c>
      <c r="BG498" s="1">
        <f>IFERROR(__xludf.DUMMYFUNCTION("""COMPUTED_VALUE"""),1.0)</f>
        <v>1</v>
      </c>
      <c r="BH498" s="1" t="str">
        <f>IFERROR(__xludf.DUMMYFUNCTION("""COMPUTED_VALUE"""),"0")</f>
        <v>0</v>
      </c>
      <c r="BI498" s="4">
        <f>IFERROR(__xludf.DUMMYFUNCTION("""COMPUTED_VALUE"""),450.0)</f>
        <v>450</v>
      </c>
      <c r="BJ498" s="1">
        <f>IFERROR(__xludf.DUMMYFUNCTION("""COMPUTED_VALUE"""),0.0)</f>
        <v>0</v>
      </c>
      <c r="BK498" s="4">
        <f>IFERROR(__xludf.DUMMYFUNCTION("""COMPUTED_VALUE"""),450.0)</f>
        <v>450</v>
      </c>
      <c r="BL498" s="1">
        <f>IFERROR(__xludf.DUMMYFUNCTION("""COMPUTED_VALUE"""),860.0)</f>
        <v>860</v>
      </c>
      <c r="BM498" s="1">
        <f>IFERROR(__xludf.DUMMYFUNCTION("""COMPUTED_VALUE"""),7.0)</f>
        <v>7</v>
      </c>
      <c r="BN498" s="2">
        <f>IFERROR(__xludf.DUMMYFUNCTION("""COMPUTED_VALUE"""),45698.0)</f>
        <v>45698</v>
      </c>
      <c r="BO498" s="1">
        <f>IFERROR(__xludf.DUMMYFUNCTION("""COMPUTED_VALUE"""),2.0)</f>
        <v>2</v>
      </c>
      <c r="BP498" s="1">
        <f>IFERROR(__xludf.DUMMYFUNCTION("""COMPUTED_VALUE"""),2025.0)</f>
        <v>2025</v>
      </c>
    </row>
    <row r="499">
      <c r="A499" s="1">
        <f>IFERROR(__xludf.DUMMYFUNCTION("""COMPUTED_VALUE"""),498.0)</f>
        <v>498</v>
      </c>
      <c r="B499" s="1">
        <f>IFERROR(__xludf.DUMMYFUNCTION("""COMPUTED_VALUE"""),2680059.0)</f>
        <v>2680059</v>
      </c>
      <c r="C499" s="1" t="str">
        <f>IFERROR(__xludf.DUMMYFUNCTION("""COMPUTED_VALUE"""),"2025-1")</f>
        <v>2025-1</v>
      </c>
      <c r="D499" s="1" t="str">
        <f>IFERROR(__xludf.DUMMYFUNCTION("""COMPUTED_VALUE"""),"Admisión de Alto Rendimiento")</f>
        <v>Admisión de Alto Rendimiento</v>
      </c>
      <c r="E499" s="2">
        <f>IFERROR(__xludf.DUMMYFUNCTION("""COMPUTED_VALUE"""),45705.0)</f>
        <v>45705</v>
      </c>
      <c r="F499" s="1" t="str">
        <f>IFERROR(__xludf.DUMMYFUNCTION("""COMPUTED_VALUE"""),"JAMILETH ALEXANDRA ")</f>
        <v>JAMILETH ALEXANDRA </v>
      </c>
      <c r="G499" s="1" t="str">
        <f>IFERROR(__xludf.DUMMYFUNCTION("""COMPUTED_VALUE"""),"MUÑOZ CHIRA")</f>
        <v>MUÑOZ CHIRA</v>
      </c>
      <c r="H499" s="1" t="str">
        <f>IFERROR(__xludf.DUMMYFUNCTION("""COMPUTED_VALUE"""),"Comunicación Audiovisual y Cine")</f>
        <v>Comunicación Audiovisual y Cine</v>
      </c>
      <c r="I499" s="1" t="str">
        <f>IFERROR(__xludf.DUMMYFUNCTION("""COMPUTED_VALUE"""),"CARGO")</f>
        <v>CARGO</v>
      </c>
      <c r="J499" s="1" t="str">
        <f>IFERROR(__xludf.DUMMYFUNCTION("""COMPUTED_VALUE"""),"Diurno")</f>
        <v>Diurno</v>
      </c>
      <c r="K499" s="1" t="str">
        <f>IFERROR(__xludf.DUMMYFUNCTION("""COMPUTED_VALUE"""),"NUEVO")</f>
        <v>NUEVO</v>
      </c>
      <c r="L499" s="1">
        <f>IFERROR(__xludf.DUMMYFUNCTION("""COMPUTED_VALUE"""),0.0)</f>
        <v>0</v>
      </c>
      <c r="M499" s="1">
        <f>IFERROR(__xludf.DUMMYFUNCTION("""COMPUTED_VALUE"""),0.0)</f>
        <v>0</v>
      </c>
      <c r="N499" s="1" t="str">
        <f>IFERROR(__xludf.DUMMYFUNCTION("""COMPUTED_VALUE"""),"BECA")</f>
        <v>BECA</v>
      </c>
      <c r="O499" s="1" t="str">
        <f>IFERROR(__xludf.DUMMYFUNCTION("""COMPUTED_VALUE"""),"BECA CARRERAS CORE")</f>
        <v>BECA CARRERAS CORE</v>
      </c>
      <c r="P499" s="4">
        <f>IFERROR(__xludf.DUMMYFUNCTION("""COMPUTED_VALUE"""),0.0)</f>
        <v>0</v>
      </c>
      <c r="Q499" s="4">
        <f>IFERROR(__xludf.DUMMYFUNCTION("""COMPUTED_VALUE"""),0.0)</f>
        <v>0</v>
      </c>
      <c r="R499" s="4">
        <f>IFERROR(__xludf.DUMMYFUNCTION("""COMPUTED_VALUE"""),950.0)</f>
        <v>950</v>
      </c>
      <c r="S499" s="4">
        <f>IFERROR(__xludf.DUMMYFUNCTION("""COMPUTED_VALUE"""),800.0)</f>
        <v>800</v>
      </c>
      <c r="T499" s="1" t="str">
        <f>IFERROR(__xludf.DUMMYFUNCTION("""COMPUTED_VALUE"""),"PALANCA 500")</f>
        <v>PALANCA 500</v>
      </c>
      <c r="U499" s="1" t="str">
        <f>IFERROR(__xludf.DUMMYFUNCTION("""COMPUTED_VALUE"""),"-")</f>
        <v>-</v>
      </c>
      <c r="V499" s="1" t="str">
        <f>IFERROR(__xludf.DUMMYFUNCTION("""COMPUTED_VALUE"""),"Ninguno")</f>
        <v>Ninguno</v>
      </c>
      <c r="W499" s="1" t="str">
        <f>IFERROR(__xludf.DUMMYFUNCTION("""COMPUTED_VALUE"""),"Ubicación de sede")</f>
        <v>Ubicación de sede</v>
      </c>
      <c r="X499" s="1" t="str">
        <f>IFERROR(__xludf.DUMMYFUNCTION("""COMPUTED_VALUE"""),"-")</f>
        <v>-</v>
      </c>
      <c r="Y499" s="1" t="str">
        <f>IFERROR(__xludf.DUMMYFUNCTION("""COMPUTED_VALUE"""),"PAGO COMPLETO")</f>
        <v>PAGO COMPLETO</v>
      </c>
      <c r="Z499" s="1">
        <f>IFERROR(__xludf.DUMMYFUNCTION("""COMPUTED_VALUE"""),337.5)</f>
        <v>337.5</v>
      </c>
      <c r="AA499" s="1" t="str">
        <f>IFERROR(__xludf.DUMMYFUNCTION("""COMPUTED_VALUE"""),"15/01/2025")</f>
        <v>15/01/2025</v>
      </c>
      <c r="AB499" s="1">
        <f>IFERROR(__xludf.DUMMYFUNCTION("""COMPUTED_VALUE"""),0.0)</f>
        <v>0</v>
      </c>
      <c r="AC499" s="1">
        <f>IFERROR(__xludf.DUMMYFUNCTION("""COMPUTED_VALUE"""),0.0)</f>
        <v>0</v>
      </c>
      <c r="AD499" s="1" t="str">
        <f>IFERROR(__xludf.DUMMYFUNCTION("""COMPUTED_VALUE"""),"Ingrid Guillermo Rivera")</f>
        <v>Ingrid Guillermo Rivera</v>
      </c>
      <c r="AE499" s="1" t="str">
        <f>IFERROR(__xludf.DUMMYFUNCTION("""COMPUTED_VALUE"""),"0")</f>
        <v>0</v>
      </c>
      <c r="AF499" s="1">
        <f>IFERROR(__xludf.DUMMYFUNCTION("""COMPUTED_VALUE"""),2024.0)</f>
        <v>2024</v>
      </c>
      <c r="AG499" s="1">
        <f>IFERROR(__xludf.DUMMYFUNCTION("""COMPUTED_VALUE"""),869222.0)</f>
        <v>869222</v>
      </c>
      <c r="AH499" s="1">
        <f>IFERROR(__xludf.DUMMYFUNCTION("""COMPUTED_VALUE"""),17.0)</f>
        <v>17</v>
      </c>
      <c r="AI499" s="1" t="str">
        <f>IFERROR(__xludf.DUMMYFUNCTION("""COMPUTED_VALUE"""),"0000407057")</f>
        <v>0000407057</v>
      </c>
      <c r="AJ499" s="1">
        <f>IFERROR(__xludf.DUMMYFUNCTION("""COMPUTED_VALUE"""),7.1181575E7)</f>
        <v>71181575</v>
      </c>
      <c r="AK499" s="1">
        <f>IFERROR(__xludf.DUMMYFUNCTION("""COMPUTED_VALUE"""),9.35253911E8)</f>
        <v>935253911</v>
      </c>
      <c r="AL499" s="1" t="str">
        <f>IFERROR(__xludf.DUMMYFUNCTION("""COMPUTED_VALUE"""),"chirabordacarmen@gmail.com")</f>
        <v>chirabordacarmen@gmail.com</v>
      </c>
      <c r="AM499" s="1" t="str">
        <f>IFERROR(__xludf.DUMMYFUNCTION("""COMPUTED_VALUE"""),"FEMENINO")</f>
        <v>FEMENINO</v>
      </c>
      <c r="AN499" s="1">
        <f>IFERROR(__xludf.DUMMYFUNCTION("""COMPUTED_VALUE"""),1350.0)</f>
        <v>1350</v>
      </c>
      <c r="AO499" s="1">
        <f>IFERROR(__xludf.DUMMYFUNCTION("""COMPUTED_VALUE"""),0.0)</f>
        <v>0</v>
      </c>
      <c r="AP499" s="1" t="str">
        <f>IFERROR(__xludf.DUMMYFUNCTION("""COMPUTED_VALUE"""),"BIDIRECCIONAL")</f>
        <v>BIDIRECCIONAL</v>
      </c>
      <c r="AQ499" s="1" t="str">
        <f>IFERROR(__xludf.DUMMYFUNCTION("""COMPUTED_VALUE"""),"SEARCH MARCA")</f>
        <v>SEARCH MARCA</v>
      </c>
      <c r="AR499" s="1" t="str">
        <f>IFERROR(__xludf.DUMMYFUNCTION("""COMPUTED_VALUE"""),"HEREDADO")</f>
        <v>HEREDADO</v>
      </c>
      <c r="AS499" s="1" t="str">
        <f>IFERROR(__xludf.DUMMYFUNCTION("""COMPUTED_VALUE"""),"ucal-pg-performance-sedes-abierta-cpl-search_conversion_marca-20240401")</f>
        <v>ucal-pg-performance-sedes-abierta-cpl-search_conversion_marca-20240401</v>
      </c>
      <c r="AT499" s="2">
        <f>IFERROR(__xludf.DUMMYFUNCTION("""COMPUTED_VALUE"""),45395.0)</f>
        <v>45395</v>
      </c>
      <c r="AU499" s="1">
        <f>IFERROR(__xludf.DUMMYFUNCTION("""COMPUTED_VALUE"""),1.0)</f>
        <v>1</v>
      </c>
      <c r="AV499" s="1" t="str">
        <f>IFERROR(__xludf.DUMMYFUNCTION("""COMPUTED_VALUE"""),"NUEVO")</f>
        <v>NUEVO</v>
      </c>
      <c r="AW499" s="1" t="str">
        <f>IFERROR(__xludf.DUMMYFUNCTION("""COMPUTED_VALUE"""),"SI")</f>
        <v>SI</v>
      </c>
      <c r="AX499" s="1"/>
      <c r="AY499" s="1" t="str">
        <f>IFERROR(__xludf.DUMMYFUNCTION("""COMPUTED_VALUE"""),"PAGO COMPLETO")</f>
        <v>PAGO COMPLETO</v>
      </c>
      <c r="AZ499" s="5">
        <f>IFERROR(__xludf.DUMMYFUNCTION("""COMPUTED_VALUE"""),45705.0)</f>
        <v>45705</v>
      </c>
      <c r="BA499" s="1">
        <f>IFERROR(__xludf.DUMMYFUNCTION("""COMPUTED_VALUE"""),162.5)</f>
        <v>162.5</v>
      </c>
      <c r="BB499" s="1">
        <f>IFERROR(__xludf.DUMMYFUNCTION("""COMPUTED_VALUE"""),0.0)</f>
        <v>0</v>
      </c>
      <c r="BC499" s="4">
        <f>IFERROR(__xludf.DUMMYFUNCTION("""COMPUTED_VALUE"""),0.0)</f>
        <v>0</v>
      </c>
      <c r="BD499" s="4">
        <f>IFERROR(__xludf.DUMMYFUNCTION("""COMPUTED_VALUE"""),300.0)</f>
        <v>300</v>
      </c>
      <c r="BE499" s="1">
        <f>IFERROR(__xludf.DUMMYFUNCTION("""COMPUTED_VALUE"""),2.0)</f>
        <v>2</v>
      </c>
      <c r="BF499" s="6">
        <f>IFERROR(__xludf.DUMMYFUNCTION("""COMPUTED_VALUE"""),1.0)</f>
        <v>1</v>
      </c>
      <c r="BG499" s="1">
        <f>IFERROR(__xludf.DUMMYFUNCTION("""COMPUTED_VALUE"""),1.0)</f>
        <v>1</v>
      </c>
      <c r="BH499" s="1" t="str">
        <f>IFERROR(__xludf.DUMMYFUNCTION("""COMPUTED_VALUE"""),"0")</f>
        <v>0</v>
      </c>
      <c r="BI499" s="4">
        <f>IFERROR(__xludf.DUMMYFUNCTION("""COMPUTED_VALUE"""),800.0)</f>
        <v>800</v>
      </c>
      <c r="BJ499" s="1">
        <f>IFERROR(__xludf.DUMMYFUNCTION("""COMPUTED_VALUE"""),0.0)</f>
        <v>0</v>
      </c>
      <c r="BK499" s="4">
        <f>IFERROR(__xludf.DUMMYFUNCTION("""COMPUTED_VALUE"""),300.0)</f>
        <v>300</v>
      </c>
      <c r="BL499" s="1">
        <f>IFERROR(__xludf.DUMMYFUNCTION("""COMPUTED_VALUE"""),740.0)</f>
        <v>740</v>
      </c>
      <c r="BM499" s="1">
        <f>IFERROR(__xludf.DUMMYFUNCTION("""COMPUTED_VALUE"""),8.0)</f>
        <v>8</v>
      </c>
      <c r="BN499" s="2">
        <f>IFERROR(__xludf.DUMMYFUNCTION("""COMPUTED_VALUE"""),45705.0)</f>
        <v>45705</v>
      </c>
      <c r="BO499" s="1">
        <f>IFERROR(__xludf.DUMMYFUNCTION("""COMPUTED_VALUE"""),2.0)</f>
        <v>2</v>
      </c>
      <c r="BP499" s="1">
        <f>IFERROR(__xludf.DUMMYFUNCTION("""COMPUTED_VALUE"""),2025.0)</f>
        <v>2025</v>
      </c>
    </row>
    <row r="500">
      <c r="A500" s="1">
        <f>IFERROR(__xludf.DUMMYFUNCTION("""COMPUTED_VALUE"""),499.0)</f>
        <v>499</v>
      </c>
      <c r="B500" s="1">
        <f>IFERROR(__xludf.DUMMYFUNCTION("""COMPUTED_VALUE"""),5013736.0)</f>
        <v>5013736</v>
      </c>
      <c r="C500" s="1" t="str">
        <f>IFERROR(__xludf.DUMMYFUNCTION("""COMPUTED_VALUE"""),"2025-1")</f>
        <v>2025-1</v>
      </c>
      <c r="D500" s="1" t="str">
        <f>IFERROR(__xludf.DUMMYFUNCTION("""COMPUTED_VALUE"""),"Admisión Ordinaria")</f>
        <v>Admisión Ordinaria</v>
      </c>
      <c r="E500" s="2">
        <f>IFERROR(__xludf.DUMMYFUNCTION("""COMPUTED_VALUE"""),45705.0)</f>
        <v>45705</v>
      </c>
      <c r="F500" s="1" t="str">
        <f>IFERROR(__xludf.DUMMYFUNCTION("""COMPUTED_VALUE"""),"RICHARD BRANDO ")</f>
        <v>RICHARD BRANDO </v>
      </c>
      <c r="G500" s="1" t="str">
        <f>IFERROR(__xludf.DUMMYFUNCTION("""COMPUTED_VALUE"""),"PACHECO MONTENEGRO")</f>
        <v>PACHECO MONTENEGRO</v>
      </c>
      <c r="H500" s="1" t="str">
        <f>IFERROR(__xludf.DUMMYFUNCTION("""COMPUTED_VALUE"""),"Arquitectura")</f>
        <v>Arquitectura</v>
      </c>
      <c r="I500" s="1" t="str">
        <f>IFERROR(__xludf.DUMMYFUNCTION("""COMPUTED_VALUE"""),"CARGO")</f>
        <v>CARGO</v>
      </c>
      <c r="J500" s="1" t="str">
        <f>IFERROR(__xludf.DUMMYFUNCTION("""COMPUTED_VALUE"""),"Diurno")</f>
        <v>Diurno</v>
      </c>
      <c r="K500" s="1" t="str">
        <f>IFERROR(__xludf.DUMMYFUNCTION("""COMPUTED_VALUE"""),"NUEVO")</f>
        <v>NUEVO</v>
      </c>
      <c r="L500" s="1">
        <f>IFERROR(__xludf.DUMMYFUNCTION("""COMPUTED_VALUE"""),0.0)</f>
        <v>0</v>
      </c>
      <c r="M500" s="1">
        <f>IFERROR(__xludf.DUMMYFUNCTION("""COMPUTED_VALUE"""),0.0)</f>
        <v>0</v>
      </c>
      <c r="N500" s="1" t="str">
        <f>IFERROR(__xludf.DUMMYFUNCTION("""COMPUTED_VALUE"""),"BECA")</f>
        <v>BECA</v>
      </c>
      <c r="O500" s="1" t="str">
        <f>IFERROR(__xludf.DUMMYFUNCTION("""COMPUTED_VALUE"""),"BECA CONGELADA DE 2 AÑOS")</f>
        <v>BECA CONGELADA DE 2 AÑOS</v>
      </c>
      <c r="P500" s="4">
        <f>IFERROR(__xludf.DUMMYFUNCTION("""COMPUTED_VALUE"""),0.0)</f>
        <v>0</v>
      </c>
      <c r="Q500" s="4">
        <f>IFERROR(__xludf.DUMMYFUNCTION("""COMPUTED_VALUE"""),0.0)</f>
        <v>0</v>
      </c>
      <c r="R500" s="4">
        <f>IFERROR(__xludf.DUMMYFUNCTION("""COMPUTED_VALUE"""),1100.0)</f>
        <v>1100</v>
      </c>
      <c r="S500" s="4">
        <f>IFERROR(__xludf.DUMMYFUNCTION("""COMPUTED_VALUE"""),950.0)</f>
        <v>950</v>
      </c>
      <c r="T500" s="1" t="str">
        <f>IFERROR(__xludf.DUMMYFUNCTION("""COMPUTED_VALUE"""),"PALANCA 500")</f>
        <v>PALANCA 500</v>
      </c>
      <c r="U500" s="1" t="str">
        <f>IFERROR(__xludf.DUMMYFUNCTION("""COMPUTED_VALUE"""),"RODRIGO")</f>
        <v>RODRIGO</v>
      </c>
      <c r="V500" s="1" t="str">
        <f>IFERROR(__xludf.DUMMYFUNCTION("""COMPUTED_VALUE"""),"Ninguno")</f>
        <v>Ninguno</v>
      </c>
      <c r="W500" s="1" t="str">
        <f>IFERROR(__xludf.DUMMYFUNCTION("""COMPUTED_VALUE"""),"Beca")</f>
        <v>Beca</v>
      </c>
      <c r="X500" s="1"/>
      <c r="Y500" s="1" t="str">
        <f>IFERROR(__xludf.DUMMYFUNCTION("""COMPUTED_VALUE"""),"PAGO COMPLETO")</f>
        <v>PAGO COMPLETO</v>
      </c>
      <c r="Z500" s="1"/>
      <c r="AA500" s="1"/>
      <c r="AB500" s="1">
        <f>IFERROR(__xludf.DUMMYFUNCTION("""COMPUTED_VALUE"""),0.0)</f>
        <v>0</v>
      </c>
      <c r="AC500" s="1">
        <f>IFERROR(__xludf.DUMMYFUNCTION("""COMPUTED_VALUE"""),0.0)</f>
        <v>0</v>
      </c>
      <c r="AD500" s="1" t="str">
        <f>IFERROR(__xludf.DUMMYFUNCTION("""COMPUTED_VALUE"""),"Erwyn Terie Vital Avila")</f>
        <v>Erwyn Terie Vital Avila</v>
      </c>
      <c r="AE500" s="1" t="str">
        <f>IFERROR(__xludf.DUMMYFUNCTION("""COMPUTED_VALUE"""),"0")</f>
        <v>0</v>
      </c>
      <c r="AF500" s="1">
        <f>IFERROR(__xludf.DUMMYFUNCTION("""COMPUTED_VALUE"""),2022.0)</f>
        <v>2022</v>
      </c>
      <c r="AG500" s="1">
        <f>IFERROR(__xludf.DUMMYFUNCTION("""COMPUTED_VALUE"""),692434.0)</f>
        <v>692434</v>
      </c>
      <c r="AH500" s="1">
        <f>IFERROR(__xludf.DUMMYFUNCTION("""COMPUTED_VALUE"""),20.0)</f>
        <v>20</v>
      </c>
      <c r="AI500" s="1" t="str">
        <f>IFERROR(__xludf.DUMMYFUNCTION("""COMPUTED_VALUE"""),"0000414377")</f>
        <v>0000414377</v>
      </c>
      <c r="AJ500" s="1">
        <f>IFERROR(__xludf.DUMMYFUNCTION("""COMPUTED_VALUE"""),7.2063653E7)</f>
        <v>72063653</v>
      </c>
      <c r="AK500" s="1">
        <f>IFERROR(__xludf.DUMMYFUNCTION("""COMPUTED_VALUE"""),9.81390131E8)</f>
        <v>981390131</v>
      </c>
      <c r="AL500" s="1" t="str">
        <f>IFERROR(__xludf.DUMMYFUNCTION("""COMPUTED_VALUE"""),"brandopacheco241@gmail.com")</f>
        <v>brandopacheco241@gmail.com</v>
      </c>
      <c r="AM500" s="1" t="str">
        <f>IFERROR(__xludf.DUMMYFUNCTION("""COMPUTED_VALUE"""),"MASCULINO")</f>
        <v>MASCULINO</v>
      </c>
      <c r="AN500" s="1">
        <f>IFERROR(__xludf.DUMMYFUNCTION("""COMPUTED_VALUE"""),1350.0)</f>
        <v>1350</v>
      </c>
      <c r="AO500" s="1">
        <f>IFERROR(__xludf.DUMMYFUNCTION("""COMPUTED_VALUE"""),0.0)</f>
        <v>0</v>
      </c>
      <c r="AP500" s="1" t="str">
        <f>IFERROR(__xludf.DUMMYFUNCTION("""COMPUTED_VALUE"""),"FORMULARIO")</f>
        <v>FORMULARIO</v>
      </c>
      <c r="AQ500" s="1" t="str">
        <f>IFERROR(__xludf.DUMMYFUNCTION("""COMPUTED_VALUE"""),"ORGANICO")</f>
        <v>ORGANICO</v>
      </c>
      <c r="AR500" s="1" t="str">
        <f>IFERROR(__xludf.DUMMYFUNCTION("""COMPUTED_VALUE"""),"NUEVO")</f>
        <v>NUEVO</v>
      </c>
      <c r="AS500" s="1"/>
      <c r="AT500" s="2">
        <f>IFERROR(__xludf.DUMMYFUNCTION("""COMPUTED_VALUE"""),45699.0)</f>
        <v>45699</v>
      </c>
      <c r="AU500" s="1">
        <f>IFERROR(__xludf.DUMMYFUNCTION("""COMPUTED_VALUE"""),1.0)</f>
        <v>1</v>
      </c>
      <c r="AV500" s="1" t="str">
        <f>IFERROR(__xludf.DUMMYFUNCTION("""COMPUTED_VALUE"""),"NUEVO")</f>
        <v>NUEVO</v>
      </c>
      <c r="AW500" s="1" t="str">
        <f>IFERROR(__xludf.DUMMYFUNCTION("""COMPUTED_VALUE"""),"SI")</f>
        <v>SI</v>
      </c>
      <c r="AX500" s="1"/>
      <c r="AY500" s="1" t="str">
        <f>IFERROR(__xludf.DUMMYFUNCTION("""COMPUTED_VALUE"""),"PAGO COMPLETO")</f>
        <v>PAGO COMPLETO</v>
      </c>
      <c r="AZ500" s="5">
        <f>IFERROR(__xludf.DUMMYFUNCTION("""COMPUTED_VALUE"""),45705.0)</f>
        <v>45705</v>
      </c>
      <c r="BA500" s="1">
        <f>IFERROR(__xludf.DUMMYFUNCTION("""COMPUTED_VALUE"""),0.0)</f>
        <v>0</v>
      </c>
      <c r="BB500" s="1">
        <f>IFERROR(__xludf.DUMMYFUNCTION("""COMPUTED_VALUE"""),0.0)</f>
        <v>0</v>
      </c>
      <c r="BC500" s="4">
        <f>IFERROR(__xludf.DUMMYFUNCTION("""COMPUTED_VALUE"""),0.0)</f>
        <v>0</v>
      </c>
      <c r="BD500" s="4">
        <f>IFERROR(__xludf.DUMMYFUNCTION("""COMPUTED_VALUE"""),450.0)</f>
        <v>450</v>
      </c>
      <c r="BE500" s="1">
        <f>IFERROR(__xludf.DUMMYFUNCTION("""COMPUTED_VALUE"""),2.0)</f>
        <v>2</v>
      </c>
      <c r="BF500" s="6">
        <f>IFERROR(__xludf.DUMMYFUNCTION("""COMPUTED_VALUE"""),1.0)</f>
        <v>1</v>
      </c>
      <c r="BG500" s="1">
        <f>IFERROR(__xludf.DUMMYFUNCTION("""COMPUTED_VALUE"""),1.0)</f>
        <v>1</v>
      </c>
      <c r="BH500" s="1" t="str">
        <f>IFERROR(__xludf.DUMMYFUNCTION("""COMPUTED_VALUE"""),"0")</f>
        <v>0</v>
      </c>
      <c r="BI500" s="4">
        <f>IFERROR(__xludf.DUMMYFUNCTION("""COMPUTED_VALUE"""),450.0)</f>
        <v>450</v>
      </c>
      <c r="BJ500" s="1">
        <f>IFERROR(__xludf.DUMMYFUNCTION("""COMPUTED_VALUE"""),0.0)</f>
        <v>0</v>
      </c>
      <c r="BK500" s="4">
        <f>IFERROR(__xludf.DUMMYFUNCTION("""COMPUTED_VALUE"""),450.0)</f>
        <v>450</v>
      </c>
      <c r="BL500" s="1">
        <f>IFERROR(__xludf.DUMMYFUNCTION("""COMPUTED_VALUE"""),860.0)</f>
        <v>860</v>
      </c>
      <c r="BM500" s="1">
        <f>IFERROR(__xludf.DUMMYFUNCTION("""COMPUTED_VALUE"""),8.0)</f>
        <v>8</v>
      </c>
      <c r="BN500" s="2">
        <f>IFERROR(__xludf.DUMMYFUNCTION("""COMPUTED_VALUE"""),45705.0)</f>
        <v>45705</v>
      </c>
      <c r="BO500" s="1">
        <f>IFERROR(__xludf.DUMMYFUNCTION("""COMPUTED_VALUE"""),2.0)</f>
        <v>2</v>
      </c>
      <c r="BP500" s="1">
        <f>IFERROR(__xludf.DUMMYFUNCTION("""COMPUTED_VALUE"""),2025.0)</f>
        <v>2025</v>
      </c>
    </row>
    <row r="501">
      <c r="A501" s="1">
        <f>IFERROR(__xludf.DUMMYFUNCTION("""COMPUTED_VALUE"""),500.0)</f>
        <v>500</v>
      </c>
      <c r="B501" s="1">
        <f>IFERROR(__xludf.DUMMYFUNCTION("""COMPUTED_VALUE"""),4758018.0)</f>
        <v>4758018</v>
      </c>
      <c r="C501" s="1" t="str">
        <f>IFERROR(__xludf.DUMMYFUNCTION("""COMPUTED_VALUE"""),"2025-1")</f>
        <v>2025-1</v>
      </c>
      <c r="D501" s="1" t="str">
        <f>IFERROR(__xludf.DUMMYFUNCTION("""COMPUTED_VALUE"""),"Admisión de Alto Rendimiento")</f>
        <v>Admisión de Alto Rendimiento</v>
      </c>
      <c r="E501" s="2">
        <f>IFERROR(__xludf.DUMMYFUNCTION("""COMPUTED_VALUE"""),45705.0)</f>
        <v>45705</v>
      </c>
      <c r="F501" s="1" t="str">
        <f>IFERROR(__xludf.DUMMYFUNCTION("""COMPUTED_VALUE"""),"CARLOS SEBASTIAN")</f>
        <v>CARLOS SEBASTIAN</v>
      </c>
      <c r="G501" s="1" t="str">
        <f>IFERROR(__xludf.DUMMYFUNCTION("""COMPUTED_VALUE"""),"CCANTO TORRES")</f>
        <v>CCANTO TORRES</v>
      </c>
      <c r="H501" s="1" t="str">
        <f>IFERROR(__xludf.DUMMYFUNCTION("""COMPUTED_VALUE"""),"Diseño Gráfico Publicitario")</f>
        <v>Diseño Gráfico Publicitario</v>
      </c>
      <c r="I501" s="1" t="str">
        <f>IFERROR(__xludf.DUMMYFUNCTION("""COMPUTED_VALUE"""),"POS")</f>
        <v>POS</v>
      </c>
      <c r="J501" s="1" t="str">
        <f>IFERROR(__xludf.DUMMYFUNCTION("""COMPUTED_VALUE"""),"Diurno")</f>
        <v>Diurno</v>
      </c>
      <c r="K501" s="1" t="str">
        <f>IFERROR(__xludf.DUMMYFUNCTION("""COMPUTED_VALUE"""),"NUEVO")</f>
        <v>NUEVO</v>
      </c>
      <c r="L501" s="1">
        <f>IFERROR(__xludf.DUMMYFUNCTION("""COMPUTED_VALUE"""),0.0)</f>
        <v>0</v>
      </c>
      <c r="M501" s="1">
        <f>IFERROR(__xludf.DUMMYFUNCTION("""COMPUTED_VALUE"""),0.0)</f>
        <v>0</v>
      </c>
      <c r="N501" s="1" t="str">
        <f>IFERROR(__xludf.DUMMYFUNCTION("""COMPUTED_VALUE"""),"BECA")</f>
        <v>BECA</v>
      </c>
      <c r="O501" s="1" t="str">
        <f>IFERROR(__xludf.DUMMYFUNCTION("""COMPUTED_VALUE"""),"BECA CONGELADA DE 2 AÑOS")</f>
        <v>BECA CONGELADA DE 2 AÑOS</v>
      </c>
      <c r="P501" s="4">
        <f>IFERROR(__xludf.DUMMYFUNCTION("""COMPUTED_VALUE"""),0.0)</f>
        <v>0</v>
      </c>
      <c r="Q501" s="4">
        <f>IFERROR(__xludf.DUMMYFUNCTION("""COMPUTED_VALUE"""),0.0)</f>
        <v>0</v>
      </c>
      <c r="R501" s="4">
        <f>IFERROR(__xludf.DUMMYFUNCTION("""COMPUTED_VALUE"""),1150.0)</f>
        <v>1150</v>
      </c>
      <c r="S501" s="4">
        <f>IFERROR(__xludf.DUMMYFUNCTION("""COMPUTED_VALUE"""),950.0)</f>
        <v>950</v>
      </c>
      <c r="T501" s="1" t="str">
        <f>IFERROR(__xludf.DUMMYFUNCTION("""COMPUTED_VALUE"""),"PALANCA 500")</f>
        <v>PALANCA 500</v>
      </c>
      <c r="U501" s="1" t="str">
        <f>IFERROR(__xludf.DUMMYFUNCTION("""COMPUTED_VALUE"""),"RODRIGO")</f>
        <v>RODRIGO</v>
      </c>
      <c r="V501" s="1" t="str">
        <f>IFERROR(__xludf.DUMMYFUNCTION("""COMPUTED_VALUE"""),"Ninguno")</f>
        <v>Ninguno</v>
      </c>
      <c r="W501" s="1" t="str">
        <f>IFERROR(__xludf.DUMMYFUNCTION("""COMPUTED_VALUE"""),"Prestigio de la institución")</f>
        <v>Prestigio de la institución</v>
      </c>
      <c r="X501" s="1"/>
      <c r="Y501" s="1" t="str">
        <f>IFERROR(__xludf.DUMMYFUNCTION("""COMPUTED_VALUE"""),"PAGO COMPLETO")</f>
        <v>PAGO COMPLETO</v>
      </c>
      <c r="Z501" s="1"/>
      <c r="AA501" s="1"/>
      <c r="AB501" s="1">
        <f>IFERROR(__xludf.DUMMYFUNCTION("""COMPUTED_VALUE"""),0.0)</f>
        <v>0</v>
      </c>
      <c r="AC501" s="1">
        <f>IFERROR(__xludf.DUMMYFUNCTION("""COMPUTED_VALUE"""),0.0)</f>
        <v>0</v>
      </c>
      <c r="AD501" s="1" t="str">
        <f>IFERROR(__xludf.DUMMYFUNCTION("""COMPUTED_VALUE"""),"Angelica Iparraguirre")</f>
        <v>Angelica Iparraguirre</v>
      </c>
      <c r="AE501" s="1" t="str">
        <f>IFERROR(__xludf.DUMMYFUNCTION("""COMPUTED_VALUE"""),"0")</f>
        <v>0</v>
      </c>
      <c r="AF501" s="1">
        <f>IFERROR(__xludf.DUMMYFUNCTION("""COMPUTED_VALUE"""),2024.0)</f>
        <v>2024</v>
      </c>
      <c r="AG501" s="1">
        <f>IFERROR(__xludf.DUMMYFUNCTION("""COMPUTED_VALUE"""),1264340.0)</f>
        <v>1264340</v>
      </c>
      <c r="AH501" s="1">
        <f>IFERROR(__xludf.DUMMYFUNCTION("""COMPUTED_VALUE"""),18.0)</f>
        <v>18</v>
      </c>
      <c r="AI501" s="1" t="str">
        <f>IFERROR(__xludf.DUMMYFUNCTION("""COMPUTED_VALUE"""),"0000415168")</f>
        <v>0000415168</v>
      </c>
      <c r="AJ501" s="1">
        <f>IFERROR(__xludf.DUMMYFUNCTION("""COMPUTED_VALUE"""),7.8449483E7)</f>
        <v>78449483</v>
      </c>
      <c r="AK501" s="1">
        <f>IFERROR(__xludf.DUMMYFUNCTION("""COMPUTED_VALUE"""),9.2404178E8)</f>
        <v>924041780</v>
      </c>
      <c r="AL501" s="1" t="str">
        <f>IFERROR(__xludf.DUMMYFUNCTION("""COMPUTED_VALUE"""),"carlosebastiantorres3@gmail.com")</f>
        <v>carlosebastiantorres3@gmail.com</v>
      </c>
      <c r="AM501" s="1" t="str">
        <f>IFERROR(__xludf.DUMMYFUNCTION("""COMPUTED_VALUE"""),"MASCULINO")</f>
        <v>MASCULINO</v>
      </c>
      <c r="AN501" s="1">
        <f>IFERROR(__xludf.DUMMYFUNCTION("""COMPUTED_VALUE"""),0.0)</f>
        <v>0</v>
      </c>
      <c r="AO501" s="1">
        <f>IFERROR(__xludf.DUMMYFUNCTION("""COMPUTED_VALUE"""),360.0)</f>
        <v>360</v>
      </c>
      <c r="AP501" s="1" t="str">
        <f>IFERROR(__xludf.DUMMYFUNCTION("""COMPUTED_VALUE"""),"EVENTOS")</f>
        <v>EVENTOS</v>
      </c>
      <c r="AQ501" s="1" t="str">
        <f>IFERROR(__xludf.DUMMYFUNCTION("""COMPUTED_VALUE"""),"EVENTOS")</f>
        <v>EVENTOS</v>
      </c>
      <c r="AR501" s="1" t="str">
        <f>IFERROR(__xludf.DUMMYFUNCTION("""COMPUTED_VALUE"""),"NUEVO")</f>
        <v>NUEVO</v>
      </c>
      <c r="AS501" s="1" t="str">
        <f>IFERROR(__xludf.DUMMYFUNCTION("""COMPUTED_VALUE"""),"ucal-pg-branding-sedes-abierta-lead_ads-lead_ads_branding_talleres_vivenciales-20250106")</f>
        <v>ucal-pg-branding-sedes-abierta-lead_ads-lead_ads_branding_talleres_vivenciales-20250106</v>
      </c>
      <c r="AT501" s="2">
        <f>IFERROR(__xludf.DUMMYFUNCTION("""COMPUTED_VALUE"""),45668.0)</f>
        <v>45668</v>
      </c>
      <c r="AU501" s="1">
        <f>IFERROR(__xludf.DUMMYFUNCTION("""COMPUTED_VALUE"""),1.0)</f>
        <v>1</v>
      </c>
      <c r="AV501" s="1" t="str">
        <f>IFERROR(__xludf.DUMMYFUNCTION("""COMPUTED_VALUE"""),"NUEVO")</f>
        <v>NUEVO</v>
      </c>
      <c r="AW501" s="1" t="str">
        <f>IFERROR(__xludf.DUMMYFUNCTION("""COMPUTED_VALUE"""),"SI")</f>
        <v>SI</v>
      </c>
      <c r="AX501" s="1"/>
      <c r="AY501" s="1" t="str">
        <f>IFERROR(__xludf.DUMMYFUNCTION("""COMPUTED_VALUE"""),"PAGO COMPLETO")</f>
        <v>PAGO COMPLETO</v>
      </c>
      <c r="AZ501" s="5">
        <f>IFERROR(__xludf.DUMMYFUNCTION("""COMPUTED_VALUE"""),45705.0)</f>
        <v>45705</v>
      </c>
      <c r="BA501" s="1">
        <f>IFERROR(__xludf.DUMMYFUNCTION("""COMPUTED_VALUE"""),0.0)</f>
        <v>0</v>
      </c>
      <c r="BB501" s="1">
        <f>IFERROR(__xludf.DUMMYFUNCTION("""COMPUTED_VALUE"""),0.0)</f>
        <v>0</v>
      </c>
      <c r="BC501" s="4">
        <f>IFERROR(__xludf.DUMMYFUNCTION("""COMPUTED_VALUE"""),0.0)</f>
        <v>0</v>
      </c>
      <c r="BD501" s="4">
        <f>IFERROR(__xludf.DUMMYFUNCTION("""COMPUTED_VALUE"""),450.0)</f>
        <v>450</v>
      </c>
      <c r="BE501" s="1">
        <f>IFERROR(__xludf.DUMMYFUNCTION("""COMPUTED_VALUE"""),2.0)</f>
        <v>2</v>
      </c>
      <c r="BF501" s="6">
        <f>IFERROR(__xludf.DUMMYFUNCTION("""COMPUTED_VALUE"""),1.0)</f>
        <v>1</v>
      </c>
      <c r="BG501" s="1">
        <f>IFERROR(__xludf.DUMMYFUNCTION("""COMPUTED_VALUE"""),1.0)</f>
        <v>1</v>
      </c>
      <c r="BH501" s="1" t="str">
        <f>IFERROR(__xludf.DUMMYFUNCTION("""COMPUTED_VALUE"""),"0")</f>
        <v>0</v>
      </c>
      <c r="BI501" s="4">
        <f>IFERROR(__xludf.DUMMYFUNCTION("""COMPUTED_VALUE"""),450.0)</f>
        <v>450</v>
      </c>
      <c r="BJ501" s="1">
        <f>IFERROR(__xludf.DUMMYFUNCTION("""COMPUTED_VALUE"""),0.0)</f>
        <v>0</v>
      </c>
      <c r="BK501" s="4">
        <f>IFERROR(__xludf.DUMMYFUNCTION("""COMPUTED_VALUE"""),450.0)</f>
        <v>450</v>
      </c>
      <c r="BL501" s="1">
        <f>IFERROR(__xludf.DUMMYFUNCTION("""COMPUTED_VALUE"""),860.0)</f>
        <v>860</v>
      </c>
      <c r="BM501" s="1">
        <f>IFERROR(__xludf.DUMMYFUNCTION("""COMPUTED_VALUE"""),8.0)</f>
        <v>8</v>
      </c>
      <c r="BN501" s="2">
        <f>IFERROR(__xludf.DUMMYFUNCTION("""COMPUTED_VALUE"""),45705.0)</f>
        <v>45705</v>
      </c>
      <c r="BO501" s="1">
        <f>IFERROR(__xludf.DUMMYFUNCTION("""COMPUTED_VALUE"""),2.0)</f>
        <v>2</v>
      </c>
      <c r="BP501" s="1">
        <f>IFERROR(__xludf.DUMMYFUNCTION("""COMPUTED_VALUE"""),2025.0)</f>
        <v>2025</v>
      </c>
    </row>
    <row r="502">
      <c r="A502" s="1">
        <f>IFERROR(__xludf.DUMMYFUNCTION("""COMPUTED_VALUE"""),501.0)</f>
        <v>501</v>
      </c>
      <c r="B502" s="1">
        <f>IFERROR(__xludf.DUMMYFUNCTION("""COMPUTED_VALUE"""),3115953.0)</f>
        <v>3115953</v>
      </c>
      <c r="C502" s="1" t="str">
        <f>IFERROR(__xludf.DUMMYFUNCTION("""COMPUTED_VALUE"""),"2025-1")</f>
        <v>2025-1</v>
      </c>
      <c r="D502" s="1" t="str">
        <f>IFERROR(__xludf.DUMMYFUNCTION("""COMPUTED_VALUE"""),"Admisión de Alto Rendimiento")</f>
        <v>Admisión de Alto Rendimiento</v>
      </c>
      <c r="E502" s="2">
        <f>IFERROR(__xludf.DUMMYFUNCTION("""COMPUTED_VALUE"""),45705.0)</f>
        <v>45705</v>
      </c>
      <c r="F502" s="1" t="str">
        <f>IFERROR(__xludf.DUMMYFUNCTION("""COMPUTED_VALUE"""),"ISABELLA MARIA ")</f>
        <v>ISABELLA MARIA </v>
      </c>
      <c r="G502" s="1" t="str">
        <f>IFERROR(__xludf.DUMMYFUNCTION("""COMPUTED_VALUE"""),"CHANG BRAHIM")</f>
        <v>CHANG BRAHIM</v>
      </c>
      <c r="H502" s="1" t="str">
        <f>IFERROR(__xludf.DUMMYFUNCTION("""COMPUTED_VALUE"""),"Psicología")</f>
        <v>Psicología</v>
      </c>
      <c r="I502" s="1" t="str">
        <f>IFERROR(__xludf.DUMMYFUNCTION("""COMPUTED_VALUE"""),"Pago Link")</f>
        <v>Pago Link</v>
      </c>
      <c r="J502" s="1" t="str">
        <f>IFERROR(__xludf.DUMMYFUNCTION("""COMPUTED_VALUE"""),"Diurno")</f>
        <v>Diurno</v>
      </c>
      <c r="K502" s="1" t="str">
        <f>IFERROR(__xludf.DUMMYFUNCTION("""COMPUTED_VALUE"""),"NUEVO")</f>
        <v>NUEVO</v>
      </c>
      <c r="L502" s="1">
        <f>IFERROR(__xludf.DUMMYFUNCTION("""COMPUTED_VALUE"""),0.0)</f>
        <v>0</v>
      </c>
      <c r="M502" s="1">
        <f>IFERROR(__xludf.DUMMYFUNCTION("""COMPUTED_VALUE"""),0.0)</f>
        <v>0</v>
      </c>
      <c r="N502" s="1" t="str">
        <f>IFERROR(__xludf.DUMMYFUNCTION("""COMPUTED_VALUE"""),"RECA-BECA")</f>
        <v>RECA-BECA</v>
      </c>
      <c r="O502" s="1" t="str">
        <f>IFERROR(__xludf.DUMMYFUNCTION("""COMPUTED_VALUE"""),"BECA CONGELADA DE 2 AÑOS")</f>
        <v>BECA CONGELADA DE 2 AÑOS</v>
      </c>
      <c r="P502" s="4">
        <f>IFERROR(__xludf.DUMMYFUNCTION("""COMPUTED_VALUE"""),100.0)</f>
        <v>100</v>
      </c>
      <c r="Q502" s="4">
        <f>IFERROR(__xludf.DUMMYFUNCTION("""COMPUTED_VALUE"""),237.5)</f>
        <v>237.5</v>
      </c>
      <c r="R502" s="4">
        <f>IFERROR(__xludf.DUMMYFUNCTION("""COMPUTED_VALUE"""),1550.0)</f>
        <v>1550</v>
      </c>
      <c r="S502" s="4">
        <f>IFERROR(__xludf.DUMMYFUNCTION("""COMPUTED_VALUE"""),1250.0)</f>
        <v>1250</v>
      </c>
      <c r="T502" s="1" t="str">
        <f>IFERROR(__xludf.DUMMYFUNCTION("""COMPUTED_VALUE"""),"PALANCA 500")</f>
        <v>PALANCA 500</v>
      </c>
      <c r="U502" s="1" t="str">
        <f>IFERROR(__xludf.DUMMYFUNCTION("""COMPUTED_VALUE"""),"RODRIGO")</f>
        <v>RODRIGO</v>
      </c>
      <c r="V502" s="1" t="str">
        <f>IFERROR(__xludf.DUMMYFUNCTION("""COMPUTED_VALUE"""),"Ninguno")</f>
        <v>Ninguno</v>
      </c>
      <c r="W502" s="1" t="str">
        <f>IFERROR(__xludf.DUMMYFUNCTION("""COMPUTED_VALUE"""),"Prestigio de la institución")</f>
        <v>Prestigio de la institución</v>
      </c>
      <c r="X502" s="1" t="str">
        <f>IFERROR(__xludf.DUMMYFUNCTION("""COMPUTED_VALUE"""),"1550 - 1250")</f>
        <v>1550 - 1250</v>
      </c>
      <c r="Y502" s="1" t="str">
        <f>IFERROR(__xludf.DUMMYFUNCTION("""COMPUTED_VALUE"""),"PAGO COMPLETO")</f>
        <v>PAGO COMPLETO</v>
      </c>
      <c r="Z502" s="1"/>
      <c r="AA502" s="1"/>
      <c r="AB502" s="1">
        <f>IFERROR(__xludf.DUMMYFUNCTION("""COMPUTED_VALUE"""),1.0)</f>
        <v>1</v>
      </c>
      <c r="AC502" s="1">
        <f>IFERROR(__xludf.DUMMYFUNCTION("""COMPUTED_VALUE"""),0.0)</f>
        <v>0</v>
      </c>
      <c r="AD502" s="1" t="str">
        <f>IFERROR(__xludf.DUMMYFUNCTION("""COMPUTED_VALUE"""),"Ingrid Guillermo Rivera")</f>
        <v>Ingrid Guillermo Rivera</v>
      </c>
      <c r="AE502" s="1" t="str">
        <f>IFERROR(__xludf.DUMMYFUNCTION("""COMPUTED_VALUE"""),"0")</f>
        <v>0</v>
      </c>
      <c r="AF502" s="1">
        <f>IFERROR(__xludf.DUMMYFUNCTION("""COMPUTED_VALUE"""),2024.0)</f>
        <v>2024</v>
      </c>
      <c r="AG502" s="1">
        <f>IFERROR(__xludf.DUMMYFUNCTION("""COMPUTED_VALUE"""),1086164.0)</f>
        <v>1086164</v>
      </c>
      <c r="AH502" s="1">
        <f>IFERROR(__xludf.DUMMYFUNCTION("""COMPUTED_VALUE"""),18.0)</f>
        <v>18</v>
      </c>
      <c r="AI502" s="1" t="str">
        <f>IFERROR(__xludf.DUMMYFUNCTION("""COMPUTED_VALUE"""),"0000415010")</f>
        <v>0000415010</v>
      </c>
      <c r="AJ502" s="1">
        <f>IFERROR(__xludf.DUMMYFUNCTION("""COMPUTED_VALUE"""),6.1181022E7)</f>
        <v>61181022</v>
      </c>
      <c r="AK502" s="1">
        <f>IFERROR(__xludf.DUMMYFUNCTION("""COMPUTED_VALUE"""),9.30262107E8)</f>
        <v>930262107</v>
      </c>
      <c r="AL502" s="1" t="str">
        <f>IFERROR(__xludf.DUMMYFUNCTION("""COMPUTED_VALUE"""),"issychang@icloud.com")</f>
        <v>issychang@icloud.com</v>
      </c>
      <c r="AM502" s="1" t="str">
        <f>IFERROR(__xludf.DUMMYFUNCTION("""COMPUTED_VALUE"""),"FEMENINO")</f>
        <v>FEMENINO</v>
      </c>
      <c r="AN502" s="1">
        <f>IFERROR(__xludf.DUMMYFUNCTION("""COMPUTED_VALUE"""),3200.0)</f>
        <v>3200</v>
      </c>
      <c r="AO502" s="1">
        <f>IFERROR(__xludf.DUMMYFUNCTION("""COMPUTED_VALUE"""),2778.0)</f>
        <v>2778</v>
      </c>
      <c r="AP502" s="1" t="str">
        <f>IFERROR(__xludf.DUMMYFUNCTION("""COMPUTED_VALUE"""),"COLEGIOS")</f>
        <v>COLEGIOS</v>
      </c>
      <c r="AQ502" s="1" t="str">
        <f>IFERROR(__xludf.DUMMYFUNCTION("""COMPUTED_VALUE"""),"COLEGIOS")</f>
        <v>COLEGIOS</v>
      </c>
      <c r="AR502" s="1" t="str">
        <f>IFERROR(__xludf.DUMMYFUNCTION("""COMPUTED_VALUE"""),"NUEVO")</f>
        <v>NUEVO</v>
      </c>
      <c r="AS502" s="1"/>
      <c r="AT502" s="2">
        <f>IFERROR(__xludf.DUMMYFUNCTION("""COMPUTED_VALUE"""),45414.0)</f>
        <v>45414</v>
      </c>
      <c r="AU502" s="1">
        <f>IFERROR(__xludf.DUMMYFUNCTION("""COMPUTED_VALUE"""),1.0)</f>
        <v>1</v>
      </c>
      <c r="AV502" s="1" t="str">
        <f>IFERROR(__xludf.DUMMYFUNCTION("""COMPUTED_VALUE"""),"NUEVO")</f>
        <v>NUEVO</v>
      </c>
      <c r="AW502" s="1" t="str">
        <f>IFERROR(__xludf.DUMMYFUNCTION("""COMPUTED_VALUE"""),"SI")</f>
        <v>SI</v>
      </c>
      <c r="AX502" s="1"/>
      <c r="AY502" s="1" t="str">
        <f>IFERROR(__xludf.DUMMYFUNCTION("""COMPUTED_VALUE"""),"PAGO COMPLETO")</f>
        <v>PAGO COMPLETO</v>
      </c>
      <c r="AZ502" s="5">
        <f>IFERROR(__xludf.DUMMYFUNCTION("""COMPUTED_VALUE"""),45705.0)</f>
        <v>45705</v>
      </c>
      <c r="BA502" s="1">
        <f>IFERROR(__xludf.DUMMYFUNCTION("""COMPUTED_VALUE"""),0.0)</f>
        <v>0</v>
      </c>
      <c r="BB502" s="1">
        <f>IFERROR(__xludf.DUMMYFUNCTION("""COMPUTED_VALUE"""),0.0)</f>
        <v>0</v>
      </c>
      <c r="BC502" s="4">
        <f>IFERROR(__xludf.DUMMYFUNCTION("""COMPUTED_VALUE"""),0.0)</f>
        <v>0</v>
      </c>
      <c r="BD502" s="4">
        <f>IFERROR(__xludf.DUMMYFUNCTION("""COMPUTED_VALUE"""),750.0)</f>
        <v>750</v>
      </c>
      <c r="BE502" s="1">
        <f>IFERROR(__xludf.DUMMYFUNCTION("""COMPUTED_VALUE"""),2.0)</f>
        <v>2</v>
      </c>
      <c r="BF502" s="6">
        <f>IFERROR(__xludf.DUMMYFUNCTION("""COMPUTED_VALUE"""),1.0)</f>
        <v>1</v>
      </c>
      <c r="BG502" s="1">
        <f>IFERROR(__xludf.DUMMYFUNCTION("""COMPUTED_VALUE"""),1.0)</f>
        <v>1</v>
      </c>
      <c r="BH502" s="1" t="str">
        <f>IFERROR(__xludf.DUMMYFUNCTION("""COMPUTED_VALUE"""),"0")</f>
        <v>0</v>
      </c>
      <c r="BI502" s="4">
        <f>IFERROR(__xludf.DUMMYFUNCTION("""COMPUTED_VALUE"""),750.0)</f>
        <v>750</v>
      </c>
      <c r="BJ502" s="1">
        <f>IFERROR(__xludf.DUMMYFUNCTION("""COMPUTED_VALUE"""),0.0)</f>
        <v>0</v>
      </c>
      <c r="BK502" s="4">
        <f>IFERROR(__xludf.DUMMYFUNCTION("""COMPUTED_VALUE"""),750.0)</f>
        <v>750</v>
      </c>
      <c r="BL502" s="1">
        <f>IFERROR(__xludf.DUMMYFUNCTION("""COMPUTED_VALUE"""),1100.0)</f>
        <v>1100</v>
      </c>
      <c r="BM502" s="1">
        <f>IFERROR(__xludf.DUMMYFUNCTION("""COMPUTED_VALUE"""),8.0)</f>
        <v>8</v>
      </c>
      <c r="BN502" s="2">
        <f>IFERROR(__xludf.DUMMYFUNCTION("""COMPUTED_VALUE"""),45705.0)</f>
        <v>45705</v>
      </c>
      <c r="BO502" s="1">
        <f>IFERROR(__xludf.DUMMYFUNCTION("""COMPUTED_VALUE"""),2.0)</f>
        <v>2</v>
      </c>
      <c r="BP502" s="1">
        <f>IFERROR(__xludf.DUMMYFUNCTION("""COMPUTED_VALUE"""),2025.0)</f>
        <v>2025</v>
      </c>
    </row>
    <row r="503">
      <c r="A503" s="1">
        <f>IFERROR(__xludf.DUMMYFUNCTION("""COMPUTED_VALUE"""),502.0)</f>
        <v>502</v>
      </c>
      <c r="B503" s="1">
        <f>IFERROR(__xludf.DUMMYFUNCTION("""COMPUTED_VALUE"""),1285334.0)</f>
        <v>1285334</v>
      </c>
      <c r="C503" s="1" t="str">
        <f>IFERROR(__xludf.DUMMYFUNCTION("""COMPUTED_VALUE"""),"2025-1")</f>
        <v>2025-1</v>
      </c>
      <c r="D503" s="1" t="str">
        <f>IFERROR(__xludf.DUMMYFUNCTION("""COMPUTED_VALUE"""),"Admisión Extraordinaria (Traslados)")</f>
        <v>Admisión Extraordinaria (Traslados)</v>
      </c>
      <c r="E503" s="2">
        <f>IFERROR(__xludf.DUMMYFUNCTION("""COMPUTED_VALUE"""),45705.0)</f>
        <v>45705</v>
      </c>
      <c r="F503" s="1" t="str">
        <f>IFERROR(__xludf.DUMMYFUNCTION("""COMPUTED_VALUE"""),"MATHIAS SEBASTIAN")</f>
        <v>MATHIAS SEBASTIAN</v>
      </c>
      <c r="G503" s="1" t="str">
        <f>IFERROR(__xludf.DUMMYFUNCTION("""COMPUTED_VALUE"""),"POLACK CHANGANAQUI")</f>
        <v>POLACK CHANGANAQUI</v>
      </c>
      <c r="H503" s="1" t="str">
        <f>IFERROR(__xludf.DUMMYFUNCTION("""COMPUTED_VALUE"""),"Comunicación Audiovisual y Cine")</f>
        <v>Comunicación Audiovisual y Cine</v>
      </c>
      <c r="I503" s="1" t="str">
        <f>IFERROR(__xludf.DUMMYFUNCTION("""COMPUTED_VALUE"""),"Pago Link")</f>
        <v>Pago Link</v>
      </c>
      <c r="J503" s="1" t="str">
        <f>IFERROR(__xludf.DUMMYFUNCTION("""COMPUTED_VALUE"""),"Diurno")</f>
        <v>Diurno</v>
      </c>
      <c r="K503" s="1" t="str">
        <f>IFERROR(__xludf.DUMMYFUNCTION("""COMPUTED_VALUE"""),"TRASLADO")</f>
        <v>TRASLADO</v>
      </c>
      <c r="L503" s="1">
        <f>IFERROR(__xludf.DUMMYFUNCTION("""COMPUTED_VALUE"""),1.0)</f>
        <v>1</v>
      </c>
      <c r="M503" s="1">
        <f>IFERROR(__xludf.DUMMYFUNCTION("""COMPUTED_VALUE"""),0.0)</f>
        <v>0</v>
      </c>
      <c r="N503" s="1" t="str">
        <f>IFERROR(__xludf.DUMMYFUNCTION("""COMPUTED_VALUE"""),"RECA")</f>
        <v>RECA</v>
      </c>
      <c r="O503" s="1" t="str">
        <f>IFERROR(__xludf.DUMMYFUNCTION("""COMPUTED_VALUE"""),"RECA TRASLADO CON CONVA")</f>
        <v>RECA TRASLADO CON CONVA</v>
      </c>
      <c r="P503" s="4">
        <f>IFERROR(__xludf.DUMMYFUNCTION("""COMPUTED_VALUE"""),0.0)</f>
        <v>0</v>
      </c>
      <c r="Q503" s="4">
        <f>IFERROR(__xludf.DUMMYFUNCTION("""COMPUTED_VALUE"""),0.0)</f>
        <v>0</v>
      </c>
      <c r="R503" s="4">
        <f>IFERROR(__xludf.DUMMYFUNCTION("""COMPUTED_VALUE"""),700.0)</f>
        <v>700</v>
      </c>
      <c r="S503" s="4">
        <f>IFERROR(__xludf.DUMMYFUNCTION("""COMPUTED_VALUE"""),700.0)</f>
        <v>700</v>
      </c>
      <c r="T503" s="1" t="str">
        <f>IFERROR(__xludf.DUMMYFUNCTION("""COMPUTED_VALUE"""),"NINGUNO")</f>
        <v>NINGUNO</v>
      </c>
      <c r="U503" s="1" t="str">
        <f>IFERROR(__xludf.DUMMYFUNCTION("""COMPUTED_VALUE"""),"RODRIGO")</f>
        <v>RODRIGO</v>
      </c>
      <c r="V503" s="1" t="str">
        <f>IFERROR(__xludf.DUMMYFUNCTION("""COMPUTED_VALUE"""),"Ninguno")</f>
        <v>Ninguno</v>
      </c>
      <c r="W503" s="1" t="str">
        <f>IFERROR(__xludf.DUMMYFUNCTION("""COMPUTED_VALUE"""),"Descuentos en boletas de pago")</f>
        <v>Descuentos en boletas de pago</v>
      </c>
      <c r="X503" s="1"/>
      <c r="Y503" s="1" t="str">
        <f>IFERROR(__xludf.DUMMYFUNCTION("""COMPUTED_VALUE"""),"PAGO FRACCIONADO")</f>
        <v>PAGO FRACCIONADO</v>
      </c>
      <c r="Z503" s="1">
        <f>IFERROR(__xludf.DUMMYFUNCTION("""COMPUTED_VALUE"""),350.0)</f>
        <v>350</v>
      </c>
      <c r="AA503" s="1" t="str">
        <f>IFERROR(__xludf.DUMMYFUNCTION("""COMPUTED_VALUE"""),"28/02/2025")</f>
        <v>28/02/2025</v>
      </c>
      <c r="AB503" s="1">
        <f>IFERROR(__xludf.DUMMYFUNCTION("""COMPUTED_VALUE"""),0.0)</f>
        <v>0</v>
      </c>
      <c r="AC503" s="1">
        <f>IFERROR(__xludf.DUMMYFUNCTION("""COMPUTED_VALUE"""),0.0)</f>
        <v>0</v>
      </c>
      <c r="AD503" s="1" t="str">
        <f>IFERROR(__xludf.DUMMYFUNCTION("""COMPUTED_VALUE"""),"Erwyn Terie Vital Avila")</f>
        <v>Erwyn Terie Vital Avila</v>
      </c>
      <c r="AE503" s="1" t="str">
        <f>IFERROR(__xludf.DUMMYFUNCTION("""COMPUTED_VALUE"""),"Cibertec")</f>
        <v>Cibertec</v>
      </c>
      <c r="AF503" s="1">
        <f>IFERROR(__xludf.DUMMYFUNCTION("""COMPUTED_VALUE"""),2020.0)</f>
        <v>2020</v>
      </c>
      <c r="AG503" s="1">
        <f>IFERROR(__xludf.DUMMYFUNCTION("""COMPUTED_VALUE"""),0.0)</f>
        <v>0</v>
      </c>
      <c r="AH503" s="1">
        <f>IFERROR(__xludf.DUMMYFUNCTION("""COMPUTED_VALUE"""),21.0)</f>
        <v>21</v>
      </c>
      <c r="AI503" s="1" t="str">
        <f>IFERROR(__xludf.DUMMYFUNCTION("""COMPUTED_VALUE"""),"0000415181")</f>
        <v>0000415181</v>
      </c>
      <c r="AJ503" s="1">
        <f>IFERROR(__xludf.DUMMYFUNCTION("""COMPUTED_VALUE"""),7.4723722E7)</f>
        <v>74723722</v>
      </c>
      <c r="AK503" s="1">
        <f>IFERROR(__xludf.DUMMYFUNCTION("""COMPUTED_VALUE"""),9.41371617E8)</f>
        <v>941371617</v>
      </c>
      <c r="AL503" s="1" t="str">
        <f>IFERROR(__xludf.DUMMYFUNCTION("""COMPUTED_VALUE"""),"mathiaspolackch@gmail.com")</f>
        <v>mathiaspolackch@gmail.com</v>
      </c>
      <c r="AM503" s="1" t="str">
        <f>IFERROR(__xludf.DUMMYFUNCTION("""COMPUTED_VALUE"""),"MASCULINO")</f>
        <v>MASCULINO</v>
      </c>
      <c r="AN503" s="1">
        <f>IFERROR(__xludf.DUMMYFUNCTION("""COMPUTED_VALUE"""),1350.0)</f>
        <v>1350</v>
      </c>
      <c r="AO503" s="1">
        <f>IFERROR(__xludf.DUMMYFUNCTION("""COMPUTED_VALUE"""),0.0)</f>
        <v>0</v>
      </c>
      <c r="AP503" s="1" t="str">
        <f>IFERROR(__xludf.DUMMYFUNCTION("""COMPUTED_VALUE"""),"OUTBOUND")</f>
        <v>OUTBOUND</v>
      </c>
      <c r="AQ503" s="1" t="str">
        <f>IFERROR(__xludf.DUMMYFUNCTION("""COMPUTED_VALUE"""),"OUTBOUND")</f>
        <v>OUTBOUND</v>
      </c>
      <c r="AR503" s="1" t="str">
        <f>IFERROR(__xludf.DUMMYFUNCTION("""COMPUTED_VALUE"""),"HEREDADO")</f>
        <v>HEREDADO</v>
      </c>
      <c r="AS503" s="1"/>
      <c r="AT503" s="2">
        <f>IFERROR(__xludf.DUMMYFUNCTION("""COMPUTED_VALUE"""),45701.0)</f>
        <v>45701</v>
      </c>
      <c r="AU503" s="1">
        <f>IFERROR(__xludf.DUMMYFUNCTION("""COMPUTED_VALUE"""),1.0)</f>
        <v>1</v>
      </c>
      <c r="AV503" s="1" t="str">
        <f>IFERROR(__xludf.DUMMYFUNCTION("""COMPUTED_VALUE"""),"TRASLADO")</f>
        <v>TRASLADO</v>
      </c>
      <c r="AW503" s="1" t="str">
        <f>IFERROR(__xludf.DUMMYFUNCTION("""COMPUTED_VALUE"""),"SI")</f>
        <v>SI</v>
      </c>
      <c r="AX503" s="1"/>
      <c r="AY503" s="1" t="str">
        <f>IFERROR(__xludf.DUMMYFUNCTION("""COMPUTED_VALUE"""),"PAGO COMPLETO")</f>
        <v>PAGO COMPLETO</v>
      </c>
      <c r="AZ503" s="5">
        <f>IFERROR(__xludf.DUMMYFUNCTION("""COMPUTED_VALUE"""),45723.0)</f>
        <v>45723</v>
      </c>
      <c r="BA503" s="1">
        <f>IFERROR(__xludf.DUMMYFUNCTION("""COMPUTED_VALUE"""),350.0)</f>
        <v>350</v>
      </c>
      <c r="BB503" s="1">
        <f>IFERROR(__xludf.DUMMYFUNCTION("""COMPUTED_VALUE"""),0.0)</f>
        <v>0</v>
      </c>
      <c r="BC503" s="4">
        <f>IFERROR(__xludf.DUMMYFUNCTION("""COMPUTED_VALUE"""),0.0)</f>
        <v>0</v>
      </c>
      <c r="BD503" s="4">
        <f>IFERROR(__xludf.DUMMYFUNCTION("""COMPUTED_VALUE"""),0.0)</f>
        <v>0</v>
      </c>
      <c r="BE503" s="1">
        <f>IFERROR(__xludf.DUMMYFUNCTION("""COMPUTED_VALUE"""),2.0)</f>
        <v>2</v>
      </c>
      <c r="BF503" s="6">
        <f>IFERROR(__xludf.DUMMYFUNCTION("""COMPUTED_VALUE"""),1.0)</f>
        <v>1</v>
      </c>
      <c r="BG503" s="1">
        <f>IFERROR(__xludf.DUMMYFUNCTION("""COMPUTED_VALUE"""),1.0)</f>
        <v>1</v>
      </c>
      <c r="BH503" s="1" t="str">
        <f>IFERROR(__xludf.DUMMYFUNCTION("""COMPUTED_VALUE"""),"1")</f>
        <v>1</v>
      </c>
      <c r="BI503" s="4">
        <f>IFERROR(__xludf.DUMMYFUNCTION("""COMPUTED_VALUE"""),700.0)</f>
        <v>700</v>
      </c>
      <c r="BJ503" s="1">
        <f>IFERROR(__xludf.DUMMYFUNCTION("""COMPUTED_VALUE"""),0.0)</f>
        <v>0</v>
      </c>
      <c r="BK503" s="4">
        <f>IFERROR(__xludf.DUMMYFUNCTION("""COMPUTED_VALUE"""),0.0)</f>
        <v>0</v>
      </c>
      <c r="BL503" s="1">
        <f>IFERROR(__xludf.DUMMYFUNCTION("""COMPUTED_VALUE"""),700.0)</f>
        <v>700</v>
      </c>
      <c r="BM503" s="1">
        <f>IFERROR(__xludf.DUMMYFUNCTION("""COMPUTED_VALUE"""),8.0)</f>
        <v>8</v>
      </c>
      <c r="BN503" s="2">
        <f>IFERROR(__xludf.DUMMYFUNCTION("""COMPUTED_VALUE"""),45705.0)</f>
        <v>45705</v>
      </c>
      <c r="BO503" s="1">
        <f>IFERROR(__xludf.DUMMYFUNCTION("""COMPUTED_VALUE"""),2.0)</f>
        <v>2</v>
      </c>
      <c r="BP503" s="1">
        <f>IFERROR(__xludf.DUMMYFUNCTION("""COMPUTED_VALUE"""),2025.0)</f>
        <v>2025</v>
      </c>
    </row>
    <row r="504">
      <c r="A504" s="1">
        <f>IFERROR(__xludf.DUMMYFUNCTION("""COMPUTED_VALUE"""),503.0)</f>
        <v>503</v>
      </c>
      <c r="B504" s="1">
        <f>IFERROR(__xludf.DUMMYFUNCTION("""COMPUTED_VALUE"""),1117572.0)</f>
        <v>1117572</v>
      </c>
      <c r="C504" s="1" t="str">
        <f>IFERROR(__xludf.DUMMYFUNCTION("""COMPUTED_VALUE"""),"2025-1")</f>
        <v>2025-1</v>
      </c>
      <c r="D504" s="1" t="str">
        <f>IFERROR(__xludf.DUMMYFUNCTION("""COMPUTED_VALUE"""),"Admisión Extraordinaria (Traslados)")</f>
        <v>Admisión Extraordinaria (Traslados)</v>
      </c>
      <c r="E504" s="2">
        <f>IFERROR(__xludf.DUMMYFUNCTION("""COMPUTED_VALUE"""),45705.0)</f>
        <v>45705</v>
      </c>
      <c r="F504" s="1" t="str">
        <f>IFERROR(__xludf.DUMMYFUNCTION("""COMPUTED_VALUE"""),"FATIMA NICOL")</f>
        <v>FATIMA NICOL</v>
      </c>
      <c r="G504" s="1" t="str">
        <f>IFERROR(__xludf.DUMMYFUNCTION("""COMPUTED_VALUE"""),"TAPIA NORIEGA")</f>
        <v>TAPIA NORIEGA</v>
      </c>
      <c r="H504" s="1" t="str">
        <f>IFERROR(__xludf.DUMMYFUNCTION("""COMPUTED_VALUE"""),"Arquitectura de Interiores")</f>
        <v>Arquitectura de Interiores</v>
      </c>
      <c r="I504" s="1" t="str">
        <f>IFERROR(__xludf.DUMMYFUNCTION("""COMPUTED_VALUE"""),"CARGO")</f>
        <v>CARGO</v>
      </c>
      <c r="J504" s="1" t="str">
        <f>IFERROR(__xludf.DUMMYFUNCTION("""COMPUTED_VALUE"""),"Diurno")</f>
        <v>Diurno</v>
      </c>
      <c r="K504" s="1" t="str">
        <f>IFERROR(__xludf.DUMMYFUNCTION("""COMPUTED_VALUE"""),"TRASLADO")</f>
        <v>TRASLADO</v>
      </c>
      <c r="L504" s="1">
        <f>IFERROR(__xludf.DUMMYFUNCTION("""COMPUTED_VALUE"""),1.0)</f>
        <v>1</v>
      </c>
      <c r="M504" s="1">
        <f>IFERROR(__xludf.DUMMYFUNCTION("""COMPUTED_VALUE"""),0.0)</f>
        <v>0</v>
      </c>
      <c r="N504" s="1" t="str">
        <f>IFERROR(__xludf.DUMMYFUNCTION("""COMPUTED_VALUE"""),"ESCALA REGULAR")</f>
        <v>ESCALA REGULAR</v>
      </c>
      <c r="O504" s="1" t="str">
        <f>IFERROR(__xludf.DUMMYFUNCTION("""COMPUTED_VALUE"""),"NINGUNO")</f>
        <v>NINGUNO</v>
      </c>
      <c r="P504" s="4">
        <f>IFERROR(__xludf.DUMMYFUNCTION("""COMPUTED_VALUE"""),0.0)</f>
        <v>0</v>
      </c>
      <c r="Q504" s="4">
        <f>IFERROR(__xludf.DUMMYFUNCTION("""COMPUTED_VALUE"""),0.0)</f>
        <v>0</v>
      </c>
      <c r="R504" s="4">
        <f>IFERROR(__xludf.DUMMYFUNCTION("""COMPUTED_VALUE"""),1000.0)</f>
        <v>1000</v>
      </c>
      <c r="S504" s="4">
        <f>IFERROR(__xludf.DUMMYFUNCTION("""COMPUTED_VALUE"""),1000.0)</f>
        <v>1000</v>
      </c>
      <c r="T504" s="1" t="str">
        <f>IFERROR(__xludf.DUMMYFUNCTION("""COMPUTED_VALUE"""),"NINGUNO")</f>
        <v>NINGUNO</v>
      </c>
      <c r="U504" s="1"/>
      <c r="V504" s="1" t="str">
        <f>IFERROR(__xludf.DUMMYFUNCTION("""COMPUTED_VALUE"""),"Ninguno")</f>
        <v>Ninguno</v>
      </c>
      <c r="W504" s="1" t="str">
        <f>IFERROR(__xludf.DUMMYFUNCTION("""COMPUTED_VALUE"""),"Malla curricular")</f>
        <v>Malla curricular</v>
      </c>
      <c r="X504" s="1"/>
      <c r="Y504" s="1" t="str">
        <f>IFERROR(__xludf.DUMMYFUNCTION("""COMPUTED_VALUE"""),"PAGO COMPLETO")</f>
        <v>PAGO COMPLETO</v>
      </c>
      <c r="Z504" s="1"/>
      <c r="AA504" s="1"/>
      <c r="AB504" s="1">
        <f>IFERROR(__xludf.DUMMYFUNCTION("""COMPUTED_VALUE"""),0.0)</f>
        <v>0</v>
      </c>
      <c r="AC504" s="1">
        <f>IFERROR(__xludf.DUMMYFUNCTION("""COMPUTED_VALUE"""),0.0)</f>
        <v>0</v>
      </c>
      <c r="AD504" s="1" t="str">
        <f>IFERROR(__xludf.DUMMYFUNCTION("""COMPUTED_VALUE"""),"Sulma Montero")</f>
        <v>Sulma Montero</v>
      </c>
      <c r="AE504" s="1" t="str">
        <f>IFERROR(__xludf.DUMMYFUNCTION("""COMPUTED_VALUE"""),"UPN")</f>
        <v>UPN</v>
      </c>
      <c r="AF504" s="1">
        <f>IFERROR(__xludf.DUMMYFUNCTION("""COMPUTED_VALUE"""),2019.0)</f>
        <v>2019</v>
      </c>
      <c r="AG504" s="1">
        <f>IFERROR(__xludf.DUMMYFUNCTION("""COMPUTED_VALUE"""),437277.0)</f>
        <v>437277</v>
      </c>
      <c r="AH504" s="1">
        <f>IFERROR(__xludf.DUMMYFUNCTION("""COMPUTED_VALUE"""),22.0)</f>
        <v>22</v>
      </c>
      <c r="AI504" s="1" t="str">
        <f>IFERROR(__xludf.DUMMYFUNCTION("""COMPUTED_VALUE"""),"0000062346")</f>
        <v>0000062346</v>
      </c>
      <c r="AJ504" s="1">
        <f>IFERROR(__xludf.DUMMYFUNCTION("""COMPUTED_VALUE"""),7.3867593E7)</f>
        <v>73867593</v>
      </c>
      <c r="AK504" s="1">
        <f>IFERROR(__xludf.DUMMYFUNCTION("""COMPUTED_VALUE"""),9.65631693E8)</f>
        <v>965631693</v>
      </c>
      <c r="AL504" s="1" t="str">
        <f>IFERROR(__xludf.DUMMYFUNCTION("""COMPUTED_VALUE"""),"nicoltapianoriega2002@gmail.com")</f>
        <v>nicoltapianoriega2002@gmail.com</v>
      </c>
      <c r="AM504" s="1" t="str">
        <f>IFERROR(__xludf.DUMMYFUNCTION("""COMPUTED_VALUE"""),"MASCULINO")</f>
        <v>MASCULINO</v>
      </c>
      <c r="AN504" s="1">
        <f>IFERROR(__xludf.DUMMYFUNCTION("""COMPUTED_VALUE"""),1250.0)</f>
        <v>1250</v>
      </c>
      <c r="AO504" s="1">
        <f>IFERROR(__xludf.DUMMYFUNCTION("""COMPUTED_VALUE"""),1250.0)</f>
        <v>1250</v>
      </c>
      <c r="AP504" s="1" t="str">
        <f>IFERROR(__xludf.DUMMYFUNCTION("""COMPUTED_VALUE"""),"OUTBOUND")</f>
        <v>OUTBOUND</v>
      </c>
      <c r="AQ504" s="1" t="str">
        <f>IFERROR(__xludf.DUMMYFUNCTION("""COMPUTED_VALUE"""),"OUTBOUND")</f>
        <v>OUTBOUND</v>
      </c>
      <c r="AR504" s="1" t="str">
        <f>IFERROR(__xludf.DUMMYFUNCTION("""COMPUTED_VALUE"""),"HEREDADO")</f>
        <v>HEREDADO</v>
      </c>
      <c r="AS504" s="1"/>
      <c r="AT504" s="2">
        <f>IFERROR(__xludf.DUMMYFUNCTION("""COMPUTED_VALUE"""),45743.0)</f>
        <v>45743</v>
      </c>
      <c r="AU504" s="1">
        <f>IFERROR(__xludf.DUMMYFUNCTION("""COMPUTED_VALUE"""),1.0)</f>
        <v>1</v>
      </c>
      <c r="AV504" s="1" t="str">
        <f>IFERROR(__xludf.DUMMYFUNCTION("""COMPUTED_VALUE"""),"TRASLADO")</f>
        <v>TRASLADO</v>
      </c>
      <c r="AW504" s="1" t="str">
        <f>IFERROR(__xludf.DUMMYFUNCTION("""COMPUTED_VALUE"""),"SI")</f>
        <v>SI</v>
      </c>
      <c r="AX504" s="1"/>
      <c r="AY504" s="1" t="str">
        <f>IFERROR(__xludf.DUMMYFUNCTION("""COMPUTED_VALUE"""),"PAGO COMPLETO")</f>
        <v>PAGO COMPLETO</v>
      </c>
      <c r="AZ504" s="5">
        <f>IFERROR(__xludf.DUMMYFUNCTION("""COMPUTED_VALUE"""),45705.0)</f>
        <v>45705</v>
      </c>
      <c r="BA504" s="1">
        <f>IFERROR(__xludf.DUMMYFUNCTION("""COMPUTED_VALUE"""),0.0)</f>
        <v>0</v>
      </c>
      <c r="BB504" s="1">
        <f>IFERROR(__xludf.DUMMYFUNCTION("""COMPUTED_VALUE"""),0.0)</f>
        <v>0</v>
      </c>
      <c r="BC504" s="4">
        <f>IFERROR(__xludf.DUMMYFUNCTION("""COMPUTED_VALUE"""),0.0)</f>
        <v>0</v>
      </c>
      <c r="BD504" s="4">
        <f>IFERROR(__xludf.DUMMYFUNCTION("""COMPUTED_VALUE"""),0.0)</f>
        <v>0</v>
      </c>
      <c r="BE504" s="1">
        <f>IFERROR(__xludf.DUMMYFUNCTION("""COMPUTED_VALUE"""),2.0)</f>
        <v>2</v>
      </c>
      <c r="BF504" s="6">
        <f>IFERROR(__xludf.DUMMYFUNCTION("""COMPUTED_VALUE"""),1.0)</f>
        <v>1</v>
      </c>
      <c r="BG504" s="1">
        <f>IFERROR(__xludf.DUMMYFUNCTION("""COMPUTED_VALUE"""),1.0)</f>
        <v>1</v>
      </c>
      <c r="BH504" s="1" t="str">
        <f>IFERROR(__xludf.DUMMYFUNCTION("""COMPUTED_VALUE"""),"#N/A")</f>
        <v>#N/A</v>
      </c>
      <c r="BI504" s="4">
        <f>IFERROR(__xludf.DUMMYFUNCTION("""COMPUTED_VALUE"""),0.0)</f>
        <v>0</v>
      </c>
      <c r="BJ504" s="1">
        <f>IFERROR(__xludf.DUMMYFUNCTION("""COMPUTED_VALUE"""),0.0)</f>
        <v>0</v>
      </c>
      <c r="BK504" s="4">
        <f>IFERROR(__xludf.DUMMYFUNCTION("""COMPUTED_VALUE"""),0.0)</f>
        <v>0</v>
      </c>
      <c r="BL504" s="1">
        <f>IFERROR(__xludf.DUMMYFUNCTION("""COMPUTED_VALUE"""),1000.0)</f>
        <v>1000</v>
      </c>
      <c r="BM504" s="1">
        <f>IFERROR(__xludf.DUMMYFUNCTION("""COMPUTED_VALUE"""),8.0)</f>
        <v>8</v>
      </c>
      <c r="BN504" s="2">
        <f>IFERROR(__xludf.DUMMYFUNCTION("""COMPUTED_VALUE"""),45705.0)</f>
        <v>45705</v>
      </c>
      <c r="BO504" s="1">
        <f>IFERROR(__xludf.DUMMYFUNCTION("""COMPUTED_VALUE"""),2.0)</f>
        <v>2</v>
      </c>
      <c r="BP504" s="1">
        <f>IFERROR(__xludf.DUMMYFUNCTION("""COMPUTED_VALUE"""),2025.0)</f>
        <v>2025</v>
      </c>
    </row>
    <row r="505">
      <c r="A505" s="1">
        <f>IFERROR(__xludf.DUMMYFUNCTION("""COMPUTED_VALUE"""),504.0)</f>
        <v>504</v>
      </c>
      <c r="B505" s="1">
        <f>IFERROR(__xludf.DUMMYFUNCTION("""COMPUTED_VALUE"""),5026066.0)</f>
        <v>5026066</v>
      </c>
      <c r="C505" s="1" t="str">
        <f>IFERROR(__xludf.DUMMYFUNCTION("""COMPUTED_VALUE"""),"2025-1")</f>
        <v>2025-1</v>
      </c>
      <c r="D505" s="1" t="str">
        <f>IFERROR(__xludf.DUMMYFUNCTION("""COMPUTED_VALUE"""),"Admisión de Alto Rendimiento")</f>
        <v>Admisión de Alto Rendimiento</v>
      </c>
      <c r="E505" s="2">
        <f>IFERROR(__xludf.DUMMYFUNCTION("""COMPUTED_VALUE"""),45706.0)</f>
        <v>45706</v>
      </c>
      <c r="F505" s="1" t="str">
        <f>IFERROR(__xludf.DUMMYFUNCTION("""COMPUTED_VALUE"""),"DANIELA")</f>
        <v>DANIELA</v>
      </c>
      <c r="G505" s="1" t="str">
        <f>IFERROR(__xludf.DUMMYFUNCTION("""COMPUTED_VALUE"""),"LAU ALVAREZ")</f>
        <v>LAU ALVAREZ</v>
      </c>
      <c r="H505" s="1" t="str">
        <f>IFERROR(__xludf.DUMMYFUNCTION("""COMPUTED_VALUE"""),"Arquitectura de Interiores")</f>
        <v>Arquitectura de Interiores</v>
      </c>
      <c r="I505" s="1" t="str">
        <f>IFERROR(__xludf.DUMMYFUNCTION("""COMPUTED_VALUE"""),"CARGO")</f>
        <v>CARGO</v>
      </c>
      <c r="J505" s="1" t="str">
        <f>IFERROR(__xludf.DUMMYFUNCTION("""COMPUTED_VALUE"""),"Diurno")</f>
        <v>Diurno</v>
      </c>
      <c r="K505" s="1" t="str">
        <f>IFERROR(__xludf.DUMMYFUNCTION("""COMPUTED_VALUE"""),"NUEVO")</f>
        <v>NUEVO</v>
      </c>
      <c r="L505" s="1">
        <f>IFERROR(__xludf.DUMMYFUNCTION("""COMPUTED_VALUE"""),0.0)</f>
        <v>0</v>
      </c>
      <c r="M505" s="1">
        <f>IFERROR(__xludf.DUMMYFUNCTION("""COMPUTED_VALUE"""),0.0)</f>
        <v>0</v>
      </c>
      <c r="N505" s="1" t="str">
        <f>IFERROR(__xludf.DUMMYFUNCTION("""COMPUTED_VALUE"""),"BECA")</f>
        <v>BECA</v>
      </c>
      <c r="O505" s="1" t="str">
        <f>IFERROR(__xludf.DUMMYFUNCTION("""COMPUTED_VALUE"""),"BECA CONGELADA DE 2 AÑOS")</f>
        <v>BECA CONGELADA DE 2 AÑOS</v>
      </c>
      <c r="P505" s="4">
        <f>IFERROR(__xludf.DUMMYFUNCTION("""COMPUTED_VALUE"""),0.0)</f>
        <v>0</v>
      </c>
      <c r="Q505" s="4">
        <f>IFERROR(__xludf.DUMMYFUNCTION("""COMPUTED_VALUE"""),0.0)</f>
        <v>0</v>
      </c>
      <c r="R505" s="4">
        <f>IFERROR(__xludf.DUMMYFUNCTION("""COMPUTED_VALUE"""),1100.0)</f>
        <v>1100</v>
      </c>
      <c r="S505" s="4">
        <f>IFERROR(__xludf.DUMMYFUNCTION("""COMPUTED_VALUE"""),950.0)</f>
        <v>950</v>
      </c>
      <c r="T505" s="1" t="str">
        <f>IFERROR(__xludf.DUMMYFUNCTION("""COMPUTED_VALUE"""),"PALANCA 500")</f>
        <v>PALANCA 500</v>
      </c>
      <c r="U505" s="1"/>
      <c r="V505" s="1" t="str">
        <f>IFERROR(__xludf.DUMMYFUNCTION("""COMPUTED_VALUE"""),"Ninguno")</f>
        <v>Ninguno</v>
      </c>
      <c r="W505" s="1" t="str">
        <f>IFERROR(__xludf.DUMMYFUNCTION("""COMPUTED_VALUE"""),"Metodología de enseñanza")</f>
        <v>Metodología de enseñanza</v>
      </c>
      <c r="X505" s="1"/>
      <c r="Y505" s="1" t="str">
        <f>IFERROR(__xludf.DUMMYFUNCTION("""COMPUTED_VALUE"""),"PAGO COMPLETO")</f>
        <v>PAGO COMPLETO</v>
      </c>
      <c r="Z505" s="1"/>
      <c r="AA505" s="1"/>
      <c r="AB505" s="1">
        <f>IFERROR(__xludf.DUMMYFUNCTION("""COMPUTED_VALUE"""),1.0)</f>
        <v>1</v>
      </c>
      <c r="AC505" s="1">
        <f>IFERROR(__xludf.DUMMYFUNCTION("""COMPUTED_VALUE"""),0.0)</f>
        <v>0</v>
      </c>
      <c r="AD505" s="1" t="str">
        <f>IFERROR(__xludf.DUMMYFUNCTION("""COMPUTED_VALUE"""),"Ingrid Guillermo Rivera")</f>
        <v>Ingrid Guillermo Rivera</v>
      </c>
      <c r="AE505" s="1" t="str">
        <f>IFERROR(__xludf.DUMMYFUNCTION("""COMPUTED_VALUE"""),"0")</f>
        <v>0</v>
      </c>
      <c r="AF505" s="1">
        <f>IFERROR(__xludf.DUMMYFUNCTION("""COMPUTED_VALUE"""),2024.0)</f>
        <v>2024</v>
      </c>
      <c r="AG505" s="1">
        <f>IFERROR(__xludf.DUMMYFUNCTION("""COMPUTED_VALUE"""),284554.0)</f>
        <v>284554</v>
      </c>
      <c r="AH505" s="1">
        <f>IFERROR(__xludf.DUMMYFUNCTION("""COMPUTED_VALUE"""),18.0)</f>
        <v>18</v>
      </c>
      <c r="AI505" s="1" t="str">
        <f>IFERROR(__xludf.DUMMYFUNCTION("""COMPUTED_VALUE"""),"0000415360")</f>
        <v>0000415360</v>
      </c>
      <c r="AJ505" s="1">
        <f>IFERROR(__xludf.DUMMYFUNCTION("""COMPUTED_VALUE"""),7.0704143E7)</f>
        <v>70704143</v>
      </c>
      <c r="AK505" s="1">
        <f>IFERROR(__xludf.DUMMYFUNCTION("""COMPUTED_VALUE"""),9.19505334E8)</f>
        <v>919505334</v>
      </c>
      <c r="AL505" s="1" t="str">
        <f>IFERROR(__xludf.DUMMYFUNCTION("""COMPUTED_VALUE"""),"dlau060607@gmail.com")</f>
        <v>dlau060607@gmail.com</v>
      </c>
      <c r="AM505" s="1" t="str">
        <f>IFERROR(__xludf.DUMMYFUNCTION("""COMPUTED_VALUE"""),"FEMENINO")</f>
        <v>FEMENINO</v>
      </c>
      <c r="AN505" s="1">
        <f>IFERROR(__xludf.DUMMYFUNCTION("""COMPUTED_VALUE"""),1350.0)</f>
        <v>1350</v>
      </c>
      <c r="AO505" s="1">
        <f>IFERROR(__xludf.DUMMYFUNCTION("""COMPUTED_VALUE"""),0.0)</f>
        <v>0</v>
      </c>
      <c r="AP505" s="1" t="str">
        <f>IFERROR(__xludf.DUMMYFUNCTION("""COMPUTED_VALUE"""),"VISITA")</f>
        <v>VISITA</v>
      </c>
      <c r="AQ505" s="1" t="str">
        <f>IFERROR(__xludf.DUMMYFUNCTION("""COMPUTED_VALUE"""),"VISITA")</f>
        <v>VISITA</v>
      </c>
      <c r="AR505" s="1" t="str">
        <f>IFERROR(__xludf.DUMMYFUNCTION("""COMPUTED_VALUE"""),"NUEVO")</f>
        <v>NUEVO</v>
      </c>
      <c r="AS505" s="1"/>
      <c r="AT505" s="2">
        <f>IFERROR(__xludf.DUMMYFUNCTION("""COMPUTED_VALUE"""),45705.0)</f>
        <v>45705</v>
      </c>
      <c r="AU505" s="1">
        <f>IFERROR(__xludf.DUMMYFUNCTION("""COMPUTED_VALUE"""),1.0)</f>
        <v>1</v>
      </c>
      <c r="AV505" s="1" t="str">
        <f>IFERROR(__xludf.DUMMYFUNCTION("""COMPUTED_VALUE"""),"NUEVO")</f>
        <v>NUEVO</v>
      </c>
      <c r="AW505" s="1" t="str">
        <f>IFERROR(__xludf.DUMMYFUNCTION("""COMPUTED_VALUE"""),"SI")</f>
        <v>SI</v>
      </c>
      <c r="AX505" s="1"/>
      <c r="AY505" s="1" t="str">
        <f>IFERROR(__xludf.DUMMYFUNCTION("""COMPUTED_VALUE"""),"PAGO COMPLETO")</f>
        <v>PAGO COMPLETO</v>
      </c>
      <c r="AZ505" s="5">
        <f>IFERROR(__xludf.DUMMYFUNCTION("""COMPUTED_VALUE"""),45706.0)</f>
        <v>45706</v>
      </c>
      <c r="BA505" s="1">
        <f>IFERROR(__xludf.DUMMYFUNCTION("""COMPUTED_VALUE"""),0.0)</f>
        <v>0</v>
      </c>
      <c r="BB505" s="1">
        <f>IFERROR(__xludf.DUMMYFUNCTION("""COMPUTED_VALUE"""),0.0)</f>
        <v>0</v>
      </c>
      <c r="BC505" s="4">
        <f>IFERROR(__xludf.DUMMYFUNCTION("""COMPUTED_VALUE"""),0.0)</f>
        <v>0</v>
      </c>
      <c r="BD505" s="4">
        <f>IFERROR(__xludf.DUMMYFUNCTION("""COMPUTED_VALUE"""),450.0)</f>
        <v>450</v>
      </c>
      <c r="BE505" s="1">
        <f>IFERROR(__xludf.DUMMYFUNCTION("""COMPUTED_VALUE"""),2.0)</f>
        <v>2</v>
      </c>
      <c r="BF505" s="6">
        <f>IFERROR(__xludf.DUMMYFUNCTION("""COMPUTED_VALUE"""),1.0)</f>
        <v>1</v>
      </c>
      <c r="BG505" s="1">
        <f>IFERROR(__xludf.DUMMYFUNCTION("""COMPUTED_VALUE"""),1.0)</f>
        <v>1</v>
      </c>
      <c r="BH505" s="1" t="str">
        <f>IFERROR(__xludf.DUMMYFUNCTION("""COMPUTED_VALUE"""),"0")</f>
        <v>0</v>
      </c>
      <c r="BI505" s="4">
        <f>IFERROR(__xludf.DUMMYFUNCTION("""COMPUTED_VALUE"""),450.0)</f>
        <v>450</v>
      </c>
      <c r="BJ505" s="1">
        <f>IFERROR(__xludf.DUMMYFUNCTION("""COMPUTED_VALUE"""),0.0)</f>
        <v>0</v>
      </c>
      <c r="BK505" s="4">
        <f>IFERROR(__xludf.DUMMYFUNCTION("""COMPUTED_VALUE"""),450.0)</f>
        <v>450</v>
      </c>
      <c r="BL505" s="1">
        <f>IFERROR(__xludf.DUMMYFUNCTION("""COMPUTED_VALUE"""),860.0)</f>
        <v>860</v>
      </c>
      <c r="BM505" s="1">
        <f>IFERROR(__xludf.DUMMYFUNCTION("""COMPUTED_VALUE"""),8.0)</f>
        <v>8</v>
      </c>
      <c r="BN505" s="2">
        <f>IFERROR(__xludf.DUMMYFUNCTION("""COMPUTED_VALUE"""),45705.0)</f>
        <v>45705</v>
      </c>
      <c r="BO505" s="1">
        <f>IFERROR(__xludf.DUMMYFUNCTION("""COMPUTED_VALUE"""),2.0)</f>
        <v>2</v>
      </c>
      <c r="BP505" s="1">
        <f>IFERROR(__xludf.DUMMYFUNCTION("""COMPUTED_VALUE"""),2025.0)</f>
        <v>2025</v>
      </c>
    </row>
    <row r="506">
      <c r="A506" s="1">
        <f>IFERROR(__xludf.DUMMYFUNCTION("""COMPUTED_VALUE"""),505.0)</f>
        <v>505</v>
      </c>
      <c r="B506" s="1">
        <f>IFERROR(__xludf.DUMMYFUNCTION("""COMPUTED_VALUE"""),4938587.0)</f>
        <v>4938587</v>
      </c>
      <c r="C506" s="1" t="str">
        <f>IFERROR(__xludf.DUMMYFUNCTION("""COMPUTED_VALUE"""),"2025-1")</f>
        <v>2025-1</v>
      </c>
      <c r="D506" s="1" t="str">
        <f>IFERROR(__xludf.DUMMYFUNCTION("""COMPUTED_VALUE"""),"Admisión de Alto Rendimiento")</f>
        <v>Admisión de Alto Rendimiento</v>
      </c>
      <c r="E506" s="2">
        <f>IFERROR(__xludf.DUMMYFUNCTION("""COMPUTED_VALUE"""),45707.0)</f>
        <v>45707</v>
      </c>
      <c r="F506" s="1" t="str">
        <f>IFERROR(__xludf.DUMMYFUNCTION("""COMPUTED_VALUE"""),"ARIANA ABIGAIL ")</f>
        <v>ARIANA ABIGAIL </v>
      </c>
      <c r="G506" s="1" t="str">
        <f>IFERROR(__xludf.DUMMYFUNCTION("""COMPUTED_VALUE"""),"SANTOS HUAMANTUCO")</f>
        <v>SANTOS HUAMANTUCO</v>
      </c>
      <c r="H506" s="1" t="str">
        <f>IFERROR(__xludf.DUMMYFUNCTION("""COMPUTED_VALUE"""),"Diseño Gráfico Publicitario")</f>
        <v>Diseño Gráfico Publicitario</v>
      </c>
      <c r="I506" s="1" t="str">
        <f>IFERROR(__xludf.DUMMYFUNCTION("""COMPUTED_VALUE"""),"CARGO")</f>
        <v>CARGO</v>
      </c>
      <c r="J506" s="1" t="str">
        <f>IFERROR(__xludf.DUMMYFUNCTION("""COMPUTED_VALUE"""),"Diurno")</f>
        <v>Diurno</v>
      </c>
      <c r="K506" s="1" t="str">
        <f>IFERROR(__xludf.DUMMYFUNCTION("""COMPUTED_VALUE"""),"NUEVO")</f>
        <v>NUEVO</v>
      </c>
      <c r="L506" s="1">
        <f>IFERROR(__xludf.DUMMYFUNCTION("""COMPUTED_VALUE"""),0.0)</f>
        <v>0</v>
      </c>
      <c r="M506" s="1">
        <f>IFERROR(__xludf.DUMMYFUNCTION("""COMPUTED_VALUE"""),0.0)</f>
        <v>0</v>
      </c>
      <c r="N506" s="1" t="str">
        <f>IFERROR(__xludf.DUMMYFUNCTION("""COMPUTED_VALUE"""),"BECA")</f>
        <v>BECA</v>
      </c>
      <c r="O506" s="1" t="str">
        <f>IFERROR(__xludf.DUMMYFUNCTION("""COMPUTED_VALUE"""),"BECA CONGELADA DE 2 AÑOS")</f>
        <v>BECA CONGELADA DE 2 AÑOS</v>
      </c>
      <c r="P506" s="4">
        <f>IFERROR(__xludf.DUMMYFUNCTION("""COMPUTED_VALUE"""),0.0)</f>
        <v>0</v>
      </c>
      <c r="Q506" s="4">
        <f>IFERROR(__xludf.DUMMYFUNCTION("""COMPUTED_VALUE"""),0.0)</f>
        <v>0</v>
      </c>
      <c r="R506" s="4">
        <f>IFERROR(__xludf.DUMMYFUNCTION("""COMPUTED_VALUE"""),1050.0)</f>
        <v>1050</v>
      </c>
      <c r="S506" s="4">
        <f>IFERROR(__xludf.DUMMYFUNCTION("""COMPUTED_VALUE"""),900.0)</f>
        <v>900</v>
      </c>
      <c r="T506" s="1" t="str">
        <f>IFERROR(__xludf.DUMMYFUNCTION("""COMPUTED_VALUE"""),"PALANCA 500")</f>
        <v>PALANCA 500</v>
      </c>
      <c r="U506" s="1" t="str">
        <f>IFERROR(__xludf.DUMMYFUNCTION("""COMPUTED_VALUE"""),"RODRIGO")</f>
        <v>RODRIGO</v>
      </c>
      <c r="V506" s="1" t="str">
        <f>IFERROR(__xludf.DUMMYFUNCTION("""COMPUTED_VALUE"""),"Ninguno")</f>
        <v>Ninguno</v>
      </c>
      <c r="W506" s="1" t="str">
        <f>IFERROR(__xludf.DUMMYFUNCTION("""COMPUTED_VALUE"""),"Prestigio de la institución")</f>
        <v>Prestigio de la institución</v>
      </c>
      <c r="X506" s="1" t="str">
        <f>IFERROR(__xludf.DUMMYFUNCTION("""COMPUTED_VALUE"""),"0")</f>
        <v>0</v>
      </c>
      <c r="Y506" s="1" t="str">
        <f>IFERROR(__xludf.DUMMYFUNCTION("""COMPUTED_VALUE"""),"PAGO COMPLETO")</f>
        <v>PAGO COMPLETO</v>
      </c>
      <c r="Z506" s="1"/>
      <c r="AA506" s="1"/>
      <c r="AB506" s="1">
        <f>IFERROR(__xludf.DUMMYFUNCTION("""COMPUTED_VALUE"""),0.0)</f>
        <v>0</v>
      </c>
      <c r="AC506" s="1">
        <f>IFERROR(__xludf.DUMMYFUNCTION("""COMPUTED_VALUE"""),0.0)</f>
        <v>0</v>
      </c>
      <c r="AD506" s="1" t="str">
        <f>IFERROR(__xludf.DUMMYFUNCTION("""COMPUTED_VALUE"""),"Andrea Araujo Antara")</f>
        <v>Andrea Araujo Antara</v>
      </c>
      <c r="AE506" s="1" t="str">
        <f>IFERROR(__xludf.DUMMYFUNCTION("""COMPUTED_VALUE"""),"0")</f>
        <v>0</v>
      </c>
      <c r="AF506" s="1">
        <f>IFERROR(__xludf.DUMMYFUNCTION("""COMPUTED_VALUE"""),2024.0)</f>
        <v>2024</v>
      </c>
      <c r="AG506" s="1">
        <f>IFERROR(__xludf.DUMMYFUNCTION("""COMPUTED_VALUE"""),1008564.0)</f>
        <v>1008564</v>
      </c>
      <c r="AH506" s="1">
        <f>IFERROR(__xludf.DUMMYFUNCTION("""COMPUTED_VALUE"""),18.0)</f>
        <v>18</v>
      </c>
      <c r="AI506" s="1" t="str">
        <f>IFERROR(__xludf.DUMMYFUNCTION("""COMPUTED_VALUE"""),"0000408663")</f>
        <v>0000408663</v>
      </c>
      <c r="AJ506" s="1">
        <f>IFERROR(__xludf.DUMMYFUNCTION("""COMPUTED_VALUE"""),7.0957672E7)</f>
        <v>70957672</v>
      </c>
      <c r="AK506" s="1">
        <f>IFERROR(__xludf.DUMMYFUNCTION("""COMPUTED_VALUE"""),9.60636477E8)</f>
        <v>960636477</v>
      </c>
      <c r="AL506" s="1" t="str">
        <f>IFERROR(__xludf.DUMMYFUNCTION("""COMPUTED_VALUE"""),"aiath1920@gmail.com")</f>
        <v>aiath1920@gmail.com</v>
      </c>
      <c r="AM506" s="1" t="str">
        <f>IFERROR(__xludf.DUMMYFUNCTION("""COMPUTED_VALUE"""),"FEMENINO")</f>
        <v>FEMENINO</v>
      </c>
      <c r="AN506" s="1">
        <f>IFERROR(__xludf.DUMMYFUNCTION("""COMPUTED_VALUE"""),1350.0)</f>
        <v>1350</v>
      </c>
      <c r="AO506" s="1">
        <f>IFERROR(__xludf.DUMMYFUNCTION("""COMPUTED_VALUE"""),0.0)</f>
        <v>0</v>
      </c>
      <c r="AP506" s="1" t="str">
        <f>IFERROR(__xludf.DUMMYFUNCTION("""COMPUTED_VALUE"""),"FORMULARIO")</f>
        <v>FORMULARIO</v>
      </c>
      <c r="AQ506" s="1" t="str">
        <f>IFERROR(__xludf.DUMMYFUNCTION("""COMPUTED_VALUE"""),"ORGANICO")</f>
        <v>ORGANICO</v>
      </c>
      <c r="AR506" s="1" t="str">
        <f>IFERROR(__xludf.DUMMYFUNCTION("""COMPUTED_VALUE"""),"NUEVO")</f>
        <v>NUEVO</v>
      </c>
      <c r="AS506" s="1"/>
      <c r="AT506" s="2">
        <f>IFERROR(__xludf.DUMMYFUNCTION("""COMPUTED_VALUE"""),45667.0)</f>
        <v>45667</v>
      </c>
      <c r="AU506" s="1">
        <f>IFERROR(__xludf.DUMMYFUNCTION("""COMPUTED_VALUE"""),1.0)</f>
        <v>1</v>
      </c>
      <c r="AV506" s="1" t="str">
        <f>IFERROR(__xludf.DUMMYFUNCTION("""COMPUTED_VALUE"""),"NUEVO")</f>
        <v>NUEVO</v>
      </c>
      <c r="AW506" s="1" t="str">
        <f>IFERROR(__xludf.DUMMYFUNCTION("""COMPUTED_VALUE"""),"SI")</f>
        <v>SI</v>
      </c>
      <c r="AX506" s="1"/>
      <c r="AY506" s="1" t="str">
        <f>IFERROR(__xludf.DUMMYFUNCTION("""COMPUTED_VALUE"""),"PAGO COMPLETO")</f>
        <v>PAGO COMPLETO</v>
      </c>
      <c r="AZ506" s="5">
        <f>IFERROR(__xludf.DUMMYFUNCTION("""COMPUTED_VALUE"""),45707.0)</f>
        <v>45707</v>
      </c>
      <c r="BA506" s="1">
        <f>IFERROR(__xludf.DUMMYFUNCTION("""COMPUTED_VALUE"""),0.0)</f>
        <v>0</v>
      </c>
      <c r="BB506" s="1">
        <f>IFERROR(__xludf.DUMMYFUNCTION("""COMPUTED_VALUE"""),0.0)</f>
        <v>0</v>
      </c>
      <c r="BC506" s="4">
        <f>IFERROR(__xludf.DUMMYFUNCTION("""COMPUTED_VALUE"""),0.0)</f>
        <v>0</v>
      </c>
      <c r="BD506" s="4">
        <f>IFERROR(__xludf.DUMMYFUNCTION("""COMPUTED_VALUE"""),400.0)</f>
        <v>400</v>
      </c>
      <c r="BE506" s="1">
        <f>IFERROR(__xludf.DUMMYFUNCTION("""COMPUTED_VALUE"""),2.0)</f>
        <v>2</v>
      </c>
      <c r="BF506" s="6">
        <f>IFERROR(__xludf.DUMMYFUNCTION("""COMPUTED_VALUE"""),1.0)</f>
        <v>1</v>
      </c>
      <c r="BG506" s="1">
        <f>IFERROR(__xludf.DUMMYFUNCTION("""COMPUTED_VALUE"""),1.0)</f>
        <v>1</v>
      </c>
      <c r="BH506" s="1" t="str">
        <f>IFERROR(__xludf.DUMMYFUNCTION("""COMPUTED_VALUE"""),"0")</f>
        <v>0</v>
      </c>
      <c r="BI506" s="4">
        <f>IFERROR(__xludf.DUMMYFUNCTION("""COMPUTED_VALUE"""),400.0)</f>
        <v>400</v>
      </c>
      <c r="BJ506" s="1">
        <f>IFERROR(__xludf.DUMMYFUNCTION("""COMPUTED_VALUE"""),0.0)</f>
        <v>0</v>
      </c>
      <c r="BK506" s="4">
        <f>IFERROR(__xludf.DUMMYFUNCTION("""COMPUTED_VALUE"""),400.0)</f>
        <v>400</v>
      </c>
      <c r="BL506" s="1">
        <f>IFERROR(__xludf.DUMMYFUNCTION("""COMPUTED_VALUE"""),820.0)</f>
        <v>820</v>
      </c>
      <c r="BM506" s="1">
        <f>IFERROR(__xludf.DUMMYFUNCTION("""COMPUTED_VALUE"""),8.0)</f>
        <v>8</v>
      </c>
      <c r="BN506" s="2">
        <f>IFERROR(__xludf.DUMMYFUNCTION("""COMPUTED_VALUE"""),45705.0)</f>
        <v>45705</v>
      </c>
      <c r="BO506" s="1">
        <f>IFERROR(__xludf.DUMMYFUNCTION("""COMPUTED_VALUE"""),2.0)</f>
        <v>2</v>
      </c>
      <c r="BP506" s="1">
        <f>IFERROR(__xludf.DUMMYFUNCTION("""COMPUTED_VALUE"""),2025.0)</f>
        <v>2025</v>
      </c>
    </row>
    <row r="507">
      <c r="A507" s="1">
        <f>IFERROR(__xludf.DUMMYFUNCTION("""COMPUTED_VALUE"""),506.0)</f>
        <v>506</v>
      </c>
      <c r="B507" s="1">
        <f>IFERROR(__xludf.DUMMYFUNCTION("""COMPUTED_VALUE"""),5025537.0)</f>
        <v>5025537</v>
      </c>
      <c r="C507" s="1" t="str">
        <f>IFERROR(__xludf.DUMMYFUNCTION("""COMPUTED_VALUE"""),"2025-1")</f>
        <v>2025-1</v>
      </c>
      <c r="D507" s="1" t="str">
        <f>IFERROR(__xludf.DUMMYFUNCTION("""COMPUTED_VALUE"""),"Admisión Ordinaria")</f>
        <v>Admisión Ordinaria</v>
      </c>
      <c r="E507" s="2">
        <f>IFERROR(__xludf.DUMMYFUNCTION("""COMPUTED_VALUE"""),45707.0)</f>
        <v>45707</v>
      </c>
      <c r="F507" s="1" t="str">
        <f>IFERROR(__xludf.DUMMYFUNCTION("""COMPUTED_VALUE"""),"ESTEFANNY NATALIA")</f>
        <v>ESTEFANNY NATALIA</v>
      </c>
      <c r="G507" s="1" t="str">
        <f>IFERROR(__xludf.DUMMYFUNCTION("""COMPUTED_VALUE"""),"CALDERON LINO")</f>
        <v>CALDERON LINO</v>
      </c>
      <c r="H507" s="1" t="str">
        <f>IFERROR(__xludf.DUMMYFUNCTION("""COMPUTED_VALUE"""),"Psicología")</f>
        <v>Psicología</v>
      </c>
      <c r="I507" s="1" t="str">
        <f>IFERROR(__xludf.DUMMYFUNCTION("""COMPUTED_VALUE"""),"CARGO")</f>
        <v>CARGO</v>
      </c>
      <c r="J507" s="1" t="str">
        <f>IFERROR(__xludf.DUMMYFUNCTION("""COMPUTED_VALUE"""),"Diurno")</f>
        <v>Diurno</v>
      </c>
      <c r="K507" s="1" t="str">
        <f>IFERROR(__xludf.DUMMYFUNCTION("""COMPUTED_VALUE"""),"NUEVO")</f>
        <v>NUEVO</v>
      </c>
      <c r="L507" s="1">
        <f>IFERROR(__xludf.DUMMYFUNCTION("""COMPUTED_VALUE"""),0.0)</f>
        <v>0</v>
      </c>
      <c r="M507" s="1">
        <f>IFERROR(__xludf.DUMMYFUNCTION("""COMPUTED_VALUE"""),0.0)</f>
        <v>0</v>
      </c>
      <c r="N507" s="1" t="str">
        <f>IFERROR(__xludf.DUMMYFUNCTION("""COMPUTED_VALUE"""),"BECA")</f>
        <v>BECA</v>
      </c>
      <c r="O507" s="1" t="str">
        <f>IFERROR(__xludf.DUMMYFUNCTION("""COMPUTED_VALUE"""),"BECA CONGELADA DE 2 AÑOS")</f>
        <v>BECA CONGELADA DE 2 AÑOS</v>
      </c>
      <c r="P507" s="4">
        <f>IFERROR(__xludf.DUMMYFUNCTION("""COMPUTED_VALUE"""),0.0)</f>
        <v>0</v>
      </c>
      <c r="Q507" s="4">
        <f>IFERROR(__xludf.DUMMYFUNCTION("""COMPUTED_VALUE"""),0.0)</f>
        <v>0</v>
      </c>
      <c r="R507" s="4">
        <f>IFERROR(__xludf.DUMMYFUNCTION("""COMPUTED_VALUE"""),1050.0)</f>
        <v>1050</v>
      </c>
      <c r="S507" s="4">
        <f>IFERROR(__xludf.DUMMYFUNCTION("""COMPUTED_VALUE"""),900.0)</f>
        <v>900</v>
      </c>
      <c r="T507" s="1" t="str">
        <f>IFERROR(__xludf.DUMMYFUNCTION("""COMPUTED_VALUE"""),"PALANCA 500")</f>
        <v>PALANCA 500</v>
      </c>
      <c r="U507" s="1" t="str">
        <f>IFERROR(__xludf.DUMMYFUNCTION("""COMPUTED_VALUE"""),"FABIOLA")</f>
        <v>FABIOLA</v>
      </c>
      <c r="V507" s="1" t="str">
        <f>IFERROR(__xludf.DUMMYFUNCTION("""COMPUTED_VALUE"""),"Ninguno")</f>
        <v>Ninguno</v>
      </c>
      <c r="W507" s="1" t="str">
        <f>IFERROR(__xludf.DUMMYFUNCTION("""COMPUTED_VALUE"""),"Prestigio de la institución")</f>
        <v>Prestigio de la institución</v>
      </c>
      <c r="X507" s="1"/>
      <c r="Y507" s="1" t="str">
        <f>IFERROR(__xludf.DUMMYFUNCTION("""COMPUTED_VALUE"""),"PAGO COMPLETO")</f>
        <v>PAGO COMPLETO</v>
      </c>
      <c r="Z507" s="1"/>
      <c r="AA507" s="1"/>
      <c r="AB507" s="1">
        <f>IFERROR(__xludf.DUMMYFUNCTION("""COMPUTED_VALUE"""),0.0)</f>
        <v>0</v>
      </c>
      <c r="AC507" s="1">
        <f>IFERROR(__xludf.DUMMYFUNCTION("""COMPUTED_VALUE"""),0.0)</f>
        <v>0</v>
      </c>
      <c r="AD507" s="1" t="str">
        <f>IFERROR(__xludf.DUMMYFUNCTION("""COMPUTED_VALUE"""),"Angelica Iparraguirre")</f>
        <v>Angelica Iparraguirre</v>
      </c>
      <c r="AE507" s="1" t="str">
        <f>IFERROR(__xludf.DUMMYFUNCTION("""COMPUTED_VALUE"""),"0")</f>
        <v>0</v>
      </c>
      <c r="AF507" s="1">
        <f>IFERROR(__xludf.DUMMYFUNCTION("""COMPUTED_VALUE"""),2022.0)</f>
        <v>2022</v>
      </c>
      <c r="AG507" s="1">
        <f>IFERROR(__xludf.DUMMYFUNCTION("""COMPUTED_VALUE"""),1381219.0)</f>
        <v>1381219</v>
      </c>
      <c r="AH507" s="1">
        <f>IFERROR(__xludf.DUMMYFUNCTION("""COMPUTED_VALUE"""),23.0)</f>
        <v>23</v>
      </c>
      <c r="AI507" s="1" t="str">
        <f>IFERROR(__xludf.DUMMYFUNCTION("""COMPUTED_VALUE"""),"0000415427")</f>
        <v>0000415427</v>
      </c>
      <c r="AJ507" s="1">
        <f>IFERROR(__xludf.DUMMYFUNCTION("""COMPUTED_VALUE"""),7.4997437E7)</f>
        <v>74997437</v>
      </c>
      <c r="AK507" s="1">
        <f>IFERROR(__xludf.DUMMYFUNCTION("""COMPUTED_VALUE"""),9.70797993E8)</f>
        <v>970797993</v>
      </c>
      <c r="AL507" s="1" t="str">
        <f>IFERROR(__xludf.DUMMYFUNCTION("""COMPUTED_VALUE"""),"estefanny.natalia28@gmail.com")</f>
        <v>estefanny.natalia28@gmail.com</v>
      </c>
      <c r="AM507" s="1" t="str">
        <f>IFERROR(__xludf.DUMMYFUNCTION("""COMPUTED_VALUE"""),"FEMENINO")</f>
        <v>FEMENINO</v>
      </c>
      <c r="AN507" s="1">
        <f>IFERROR(__xludf.DUMMYFUNCTION("""COMPUTED_VALUE"""),1350.0)</f>
        <v>1350</v>
      </c>
      <c r="AO507" s="1">
        <f>IFERROR(__xludf.DUMMYFUNCTION("""COMPUTED_VALUE"""),0.0)</f>
        <v>0</v>
      </c>
      <c r="AP507" s="1" t="str">
        <f>IFERROR(__xludf.DUMMYFUNCTION("""COMPUTED_VALUE"""),"OUTBOUND")</f>
        <v>OUTBOUND</v>
      </c>
      <c r="AQ507" s="1" t="str">
        <f>IFERROR(__xludf.DUMMYFUNCTION("""COMPUTED_VALUE"""),"OUTBOUND")</f>
        <v>OUTBOUND</v>
      </c>
      <c r="AR507" s="1" t="str">
        <f>IFERROR(__xludf.DUMMYFUNCTION("""COMPUTED_VALUE"""),"NUEVO")</f>
        <v>NUEVO</v>
      </c>
      <c r="AS507" s="1"/>
      <c r="AT507" s="2">
        <f>IFERROR(__xludf.DUMMYFUNCTION("""COMPUTED_VALUE"""),45705.0)</f>
        <v>45705</v>
      </c>
      <c r="AU507" s="1">
        <f>IFERROR(__xludf.DUMMYFUNCTION("""COMPUTED_VALUE"""),1.0)</f>
        <v>1</v>
      </c>
      <c r="AV507" s="1" t="str">
        <f>IFERROR(__xludf.DUMMYFUNCTION("""COMPUTED_VALUE"""),"NUEVO")</f>
        <v>NUEVO</v>
      </c>
      <c r="AW507" s="1" t="str">
        <f>IFERROR(__xludf.DUMMYFUNCTION("""COMPUTED_VALUE"""),"SI")</f>
        <v>SI</v>
      </c>
      <c r="AX507" s="1"/>
      <c r="AY507" s="1" t="str">
        <f>IFERROR(__xludf.DUMMYFUNCTION("""COMPUTED_VALUE"""),"PAGO COMPLETO")</f>
        <v>PAGO COMPLETO</v>
      </c>
      <c r="AZ507" s="5">
        <f>IFERROR(__xludf.DUMMYFUNCTION("""COMPUTED_VALUE"""),45707.0)</f>
        <v>45707</v>
      </c>
      <c r="BA507" s="1">
        <f>IFERROR(__xludf.DUMMYFUNCTION("""COMPUTED_VALUE"""),0.0)</f>
        <v>0</v>
      </c>
      <c r="BB507" s="1">
        <f>IFERROR(__xludf.DUMMYFUNCTION("""COMPUTED_VALUE"""),0.0)</f>
        <v>0</v>
      </c>
      <c r="BC507" s="4">
        <f>IFERROR(__xludf.DUMMYFUNCTION("""COMPUTED_VALUE"""),0.0)</f>
        <v>0</v>
      </c>
      <c r="BD507" s="4">
        <f>IFERROR(__xludf.DUMMYFUNCTION("""COMPUTED_VALUE"""),400.0)</f>
        <v>400</v>
      </c>
      <c r="BE507" s="1">
        <f>IFERROR(__xludf.DUMMYFUNCTION("""COMPUTED_VALUE"""),2.0)</f>
        <v>2</v>
      </c>
      <c r="BF507" s="6">
        <f>IFERROR(__xludf.DUMMYFUNCTION("""COMPUTED_VALUE"""),1.0)</f>
        <v>1</v>
      </c>
      <c r="BG507" s="1">
        <f>IFERROR(__xludf.DUMMYFUNCTION("""COMPUTED_VALUE"""),1.0)</f>
        <v>1</v>
      </c>
      <c r="BH507" s="1" t="str">
        <f>IFERROR(__xludf.DUMMYFUNCTION("""COMPUTED_VALUE"""),"0")</f>
        <v>0</v>
      </c>
      <c r="BI507" s="4">
        <f>IFERROR(__xludf.DUMMYFUNCTION("""COMPUTED_VALUE"""),400.0)</f>
        <v>400</v>
      </c>
      <c r="BJ507" s="1">
        <f>IFERROR(__xludf.DUMMYFUNCTION("""COMPUTED_VALUE"""),0.0)</f>
        <v>0</v>
      </c>
      <c r="BK507" s="4">
        <f>IFERROR(__xludf.DUMMYFUNCTION("""COMPUTED_VALUE"""),400.0)</f>
        <v>400</v>
      </c>
      <c r="BL507" s="1">
        <f>IFERROR(__xludf.DUMMYFUNCTION("""COMPUTED_VALUE"""),820.0)</f>
        <v>820</v>
      </c>
      <c r="BM507" s="1">
        <f>IFERROR(__xludf.DUMMYFUNCTION("""COMPUTED_VALUE"""),8.0)</f>
        <v>8</v>
      </c>
      <c r="BN507" s="2">
        <f>IFERROR(__xludf.DUMMYFUNCTION("""COMPUTED_VALUE"""),45705.0)</f>
        <v>45705</v>
      </c>
      <c r="BO507" s="1">
        <f>IFERROR(__xludf.DUMMYFUNCTION("""COMPUTED_VALUE"""),2.0)</f>
        <v>2</v>
      </c>
      <c r="BP507" s="1">
        <f>IFERROR(__xludf.DUMMYFUNCTION("""COMPUTED_VALUE"""),2025.0)</f>
        <v>2025</v>
      </c>
    </row>
    <row r="508">
      <c r="A508" s="1">
        <f>IFERROR(__xludf.DUMMYFUNCTION("""COMPUTED_VALUE"""),507.0)</f>
        <v>507</v>
      </c>
      <c r="B508" s="1">
        <f>IFERROR(__xludf.DUMMYFUNCTION("""COMPUTED_VALUE"""),5028709.0)</f>
        <v>5028709</v>
      </c>
      <c r="C508" s="1" t="str">
        <f>IFERROR(__xludf.DUMMYFUNCTION("""COMPUTED_VALUE"""),"2025-1")</f>
        <v>2025-1</v>
      </c>
      <c r="D508" s="1" t="str">
        <f>IFERROR(__xludf.DUMMYFUNCTION("""COMPUTED_VALUE"""),"Admisión Ordinaria")</f>
        <v>Admisión Ordinaria</v>
      </c>
      <c r="E508" s="2">
        <f>IFERROR(__xludf.DUMMYFUNCTION("""COMPUTED_VALUE"""),45707.0)</f>
        <v>45707</v>
      </c>
      <c r="F508" s="1" t="str">
        <f>IFERROR(__xludf.DUMMYFUNCTION("""COMPUTED_VALUE"""),"ALFREDO CARLOS DANIEL ARISTOTELES ")</f>
        <v>ALFREDO CARLOS DANIEL ARISTOTELES </v>
      </c>
      <c r="G508" s="1" t="str">
        <f>IFERROR(__xludf.DUMMYFUNCTION("""COMPUTED_VALUE"""),"GUERRA HUIRSE")</f>
        <v>GUERRA HUIRSE</v>
      </c>
      <c r="H508" s="1" t="str">
        <f>IFERROR(__xludf.DUMMYFUNCTION("""COMPUTED_VALUE"""),"Psicología")</f>
        <v>Psicología</v>
      </c>
      <c r="I508" s="1" t="str">
        <f>IFERROR(__xludf.DUMMYFUNCTION("""COMPUTED_VALUE"""),"CARGO")</f>
        <v>CARGO</v>
      </c>
      <c r="J508" s="1" t="str">
        <f>IFERROR(__xludf.DUMMYFUNCTION("""COMPUTED_VALUE"""),"Nocturno - A distancia")</f>
        <v>Nocturno - A distancia</v>
      </c>
      <c r="K508" s="1" t="str">
        <f>IFERROR(__xludf.DUMMYFUNCTION("""COMPUTED_VALUE"""),"NUEVO")</f>
        <v>NUEVO</v>
      </c>
      <c r="L508" s="1">
        <f>IFERROR(__xludf.DUMMYFUNCTION("""COMPUTED_VALUE"""),0.0)</f>
        <v>0</v>
      </c>
      <c r="M508" s="1">
        <f>IFERROR(__xludf.DUMMYFUNCTION("""COMPUTED_VALUE"""),0.0)</f>
        <v>0</v>
      </c>
      <c r="N508" s="1" t="str">
        <f>IFERROR(__xludf.DUMMYFUNCTION("""COMPUTED_VALUE"""),"ESCALA DISTANCIA")</f>
        <v>ESCALA DISTANCIA</v>
      </c>
      <c r="O508" s="1" t="str">
        <f>IFERROR(__xludf.DUMMYFUNCTION("""COMPUTED_VALUE"""),"ESCALA DISTANCIA REGULAR")</f>
        <v>ESCALA DISTANCIA REGULAR</v>
      </c>
      <c r="P508" s="4">
        <f>IFERROR(__xludf.DUMMYFUNCTION("""COMPUTED_VALUE"""),0.0)</f>
        <v>0</v>
      </c>
      <c r="Q508" s="4">
        <f>IFERROR(__xludf.DUMMYFUNCTION("""COMPUTED_VALUE"""),0.0)</f>
        <v>0</v>
      </c>
      <c r="R508" s="4">
        <f>IFERROR(__xludf.DUMMYFUNCTION("""COMPUTED_VALUE"""),1350.0)</f>
        <v>1350</v>
      </c>
      <c r="S508" s="4">
        <f>IFERROR(__xludf.DUMMYFUNCTION("""COMPUTED_VALUE"""),700.0)</f>
        <v>700</v>
      </c>
      <c r="T508" s="1" t="str">
        <f>IFERROR(__xludf.DUMMYFUNCTION("""COMPUTED_VALUE"""),"NINGUNO")</f>
        <v>NINGUNO</v>
      </c>
      <c r="U508" s="1" t="str">
        <f>IFERROR(__xludf.DUMMYFUNCTION("""COMPUTED_VALUE"""),"FABIOLA")</f>
        <v>FABIOLA</v>
      </c>
      <c r="V508" s="1" t="str">
        <f>IFERROR(__xludf.DUMMYFUNCTION("""COMPUTED_VALUE"""),"Fiorella Lanegra")</f>
        <v>Fiorella Lanegra</v>
      </c>
      <c r="W508" s="1" t="str">
        <f>IFERROR(__xludf.DUMMYFUNCTION("""COMPUTED_VALUE"""),"Malla curricular")</f>
        <v>Malla curricular</v>
      </c>
      <c r="X508" s="1"/>
      <c r="Y508" s="1" t="str">
        <f>IFERROR(__xludf.DUMMYFUNCTION("""COMPUTED_VALUE"""),"PAGO COMPLETO")</f>
        <v>PAGO COMPLETO</v>
      </c>
      <c r="Z508" s="1"/>
      <c r="AA508" s="1"/>
      <c r="AB508" s="1">
        <f>IFERROR(__xludf.DUMMYFUNCTION("""COMPUTED_VALUE"""),0.0)</f>
        <v>0</v>
      </c>
      <c r="AC508" s="1">
        <f>IFERROR(__xludf.DUMMYFUNCTION("""COMPUTED_VALUE"""),0.0)</f>
        <v>0</v>
      </c>
      <c r="AD508" s="1" t="str">
        <f>IFERROR(__xludf.DUMMYFUNCTION("""COMPUTED_VALUE"""),"Fiorella Lanegra")</f>
        <v>Fiorella Lanegra</v>
      </c>
      <c r="AE508" s="1" t="str">
        <f>IFERROR(__xludf.DUMMYFUNCTION("""COMPUTED_VALUE"""),"0")</f>
        <v>0</v>
      </c>
      <c r="AF508" s="1">
        <f>IFERROR(__xludf.DUMMYFUNCTION("""COMPUTED_VALUE"""),1982.0)</f>
        <v>1982</v>
      </c>
      <c r="AG508" s="1">
        <f>IFERROR(__xludf.DUMMYFUNCTION("""COMPUTED_VALUE"""),729632.0)</f>
        <v>729632</v>
      </c>
      <c r="AH508" s="1">
        <f>IFERROR(__xludf.DUMMYFUNCTION("""COMPUTED_VALUE"""),61.0)</f>
        <v>61</v>
      </c>
      <c r="AI508" s="1" t="str">
        <f>IFERROR(__xludf.DUMMYFUNCTION("""COMPUTED_VALUE"""),"0000415369")</f>
        <v>0000415369</v>
      </c>
      <c r="AJ508" s="1">
        <f>IFERROR(__xludf.DUMMYFUNCTION("""COMPUTED_VALUE"""),7779190.0)</f>
        <v>7779190</v>
      </c>
      <c r="AK508" s="1">
        <f>IFERROR(__xludf.DUMMYFUNCTION("""COMPUTED_VALUE"""),9.87213233E8)</f>
        <v>987213233</v>
      </c>
      <c r="AL508" s="1" t="str">
        <f>IFERROR(__xludf.DUMMYFUNCTION("""COMPUTED_VALUE"""),"alfredoguerra.h@gmail.com")</f>
        <v>alfredoguerra.h@gmail.com</v>
      </c>
      <c r="AM508" s="1" t="str">
        <f>IFERROR(__xludf.DUMMYFUNCTION("""COMPUTED_VALUE"""),"MASCULINO")</f>
        <v>MASCULINO</v>
      </c>
      <c r="AN508" s="1">
        <f>IFERROR(__xludf.DUMMYFUNCTION("""COMPUTED_VALUE"""),1350.0)</f>
        <v>1350</v>
      </c>
      <c r="AO508" s="1">
        <f>IFERROR(__xludf.DUMMYFUNCTION("""COMPUTED_VALUE"""),0.0)</f>
        <v>0</v>
      </c>
      <c r="AP508" s="1" t="str">
        <f>IFERROR(__xludf.DUMMYFUNCTION("""COMPUTED_VALUE"""),"BIDIRECCIONAL")</f>
        <v>BIDIRECCIONAL</v>
      </c>
      <c r="AQ508" s="1" t="str">
        <f>IFERROR(__xludf.DUMMYFUNCTION("""COMPUTED_VALUE"""),"ORGANICO")</f>
        <v>ORGANICO</v>
      </c>
      <c r="AR508" s="1" t="str">
        <f>IFERROR(__xludf.DUMMYFUNCTION("""COMPUTED_VALUE"""),"NUEVO")</f>
        <v>NUEVO</v>
      </c>
      <c r="AS508" s="1"/>
      <c r="AT508" s="2">
        <f>IFERROR(__xludf.DUMMYFUNCTION("""COMPUTED_VALUE"""),45706.0)</f>
        <v>45706</v>
      </c>
      <c r="AU508" s="1">
        <f>IFERROR(__xludf.DUMMYFUNCTION("""COMPUTED_VALUE"""),1.0)</f>
        <v>1</v>
      </c>
      <c r="AV508" s="1" t="str">
        <f>IFERROR(__xludf.DUMMYFUNCTION("""COMPUTED_VALUE"""),"NUEVO")</f>
        <v>NUEVO</v>
      </c>
      <c r="AW508" s="1" t="str">
        <f>IFERROR(__xludf.DUMMYFUNCTION("""COMPUTED_VALUE"""),"SI")</f>
        <v>SI</v>
      </c>
      <c r="AX508" s="1"/>
      <c r="AY508" s="1" t="str">
        <f>IFERROR(__xludf.DUMMYFUNCTION("""COMPUTED_VALUE"""),"PAGO COMPLETO")</f>
        <v>PAGO COMPLETO</v>
      </c>
      <c r="AZ508" s="5">
        <f>IFERROR(__xludf.DUMMYFUNCTION("""COMPUTED_VALUE"""),45707.0)</f>
        <v>45707</v>
      </c>
      <c r="BA508" s="1">
        <f>IFERROR(__xludf.DUMMYFUNCTION("""COMPUTED_VALUE"""),0.0)</f>
        <v>0</v>
      </c>
      <c r="BB508" s="1">
        <f>IFERROR(__xludf.DUMMYFUNCTION("""COMPUTED_VALUE"""),0.0)</f>
        <v>0</v>
      </c>
      <c r="BC508" s="4">
        <f>IFERROR(__xludf.DUMMYFUNCTION("""COMPUTED_VALUE"""),0.0)</f>
        <v>0</v>
      </c>
      <c r="BD508" s="4">
        <f>IFERROR(__xludf.DUMMYFUNCTION("""COMPUTED_VALUE"""),0.0)</f>
        <v>0</v>
      </c>
      <c r="BE508" s="1">
        <f>IFERROR(__xludf.DUMMYFUNCTION("""COMPUTED_VALUE"""),2.0)</f>
        <v>2</v>
      </c>
      <c r="BF508" s="6">
        <f>IFERROR(__xludf.DUMMYFUNCTION("""COMPUTED_VALUE"""),1.0)</f>
        <v>1</v>
      </c>
      <c r="BG508" s="1">
        <f>IFERROR(__xludf.DUMMYFUNCTION("""COMPUTED_VALUE"""),1.0)</f>
        <v>1</v>
      </c>
      <c r="BH508" s="1" t="str">
        <f>IFERROR(__xludf.DUMMYFUNCTION("""COMPUTED_VALUE"""),"0")</f>
        <v>0</v>
      </c>
      <c r="BI508" s="4">
        <f>IFERROR(__xludf.DUMMYFUNCTION("""COMPUTED_VALUE"""),0.0)</f>
        <v>0</v>
      </c>
      <c r="BJ508" s="1">
        <f>IFERROR(__xludf.DUMMYFUNCTION("""COMPUTED_VALUE"""),0.0)</f>
        <v>0</v>
      </c>
      <c r="BK508" s="4">
        <f>IFERROR(__xludf.DUMMYFUNCTION("""COMPUTED_VALUE"""),0.0)</f>
        <v>0</v>
      </c>
      <c r="BL508" s="1">
        <f>IFERROR(__xludf.DUMMYFUNCTION("""COMPUTED_VALUE"""),700.0)</f>
        <v>700</v>
      </c>
      <c r="BM508" s="1">
        <f>IFERROR(__xludf.DUMMYFUNCTION("""COMPUTED_VALUE"""),8.0)</f>
        <v>8</v>
      </c>
      <c r="BN508" s="2">
        <f>IFERROR(__xludf.DUMMYFUNCTION("""COMPUTED_VALUE"""),45705.0)</f>
        <v>45705</v>
      </c>
      <c r="BO508" s="1">
        <f>IFERROR(__xludf.DUMMYFUNCTION("""COMPUTED_VALUE"""),2.0)</f>
        <v>2</v>
      </c>
      <c r="BP508" s="1">
        <f>IFERROR(__xludf.DUMMYFUNCTION("""COMPUTED_VALUE"""),2025.0)</f>
        <v>2025</v>
      </c>
    </row>
    <row r="509">
      <c r="A509" s="1">
        <f>IFERROR(__xludf.DUMMYFUNCTION("""COMPUTED_VALUE"""),508.0)</f>
        <v>508</v>
      </c>
      <c r="B509" s="1">
        <f>IFERROR(__xludf.DUMMYFUNCTION("""COMPUTED_VALUE"""),4783874.0)</f>
        <v>4783874</v>
      </c>
      <c r="C509" s="1" t="str">
        <f>IFERROR(__xludf.DUMMYFUNCTION("""COMPUTED_VALUE"""),"2025-1")</f>
        <v>2025-1</v>
      </c>
      <c r="D509" s="1" t="str">
        <f>IFERROR(__xludf.DUMMYFUNCTION("""COMPUTED_VALUE"""),"Admisión de Alto Rendimiento")</f>
        <v>Admisión de Alto Rendimiento</v>
      </c>
      <c r="E509" s="2">
        <f>IFERROR(__xludf.DUMMYFUNCTION("""COMPUTED_VALUE"""),45707.0)</f>
        <v>45707</v>
      </c>
      <c r="F509" s="1" t="str">
        <f>IFERROR(__xludf.DUMMYFUNCTION("""COMPUTED_VALUE"""),"MIA REBECA ")</f>
        <v>MIA REBECA </v>
      </c>
      <c r="G509" s="1" t="str">
        <f>IFERROR(__xludf.DUMMYFUNCTION("""COMPUTED_VALUE"""),"RIVERA RUIZ")</f>
        <v>RIVERA RUIZ</v>
      </c>
      <c r="H509" s="1" t="str">
        <f>IFERROR(__xludf.DUMMYFUNCTION("""COMPUTED_VALUE"""),"Comunicación y Publicidad Transmedia")</f>
        <v>Comunicación y Publicidad Transmedia</v>
      </c>
      <c r="I509" s="1" t="str">
        <f>IFERROR(__xludf.DUMMYFUNCTION("""COMPUTED_VALUE"""),"POS")</f>
        <v>POS</v>
      </c>
      <c r="J509" s="1" t="str">
        <f>IFERROR(__xludf.DUMMYFUNCTION("""COMPUTED_VALUE"""),"Diurno")</f>
        <v>Diurno</v>
      </c>
      <c r="K509" s="1" t="str">
        <f>IFERROR(__xludf.DUMMYFUNCTION("""COMPUTED_VALUE"""),"NUEVO")</f>
        <v>NUEVO</v>
      </c>
      <c r="L509" s="1">
        <f>IFERROR(__xludf.DUMMYFUNCTION("""COMPUTED_VALUE"""),0.0)</f>
        <v>0</v>
      </c>
      <c r="M509" s="1">
        <f>IFERROR(__xludf.DUMMYFUNCTION("""COMPUTED_VALUE"""),0.0)</f>
        <v>0</v>
      </c>
      <c r="N509" s="1" t="str">
        <f>IFERROR(__xludf.DUMMYFUNCTION("""COMPUTED_VALUE"""),"BECA")</f>
        <v>BECA</v>
      </c>
      <c r="O509" s="1" t="str">
        <f>IFERROR(__xludf.DUMMYFUNCTION("""COMPUTED_VALUE"""),"BECA CARRERAS CORE")</f>
        <v>BECA CARRERAS CORE</v>
      </c>
      <c r="P509" s="4">
        <f>IFERROR(__xludf.DUMMYFUNCTION("""COMPUTED_VALUE"""),0.0)</f>
        <v>0</v>
      </c>
      <c r="Q509" s="4">
        <f>IFERROR(__xludf.DUMMYFUNCTION("""COMPUTED_VALUE"""),0.0)</f>
        <v>0</v>
      </c>
      <c r="R509" s="4">
        <f>IFERROR(__xludf.DUMMYFUNCTION("""COMPUTED_VALUE"""),1050.0)</f>
        <v>1050</v>
      </c>
      <c r="S509" s="4">
        <f>IFERROR(__xludf.DUMMYFUNCTION("""COMPUTED_VALUE"""),950.0)</f>
        <v>950</v>
      </c>
      <c r="T509" s="1" t="str">
        <f>IFERROR(__xludf.DUMMYFUNCTION("""COMPUTED_VALUE"""),"PALANCA 500")</f>
        <v>PALANCA 500</v>
      </c>
      <c r="U509" s="1" t="str">
        <f>IFERROR(__xludf.DUMMYFUNCTION("""COMPUTED_VALUE"""),"RODRIGO")</f>
        <v>RODRIGO</v>
      </c>
      <c r="V509" s="1" t="str">
        <f>IFERROR(__xludf.DUMMYFUNCTION("""COMPUTED_VALUE"""),"Ninguno")</f>
        <v>Ninguno</v>
      </c>
      <c r="W509" s="1" t="str">
        <f>IFERROR(__xludf.DUMMYFUNCTION("""COMPUTED_VALUE"""),"Beca")</f>
        <v>Beca</v>
      </c>
      <c r="X509" s="1" t="str">
        <f>IFERROR(__xludf.DUMMYFUNCTION("""COMPUTED_VALUE"""),"palanca 500")</f>
        <v>palanca 500</v>
      </c>
      <c r="Y509" s="1" t="str">
        <f>IFERROR(__xludf.DUMMYFUNCTION("""COMPUTED_VALUE"""),"PAGO COMPLETO")</f>
        <v>PAGO COMPLETO</v>
      </c>
      <c r="Z509" s="1"/>
      <c r="AA509" s="1"/>
      <c r="AB509" s="1">
        <f>IFERROR(__xludf.DUMMYFUNCTION("""COMPUTED_VALUE"""),0.0)</f>
        <v>0</v>
      </c>
      <c r="AC509" s="1">
        <f>IFERROR(__xludf.DUMMYFUNCTION("""COMPUTED_VALUE"""),0.0)</f>
        <v>0</v>
      </c>
      <c r="AD509" s="1" t="str">
        <f>IFERROR(__xludf.DUMMYFUNCTION("""COMPUTED_VALUE"""),"Rosa Ugarte")</f>
        <v>Rosa Ugarte</v>
      </c>
      <c r="AE509" s="1" t="str">
        <f>IFERROR(__xludf.DUMMYFUNCTION("""COMPUTED_VALUE"""),"0")</f>
        <v>0</v>
      </c>
      <c r="AF509" s="1">
        <f>IFERROR(__xludf.DUMMYFUNCTION("""COMPUTED_VALUE"""),2023.0)</f>
        <v>2023</v>
      </c>
      <c r="AG509" s="1">
        <f>IFERROR(__xludf.DUMMYFUNCTION("""COMPUTED_VALUE"""),1311281.0)</f>
        <v>1311281</v>
      </c>
      <c r="AH509" s="1">
        <f>IFERROR(__xludf.DUMMYFUNCTION("""COMPUTED_VALUE"""),19.0)</f>
        <v>19</v>
      </c>
      <c r="AI509" s="1" t="str">
        <f>IFERROR(__xludf.DUMMYFUNCTION("""COMPUTED_VALUE"""),"0000415477")</f>
        <v>0000415477</v>
      </c>
      <c r="AJ509" s="1">
        <f>IFERROR(__xludf.DUMMYFUNCTION("""COMPUTED_VALUE"""),7.7558555E7)</f>
        <v>77558555</v>
      </c>
      <c r="AK509" s="1">
        <f>IFERROR(__xludf.DUMMYFUNCTION("""COMPUTED_VALUE"""),9.2777196E8)</f>
        <v>927771960</v>
      </c>
      <c r="AL509" s="1" t="str">
        <f>IFERROR(__xludf.DUMMYFUNCTION("""COMPUTED_VALUE"""),"miariveraruiz1827@gmail.com")</f>
        <v>miariveraruiz1827@gmail.com</v>
      </c>
      <c r="AM509" s="1" t="str">
        <f>IFERROR(__xludf.DUMMYFUNCTION("""COMPUTED_VALUE"""),"FEMENINO")</f>
        <v>FEMENINO</v>
      </c>
      <c r="AN509" s="1">
        <f>IFERROR(__xludf.DUMMYFUNCTION("""COMPUTED_VALUE"""),1350.0)</f>
        <v>1350</v>
      </c>
      <c r="AO509" s="1">
        <f>IFERROR(__xludf.DUMMYFUNCTION("""COMPUTED_VALUE"""),255.0)</f>
        <v>255</v>
      </c>
      <c r="AP509" s="1" t="str">
        <f>IFERROR(__xludf.DUMMYFUNCTION("""COMPUTED_VALUE"""),"FORMULARIO")</f>
        <v>FORMULARIO</v>
      </c>
      <c r="AQ509" s="1" t="str">
        <f>IFERROR(__xludf.DUMMYFUNCTION("""COMPUTED_VALUE"""),"ORGANICO")</f>
        <v>ORGANICO</v>
      </c>
      <c r="AR509" s="1" t="str">
        <f>IFERROR(__xludf.DUMMYFUNCTION("""COMPUTED_VALUE"""),"NUEVO")</f>
        <v>NUEVO</v>
      </c>
      <c r="AS509" s="1"/>
      <c r="AT509" s="2">
        <f>IFERROR(__xludf.DUMMYFUNCTION("""COMPUTED_VALUE"""),45599.0)</f>
        <v>45599</v>
      </c>
      <c r="AU509" s="1">
        <f>IFERROR(__xludf.DUMMYFUNCTION("""COMPUTED_VALUE"""),1.0)</f>
        <v>1</v>
      </c>
      <c r="AV509" s="1" t="str">
        <f>IFERROR(__xludf.DUMMYFUNCTION("""COMPUTED_VALUE"""),"NUEVO")</f>
        <v>NUEVO</v>
      </c>
      <c r="AW509" s="1" t="str">
        <f>IFERROR(__xludf.DUMMYFUNCTION("""COMPUTED_VALUE"""),"SI")</f>
        <v>SI</v>
      </c>
      <c r="AX509" s="1"/>
      <c r="AY509" s="1" t="str">
        <f>IFERROR(__xludf.DUMMYFUNCTION("""COMPUTED_VALUE"""),"PAGO COMPLETO")</f>
        <v>PAGO COMPLETO</v>
      </c>
      <c r="AZ509" s="5">
        <f>IFERROR(__xludf.DUMMYFUNCTION("""COMPUTED_VALUE"""),45707.0)</f>
        <v>45707</v>
      </c>
      <c r="BA509" s="1">
        <f>IFERROR(__xludf.DUMMYFUNCTION("""COMPUTED_VALUE"""),0.0)</f>
        <v>0</v>
      </c>
      <c r="BB509" s="1">
        <f>IFERROR(__xludf.DUMMYFUNCTION("""COMPUTED_VALUE"""),0.0)</f>
        <v>0</v>
      </c>
      <c r="BC509" s="4">
        <f>IFERROR(__xludf.DUMMYFUNCTION("""COMPUTED_VALUE"""),0.0)</f>
        <v>0</v>
      </c>
      <c r="BD509" s="4">
        <f>IFERROR(__xludf.DUMMYFUNCTION("""COMPUTED_VALUE"""),450.0)</f>
        <v>450</v>
      </c>
      <c r="BE509" s="1">
        <f>IFERROR(__xludf.DUMMYFUNCTION("""COMPUTED_VALUE"""),2.0)</f>
        <v>2</v>
      </c>
      <c r="BF509" s="6">
        <f>IFERROR(__xludf.DUMMYFUNCTION("""COMPUTED_VALUE"""),1.0)</f>
        <v>1</v>
      </c>
      <c r="BG509" s="1">
        <f>IFERROR(__xludf.DUMMYFUNCTION("""COMPUTED_VALUE"""),1.0)</f>
        <v>1</v>
      </c>
      <c r="BH509" s="1" t="str">
        <f>IFERROR(__xludf.DUMMYFUNCTION("""COMPUTED_VALUE"""),"0")</f>
        <v>0</v>
      </c>
      <c r="BI509" s="4">
        <f>IFERROR(__xludf.DUMMYFUNCTION("""COMPUTED_VALUE"""),450.0)</f>
        <v>450</v>
      </c>
      <c r="BJ509" s="1">
        <f>IFERROR(__xludf.DUMMYFUNCTION("""COMPUTED_VALUE"""),0.0)</f>
        <v>0</v>
      </c>
      <c r="BK509" s="4">
        <f>IFERROR(__xludf.DUMMYFUNCTION("""COMPUTED_VALUE"""),450.0)</f>
        <v>450</v>
      </c>
      <c r="BL509" s="1">
        <f>IFERROR(__xludf.DUMMYFUNCTION("""COMPUTED_VALUE"""),860.0)</f>
        <v>860</v>
      </c>
      <c r="BM509" s="1">
        <f>IFERROR(__xludf.DUMMYFUNCTION("""COMPUTED_VALUE"""),8.0)</f>
        <v>8</v>
      </c>
      <c r="BN509" s="2">
        <f>IFERROR(__xludf.DUMMYFUNCTION("""COMPUTED_VALUE"""),45705.0)</f>
        <v>45705</v>
      </c>
      <c r="BO509" s="1">
        <f>IFERROR(__xludf.DUMMYFUNCTION("""COMPUTED_VALUE"""),2.0)</f>
        <v>2</v>
      </c>
      <c r="BP509" s="1">
        <f>IFERROR(__xludf.DUMMYFUNCTION("""COMPUTED_VALUE"""),2025.0)</f>
        <v>2025</v>
      </c>
    </row>
    <row r="510">
      <c r="A510" s="1">
        <f>IFERROR(__xludf.DUMMYFUNCTION("""COMPUTED_VALUE"""),509.0)</f>
        <v>509</v>
      </c>
      <c r="B510" s="1">
        <f>IFERROR(__xludf.DUMMYFUNCTION("""COMPUTED_VALUE"""),5009057.0)</f>
        <v>5009057</v>
      </c>
      <c r="C510" s="1" t="str">
        <f>IFERROR(__xludf.DUMMYFUNCTION("""COMPUTED_VALUE"""),"2025-1")</f>
        <v>2025-1</v>
      </c>
      <c r="D510" s="1" t="str">
        <f>IFERROR(__xludf.DUMMYFUNCTION("""COMPUTED_VALUE"""),"Admisión Extraordinaria (Traslados)")</f>
        <v>Admisión Extraordinaria (Traslados)</v>
      </c>
      <c r="E510" s="2">
        <f>IFERROR(__xludf.DUMMYFUNCTION("""COMPUTED_VALUE"""),45707.0)</f>
        <v>45707</v>
      </c>
      <c r="F510" s="1" t="str">
        <f>IFERROR(__xludf.DUMMYFUNCTION("""COMPUTED_VALUE"""),"ADAN ISRAEL ")</f>
        <v>ADAN ISRAEL </v>
      </c>
      <c r="G510" s="1" t="str">
        <f>IFERROR(__xludf.DUMMYFUNCTION("""COMPUTED_VALUE"""),"VICENTE YLLESCAS")</f>
        <v>VICENTE YLLESCAS</v>
      </c>
      <c r="H510" s="1" t="str">
        <f>IFERROR(__xludf.DUMMYFUNCTION("""COMPUTED_VALUE"""),"Comunicación Audiovisual y Cine")</f>
        <v>Comunicación Audiovisual y Cine</v>
      </c>
      <c r="I510" s="1" t="str">
        <f>IFERROR(__xludf.DUMMYFUNCTION("""COMPUTED_VALUE"""),"CARGO")</f>
        <v>CARGO</v>
      </c>
      <c r="J510" s="1" t="str">
        <f>IFERROR(__xludf.DUMMYFUNCTION("""COMPUTED_VALUE"""),"Diurno")</f>
        <v>Diurno</v>
      </c>
      <c r="K510" s="1" t="str">
        <f>IFERROR(__xludf.DUMMYFUNCTION("""COMPUTED_VALUE"""),"TRASLADO")</f>
        <v>TRASLADO</v>
      </c>
      <c r="L510" s="1">
        <f>IFERROR(__xludf.DUMMYFUNCTION("""COMPUTED_VALUE"""),1.0)</f>
        <v>1</v>
      </c>
      <c r="M510" s="1">
        <f>IFERROR(__xludf.DUMMYFUNCTION("""COMPUTED_VALUE"""),0.0)</f>
        <v>0</v>
      </c>
      <c r="N510" s="1" t="str">
        <f>IFERROR(__xludf.DUMMYFUNCTION("""COMPUTED_VALUE"""),"RECA")</f>
        <v>RECA</v>
      </c>
      <c r="O510" s="1" t="str">
        <f>IFERROR(__xludf.DUMMYFUNCTION("""COMPUTED_VALUE"""),"RECA TRASLADO CON CONVA")</f>
        <v>RECA TRASLADO CON CONVA</v>
      </c>
      <c r="P510" s="4">
        <f>IFERROR(__xludf.DUMMYFUNCTION("""COMPUTED_VALUE"""),0.0)</f>
        <v>0</v>
      </c>
      <c r="Q510" s="4">
        <f>IFERROR(__xludf.DUMMYFUNCTION("""COMPUTED_VALUE"""),0.0)</f>
        <v>0</v>
      </c>
      <c r="R510" s="4">
        <f>IFERROR(__xludf.DUMMYFUNCTION("""COMPUTED_VALUE"""),1450.0)</f>
        <v>1450</v>
      </c>
      <c r="S510" s="4">
        <f>IFERROR(__xludf.DUMMYFUNCTION("""COMPUTED_VALUE"""),900.0)</f>
        <v>900</v>
      </c>
      <c r="T510" s="1" t="str">
        <f>IFERROR(__xludf.DUMMYFUNCTION("""COMPUTED_VALUE"""),"NINGUNO")</f>
        <v>NINGUNO</v>
      </c>
      <c r="U510" s="1" t="str">
        <f>IFERROR(__xludf.DUMMYFUNCTION("""COMPUTED_VALUE"""),"FABIOLA")</f>
        <v>FABIOLA</v>
      </c>
      <c r="V510" s="1" t="str">
        <f>IFERROR(__xludf.DUMMYFUNCTION("""COMPUTED_VALUE"""),"Ninguno")</f>
        <v>Ninguno</v>
      </c>
      <c r="W510" s="1" t="str">
        <f>IFERROR(__xludf.DUMMYFUNCTION("""COMPUTED_VALUE"""),"Malla curricular")</f>
        <v>Malla curricular</v>
      </c>
      <c r="X510" s="1"/>
      <c r="Y510" s="1" t="str">
        <f>IFERROR(__xludf.DUMMYFUNCTION("""COMPUTED_VALUE"""),"PAGO COMPLETO")</f>
        <v>PAGO COMPLETO</v>
      </c>
      <c r="Z510" s="1"/>
      <c r="AA510" s="1"/>
      <c r="AB510" s="1">
        <f>IFERROR(__xludf.DUMMYFUNCTION("""COMPUTED_VALUE"""),1.0)</f>
        <v>1</v>
      </c>
      <c r="AC510" s="1">
        <f>IFERROR(__xludf.DUMMYFUNCTION("""COMPUTED_VALUE"""),0.0)</f>
        <v>0</v>
      </c>
      <c r="AD510" s="1" t="str">
        <f>IFERROR(__xludf.DUMMYFUNCTION("""COMPUTED_VALUE"""),"Fiorella Lanegra")</f>
        <v>Fiorella Lanegra</v>
      </c>
      <c r="AE510" s="1" t="str">
        <f>IFERROR(__xludf.DUMMYFUNCTION("""COMPUTED_VALUE"""),"Universidad Peruana Unión")</f>
        <v>Universidad Peruana Unión</v>
      </c>
      <c r="AF510" s="1">
        <f>IFERROR(__xludf.DUMMYFUNCTION("""COMPUTED_VALUE"""),2021.0)</f>
        <v>2021</v>
      </c>
      <c r="AG510" s="1">
        <f>IFERROR(__xludf.DUMMYFUNCTION("""COMPUTED_VALUE"""),449553.0)</f>
        <v>449553</v>
      </c>
      <c r="AH510" s="1">
        <f>IFERROR(__xludf.DUMMYFUNCTION("""COMPUTED_VALUE"""),23.0)</f>
        <v>23</v>
      </c>
      <c r="AI510" s="1" t="str">
        <f>IFERROR(__xludf.DUMMYFUNCTION("""COMPUTED_VALUE"""),"0000415498")</f>
        <v>0000415498</v>
      </c>
      <c r="AJ510" s="1">
        <f>IFERROR(__xludf.DUMMYFUNCTION("""COMPUTED_VALUE"""),7.2930684E7)</f>
        <v>72930684</v>
      </c>
      <c r="AK510" s="1">
        <f>IFERROR(__xludf.DUMMYFUNCTION("""COMPUTED_VALUE"""),9.49178674E8)</f>
        <v>949178674</v>
      </c>
      <c r="AL510" s="1" t="str">
        <f>IFERROR(__xludf.DUMMYFUNCTION("""COMPUTED_VALUE"""),"vicenteadan187@gmail.com")</f>
        <v>vicenteadan187@gmail.com</v>
      </c>
      <c r="AM510" s="1" t="str">
        <f>IFERROR(__xludf.DUMMYFUNCTION("""COMPUTED_VALUE"""),"MASCULINO")</f>
        <v>MASCULINO</v>
      </c>
      <c r="AN510" s="1">
        <f>IFERROR(__xludf.DUMMYFUNCTION("""COMPUTED_VALUE"""),1850.0)</f>
        <v>1850</v>
      </c>
      <c r="AO510" s="1">
        <f>IFERROR(__xludf.DUMMYFUNCTION("""COMPUTED_VALUE"""),590.0)</f>
        <v>590</v>
      </c>
      <c r="AP510" s="1" t="str">
        <f>IFERROR(__xludf.DUMMYFUNCTION("""COMPUTED_VALUE"""),"BIDIRECCIONAL")</f>
        <v>BIDIRECCIONAL</v>
      </c>
      <c r="AQ510" s="1" t="str">
        <f>IFERROR(__xludf.DUMMYFUNCTION("""COMPUTED_VALUE"""),"SEARCH MARCA")</f>
        <v>SEARCH MARCA</v>
      </c>
      <c r="AR510" s="1" t="str">
        <f>IFERROR(__xludf.DUMMYFUNCTION("""COMPUTED_VALUE"""),"NUEVO")</f>
        <v>NUEVO</v>
      </c>
      <c r="AS510" s="1" t="str">
        <f>IFERROR(__xludf.DUMMYFUNCTION("""COMPUTED_VALUE"""),"ucal-pg-performance-sedes-abierta-cpl-search_conversion_marca-20240401")</f>
        <v>ucal-pg-performance-sedes-abierta-cpl-search_conversion_marca-20240401</v>
      </c>
      <c r="AT510" s="2">
        <f>IFERROR(__xludf.DUMMYFUNCTION("""COMPUTED_VALUE"""),45696.0)</f>
        <v>45696</v>
      </c>
      <c r="AU510" s="1">
        <f>IFERROR(__xludf.DUMMYFUNCTION("""COMPUTED_VALUE"""),1.0)</f>
        <v>1</v>
      </c>
      <c r="AV510" s="1" t="str">
        <f>IFERROR(__xludf.DUMMYFUNCTION("""COMPUTED_VALUE"""),"TRASLADO")</f>
        <v>TRASLADO</v>
      </c>
      <c r="AW510" s="1" t="str">
        <f>IFERROR(__xludf.DUMMYFUNCTION("""COMPUTED_VALUE"""),"SI")</f>
        <v>SI</v>
      </c>
      <c r="AX510" s="1"/>
      <c r="AY510" s="1" t="str">
        <f>IFERROR(__xludf.DUMMYFUNCTION("""COMPUTED_VALUE"""),"PAGO COMPLETO")</f>
        <v>PAGO COMPLETO</v>
      </c>
      <c r="AZ510" s="5">
        <f>IFERROR(__xludf.DUMMYFUNCTION("""COMPUTED_VALUE"""),45707.0)</f>
        <v>45707</v>
      </c>
      <c r="BA510" s="1">
        <f>IFERROR(__xludf.DUMMYFUNCTION("""COMPUTED_VALUE"""),0.0)</f>
        <v>0</v>
      </c>
      <c r="BB510" s="1">
        <f>IFERROR(__xludf.DUMMYFUNCTION("""COMPUTED_VALUE"""),0.0)</f>
        <v>0</v>
      </c>
      <c r="BC510" s="4">
        <f>IFERROR(__xludf.DUMMYFUNCTION("""COMPUTED_VALUE"""),0.0)</f>
        <v>0</v>
      </c>
      <c r="BD510" s="4">
        <f>IFERROR(__xludf.DUMMYFUNCTION("""COMPUTED_VALUE"""),0.0)</f>
        <v>0</v>
      </c>
      <c r="BE510" s="1">
        <f>IFERROR(__xludf.DUMMYFUNCTION("""COMPUTED_VALUE"""),2.0)</f>
        <v>2</v>
      </c>
      <c r="BF510" s="6">
        <f>IFERROR(__xludf.DUMMYFUNCTION("""COMPUTED_VALUE"""),1.0)</f>
        <v>1</v>
      </c>
      <c r="BG510" s="1">
        <f>IFERROR(__xludf.DUMMYFUNCTION("""COMPUTED_VALUE"""),1.0)</f>
        <v>1</v>
      </c>
      <c r="BH510" s="1" t="str">
        <f>IFERROR(__xludf.DUMMYFUNCTION("""COMPUTED_VALUE"""),"1")</f>
        <v>1</v>
      </c>
      <c r="BI510" s="4">
        <f>IFERROR(__xludf.DUMMYFUNCTION("""COMPUTED_VALUE"""),0.0)</f>
        <v>0</v>
      </c>
      <c r="BJ510" s="1">
        <f>IFERROR(__xludf.DUMMYFUNCTION("""COMPUTED_VALUE"""),0.0)</f>
        <v>0</v>
      </c>
      <c r="BK510" s="4">
        <f>IFERROR(__xludf.DUMMYFUNCTION("""COMPUTED_VALUE"""),0.0)</f>
        <v>0</v>
      </c>
      <c r="BL510" s="1">
        <f>IFERROR(__xludf.DUMMYFUNCTION("""COMPUTED_VALUE"""),900.0)</f>
        <v>900</v>
      </c>
      <c r="BM510" s="1">
        <f>IFERROR(__xludf.DUMMYFUNCTION("""COMPUTED_VALUE"""),8.0)</f>
        <v>8</v>
      </c>
      <c r="BN510" s="2">
        <f>IFERROR(__xludf.DUMMYFUNCTION("""COMPUTED_VALUE"""),45705.0)</f>
        <v>45705</v>
      </c>
      <c r="BO510" s="1">
        <f>IFERROR(__xludf.DUMMYFUNCTION("""COMPUTED_VALUE"""),2.0)</f>
        <v>2</v>
      </c>
      <c r="BP510" s="1">
        <f>IFERROR(__xludf.DUMMYFUNCTION("""COMPUTED_VALUE"""),2025.0)</f>
        <v>2025</v>
      </c>
    </row>
    <row r="511">
      <c r="A511" s="1">
        <f>IFERROR(__xludf.DUMMYFUNCTION("""COMPUTED_VALUE"""),510.0)</f>
        <v>510</v>
      </c>
      <c r="B511" s="1">
        <f>IFERROR(__xludf.DUMMYFUNCTION("""COMPUTED_VALUE"""),1704578.0)</f>
        <v>1704578</v>
      </c>
      <c r="C511" s="1" t="str">
        <f>IFERROR(__xludf.DUMMYFUNCTION("""COMPUTED_VALUE"""),"2025-1")</f>
        <v>2025-1</v>
      </c>
      <c r="D511" s="1" t="str">
        <f>IFERROR(__xludf.DUMMYFUNCTION("""COMPUTED_VALUE"""),"Admisión Ordinaria")</f>
        <v>Admisión Ordinaria</v>
      </c>
      <c r="E511" s="2">
        <f>IFERROR(__xludf.DUMMYFUNCTION("""COMPUTED_VALUE"""),45707.0)</f>
        <v>45707</v>
      </c>
      <c r="F511" s="1" t="str">
        <f>IFERROR(__xludf.DUMMYFUNCTION("""COMPUTED_VALUE"""),"POOL ANDY")</f>
        <v>POOL ANDY</v>
      </c>
      <c r="G511" s="1" t="str">
        <f>IFERROR(__xludf.DUMMYFUNCTION("""COMPUTED_VALUE"""),"LOZANO HUAYLLACCAHUA")</f>
        <v>LOZANO HUAYLLACCAHUA</v>
      </c>
      <c r="H511" s="1" t="str">
        <f>IFERROR(__xludf.DUMMYFUNCTION("""COMPUTED_VALUE"""),"Comunicación Audiovisual y Cine")</f>
        <v>Comunicación Audiovisual y Cine</v>
      </c>
      <c r="I511" s="1" t="str">
        <f>IFERROR(__xludf.DUMMYFUNCTION("""COMPUTED_VALUE"""),"Pago Link")</f>
        <v>Pago Link</v>
      </c>
      <c r="J511" s="1" t="str">
        <f>IFERROR(__xludf.DUMMYFUNCTION("""COMPUTED_VALUE"""),"Diurno")</f>
        <v>Diurno</v>
      </c>
      <c r="K511" s="1" t="str">
        <f>IFERROR(__xludf.DUMMYFUNCTION("""COMPUTED_VALUE"""),"TRASLADO")</f>
        <v>TRASLADO</v>
      </c>
      <c r="L511" s="1">
        <f>IFERROR(__xludf.DUMMYFUNCTION("""COMPUTED_VALUE"""),0.0)</f>
        <v>0</v>
      </c>
      <c r="M511" s="1">
        <f>IFERROR(__xludf.DUMMYFUNCTION("""COMPUTED_VALUE"""),0.0)</f>
        <v>0</v>
      </c>
      <c r="N511" s="1" t="str">
        <f>IFERROR(__xludf.DUMMYFUNCTION("""COMPUTED_VALUE"""),"BECA")</f>
        <v>BECA</v>
      </c>
      <c r="O511" s="1" t="str">
        <f>IFERROR(__xludf.DUMMYFUNCTION("""COMPUTED_VALUE"""),"BECA CONGELADA DE 2 AÑOS")</f>
        <v>BECA CONGELADA DE 2 AÑOS</v>
      </c>
      <c r="P511" s="4">
        <f>IFERROR(__xludf.DUMMYFUNCTION("""COMPUTED_VALUE"""),0.0)</f>
        <v>0</v>
      </c>
      <c r="Q511" s="4">
        <f>IFERROR(__xludf.DUMMYFUNCTION("""COMPUTED_VALUE"""),0.0)</f>
        <v>0</v>
      </c>
      <c r="R511" s="4">
        <f>IFERROR(__xludf.DUMMYFUNCTION("""COMPUTED_VALUE"""),1000.0)</f>
        <v>1000</v>
      </c>
      <c r="S511" s="4">
        <f>IFERROR(__xludf.DUMMYFUNCTION("""COMPUTED_VALUE"""),900.0)</f>
        <v>900</v>
      </c>
      <c r="T511" s="1" t="str">
        <f>IFERROR(__xludf.DUMMYFUNCTION("""COMPUTED_VALUE"""),"NINGUNO")</f>
        <v>NINGUNO</v>
      </c>
      <c r="U511" s="1" t="str">
        <f>IFERROR(__xludf.DUMMYFUNCTION("""COMPUTED_VALUE"""),"FABIOLA")</f>
        <v>FABIOLA</v>
      </c>
      <c r="V511" s="1" t="str">
        <f>IFERROR(__xludf.DUMMYFUNCTION("""COMPUTED_VALUE"""),"Ninguno")</f>
        <v>Ninguno</v>
      </c>
      <c r="W511" s="1" t="str">
        <f>IFERROR(__xludf.DUMMYFUNCTION("""COMPUTED_VALUE"""),"Prestigio de la institución")</f>
        <v>Prestigio de la institución</v>
      </c>
      <c r="X511" s="1"/>
      <c r="Y511" s="1" t="str">
        <f>IFERROR(__xludf.DUMMYFUNCTION("""COMPUTED_VALUE"""),"PAGO FRACCIONADO")</f>
        <v>PAGO FRACCIONADO</v>
      </c>
      <c r="Z511" s="1">
        <f>IFERROR(__xludf.DUMMYFUNCTION("""COMPUTED_VALUE"""),450.0)</f>
        <v>450</v>
      </c>
      <c r="AA511" s="1" t="str">
        <f>IFERROR(__xludf.DUMMYFUNCTION("""COMPUTED_VALUE"""),"28/02/2025")</f>
        <v>28/02/2025</v>
      </c>
      <c r="AB511" s="1">
        <f>IFERROR(__xludf.DUMMYFUNCTION("""COMPUTED_VALUE"""),0.0)</f>
        <v>0</v>
      </c>
      <c r="AC511" s="1">
        <f>IFERROR(__xludf.DUMMYFUNCTION("""COMPUTED_VALUE"""),0.0)</f>
        <v>0</v>
      </c>
      <c r="AD511" s="1" t="str">
        <f>IFERROR(__xludf.DUMMYFUNCTION("""COMPUTED_VALUE"""),"Angelica Iparraguirre")</f>
        <v>Angelica Iparraguirre</v>
      </c>
      <c r="AE511" s="1" t="str">
        <f>IFERROR(__xludf.DUMMYFUNCTION("""COMPUTED_VALUE"""),"Instituto de Educación Superior Tecnológico Privado Toulouse Lautrec")</f>
        <v>Instituto de Educación Superior Tecnológico Privado Toulouse Lautrec</v>
      </c>
      <c r="AF511" s="1">
        <f>IFERROR(__xludf.DUMMYFUNCTION("""COMPUTED_VALUE"""),2022.0)</f>
        <v>2022</v>
      </c>
      <c r="AG511" s="1">
        <f>IFERROR(__xludf.DUMMYFUNCTION("""COMPUTED_VALUE"""),0.0)</f>
        <v>0</v>
      </c>
      <c r="AH511" s="1">
        <f>IFERROR(__xludf.DUMMYFUNCTION("""COMPUTED_VALUE"""),22.0)</f>
        <v>22</v>
      </c>
      <c r="AI511" s="1" t="str">
        <f>IFERROR(__xludf.DUMMYFUNCTION("""COMPUTED_VALUE"""),"0000038117")</f>
        <v>0000038117</v>
      </c>
      <c r="AJ511" s="1">
        <f>IFERROR(__xludf.DUMMYFUNCTION("""COMPUTED_VALUE"""),7.2982426E7)</f>
        <v>72982426</v>
      </c>
      <c r="AK511" s="1">
        <f>IFERROR(__xludf.DUMMYFUNCTION("""COMPUTED_VALUE"""),9.48590658E8)</f>
        <v>948590658</v>
      </c>
      <c r="AL511" s="1" t="str">
        <f>IFERROR(__xludf.DUMMYFUNCTION("""COMPUTED_VALUE"""),"polsitoh1@gmail.com")</f>
        <v>polsitoh1@gmail.com</v>
      </c>
      <c r="AM511" s="1" t="str">
        <f>IFERROR(__xludf.DUMMYFUNCTION("""COMPUTED_VALUE"""),"MASCULINO")</f>
        <v>MASCULINO</v>
      </c>
      <c r="AN511" s="1">
        <f>IFERROR(__xludf.DUMMYFUNCTION("""COMPUTED_VALUE"""),1350.0)</f>
        <v>1350</v>
      </c>
      <c r="AO511" s="1">
        <f>IFERROR(__xludf.DUMMYFUNCTION("""COMPUTED_VALUE"""),0.0)</f>
        <v>0</v>
      </c>
      <c r="AP511" s="1" t="str">
        <f>IFERROR(__xludf.DUMMYFUNCTION("""COMPUTED_VALUE"""),"FORMULARIO")</f>
        <v>FORMULARIO</v>
      </c>
      <c r="AQ511" s="1" t="str">
        <f>IFERROR(__xludf.DUMMYFUNCTION("""COMPUTED_VALUE"""),"ORGANICO")</f>
        <v>ORGANICO</v>
      </c>
      <c r="AR511" s="1" t="str">
        <f>IFERROR(__xludf.DUMMYFUNCTION("""COMPUTED_VALUE"""),"HEREDADO")</f>
        <v>HEREDADO</v>
      </c>
      <c r="AS511" s="1"/>
      <c r="AT511" s="2">
        <f>IFERROR(__xludf.DUMMYFUNCTION("""COMPUTED_VALUE"""),45707.0)</f>
        <v>45707</v>
      </c>
      <c r="AU511" s="1">
        <f>IFERROR(__xludf.DUMMYFUNCTION("""COMPUTED_VALUE"""),1.0)</f>
        <v>1</v>
      </c>
      <c r="AV511" s="1" t="str">
        <f>IFERROR(__xludf.DUMMYFUNCTION("""COMPUTED_VALUE"""),"NUEVO")</f>
        <v>NUEVO</v>
      </c>
      <c r="AW511" s="1" t="str">
        <f>IFERROR(__xludf.DUMMYFUNCTION("""COMPUTED_VALUE"""),"SI")</f>
        <v>SI</v>
      </c>
      <c r="AX511" s="1"/>
      <c r="AY511" s="1" t="str">
        <f>IFERROR(__xludf.DUMMYFUNCTION("""COMPUTED_VALUE"""),"PAGO COMPLETO")</f>
        <v>PAGO COMPLETO</v>
      </c>
      <c r="AZ511" s="5">
        <f>IFERROR(__xludf.DUMMYFUNCTION("""COMPUTED_VALUE"""),45716.0)</f>
        <v>45716</v>
      </c>
      <c r="BA511" s="1">
        <f>IFERROR(__xludf.DUMMYFUNCTION("""COMPUTED_VALUE"""),450.0)</f>
        <v>450</v>
      </c>
      <c r="BB511" s="1">
        <f>IFERROR(__xludf.DUMMYFUNCTION("""COMPUTED_VALUE"""),0.0)</f>
        <v>0</v>
      </c>
      <c r="BC511" s="4">
        <f>IFERROR(__xludf.DUMMYFUNCTION("""COMPUTED_VALUE"""),0.0)</f>
        <v>0</v>
      </c>
      <c r="BD511" s="4">
        <f>IFERROR(__xludf.DUMMYFUNCTION("""COMPUTED_VALUE"""),0.0)</f>
        <v>0</v>
      </c>
      <c r="BE511" s="1">
        <f>IFERROR(__xludf.DUMMYFUNCTION("""COMPUTED_VALUE"""),2.0)</f>
        <v>2</v>
      </c>
      <c r="BF511" s="6">
        <f>IFERROR(__xludf.DUMMYFUNCTION("""COMPUTED_VALUE"""),1.0)</f>
        <v>1</v>
      </c>
      <c r="BG511" s="1">
        <f>IFERROR(__xludf.DUMMYFUNCTION("""COMPUTED_VALUE"""),1.0)</f>
        <v>1</v>
      </c>
      <c r="BH511" s="1" t="str">
        <f>IFERROR(__xludf.DUMMYFUNCTION("""COMPUTED_VALUE"""),"0")</f>
        <v>0</v>
      </c>
      <c r="BI511" s="4">
        <f>IFERROR(__xludf.DUMMYFUNCTION("""COMPUTED_VALUE"""),900.0)</f>
        <v>900</v>
      </c>
      <c r="BJ511" s="1">
        <f>IFERROR(__xludf.DUMMYFUNCTION("""COMPUTED_VALUE"""),0.0)</f>
        <v>0</v>
      </c>
      <c r="BK511" s="4">
        <f>IFERROR(__xludf.DUMMYFUNCTION("""COMPUTED_VALUE"""),0.0)</f>
        <v>0</v>
      </c>
      <c r="BL511" s="1">
        <f>IFERROR(__xludf.DUMMYFUNCTION("""COMPUTED_VALUE"""),900.0)</f>
        <v>900</v>
      </c>
      <c r="BM511" s="1">
        <f>IFERROR(__xludf.DUMMYFUNCTION("""COMPUTED_VALUE"""),8.0)</f>
        <v>8</v>
      </c>
      <c r="BN511" s="2">
        <f>IFERROR(__xludf.DUMMYFUNCTION("""COMPUTED_VALUE"""),45705.0)</f>
        <v>45705</v>
      </c>
      <c r="BO511" s="1">
        <f>IFERROR(__xludf.DUMMYFUNCTION("""COMPUTED_VALUE"""),2.0)</f>
        <v>2</v>
      </c>
      <c r="BP511" s="1">
        <f>IFERROR(__xludf.DUMMYFUNCTION("""COMPUTED_VALUE"""),2025.0)</f>
        <v>2025</v>
      </c>
    </row>
    <row r="512">
      <c r="A512" s="1">
        <f>IFERROR(__xludf.DUMMYFUNCTION("""COMPUTED_VALUE"""),511.0)</f>
        <v>511</v>
      </c>
      <c r="B512" s="1">
        <f>IFERROR(__xludf.DUMMYFUNCTION("""COMPUTED_VALUE"""),3282566.0)</f>
        <v>3282566</v>
      </c>
      <c r="C512" s="1" t="str">
        <f>IFERROR(__xludf.DUMMYFUNCTION("""COMPUTED_VALUE"""),"2025-1")</f>
        <v>2025-1</v>
      </c>
      <c r="D512" s="1" t="str">
        <f>IFERROR(__xludf.DUMMYFUNCTION("""COMPUTED_VALUE"""),"Admisión de Alto Rendimiento")</f>
        <v>Admisión de Alto Rendimiento</v>
      </c>
      <c r="E512" s="2">
        <f>IFERROR(__xludf.DUMMYFUNCTION("""COMPUTED_VALUE"""),45707.0)</f>
        <v>45707</v>
      </c>
      <c r="F512" s="1" t="str">
        <f>IFERROR(__xludf.DUMMYFUNCTION("""COMPUTED_VALUE"""),"DANIELA")</f>
        <v>DANIELA</v>
      </c>
      <c r="G512" s="1" t="str">
        <f>IFERROR(__xludf.DUMMYFUNCTION("""COMPUTED_VALUE"""),"CARRERA NAZRA")</f>
        <v>CARRERA NAZRA</v>
      </c>
      <c r="H512" s="1" t="str">
        <f>IFERROR(__xludf.DUMMYFUNCTION("""COMPUTED_VALUE"""),"Diseño Gráfico Publicitario")</f>
        <v>Diseño Gráfico Publicitario</v>
      </c>
      <c r="I512" s="1" t="str">
        <f>IFERROR(__xludf.DUMMYFUNCTION("""COMPUTED_VALUE"""),"POS")</f>
        <v>POS</v>
      </c>
      <c r="J512" s="1" t="str">
        <f>IFERROR(__xludf.DUMMYFUNCTION("""COMPUTED_VALUE"""),"Diurno")</f>
        <v>Diurno</v>
      </c>
      <c r="K512" s="1" t="str">
        <f>IFERROR(__xludf.DUMMYFUNCTION("""COMPUTED_VALUE"""),"NUEVO")</f>
        <v>NUEVO</v>
      </c>
      <c r="L512" s="1">
        <f>IFERROR(__xludf.DUMMYFUNCTION("""COMPUTED_VALUE"""),0.0)</f>
        <v>0</v>
      </c>
      <c r="M512" s="1">
        <f>IFERROR(__xludf.DUMMYFUNCTION("""COMPUTED_VALUE"""),0.0)</f>
        <v>0</v>
      </c>
      <c r="N512" s="1" t="str">
        <f>IFERROR(__xludf.DUMMYFUNCTION("""COMPUTED_VALUE"""),"BECA")</f>
        <v>BECA</v>
      </c>
      <c r="O512" s="1" t="str">
        <f>IFERROR(__xludf.DUMMYFUNCTION("""COMPUTED_VALUE"""),"BECA CONGELADA DE 2 AÑOS")</f>
        <v>BECA CONGELADA DE 2 AÑOS</v>
      </c>
      <c r="P512" s="4">
        <f>IFERROR(__xludf.DUMMYFUNCTION("""COMPUTED_VALUE"""),100.0)</f>
        <v>100</v>
      </c>
      <c r="Q512" s="4">
        <f>IFERROR(__xludf.DUMMYFUNCTION("""COMPUTED_VALUE"""),237.5)</f>
        <v>237.5</v>
      </c>
      <c r="R512" s="4">
        <f>IFERROR(__xludf.DUMMYFUNCTION("""COMPUTED_VALUE"""),1450.0)</f>
        <v>1450</v>
      </c>
      <c r="S512" s="4">
        <f>IFERROR(__xludf.DUMMYFUNCTION("""COMPUTED_VALUE"""),1200.0)</f>
        <v>1200</v>
      </c>
      <c r="T512" s="1" t="str">
        <f>IFERROR(__xludf.DUMMYFUNCTION("""COMPUTED_VALUE"""),"PALANCA 500")</f>
        <v>PALANCA 500</v>
      </c>
      <c r="U512" s="1"/>
      <c r="V512" s="1" t="str">
        <f>IFERROR(__xludf.DUMMYFUNCTION("""COMPUTED_VALUE"""),"Ninguno")</f>
        <v>Ninguno</v>
      </c>
      <c r="W512" s="1" t="str">
        <f>IFERROR(__xludf.DUMMYFUNCTION("""COMPUTED_VALUE"""),"Metodología de enseñanza")</f>
        <v>Metodología de enseñanza</v>
      </c>
      <c r="X512" s="1"/>
      <c r="Y512" s="1" t="str">
        <f>IFERROR(__xludf.DUMMYFUNCTION("""COMPUTED_VALUE"""),"PAGO COMPLETO")</f>
        <v>PAGO COMPLETO</v>
      </c>
      <c r="Z512" s="1"/>
      <c r="AA512" s="1"/>
      <c r="AB512" s="1">
        <f>IFERROR(__xludf.DUMMYFUNCTION("""COMPUTED_VALUE"""),0.0)</f>
        <v>0</v>
      </c>
      <c r="AC512" s="1">
        <f>IFERROR(__xludf.DUMMYFUNCTION("""COMPUTED_VALUE"""),0.0)</f>
        <v>0</v>
      </c>
      <c r="AD512" s="1" t="str">
        <f>IFERROR(__xludf.DUMMYFUNCTION("""COMPUTED_VALUE"""),"Ingrid Guillermo Rivera")</f>
        <v>Ingrid Guillermo Rivera</v>
      </c>
      <c r="AE512" s="1" t="str">
        <f>IFERROR(__xludf.DUMMYFUNCTION("""COMPUTED_VALUE"""),"0")</f>
        <v>0</v>
      </c>
      <c r="AF512" s="1">
        <f>IFERROR(__xludf.DUMMYFUNCTION("""COMPUTED_VALUE"""),2024.0)</f>
        <v>2024</v>
      </c>
      <c r="AG512" s="1">
        <f>IFERROR(__xludf.DUMMYFUNCTION("""COMPUTED_VALUE"""),1009075.0)</f>
        <v>1009075</v>
      </c>
      <c r="AH512" s="1">
        <f>IFERROR(__xludf.DUMMYFUNCTION("""COMPUTED_VALUE"""),18.0)</f>
        <v>18</v>
      </c>
      <c r="AI512" s="1" t="str">
        <f>IFERROR(__xludf.DUMMYFUNCTION("""COMPUTED_VALUE"""),"0000415549")</f>
        <v>0000415549</v>
      </c>
      <c r="AJ512" s="1">
        <f>IFERROR(__xludf.DUMMYFUNCTION("""COMPUTED_VALUE"""),6.1214334E7)</f>
        <v>61214334</v>
      </c>
      <c r="AK512" s="1">
        <f>IFERROR(__xludf.DUMMYFUNCTION("""COMPUTED_VALUE"""),9.02704804E8)</f>
        <v>902704804</v>
      </c>
      <c r="AL512" s="1" t="str">
        <f>IFERROR(__xludf.DUMMYFUNCTION("""COMPUTED_VALUE"""),"CARRERADANIELA2007@gmail.com")</f>
        <v>CARRERADANIELA2007@gmail.com</v>
      </c>
      <c r="AM512" s="1" t="str">
        <f>IFERROR(__xludf.DUMMYFUNCTION("""COMPUTED_VALUE"""),"FEMENINO")</f>
        <v>FEMENINO</v>
      </c>
      <c r="AN512" s="1">
        <f>IFERROR(__xludf.DUMMYFUNCTION("""COMPUTED_VALUE"""),1775.0)</f>
        <v>1775</v>
      </c>
      <c r="AO512" s="1">
        <f>IFERROR(__xludf.DUMMYFUNCTION("""COMPUTED_VALUE"""),430.0)</f>
        <v>430</v>
      </c>
      <c r="AP512" s="1" t="str">
        <f>IFERROR(__xludf.DUMMYFUNCTION("""COMPUTED_VALUE"""),"VISITA")</f>
        <v>VISITA</v>
      </c>
      <c r="AQ512" s="1" t="str">
        <f>IFERROR(__xludf.DUMMYFUNCTION("""COMPUTED_VALUE"""),"VISITA")</f>
        <v>VISITA</v>
      </c>
      <c r="AR512" s="1" t="str">
        <f>IFERROR(__xludf.DUMMYFUNCTION("""COMPUTED_VALUE"""),"NUEVO")</f>
        <v>NUEVO</v>
      </c>
      <c r="AS512" s="1"/>
      <c r="AT512" s="2">
        <f>IFERROR(__xludf.DUMMYFUNCTION("""COMPUTED_VALUE"""),45706.0)</f>
        <v>45706</v>
      </c>
      <c r="AU512" s="1">
        <f>IFERROR(__xludf.DUMMYFUNCTION("""COMPUTED_VALUE"""),1.0)</f>
        <v>1</v>
      </c>
      <c r="AV512" s="1" t="str">
        <f>IFERROR(__xludf.DUMMYFUNCTION("""COMPUTED_VALUE"""),"NUEVO")</f>
        <v>NUEVO</v>
      </c>
      <c r="AW512" s="1" t="str">
        <f>IFERROR(__xludf.DUMMYFUNCTION("""COMPUTED_VALUE"""),"SI")</f>
        <v>SI</v>
      </c>
      <c r="AX512" s="1"/>
      <c r="AY512" s="1" t="str">
        <f>IFERROR(__xludf.DUMMYFUNCTION("""COMPUTED_VALUE"""),"PAGO COMPLETO")</f>
        <v>PAGO COMPLETO</v>
      </c>
      <c r="AZ512" s="5">
        <f>IFERROR(__xludf.DUMMYFUNCTION("""COMPUTED_VALUE"""),45707.0)</f>
        <v>45707</v>
      </c>
      <c r="BA512" s="1">
        <f>IFERROR(__xludf.DUMMYFUNCTION("""COMPUTED_VALUE"""),0.0)</f>
        <v>0</v>
      </c>
      <c r="BB512" s="1">
        <f>IFERROR(__xludf.DUMMYFUNCTION("""COMPUTED_VALUE"""),0.0)</f>
        <v>0</v>
      </c>
      <c r="BC512" s="4">
        <f>IFERROR(__xludf.DUMMYFUNCTION("""COMPUTED_VALUE"""),0.0)</f>
        <v>0</v>
      </c>
      <c r="BD512" s="4">
        <f>IFERROR(__xludf.DUMMYFUNCTION("""COMPUTED_VALUE"""),700.0)</f>
        <v>700</v>
      </c>
      <c r="BE512" s="1">
        <f>IFERROR(__xludf.DUMMYFUNCTION("""COMPUTED_VALUE"""),2.0)</f>
        <v>2</v>
      </c>
      <c r="BF512" s="6">
        <f>IFERROR(__xludf.DUMMYFUNCTION("""COMPUTED_VALUE"""),1.0)</f>
        <v>1</v>
      </c>
      <c r="BG512" s="1">
        <f>IFERROR(__xludf.DUMMYFUNCTION("""COMPUTED_VALUE"""),1.0)</f>
        <v>1</v>
      </c>
      <c r="BH512" s="1" t="str">
        <f>IFERROR(__xludf.DUMMYFUNCTION("""COMPUTED_VALUE"""),"0")</f>
        <v>0</v>
      </c>
      <c r="BI512" s="4">
        <f>IFERROR(__xludf.DUMMYFUNCTION("""COMPUTED_VALUE"""),700.0)</f>
        <v>700</v>
      </c>
      <c r="BJ512" s="1">
        <f>IFERROR(__xludf.DUMMYFUNCTION("""COMPUTED_VALUE"""),0.0)</f>
        <v>0</v>
      </c>
      <c r="BK512" s="4">
        <f>IFERROR(__xludf.DUMMYFUNCTION("""COMPUTED_VALUE"""),700.0)</f>
        <v>700</v>
      </c>
      <c r="BL512" s="1">
        <f>IFERROR(__xludf.DUMMYFUNCTION("""COMPUTED_VALUE"""),1060.0)</f>
        <v>1060</v>
      </c>
      <c r="BM512" s="1">
        <f>IFERROR(__xludf.DUMMYFUNCTION("""COMPUTED_VALUE"""),8.0)</f>
        <v>8</v>
      </c>
      <c r="BN512" s="2">
        <f>IFERROR(__xludf.DUMMYFUNCTION("""COMPUTED_VALUE"""),45705.0)</f>
        <v>45705</v>
      </c>
      <c r="BO512" s="1">
        <f>IFERROR(__xludf.DUMMYFUNCTION("""COMPUTED_VALUE"""),2.0)</f>
        <v>2</v>
      </c>
      <c r="BP512" s="1">
        <f>IFERROR(__xludf.DUMMYFUNCTION("""COMPUTED_VALUE"""),2025.0)</f>
        <v>2025</v>
      </c>
    </row>
    <row r="513">
      <c r="A513" s="1">
        <f>IFERROR(__xludf.DUMMYFUNCTION("""COMPUTED_VALUE"""),512.0)</f>
        <v>512</v>
      </c>
      <c r="B513" s="1">
        <f>IFERROR(__xludf.DUMMYFUNCTION("""COMPUTED_VALUE"""),5028624.0)</f>
        <v>5028624</v>
      </c>
      <c r="C513" s="1" t="str">
        <f>IFERROR(__xludf.DUMMYFUNCTION("""COMPUTED_VALUE"""),"2025-1")</f>
        <v>2025-1</v>
      </c>
      <c r="D513" s="1" t="str">
        <f>IFERROR(__xludf.DUMMYFUNCTION("""COMPUTED_VALUE"""),"Admisión de Alto Rendimiento")</f>
        <v>Admisión de Alto Rendimiento</v>
      </c>
      <c r="E513" s="2">
        <f>IFERROR(__xludf.DUMMYFUNCTION("""COMPUTED_VALUE"""),45708.0)</f>
        <v>45708</v>
      </c>
      <c r="F513" s="1" t="str">
        <f>IFERROR(__xludf.DUMMYFUNCTION("""COMPUTED_VALUE"""),"GIANFRANCO ")</f>
        <v>GIANFRANCO </v>
      </c>
      <c r="G513" s="1" t="str">
        <f>IFERROR(__xludf.DUMMYFUNCTION("""COMPUTED_VALUE"""),"MALASQUEZ CALDERON")</f>
        <v>MALASQUEZ CALDERON</v>
      </c>
      <c r="H513" s="1" t="str">
        <f>IFERROR(__xludf.DUMMYFUNCTION("""COMPUTED_VALUE"""),"Diseño Gráfico Publicitario")</f>
        <v>Diseño Gráfico Publicitario</v>
      </c>
      <c r="I513" s="1" t="str">
        <f>IFERROR(__xludf.DUMMYFUNCTION("""COMPUTED_VALUE"""),"POS")</f>
        <v>POS</v>
      </c>
      <c r="J513" s="1" t="str">
        <f>IFERROR(__xludf.DUMMYFUNCTION("""COMPUTED_VALUE"""),"Diurno")</f>
        <v>Diurno</v>
      </c>
      <c r="K513" s="1" t="str">
        <f>IFERROR(__xludf.DUMMYFUNCTION("""COMPUTED_VALUE"""),"NUEVO")</f>
        <v>NUEVO</v>
      </c>
      <c r="L513" s="1">
        <f>IFERROR(__xludf.DUMMYFUNCTION("""COMPUTED_VALUE"""),0.0)</f>
        <v>0</v>
      </c>
      <c r="M513" s="1">
        <f>IFERROR(__xludf.DUMMYFUNCTION("""COMPUTED_VALUE"""),0.0)</f>
        <v>0</v>
      </c>
      <c r="N513" s="1" t="str">
        <f>IFERROR(__xludf.DUMMYFUNCTION("""COMPUTED_VALUE"""),"BECA")</f>
        <v>BECA</v>
      </c>
      <c r="O513" s="1" t="str">
        <f>IFERROR(__xludf.DUMMYFUNCTION("""COMPUTED_VALUE"""),"BECA RECUPERO")</f>
        <v>BECA RECUPERO</v>
      </c>
      <c r="P513" s="4">
        <f>IFERROR(__xludf.DUMMYFUNCTION("""COMPUTED_VALUE"""),0.0)</f>
        <v>0</v>
      </c>
      <c r="Q513" s="4">
        <f>IFERROR(__xludf.DUMMYFUNCTION("""COMPUTED_VALUE"""),0.0)</f>
        <v>0</v>
      </c>
      <c r="R513" s="4">
        <f>IFERROR(__xludf.DUMMYFUNCTION("""COMPUTED_VALUE"""),950.0)</f>
        <v>950</v>
      </c>
      <c r="S513" s="4">
        <f>IFERROR(__xludf.DUMMYFUNCTION("""COMPUTED_VALUE"""),800.0)</f>
        <v>800</v>
      </c>
      <c r="T513" s="1" t="str">
        <f>IFERROR(__xludf.DUMMYFUNCTION("""COMPUTED_VALUE"""),"PALANCA 500")</f>
        <v>PALANCA 500</v>
      </c>
      <c r="U513" s="1" t="str">
        <f>IFERROR(__xludf.DUMMYFUNCTION("""COMPUTED_VALUE"""),"RODRIGO")</f>
        <v>RODRIGO</v>
      </c>
      <c r="V513" s="1" t="str">
        <f>IFERROR(__xludf.DUMMYFUNCTION("""COMPUTED_VALUE"""),"Ninguno")</f>
        <v>Ninguno</v>
      </c>
      <c r="W513" s="1" t="str">
        <f>IFERROR(__xludf.DUMMYFUNCTION("""COMPUTED_VALUE"""),"Precio accesible")</f>
        <v>Precio accesible</v>
      </c>
      <c r="X513" s="1"/>
      <c r="Y513" s="1" t="str">
        <f>IFERROR(__xludf.DUMMYFUNCTION("""COMPUTED_VALUE"""),"PAGO COMPLETO")</f>
        <v>PAGO COMPLETO</v>
      </c>
      <c r="Z513" s="1"/>
      <c r="AA513" s="1"/>
      <c r="AB513" s="1">
        <f>IFERROR(__xludf.DUMMYFUNCTION("""COMPUTED_VALUE"""),0.0)</f>
        <v>0</v>
      </c>
      <c r="AC513" s="1">
        <f>IFERROR(__xludf.DUMMYFUNCTION("""COMPUTED_VALUE"""),0.0)</f>
        <v>0</v>
      </c>
      <c r="AD513" s="1" t="str">
        <f>IFERROR(__xludf.DUMMYFUNCTION("""COMPUTED_VALUE"""),"Erwyn Terie Vital Avila")</f>
        <v>Erwyn Terie Vital Avila</v>
      </c>
      <c r="AE513" s="1" t="str">
        <f>IFERROR(__xludf.DUMMYFUNCTION("""COMPUTED_VALUE"""),"0")</f>
        <v>0</v>
      </c>
      <c r="AF513" s="1">
        <f>IFERROR(__xludf.DUMMYFUNCTION("""COMPUTED_VALUE"""),2024.0)</f>
        <v>2024</v>
      </c>
      <c r="AG513" s="1">
        <f>IFERROR(__xludf.DUMMYFUNCTION("""COMPUTED_VALUE"""),1507789.0)</f>
        <v>1507789</v>
      </c>
      <c r="AH513" s="1">
        <f>IFERROR(__xludf.DUMMYFUNCTION("""COMPUTED_VALUE"""),17.0)</f>
        <v>17</v>
      </c>
      <c r="AI513" s="1" t="str">
        <f>IFERROR(__xludf.DUMMYFUNCTION("""COMPUTED_VALUE"""),"0000415743")</f>
        <v>0000415743</v>
      </c>
      <c r="AJ513" s="1">
        <f>IFERROR(__xludf.DUMMYFUNCTION("""COMPUTED_VALUE"""),7.0716818E7)</f>
        <v>70716818</v>
      </c>
      <c r="AK513" s="1">
        <f>IFERROR(__xludf.DUMMYFUNCTION("""COMPUTED_VALUE"""),9.32057987E8)</f>
        <v>932057987</v>
      </c>
      <c r="AL513" s="1" t="str">
        <f>IFERROR(__xludf.DUMMYFUNCTION("""COMPUTED_VALUE"""),"gianfrancomalasquez@hotmail.com")</f>
        <v>gianfrancomalasquez@hotmail.com</v>
      </c>
      <c r="AM513" s="1" t="str">
        <f>IFERROR(__xludf.DUMMYFUNCTION("""COMPUTED_VALUE"""),"MASCULINO")</f>
        <v>MASCULINO</v>
      </c>
      <c r="AN513" s="1">
        <f>IFERROR(__xludf.DUMMYFUNCTION("""COMPUTED_VALUE"""),950.0)</f>
        <v>950</v>
      </c>
      <c r="AO513" s="1">
        <f>IFERROR(__xludf.DUMMYFUNCTION("""COMPUTED_VALUE"""),320.0)</f>
        <v>320</v>
      </c>
      <c r="AP513" s="1" t="str">
        <f>IFERROR(__xludf.DUMMYFUNCTION("""COMPUTED_VALUE"""),"COLEGIOS")</f>
        <v>COLEGIOS</v>
      </c>
      <c r="AQ513" s="1" t="str">
        <f>IFERROR(__xludf.DUMMYFUNCTION("""COMPUTED_VALUE"""),"COLEGIOS")</f>
        <v>COLEGIOS</v>
      </c>
      <c r="AR513" s="1" t="str">
        <f>IFERROR(__xludf.DUMMYFUNCTION("""COMPUTED_VALUE"""),"NUEVO")</f>
        <v>NUEVO</v>
      </c>
      <c r="AS513" s="1"/>
      <c r="AT513" s="2">
        <f>IFERROR(__xludf.DUMMYFUNCTION("""COMPUTED_VALUE"""),45603.0)</f>
        <v>45603</v>
      </c>
      <c r="AU513" s="1">
        <f>IFERROR(__xludf.DUMMYFUNCTION("""COMPUTED_VALUE"""),1.0)</f>
        <v>1</v>
      </c>
      <c r="AV513" s="1" t="str">
        <f>IFERROR(__xludf.DUMMYFUNCTION("""COMPUTED_VALUE"""),"NUEVO")</f>
        <v>NUEVO</v>
      </c>
      <c r="AW513" s="1" t="str">
        <f>IFERROR(__xludf.DUMMYFUNCTION("""COMPUTED_VALUE"""),"SI")</f>
        <v>SI</v>
      </c>
      <c r="AX513" s="1"/>
      <c r="AY513" s="1" t="str">
        <f>IFERROR(__xludf.DUMMYFUNCTION("""COMPUTED_VALUE"""),"PAGO COMPLETO")</f>
        <v>PAGO COMPLETO</v>
      </c>
      <c r="AZ513" s="5">
        <f>IFERROR(__xludf.DUMMYFUNCTION("""COMPUTED_VALUE"""),45708.0)</f>
        <v>45708</v>
      </c>
      <c r="BA513" s="1">
        <f>IFERROR(__xludf.DUMMYFUNCTION("""COMPUTED_VALUE"""),0.0)</f>
        <v>0</v>
      </c>
      <c r="BB513" s="1">
        <f>IFERROR(__xludf.DUMMYFUNCTION("""COMPUTED_VALUE"""),0.0)</f>
        <v>0</v>
      </c>
      <c r="BC513" s="4">
        <f>IFERROR(__xludf.DUMMYFUNCTION("""COMPUTED_VALUE"""),0.0)</f>
        <v>0</v>
      </c>
      <c r="BD513" s="4">
        <f>IFERROR(__xludf.DUMMYFUNCTION("""COMPUTED_VALUE"""),300.0)</f>
        <v>300</v>
      </c>
      <c r="BE513" s="1">
        <f>IFERROR(__xludf.DUMMYFUNCTION("""COMPUTED_VALUE"""),2.0)</f>
        <v>2</v>
      </c>
      <c r="BF513" s="6">
        <f>IFERROR(__xludf.DUMMYFUNCTION("""COMPUTED_VALUE"""),1.0)</f>
        <v>1</v>
      </c>
      <c r="BG513" s="1">
        <f>IFERROR(__xludf.DUMMYFUNCTION("""COMPUTED_VALUE"""),1.0)</f>
        <v>1</v>
      </c>
      <c r="BH513" s="1" t="str">
        <f>IFERROR(__xludf.DUMMYFUNCTION("""COMPUTED_VALUE"""),"0")</f>
        <v>0</v>
      </c>
      <c r="BI513" s="4">
        <f>IFERROR(__xludf.DUMMYFUNCTION("""COMPUTED_VALUE"""),300.0)</f>
        <v>300</v>
      </c>
      <c r="BJ513" s="1">
        <f>IFERROR(__xludf.DUMMYFUNCTION("""COMPUTED_VALUE"""),0.0)</f>
        <v>0</v>
      </c>
      <c r="BK513" s="4">
        <f>IFERROR(__xludf.DUMMYFUNCTION("""COMPUTED_VALUE"""),300.0)</f>
        <v>300</v>
      </c>
      <c r="BL513" s="1">
        <f>IFERROR(__xludf.DUMMYFUNCTION("""COMPUTED_VALUE"""),740.0)</f>
        <v>740</v>
      </c>
      <c r="BM513" s="1">
        <f>IFERROR(__xludf.DUMMYFUNCTION("""COMPUTED_VALUE"""),8.0)</f>
        <v>8</v>
      </c>
      <c r="BN513" s="2">
        <f>IFERROR(__xludf.DUMMYFUNCTION("""COMPUTED_VALUE"""),45705.0)</f>
        <v>45705</v>
      </c>
      <c r="BO513" s="1">
        <f>IFERROR(__xludf.DUMMYFUNCTION("""COMPUTED_VALUE"""),2.0)</f>
        <v>2</v>
      </c>
      <c r="BP513" s="1">
        <f>IFERROR(__xludf.DUMMYFUNCTION("""COMPUTED_VALUE"""),2025.0)</f>
        <v>2025</v>
      </c>
    </row>
    <row r="514">
      <c r="A514" s="1">
        <f>IFERROR(__xludf.DUMMYFUNCTION("""COMPUTED_VALUE"""),513.0)</f>
        <v>513</v>
      </c>
      <c r="B514" s="1">
        <f>IFERROR(__xludf.DUMMYFUNCTION("""COMPUTED_VALUE"""),5032976.0)</f>
        <v>5032976</v>
      </c>
      <c r="C514" s="1" t="str">
        <f>IFERROR(__xludf.DUMMYFUNCTION("""COMPUTED_VALUE"""),"2025-1")</f>
        <v>2025-1</v>
      </c>
      <c r="D514" s="1" t="str">
        <f>IFERROR(__xludf.DUMMYFUNCTION("""COMPUTED_VALUE"""),"Admisión de Alto Rendimiento")</f>
        <v>Admisión de Alto Rendimiento</v>
      </c>
      <c r="E514" s="2">
        <f>IFERROR(__xludf.DUMMYFUNCTION("""COMPUTED_VALUE"""),45709.0)</f>
        <v>45709</v>
      </c>
      <c r="F514" s="1" t="str">
        <f>IFERROR(__xludf.DUMMYFUNCTION("""COMPUTED_VALUE"""),"STEFANO JOAQUIN ANDRE ")</f>
        <v>STEFANO JOAQUIN ANDRE </v>
      </c>
      <c r="G514" s="1" t="str">
        <f>IFERROR(__xludf.DUMMYFUNCTION("""COMPUTED_VALUE"""),"GONZALES FLOREZ")</f>
        <v>GONZALES FLOREZ</v>
      </c>
      <c r="H514" s="1" t="str">
        <f>IFERROR(__xludf.DUMMYFUNCTION("""COMPUTED_VALUE"""),"Comunicación Audiovisual y Cine")</f>
        <v>Comunicación Audiovisual y Cine</v>
      </c>
      <c r="I514" s="1" t="str">
        <f>IFERROR(__xludf.DUMMYFUNCTION("""COMPUTED_VALUE"""),"POS")</f>
        <v>POS</v>
      </c>
      <c r="J514" s="1" t="str">
        <f>IFERROR(__xludf.DUMMYFUNCTION("""COMPUTED_VALUE"""),"Diurno")</f>
        <v>Diurno</v>
      </c>
      <c r="K514" s="1" t="str">
        <f>IFERROR(__xludf.DUMMYFUNCTION("""COMPUTED_VALUE"""),"NUEVO")</f>
        <v>NUEVO</v>
      </c>
      <c r="L514" s="1">
        <f>IFERROR(__xludf.DUMMYFUNCTION("""COMPUTED_VALUE"""),0.0)</f>
        <v>0</v>
      </c>
      <c r="M514" s="1">
        <f>IFERROR(__xludf.DUMMYFUNCTION("""COMPUTED_VALUE"""),0.0)</f>
        <v>0</v>
      </c>
      <c r="N514" s="1" t="str">
        <f>IFERROR(__xludf.DUMMYFUNCTION("""COMPUTED_VALUE"""),"BECA")</f>
        <v>BECA</v>
      </c>
      <c r="O514" s="1" t="str">
        <f>IFERROR(__xludf.DUMMYFUNCTION("""COMPUTED_VALUE"""),"BECA CARRERAS CORE")</f>
        <v>BECA CARRERAS CORE</v>
      </c>
      <c r="P514" s="4">
        <f>IFERROR(__xludf.DUMMYFUNCTION("""COMPUTED_VALUE"""),0.0)</f>
        <v>0</v>
      </c>
      <c r="Q514" s="4">
        <f>IFERROR(__xludf.DUMMYFUNCTION("""COMPUTED_VALUE"""),0.0)</f>
        <v>0</v>
      </c>
      <c r="R514" s="4">
        <f>IFERROR(__xludf.DUMMYFUNCTION("""COMPUTED_VALUE"""),1300.0)</f>
        <v>1300</v>
      </c>
      <c r="S514" s="4">
        <f>IFERROR(__xludf.DUMMYFUNCTION("""COMPUTED_VALUE"""),1100.0)</f>
        <v>1100</v>
      </c>
      <c r="T514" s="1" t="str">
        <f>IFERROR(__xludf.DUMMYFUNCTION("""COMPUTED_VALUE"""),"NINGUNO")</f>
        <v>NINGUNO</v>
      </c>
      <c r="U514" s="1"/>
      <c r="V514" s="1" t="str">
        <f>IFERROR(__xludf.DUMMYFUNCTION("""COMPUTED_VALUE"""),"Ninguno")</f>
        <v>Ninguno</v>
      </c>
      <c r="W514" s="1" t="str">
        <f>IFERROR(__xludf.DUMMYFUNCTION("""COMPUTED_VALUE"""),"Beca")</f>
        <v>Beca</v>
      </c>
      <c r="X514" s="1" t="str">
        <f>IFERROR(__xludf.DUMMYFUNCTION("""COMPUTED_VALUE"""),"LE GUSTA LA UNIVERSIDAD ")</f>
        <v>LE GUSTA LA UNIVERSIDAD </v>
      </c>
      <c r="Y514" s="1" t="str">
        <f>IFERROR(__xludf.DUMMYFUNCTION("""COMPUTED_VALUE"""),"PAGO COMPLETO")</f>
        <v>PAGO COMPLETO</v>
      </c>
      <c r="Z514" s="1"/>
      <c r="AA514" s="1"/>
      <c r="AB514" s="1">
        <f>IFERROR(__xludf.DUMMYFUNCTION("""COMPUTED_VALUE"""),0.0)</f>
        <v>0</v>
      </c>
      <c r="AC514" s="1">
        <f>IFERROR(__xludf.DUMMYFUNCTION("""COMPUTED_VALUE"""),0.0)</f>
        <v>0</v>
      </c>
      <c r="AD514" s="1" t="str">
        <f>IFERROR(__xludf.DUMMYFUNCTION("""COMPUTED_VALUE"""),"Daniel Zapata")</f>
        <v>Daniel Zapata</v>
      </c>
      <c r="AE514" s="1" t="str">
        <f>IFERROR(__xludf.DUMMYFUNCTION("""COMPUTED_VALUE"""),"0")</f>
        <v>0</v>
      </c>
      <c r="AF514" s="1">
        <f>IFERROR(__xludf.DUMMYFUNCTION("""COMPUTED_VALUE"""),2024.0)</f>
        <v>2024</v>
      </c>
      <c r="AG514" s="1">
        <f>IFERROR(__xludf.DUMMYFUNCTION("""COMPUTED_VALUE"""),0.0)</f>
        <v>0</v>
      </c>
      <c r="AH514" s="1">
        <f>IFERROR(__xludf.DUMMYFUNCTION("""COMPUTED_VALUE"""),17.0)</f>
        <v>17</v>
      </c>
      <c r="AI514" s="1" t="str">
        <f>IFERROR(__xludf.DUMMYFUNCTION("""COMPUTED_VALUE"""),"0000415838")</f>
        <v>0000415838</v>
      </c>
      <c r="AJ514" s="1">
        <f>IFERROR(__xludf.DUMMYFUNCTION("""COMPUTED_VALUE"""),6.1374832E7)</f>
        <v>61374832</v>
      </c>
      <c r="AK514" s="1">
        <f>IFERROR(__xludf.DUMMYFUNCTION("""COMPUTED_VALUE"""),9.54788584E8)</f>
        <v>954788584</v>
      </c>
      <c r="AL514" s="1" t="str">
        <f>IFERROR(__xludf.DUMMYFUNCTION("""COMPUTED_VALUE"""),"teffogom@gmail.com")</f>
        <v>teffogom@gmail.com</v>
      </c>
      <c r="AM514" s="1" t="str">
        <f>IFERROR(__xludf.DUMMYFUNCTION("""COMPUTED_VALUE"""),"MASCULINO")</f>
        <v>MASCULINO</v>
      </c>
      <c r="AN514" s="1">
        <f>IFERROR(__xludf.DUMMYFUNCTION("""COMPUTED_VALUE"""),1350.0)</f>
        <v>1350</v>
      </c>
      <c r="AO514" s="1">
        <f>IFERROR(__xludf.DUMMYFUNCTION("""COMPUTED_VALUE"""),0.0)</f>
        <v>0</v>
      </c>
      <c r="AP514" s="1" t="str">
        <f>IFERROR(__xludf.DUMMYFUNCTION("""COMPUTED_VALUE"""),"VISITA")</f>
        <v>VISITA</v>
      </c>
      <c r="AQ514" s="1" t="str">
        <f>IFERROR(__xludf.DUMMYFUNCTION("""COMPUTED_VALUE"""),"VISITA")</f>
        <v>VISITA</v>
      </c>
      <c r="AR514" s="1" t="str">
        <f>IFERROR(__xludf.DUMMYFUNCTION("""COMPUTED_VALUE"""),"NUEVO")</f>
        <v>NUEVO</v>
      </c>
      <c r="AS514" s="1" t="str">
        <f>IFERROR(__xludf.DUMMYFUNCTION("""COMPUTED_VALUE"""),"ucal-pg-branding-sedes-abierta-lead_ads-lead_ads_branding_visita_guiada-20250206")</f>
        <v>ucal-pg-branding-sedes-abierta-lead_ads-lead_ads_branding_visita_guiada-20250206</v>
      </c>
      <c r="AT514" s="2">
        <f>IFERROR(__xludf.DUMMYFUNCTION("""COMPUTED_VALUE"""),45708.0)</f>
        <v>45708</v>
      </c>
      <c r="AU514" s="1">
        <f>IFERROR(__xludf.DUMMYFUNCTION("""COMPUTED_VALUE"""),1.0)</f>
        <v>1</v>
      </c>
      <c r="AV514" s="1" t="str">
        <f>IFERROR(__xludf.DUMMYFUNCTION("""COMPUTED_VALUE"""),"NUEVO")</f>
        <v>NUEVO</v>
      </c>
      <c r="AW514" s="1" t="str">
        <f>IFERROR(__xludf.DUMMYFUNCTION("""COMPUTED_VALUE"""),"SI")</f>
        <v>SI</v>
      </c>
      <c r="AX514" s="1"/>
      <c r="AY514" s="1" t="str">
        <f>IFERROR(__xludf.DUMMYFUNCTION("""COMPUTED_VALUE"""),"PAGO COMPLETO")</f>
        <v>PAGO COMPLETO</v>
      </c>
      <c r="AZ514" s="5">
        <f>IFERROR(__xludf.DUMMYFUNCTION("""COMPUTED_VALUE"""),45709.0)</f>
        <v>45709</v>
      </c>
      <c r="BA514" s="1">
        <f>IFERROR(__xludf.DUMMYFUNCTION("""COMPUTED_VALUE"""),0.0)</f>
        <v>0</v>
      </c>
      <c r="BB514" s="1">
        <f>IFERROR(__xludf.DUMMYFUNCTION("""COMPUTED_VALUE"""),0.0)</f>
        <v>0</v>
      </c>
      <c r="BC514" s="4">
        <f>IFERROR(__xludf.DUMMYFUNCTION("""COMPUTED_VALUE"""),0.0)</f>
        <v>0</v>
      </c>
      <c r="BD514" s="4">
        <f>IFERROR(__xludf.DUMMYFUNCTION("""COMPUTED_VALUE"""),0.0)</f>
        <v>0</v>
      </c>
      <c r="BE514" s="1">
        <f>IFERROR(__xludf.DUMMYFUNCTION("""COMPUTED_VALUE"""),2.0)</f>
        <v>2</v>
      </c>
      <c r="BF514" s="6">
        <f>IFERROR(__xludf.DUMMYFUNCTION("""COMPUTED_VALUE"""),1.0)</f>
        <v>1</v>
      </c>
      <c r="BG514" s="1">
        <f>IFERROR(__xludf.DUMMYFUNCTION("""COMPUTED_VALUE"""),1.0)</f>
        <v>1</v>
      </c>
      <c r="BH514" s="1" t="str">
        <f>IFERROR(__xludf.DUMMYFUNCTION("""COMPUTED_VALUE"""),"0")</f>
        <v>0</v>
      </c>
      <c r="BI514" s="4">
        <f>IFERROR(__xludf.DUMMYFUNCTION("""COMPUTED_VALUE"""),0.0)</f>
        <v>0</v>
      </c>
      <c r="BJ514" s="1">
        <f>IFERROR(__xludf.DUMMYFUNCTION("""COMPUTED_VALUE"""),0.0)</f>
        <v>0</v>
      </c>
      <c r="BK514" s="4">
        <f>IFERROR(__xludf.DUMMYFUNCTION("""COMPUTED_VALUE"""),0.0)</f>
        <v>0</v>
      </c>
      <c r="BL514" s="1">
        <f>IFERROR(__xludf.DUMMYFUNCTION("""COMPUTED_VALUE"""),1100.0)</f>
        <v>1100</v>
      </c>
      <c r="BM514" s="1">
        <f>IFERROR(__xludf.DUMMYFUNCTION("""COMPUTED_VALUE"""),8.0)</f>
        <v>8</v>
      </c>
      <c r="BN514" s="2">
        <f>IFERROR(__xludf.DUMMYFUNCTION("""COMPUTED_VALUE"""),45705.0)</f>
        <v>45705</v>
      </c>
      <c r="BO514" s="1">
        <f>IFERROR(__xludf.DUMMYFUNCTION("""COMPUTED_VALUE"""),2.0)</f>
        <v>2</v>
      </c>
      <c r="BP514" s="1">
        <f>IFERROR(__xludf.DUMMYFUNCTION("""COMPUTED_VALUE"""),2025.0)</f>
        <v>2025</v>
      </c>
    </row>
    <row r="515">
      <c r="A515" s="1">
        <f>IFERROR(__xludf.DUMMYFUNCTION("""COMPUTED_VALUE"""),514.0)</f>
        <v>514</v>
      </c>
      <c r="B515" s="1">
        <f>IFERROR(__xludf.DUMMYFUNCTION("""COMPUTED_VALUE"""),2412039.0)</f>
        <v>2412039</v>
      </c>
      <c r="C515" s="1" t="str">
        <f>IFERROR(__xludf.DUMMYFUNCTION("""COMPUTED_VALUE"""),"2025-1")</f>
        <v>2025-1</v>
      </c>
      <c r="D515" s="1" t="str">
        <f>IFERROR(__xludf.DUMMYFUNCTION("""COMPUTED_VALUE"""),"Admisión de Alto Rendimiento")</f>
        <v>Admisión de Alto Rendimiento</v>
      </c>
      <c r="E515" s="2">
        <f>IFERROR(__xludf.DUMMYFUNCTION("""COMPUTED_VALUE"""),45709.0)</f>
        <v>45709</v>
      </c>
      <c r="F515" s="1" t="str">
        <f>IFERROR(__xludf.DUMMYFUNCTION("""COMPUTED_VALUE"""),"MARIA GRACIA ")</f>
        <v>MARIA GRACIA </v>
      </c>
      <c r="G515" s="1" t="str">
        <f>IFERROR(__xludf.DUMMYFUNCTION("""COMPUTED_VALUE"""),"MITMA HERRERA")</f>
        <v>MITMA HERRERA</v>
      </c>
      <c r="H515" s="1" t="str">
        <f>IFERROR(__xludf.DUMMYFUNCTION("""COMPUTED_VALUE"""),"Comunicación Audiovisual y Cine")</f>
        <v>Comunicación Audiovisual y Cine</v>
      </c>
      <c r="I515" s="1" t="str">
        <f>IFERROR(__xludf.DUMMYFUNCTION("""COMPUTED_VALUE"""),"Pago Link")</f>
        <v>Pago Link</v>
      </c>
      <c r="J515" s="1" t="str">
        <f>IFERROR(__xludf.DUMMYFUNCTION("""COMPUTED_VALUE"""),"Diurno")</f>
        <v>Diurno</v>
      </c>
      <c r="K515" s="1" t="str">
        <f>IFERROR(__xludf.DUMMYFUNCTION("""COMPUTED_VALUE"""),"NUEVO")</f>
        <v>NUEVO</v>
      </c>
      <c r="L515" s="1">
        <f>IFERROR(__xludf.DUMMYFUNCTION("""COMPUTED_VALUE"""),0.0)</f>
        <v>0</v>
      </c>
      <c r="M515" s="1">
        <f>IFERROR(__xludf.DUMMYFUNCTION("""COMPUTED_VALUE"""),0.0)</f>
        <v>0</v>
      </c>
      <c r="N515" s="1" t="str">
        <f>IFERROR(__xludf.DUMMYFUNCTION("""COMPUTED_VALUE"""),"BECA")</f>
        <v>BECA</v>
      </c>
      <c r="O515" s="1" t="str">
        <f>IFERROR(__xludf.DUMMYFUNCTION("""COMPUTED_VALUE"""),"BECA CONGELADA DE 2 AÑOS")</f>
        <v>BECA CONGELADA DE 2 AÑOS</v>
      </c>
      <c r="P515" s="4">
        <f>IFERROR(__xludf.DUMMYFUNCTION("""COMPUTED_VALUE"""),100.0)</f>
        <v>100</v>
      </c>
      <c r="Q515" s="4">
        <f>IFERROR(__xludf.DUMMYFUNCTION("""COMPUTED_VALUE"""),237.5)</f>
        <v>237.5</v>
      </c>
      <c r="R515" s="4">
        <f>IFERROR(__xludf.DUMMYFUNCTION("""COMPUTED_VALUE"""),1400.0)</f>
        <v>1400</v>
      </c>
      <c r="S515" s="4">
        <f>IFERROR(__xludf.DUMMYFUNCTION("""COMPUTED_VALUE"""),1100.0)</f>
        <v>1100</v>
      </c>
      <c r="T515" s="1" t="str">
        <f>IFERROR(__xludf.DUMMYFUNCTION("""COMPUTED_VALUE"""),"NINGUNO")</f>
        <v>NINGUNO</v>
      </c>
      <c r="U515" s="1" t="str">
        <f>IFERROR(__xludf.DUMMYFUNCTION("""COMPUTED_VALUE"""),"RODRIGO")</f>
        <v>RODRIGO</v>
      </c>
      <c r="V515" s="1" t="str">
        <f>IFERROR(__xludf.DUMMYFUNCTION("""COMPUTED_VALUE"""),"Ninguno")</f>
        <v>Ninguno</v>
      </c>
      <c r="W515" s="1" t="str">
        <f>IFERROR(__xludf.DUMMYFUNCTION("""COMPUTED_VALUE"""),"Prestigio de la institución")</f>
        <v>Prestigio de la institución</v>
      </c>
      <c r="X515" s="1" t="str">
        <f>IFERROR(__xludf.DUMMYFUNCTION("""COMPUTED_VALUE"""),"0")</f>
        <v>0</v>
      </c>
      <c r="Y515" s="1" t="str">
        <f>IFERROR(__xludf.DUMMYFUNCTION("""COMPUTED_VALUE"""),"PAGO FRACCIONADO")</f>
        <v>PAGO FRACCIONADO</v>
      </c>
      <c r="Z515" s="1">
        <f>IFERROR(__xludf.DUMMYFUNCTION("""COMPUTED_VALUE"""),887.5)</f>
        <v>887.5</v>
      </c>
      <c r="AA515" s="1" t="str">
        <f>IFERROR(__xludf.DUMMYFUNCTION("""COMPUTED_VALUE"""),"27/02/2025")</f>
        <v>27/02/2025</v>
      </c>
      <c r="AB515" s="1">
        <f>IFERROR(__xludf.DUMMYFUNCTION("""COMPUTED_VALUE"""),1.0)</f>
        <v>1</v>
      </c>
      <c r="AC515" s="1">
        <f>IFERROR(__xludf.DUMMYFUNCTION("""COMPUTED_VALUE"""),0.0)</f>
        <v>0</v>
      </c>
      <c r="AD515" s="1" t="str">
        <f>IFERROR(__xludf.DUMMYFUNCTION("""COMPUTED_VALUE"""),"Andrea Araujo Antara")</f>
        <v>Andrea Araujo Antara</v>
      </c>
      <c r="AE515" s="1" t="str">
        <f>IFERROR(__xludf.DUMMYFUNCTION("""COMPUTED_VALUE"""),"0")</f>
        <v>0</v>
      </c>
      <c r="AF515" s="1">
        <f>IFERROR(__xludf.DUMMYFUNCTION("""COMPUTED_VALUE"""),2024.0)</f>
        <v>2024</v>
      </c>
      <c r="AG515" s="1">
        <f>IFERROR(__xludf.DUMMYFUNCTION("""COMPUTED_VALUE"""),1482975.0)</f>
        <v>1482975</v>
      </c>
      <c r="AH515" s="1">
        <f>IFERROR(__xludf.DUMMYFUNCTION("""COMPUTED_VALUE"""),18.0)</f>
        <v>18</v>
      </c>
      <c r="AI515" s="1" t="str">
        <f>IFERROR(__xludf.DUMMYFUNCTION("""COMPUTED_VALUE"""),"0000415823")</f>
        <v>0000415823</v>
      </c>
      <c r="AJ515" s="1">
        <f>IFERROR(__xludf.DUMMYFUNCTION("""COMPUTED_VALUE"""),6.118717E7)</f>
        <v>61187170</v>
      </c>
      <c r="AK515" s="1">
        <f>IFERROR(__xludf.DUMMYFUNCTION("""COMPUTED_VALUE"""),9.53733987E8)</f>
        <v>953733987</v>
      </c>
      <c r="AL515" s="1" t="str">
        <f>IFERROR(__xludf.DUMMYFUNCTION("""COMPUTED_VALUE"""),"maria2007mit@gmail.com")</f>
        <v>maria2007mit@gmail.com</v>
      </c>
      <c r="AM515" s="1" t="str">
        <f>IFERROR(__xludf.DUMMYFUNCTION("""COMPUTED_VALUE"""),"FEMENINO")</f>
        <v>FEMENINO</v>
      </c>
      <c r="AN515" s="1">
        <f>IFERROR(__xludf.DUMMYFUNCTION("""COMPUTED_VALUE"""),1850.0)</f>
        <v>1850</v>
      </c>
      <c r="AO515" s="1">
        <f>IFERROR(__xludf.DUMMYFUNCTION("""COMPUTED_VALUE"""),625.0)</f>
        <v>625</v>
      </c>
      <c r="AP515" s="1" t="str">
        <f>IFERROR(__xludf.DUMMYFUNCTION("""COMPUTED_VALUE"""),"COLEGIOS")</f>
        <v>COLEGIOS</v>
      </c>
      <c r="AQ515" s="1" t="str">
        <f>IFERROR(__xludf.DUMMYFUNCTION("""COMPUTED_VALUE"""),"COLEGIOS")</f>
        <v>COLEGIOS</v>
      </c>
      <c r="AR515" s="1" t="str">
        <f>IFERROR(__xludf.DUMMYFUNCTION("""COMPUTED_VALUE"""),"NUEVO")</f>
        <v>NUEVO</v>
      </c>
      <c r="AS515" s="1"/>
      <c r="AT515" s="2">
        <f>IFERROR(__xludf.DUMMYFUNCTION("""COMPUTED_VALUE"""),45392.0)</f>
        <v>45392</v>
      </c>
      <c r="AU515" s="1">
        <f>IFERROR(__xludf.DUMMYFUNCTION("""COMPUTED_VALUE"""),1.0)</f>
        <v>1</v>
      </c>
      <c r="AV515" s="1" t="str">
        <f>IFERROR(__xludf.DUMMYFUNCTION("""COMPUTED_VALUE"""),"NUEVO")</f>
        <v>NUEVO</v>
      </c>
      <c r="AW515" s="1" t="str">
        <f>IFERROR(__xludf.DUMMYFUNCTION("""COMPUTED_VALUE"""),"SI")</f>
        <v>SI</v>
      </c>
      <c r="AX515" s="1"/>
      <c r="AY515" s="1" t="str">
        <f>IFERROR(__xludf.DUMMYFUNCTION("""COMPUTED_VALUE"""),"PAGO COMPLETO")</f>
        <v>PAGO COMPLETO</v>
      </c>
      <c r="AZ515" s="5">
        <f>IFERROR(__xludf.DUMMYFUNCTION("""COMPUTED_VALUE"""),45719.0)</f>
        <v>45719</v>
      </c>
      <c r="BA515" s="1">
        <f>IFERROR(__xludf.DUMMYFUNCTION("""COMPUTED_VALUE"""),550.0)</f>
        <v>550</v>
      </c>
      <c r="BB515" s="1">
        <f>IFERROR(__xludf.DUMMYFUNCTION("""COMPUTED_VALUE"""),0.0)</f>
        <v>0</v>
      </c>
      <c r="BC515" s="4">
        <f>IFERROR(__xludf.DUMMYFUNCTION("""COMPUTED_VALUE"""),0.0)</f>
        <v>0</v>
      </c>
      <c r="BD515" s="4">
        <f>IFERROR(__xludf.DUMMYFUNCTION("""COMPUTED_VALUE"""),0.0)</f>
        <v>0</v>
      </c>
      <c r="BE515" s="1">
        <f>IFERROR(__xludf.DUMMYFUNCTION("""COMPUTED_VALUE"""),2.0)</f>
        <v>2</v>
      </c>
      <c r="BF515" s="6">
        <f>IFERROR(__xludf.DUMMYFUNCTION("""COMPUTED_VALUE"""),1.0)</f>
        <v>1</v>
      </c>
      <c r="BG515" s="1">
        <f>IFERROR(__xludf.DUMMYFUNCTION("""COMPUTED_VALUE"""),1.0)</f>
        <v>1</v>
      </c>
      <c r="BH515" s="1" t="str">
        <f>IFERROR(__xludf.DUMMYFUNCTION("""COMPUTED_VALUE"""),"0")</f>
        <v>0</v>
      </c>
      <c r="BI515" s="4">
        <f>IFERROR(__xludf.DUMMYFUNCTION("""COMPUTED_VALUE"""),1437.5)</f>
        <v>1437.5</v>
      </c>
      <c r="BJ515" s="1">
        <f>IFERROR(__xludf.DUMMYFUNCTION("""COMPUTED_VALUE"""),0.0)</f>
        <v>0</v>
      </c>
      <c r="BK515" s="4">
        <f>IFERROR(__xludf.DUMMYFUNCTION("""COMPUTED_VALUE"""),0.0)</f>
        <v>0</v>
      </c>
      <c r="BL515" s="1">
        <f>IFERROR(__xludf.DUMMYFUNCTION("""COMPUTED_VALUE"""),1100.0)</f>
        <v>1100</v>
      </c>
      <c r="BM515" s="1">
        <f>IFERROR(__xludf.DUMMYFUNCTION("""COMPUTED_VALUE"""),8.0)</f>
        <v>8</v>
      </c>
      <c r="BN515" s="2">
        <f>IFERROR(__xludf.DUMMYFUNCTION("""COMPUTED_VALUE"""),45705.0)</f>
        <v>45705</v>
      </c>
      <c r="BO515" s="1">
        <f>IFERROR(__xludf.DUMMYFUNCTION("""COMPUTED_VALUE"""),2.0)</f>
        <v>2</v>
      </c>
      <c r="BP515" s="1">
        <f>IFERROR(__xludf.DUMMYFUNCTION("""COMPUTED_VALUE"""),2025.0)</f>
        <v>2025</v>
      </c>
    </row>
    <row r="516">
      <c r="A516" s="1">
        <f>IFERROR(__xludf.DUMMYFUNCTION("""COMPUTED_VALUE"""),515.0)</f>
        <v>515</v>
      </c>
      <c r="B516" s="1">
        <f>IFERROR(__xludf.DUMMYFUNCTION("""COMPUTED_VALUE"""),5032991.0)</f>
        <v>5032991</v>
      </c>
      <c r="C516" s="1" t="str">
        <f>IFERROR(__xludf.DUMMYFUNCTION("""COMPUTED_VALUE"""),"2025-1")</f>
        <v>2025-1</v>
      </c>
      <c r="D516" s="1" t="str">
        <f>IFERROR(__xludf.DUMMYFUNCTION("""COMPUTED_VALUE"""),"Admisión Ordinaria")</f>
        <v>Admisión Ordinaria</v>
      </c>
      <c r="E516" s="2">
        <f>IFERROR(__xludf.DUMMYFUNCTION("""COMPUTED_VALUE"""),45709.0)</f>
        <v>45709</v>
      </c>
      <c r="F516" s="1" t="str">
        <f>IFERROR(__xludf.DUMMYFUNCTION("""COMPUTED_VALUE"""),"LUIS GERARDO ")</f>
        <v>LUIS GERARDO </v>
      </c>
      <c r="G516" s="1" t="str">
        <f>IFERROR(__xludf.DUMMYFUNCTION("""COMPUTED_VALUE"""),"AGUIRRE CHACALIAZA")</f>
        <v>AGUIRRE CHACALIAZA</v>
      </c>
      <c r="H516" s="1" t="str">
        <f>IFERROR(__xludf.DUMMYFUNCTION("""COMPUTED_VALUE"""),"Comunicación Audiovisual y Cine")</f>
        <v>Comunicación Audiovisual y Cine</v>
      </c>
      <c r="I516" s="1" t="str">
        <f>IFERROR(__xludf.DUMMYFUNCTION("""COMPUTED_VALUE"""),"CARGO")</f>
        <v>CARGO</v>
      </c>
      <c r="J516" s="1" t="str">
        <f>IFERROR(__xludf.DUMMYFUNCTION("""COMPUTED_VALUE"""),"Diurno")</f>
        <v>Diurno</v>
      </c>
      <c r="K516" s="1" t="str">
        <f>IFERROR(__xludf.DUMMYFUNCTION("""COMPUTED_VALUE"""),"NUEVO")</f>
        <v>NUEVO</v>
      </c>
      <c r="L516" s="1">
        <f>IFERROR(__xludf.DUMMYFUNCTION("""COMPUTED_VALUE"""),0.0)</f>
        <v>0</v>
      </c>
      <c r="M516" s="1">
        <f>IFERROR(__xludf.DUMMYFUNCTION("""COMPUTED_VALUE"""),0.0)</f>
        <v>0</v>
      </c>
      <c r="N516" s="1" t="str">
        <f>IFERROR(__xludf.DUMMYFUNCTION("""COMPUTED_VALUE"""),"BECA")</f>
        <v>BECA</v>
      </c>
      <c r="O516" s="1" t="str">
        <f>IFERROR(__xludf.DUMMYFUNCTION("""COMPUTED_VALUE"""),"BECA CONGELADA DE 2 AÑOS")</f>
        <v>BECA CONGELADA DE 2 AÑOS</v>
      </c>
      <c r="P516" s="4">
        <f>IFERROR(__xludf.DUMMYFUNCTION("""COMPUTED_VALUE"""),0.0)</f>
        <v>0</v>
      </c>
      <c r="Q516" s="4">
        <f>IFERROR(__xludf.DUMMYFUNCTION("""COMPUTED_VALUE"""),0.0)</f>
        <v>0</v>
      </c>
      <c r="R516" s="4">
        <f>IFERROR(__xludf.DUMMYFUNCTION("""COMPUTED_VALUE"""),1100.0)</f>
        <v>1100</v>
      </c>
      <c r="S516" s="4">
        <f>IFERROR(__xludf.DUMMYFUNCTION("""COMPUTED_VALUE"""),1000.0)</f>
        <v>1000</v>
      </c>
      <c r="T516" s="1" t="str">
        <f>IFERROR(__xludf.DUMMYFUNCTION("""COMPUTED_VALUE"""),"PALANCA 500")</f>
        <v>PALANCA 500</v>
      </c>
      <c r="U516" s="1" t="str">
        <f>IFERROR(__xludf.DUMMYFUNCTION("""COMPUTED_VALUE"""),"RODRIGO")</f>
        <v>RODRIGO</v>
      </c>
      <c r="V516" s="1" t="str">
        <f>IFERROR(__xludf.DUMMYFUNCTION("""COMPUTED_VALUE"""),"Ninguno")</f>
        <v>Ninguno</v>
      </c>
      <c r="W516" s="1" t="str">
        <f>IFERROR(__xludf.DUMMYFUNCTION("""COMPUTED_VALUE"""),"Prestigio de la institución")</f>
        <v>Prestigio de la institución</v>
      </c>
      <c r="X516" s="1" t="str">
        <f>IFERROR(__xludf.DUMMYFUNCTION("""COMPUTED_VALUE"""),"0")</f>
        <v>0</v>
      </c>
      <c r="Y516" s="1" t="str">
        <f>IFERROR(__xludf.DUMMYFUNCTION("""COMPUTED_VALUE"""),"PAGO COMPLETO")</f>
        <v>PAGO COMPLETO</v>
      </c>
      <c r="Z516" s="1"/>
      <c r="AA516" s="1"/>
      <c r="AB516" s="1">
        <f>IFERROR(__xludf.DUMMYFUNCTION("""COMPUTED_VALUE"""),0.0)</f>
        <v>0</v>
      </c>
      <c r="AC516" s="1">
        <f>IFERROR(__xludf.DUMMYFUNCTION("""COMPUTED_VALUE"""),0.0)</f>
        <v>0</v>
      </c>
      <c r="AD516" s="1" t="str">
        <f>IFERROR(__xludf.DUMMYFUNCTION("""COMPUTED_VALUE"""),"Andrea Araujo Antara")</f>
        <v>Andrea Araujo Antara</v>
      </c>
      <c r="AE516" s="1" t="str">
        <f>IFERROR(__xludf.DUMMYFUNCTION("""COMPUTED_VALUE"""),"0")</f>
        <v>0</v>
      </c>
      <c r="AF516" s="1">
        <f>IFERROR(__xludf.DUMMYFUNCTION("""COMPUTED_VALUE"""),2021.0)</f>
        <v>2021</v>
      </c>
      <c r="AG516" s="1">
        <f>IFERROR(__xludf.DUMMYFUNCTION("""COMPUTED_VALUE"""),884544.0)</f>
        <v>884544</v>
      </c>
      <c r="AH516" s="1">
        <f>IFERROR(__xludf.DUMMYFUNCTION("""COMPUTED_VALUE"""),22.0)</f>
        <v>22</v>
      </c>
      <c r="AI516" s="1" t="str">
        <f>IFERROR(__xludf.DUMMYFUNCTION("""COMPUTED_VALUE"""),"0000415822")</f>
        <v>0000415822</v>
      </c>
      <c r="AJ516" s="1">
        <f>IFERROR(__xludf.DUMMYFUNCTION("""COMPUTED_VALUE"""),7.2405977E7)</f>
        <v>72405977</v>
      </c>
      <c r="AK516" s="1">
        <f>IFERROR(__xludf.DUMMYFUNCTION("""COMPUTED_VALUE"""),9.19538535E8)</f>
        <v>919538535</v>
      </c>
      <c r="AL516" s="1" t="str">
        <f>IFERROR(__xludf.DUMMYFUNCTION("""COMPUTED_VALUE"""),"theazael2790@gmail.com")</f>
        <v>theazael2790@gmail.com</v>
      </c>
      <c r="AM516" s="1" t="str">
        <f>IFERROR(__xludf.DUMMYFUNCTION("""COMPUTED_VALUE"""),"MASCULINO")</f>
        <v>MASCULINO</v>
      </c>
      <c r="AN516" s="1">
        <f>IFERROR(__xludf.DUMMYFUNCTION("""COMPUTED_VALUE"""),1350.0)</f>
        <v>1350</v>
      </c>
      <c r="AO516" s="1">
        <f>IFERROR(__xludf.DUMMYFUNCTION("""COMPUTED_VALUE"""),0.0)</f>
        <v>0</v>
      </c>
      <c r="AP516" s="1" t="str">
        <f>IFERROR(__xludf.DUMMYFUNCTION("""COMPUTED_VALUE"""),"BIDIRECCIONAL")</f>
        <v>BIDIRECCIONAL</v>
      </c>
      <c r="AQ516" s="1" t="str">
        <f>IFERROR(__xludf.DUMMYFUNCTION("""COMPUTED_VALUE"""),"SEARCH MARCA")</f>
        <v>SEARCH MARCA</v>
      </c>
      <c r="AR516" s="1" t="str">
        <f>IFERROR(__xludf.DUMMYFUNCTION("""COMPUTED_VALUE"""),"NUEVO")</f>
        <v>NUEVO</v>
      </c>
      <c r="AS516" s="1" t="str">
        <f>IFERROR(__xludf.DUMMYFUNCTION("""COMPUTED_VALUE"""),"ucal-pg-performance-sedes-abierta-cpl-search_conversion_marca-20240401")</f>
        <v>ucal-pg-performance-sedes-abierta-cpl-search_conversion_marca-20240401</v>
      </c>
      <c r="AT516" s="2">
        <f>IFERROR(__xludf.DUMMYFUNCTION("""COMPUTED_VALUE"""),45708.0)</f>
        <v>45708</v>
      </c>
      <c r="AU516" s="1">
        <f>IFERROR(__xludf.DUMMYFUNCTION("""COMPUTED_VALUE"""),1.0)</f>
        <v>1</v>
      </c>
      <c r="AV516" s="1" t="str">
        <f>IFERROR(__xludf.DUMMYFUNCTION("""COMPUTED_VALUE"""),"NUEVO")</f>
        <v>NUEVO</v>
      </c>
      <c r="AW516" s="1" t="str">
        <f>IFERROR(__xludf.DUMMYFUNCTION("""COMPUTED_VALUE"""),"SI")</f>
        <v>SI</v>
      </c>
      <c r="AX516" s="1"/>
      <c r="AY516" s="1" t="str">
        <f>IFERROR(__xludf.DUMMYFUNCTION("""COMPUTED_VALUE"""),"PAGO COMPLETO")</f>
        <v>PAGO COMPLETO</v>
      </c>
      <c r="AZ516" s="5">
        <f>IFERROR(__xludf.DUMMYFUNCTION("""COMPUTED_VALUE"""),45709.0)</f>
        <v>45709</v>
      </c>
      <c r="BA516" s="1">
        <f>IFERROR(__xludf.DUMMYFUNCTION("""COMPUTED_VALUE"""),0.0)</f>
        <v>0</v>
      </c>
      <c r="BB516" s="1">
        <f>IFERROR(__xludf.DUMMYFUNCTION("""COMPUTED_VALUE"""),0.0)</f>
        <v>0</v>
      </c>
      <c r="BC516" s="4">
        <f>IFERROR(__xludf.DUMMYFUNCTION("""COMPUTED_VALUE"""),0.0)</f>
        <v>0</v>
      </c>
      <c r="BD516" s="4">
        <f>IFERROR(__xludf.DUMMYFUNCTION("""COMPUTED_VALUE"""),500.0)</f>
        <v>500</v>
      </c>
      <c r="BE516" s="1">
        <f>IFERROR(__xludf.DUMMYFUNCTION("""COMPUTED_VALUE"""),2.0)</f>
        <v>2</v>
      </c>
      <c r="BF516" s="6">
        <f>IFERROR(__xludf.DUMMYFUNCTION("""COMPUTED_VALUE"""),1.0)</f>
        <v>1</v>
      </c>
      <c r="BG516" s="1">
        <f>IFERROR(__xludf.DUMMYFUNCTION("""COMPUTED_VALUE"""),1.0)</f>
        <v>1</v>
      </c>
      <c r="BH516" s="1" t="str">
        <f>IFERROR(__xludf.DUMMYFUNCTION("""COMPUTED_VALUE"""),"0")</f>
        <v>0</v>
      </c>
      <c r="BI516" s="4">
        <f>IFERROR(__xludf.DUMMYFUNCTION("""COMPUTED_VALUE"""),500.0)</f>
        <v>500</v>
      </c>
      <c r="BJ516" s="1">
        <f>IFERROR(__xludf.DUMMYFUNCTION("""COMPUTED_VALUE"""),0.0)</f>
        <v>0</v>
      </c>
      <c r="BK516" s="4">
        <f>IFERROR(__xludf.DUMMYFUNCTION("""COMPUTED_VALUE"""),500.0)</f>
        <v>500</v>
      </c>
      <c r="BL516" s="1">
        <f>IFERROR(__xludf.DUMMYFUNCTION("""COMPUTED_VALUE"""),900.0)</f>
        <v>900</v>
      </c>
      <c r="BM516" s="1">
        <f>IFERROR(__xludf.DUMMYFUNCTION("""COMPUTED_VALUE"""),8.0)</f>
        <v>8</v>
      </c>
      <c r="BN516" s="2">
        <f>IFERROR(__xludf.DUMMYFUNCTION("""COMPUTED_VALUE"""),45705.0)</f>
        <v>45705</v>
      </c>
      <c r="BO516" s="1">
        <f>IFERROR(__xludf.DUMMYFUNCTION("""COMPUTED_VALUE"""),2.0)</f>
        <v>2</v>
      </c>
      <c r="BP516" s="1">
        <f>IFERROR(__xludf.DUMMYFUNCTION("""COMPUTED_VALUE"""),2025.0)</f>
        <v>2025</v>
      </c>
    </row>
    <row r="517">
      <c r="A517" s="1">
        <f>IFERROR(__xludf.DUMMYFUNCTION("""COMPUTED_VALUE"""),516.0)</f>
        <v>516</v>
      </c>
      <c r="B517" s="1">
        <f>IFERROR(__xludf.DUMMYFUNCTION("""COMPUTED_VALUE"""),4412613.0)</f>
        <v>4412613</v>
      </c>
      <c r="C517" s="1" t="str">
        <f>IFERROR(__xludf.DUMMYFUNCTION("""COMPUTED_VALUE"""),"2025-1")</f>
        <v>2025-1</v>
      </c>
      <c r="D517" s="1" t="str">
        <f>IFERROR(__xludf.DUMMYFUNCTION("""COMPUTED_VALUE"""),"Admisión de Alto Rendimiento")</f>
        <v>Admisión de Alto Rendimiento</v>
      </c>
      <c r="E517" s="2">
        <f>IFERROR(__xludf.DUMMYFUNCTION("""COMPUTED_VALUE"""),45709.0)</f>
        <v>45709</v>
      </c>
      <c r="F517" s="1" t="str">
        <f>IFERROR(__xludf.DUMMYFUNCTION("""COMPUTED_VALUE"""),"ALMENDRA LUCIANA ")</f>
        <v>ALMENDRA LUCIANA </v>
      </c>
      <c r="G517" s="1" t="str">
        <f>IFERROR(__xludf.DUMMYFUNCTION("""COMPUTED_VALUE"""),"GONZALES SAAVEDRA")</f>
        <v>GONZALES SAAVEDRA</v>
      </c>
      <c r="H517" s="1" t="str">
        <f>IFERROR(__xludf.DUMMYFUNCTION("""COMPUTED_VALUE"""),"Comunicación y Publicidad Transmedia")</f>
        <v>Comunicación y Publicidad Transmedia</v>
      </c>
      <c r="I517" s="1" t="str">
        <f>IFERROR(__xludf.DUMMYFUNCTION("""COMPUTED_VALUE"""),"CARGO")</f>
        <v>CARGO</v>
      </c>
      <c r="J517" s="1" t="str">
        <f>IFERROR(__xludf.DUMMYFUNCTION("""COMPUTED_VALUE"""),"Diurno")</f>
        <v>Diurno</v>
      </c>
      <c r="K517" s="1" t="str">
        <f>IFERROR(__xludf.DUMMYFUNCTION("""COMPUTED_VALUE"""),"NUEVO")</f>
        <v>NUEVO</v>
      </c>
      <c r="L517" s="1">
        <f>IFERROR(__xludf.DUMMYFUNCTION("""COMPUTED_VALUE"""),0.0)</f>
        <v>0</v>
      </c>
      <c r="M517" s="1">
        <f>IFERROR(__xludf.DUMMYFUNCTION("""COMPUTED_VALUE"""),0.0)</f>
        <v>0</v>
      </c>
      <c r="N517" s="1" t="str">
        <f>IFERROR(__xludf.DUMMYFUNCTION("""COMPUTED_VALUE"""),"BECA")</f>
        <v>BECA</v>
      </c>
      <c r="O517" s="1" t="str">
        <f>IFERROR(__xludf.DUMMYFUNCTION("""COMPUTED_VALUE"""),"BECA EXCELENCIA ACADÉMICA")</f>
        <v>BECA EXCELENCIA ACADÉMICA</v>
      </c>
      <c r="P517" s="4">
        <f>IFERROR(__xludf.DUMMYFUNCTION("""COMPUTED_VALUE"""),0.0)</f>
        <v>0</v>
      </c>
      <c r="Q517" s="4">
        <f>IFERROR(__xludf.DUMMYFUNCTION("""COMPUTED_VALUE"""),0.0)</f>
        <v>0</v>
      </c>
      <c r="R517" s="4">
        <f>IFERROR(__xludf.DUMMYFUNCTION("""COMPUTED_VALUE"""),1300.0)</f>
        <v>1300</v>
      </c>
      <c r="S517" s="4">
        <f>IFERROR(__xludf.DUMMYFUNCTION("""COMPUTED_VALUE"""),600.0)</f>
        <v>600</v>
      </c>
      <c r="T517" s="1" t="str">
        <f>IFERROR(__xludf.DUMMYFUNCTION("""COMPUTED_VALUE"""),"NINGUNO")</f>
        <v>NINGUNO</v>
      </c>
      <c r="U517" s="1" t="str">
        <f>IFERROR(__xludf.DUMMYFUNCTION("""COMPUTED_VALUE"""),"FABIOLA")</f>
        <v>FABIOLA</v>
      </c>
      <c r="V517" s="1" t="str">
        <f>IFERROR(__xludf.DUMMYFUNCTION("""COMPUTED_VALUE"""),"Ninguno")</f>
        <v>Ninguno</v>
      </c>
      <c r="W517" s="1" t="str">
        <f>IFERROR(__xludf.DUMMYFUNCTION("""COMPUTED_VALUE"""),"Metodología de enseñanza")</f>
        <v>Metodología de enseñanza</v>
      </c>
      <c r="X517" s="1"/>
      <c r="Y517" s="1" t="str">
        <f>IFERROR(__xludf.DUMMYFUNCTION("""COMPUTED_VALUE"""),"PAGO COMPLETO")</f>
        <v>PAGO COMPLETO</v>
      </c>
      <c r="Z517" s="1"/>
      <c r="AA517" s="1"/>
      <c r="AB517" s="1">
        <f>IFERROR(__xludf.DUMMYFUNCTION("""COMPUTED_VALUE"""),0.0)</f>
        <v>0</v>
      </c>
      <c r="AC517" s="1">
        <f>IFERROR(__xludf.DUMMYFUNCTION("""COMPUTED_VALUE"""),0.0)</f>
        <v>0</v>
      </c>
      <c r="AD517" s="1" t="str">
        <f>IFERROR(__xludf.DUMMYFUNCTION("""COMPUTED_VALUE"""),"Fiorella Lanegra")</f>
        <v>Fiorella Lanegra</v>
      </c>
      <c r="AE517" s="1" t="str">
        <f>IFERROR(__xludf.DUMMYFUNCTION("""COMPUTED_VALUE"""),"0")</f>
        <v>0</v>
      </c>
      <c r="AF517" s="1">
        <f>IFERROR(__xludf.DUMMYFUNCTION("""COMPUTED_VALUE"""),2024.0)</f>
        <v>2024</v>
      </c>
      <c r="AG517" s="1">
        <f>IFERROR(__xludf.DUMMYFUNCTION("""COMPUTED_VALUE"""),1477983.0)</f>
        <v>1477983</v>
      </c>
      <c r="AH517" s="1">
        <f>IFERROR(__xludf.DUMMYFUNCTION("""COMPUTED_VALUE"""),18.0)</f>
        <v>18</v>
      </c>
      <c r="AI517" s="1" t="str">
        <f>IFERROR(__xludf.DUMMYFUNCTION("""COMPUTED_VALUE"""),"0000415801")</f>
        <v>0000415801</v>
      </c>
      <c r="AJ517" s="1">
        <f>IFERROR(__xludf.DUMMYFUNCTION("""COMPUTED_VALUE"""),7.0736707E7)</f>
        <v>70736707</v>
      </c>
      <c r="AK517" s="1">
        <f>IFERROR(__xludf.DUMMYFUNCTION("""COMPUTED_VALUE"""),9.0662212E8)</f>
        <v>906622120</v>
      </c>
      <c r="AL517" s="1" t="str">
        <f>IFERROR(__xludf.DUMMYFUNCTION("""COMPUTED_VALUE"""),"almendralucianags@gmail.com")</f>
        <v>almendralucianags@gmail.com</v>
      </c>
      <c r="AM517" s="1" t="str">
        <f>IFERROR(__xludf.DUMMYFUNCTION("""COMPUTED_VALUE"""),"FEMENINO")</f>
        <v>FEMENINO</v>
      </c>
      <c r="AN517" s="1">
        <f>IFERROR(__xludf.DUMMYFUNCTION("""COMPUTED_VALUE"""),1775.0)</f>
        <v>1775</v>
      </c>
      <c r="AO517" s="1">
        <f>IFERROR(__xludf.DUMMYFUNCTION("""COMPUTED_VALUE"""),370.0)</f>
        <v>370</v>
      </c>
      <c r="AP517" s="1" t="str">
        <f>IFERROR(__xludf.DUMMYFUNCTION("""COMPUTED_VALUE"""),"COLEGIOS")</f>
        <v>COLEGIOS</v>
      </c>
      <c r="AQ517" s="1" t="str">
        <f>IFERROR(__xludf.DUMMYFUNCTION("""COMPUTED_VALUE"""),"COLEGIOS")</f>
        <v>COLEGIOS</v>
      </c>
      <c r="AR517" s="1" t="str">
        <f>IFERROR(__xludf.DUMMYFUNCTION("""COMPUTED_VALUE"""),"NUEVO")</f>
        <v>NUEVO</v>
      </c>
      <c r="AS517" s="1"/>
      <c r="AT517" s="2">
        <f>IFERROR(__xludf.DUMMYFUNCTION("""COMPUTED_VALUE"""),45504.0)</f>
        <v>45504</v>
      </c>
      <c r="AU517" s="1">
        <f>IFERROR(__xludf.DUMMYFUNCTION("""COMPUTED_VALUE"""),1.0)</f>
        <v>1</v>
      </c>
      <c r="AV517" s="1" t="str">
        <f>IFERROR(__xludf.DUMMYFUNCTION("""COMPUTED_VALUE"""),"NUEVO")</f>
        <v>NUEVO</v>
      </c>
      <c r="AW517" s="1" t="str">
        <f>IFERROR(__xludf.DUMMYFUNCTION("""COMPUTED_VALUE"""),"SI")</f>
        <v>SI</v>
      </c>
      <c r="AX517" s="1"/>
      <c r="AY517" s="1" t="str">
        <f>IFERROR(__xludf.DUMMYFUNCTION("""COMPUTED_VALUE"""),"PAGO COMPLETO")</f>
        <v>PAGO COMPLETO</v>
      </c>
      <c r="AZ517" s="5">
        <f>IFERROR(__xludf.DUMMYFUNCTION("""COMPUTED_VALUE"""),45709.0)</f>
        <v>45709</v>
      </c>
      <c r="BA517" s="1">
        <f>IFERROR(__xludf.DUMMYFUNCTION("""COMPUTED_VALUE"""),0.0)</f>
        <v>0</v>
      </c>
      <c r="BB517" s="1">
        <f>IFERROR(__xludf.DUMMYFUNCTION("""COMPUTED_VALUE"""),0.0)</f>
        <v>0</v>
      </c>
      <c r="BC517" s="4">
        <f>IFERROR(__xludf.DUMMYFUNCTION("""COMPUTED_VALUE"""),0.0)</f>
        <v>0</v>
      </c>
      <c r="BD517" s="4">
        <f>IFERROR(__xludf.DUMMYFUNCTION("""COMPUTED_VALUE"""),0.0)</f>
        <v>0</v>
      </c>
      <c r="BE517" s="1">
        <f>IFERROR(__xludf.DUMMYFUNCTION("""COMPUTED_VALUE"""),2.0)</f>
        <v>2</v>
      </c>
      <c r="BF517" s="6">
        <f>IFERROR(__xludf.DUMMYFUNCTION("""COMPUTED_VALUE"""),1.0)</f>
        <v>1</v>
      </c>
      <c r="BG517" s="1">
        <f>IFERROR(__xludf.DUMMYFUNCTION("""COMPUTED_VALUE"""),1.0)</f>
        <v>1</v>
      </c>
      <c r="BH517" s="1" t="str">
        <f>IFERROR(__xludf.DUMMYFUNCTION("""COMPUTED_VALUE"""),"0")</f>
        <v>0</v>
      </c>
      <c r="BI517" s="4">
        <f>IFERROR(__xludf.DUMMYFUNCTION("""COMPUTED_VALUE"""),0.0)</f>
        <v>0</v>
      </c>
      <c r="BJ517" s="1">
        <f>IFERROR(__xludf.DUMMYFUNCTION("""COMPUTED_VALUE"""),0.0)</f>
        <v>0</v>
      </c>
      <c r="BK517" s="4">
        <f>IFERROR(__xludf.DUMMYFUNCTION("""COMPUTED_VALUE"""),0.0)</f>
        <v>0</v>
      </c>
      <c r="BL517" s="1">
        <f>IFERROR(__xludf.DUMMYFUNCTION("""COMPUTED_VALUE"""),600.0)</f>
        <v>600</v>
      </c>
      <c r="BM517" s="1">
        <f>IFERROR(__xludf.DUMMYFUNCTION("""COMPUTED_VALUE"""),8.0)</f>
        <v>8</v>
      </c>
      <c r="BN517" s="2">
        <f>IFERROR(__xludf.DUMMYFUNCTION("""COMPUTED_VALUE"""),45705.0)</f>
        <v>45705</v>
      </c>
      <c r="BO517" s="1">
        <f>IFERROR(__xludf.DUMMYFUNCTION("""COMPUTED_VALUE"""),2.0)</f>
        <v>2</v>
      </c>
      <c r="BP517" s="1">
        <f>IFERROR(__xludf.DUMMYFUNCTION("""COMPUTED_VALUE"""),2025.0)</f>
        <v>2025</v>
      </c>
    </row>
    <row r="518">
      <c r="A518" s="1">
        <f>IFERROR(__xludf.DUMMYFUNCTION("""COMPUTED_VALUE"""),517.0)</f>
        <v>517</v>
      </c>
      <c r="B518" s="1">
        <f>IFERROR(__xludf.DUMMYFUNCTION("""COMPUTED_VALUE"""),2393625.0)</f>
        <v>2393625</v>
      </c>
      <c r="C518" s="1" t="str">
        <f>IFERROR(__xludf.DUMMYFUNCTION("""COMPUTED_VALUE"""),"2025-1")</f>
        <v>2025-1</v>
      </c>
      <c r="D518" s="1" t="str">
        <f>IFERROR(__xludf.DUMMYFUNCTION("""COMPUTED_VALUE"""),"Admisión Extraordinaria (Traslados)")</f>
        <v>Admisión Extraordinaria (Traslados)</v>
      </c>
      <c r="E518" s="2">
        <f>IFERROR(__xludf.DUMMYFUNCTION("""COMPUTED_VALUE"""),45709.0)</f>
        <v>45709</v>
      </c>
      <c r="F518" s="1" t="str">
        <f>IFERROR(__xludf.DUMMYFUNCTION("""COMPUTED_VALUE"""),"FIORELLA ")</f>
        <v>FIORELLA </v>
      </c>
      <c r="G518" s="1" t="str">
        <f>IFERROR(__xludf.DUMMYFUNCTION("""COMPUTED_VALUE"""),"CARRASCO BAUTISTA")</f>
        <v>CARRASCO BAUTISTA</v>
      </c>
      <c r="H518" s="1" t="str">
        <f>IFERROR(__xludf.DUMMYFUNCTION("""COMPUTED_VALUE"""),"Administración")</f>
        <v>Administración</v>
      </c>
      <c r="I518" s="1" t="str">
        <f>IFERROR(__xludf.DUMMYFUNCTION("""COMPUTED_VALUE"""),"POS")</f>
        <v>POS</v>
      </c>
      <c r="J518" s="1" t="str">
        <f>IFERROR(__xludf.DUMMYFUNCTION("""COMPUTED_VALUE"""),"Diurno")</f>
        <v>Diurno</v>
      </c>
      <c r="K518" s="1" t="str">
        <f>IFERROR(__xludf.DUMMYFUNCTION("""COMPUTED_VALUE"""),"TRASLADO")</f>
        <v>TRASLADO</v>
      </c>
      <c r="L518" s="1">
        <f>IFERROR(__xludf.DUMMYFUNCTION("""COMPUTED_VALUE"""),1.0)</f>
        <v>1</v>
      </c>
      <c r="M518" s="1">
        <f>IFERROR(__xludf.DUMMYFUNCTION("""COMPUTED_VALUE"""),0.0)</f>
        <v>0</v>
      </c>
      <c r="N518" s="1" t="str">
        <f>IFERROR(__xludf.DUMMYFUNCTION("""COMPUTED_VALUE"""),"RECA")</f>
        <v>RECA</v>
      </c>
      <c r="O518" s="1" t="str">
        <f>IFERROR(__xludf.DUMMYFUNCTION("""COMPUTED_VALUE"""),"RECA TRASLADO CON CONVA")</f>
        <v>RECA TRASLADO CON CONVA</v>
      </c>
      <c r="P518" s="4">
        <f>IFERROR(__xludf.DUMMYFUNCTION("""COMPUTED_VALUE"""),0.0)</f>
        <v>0</v>
      </c>
      <c r="Q518" s="4">
        <f>IFERROR(__xludf.DUMMYFUNCTION("""COMPUTED_VALUE"""),0.0)</f>
        <v>0</v>
      </c>
      <c r="R518" s="4">
        <f>IFERROR(__xludf.DUMMYFUNCTION("""COMPUTED_VALUE"""),750.0)</f>
        <v>750</v>
      </c>
      <c r="S518" s="4">
        <f>IFERROR(__xludf.DUMMYFUNCTION("""COMPUTED_VALUE"""),750.0)</f>
        <v>750</v>
      </c>
      <c r="T518" s="1" t="str">
        <f>IFERROR(__xludf.DUMMYFUNCTION("""COMPUTED_VALUE"""),"NINGUNO")</f>
        <v>NINGUNO</v>
      </c>
      <c r="U518" s="1"/>
      <c r="V518" s="1" t="str">
        <f>IFERROR(__xludf.DUMMYFUNCTION("""COMPUTED_VALUE"""),"Ninguno")</f>
        <v>Ninguno</v>
      </c>
      <c r="W518" s="1" t="str">
        <f>IFERROR(__xludf.DUMMYFUNCTION("""COMPUTED_VALUE"""),"Metodología de enseñanza")</f>
        <v>Metodología de enseñanza</v>
      </c>
      <c r="X518" s="1" t="str">
        <f>IFERROR(__xludf.DUMMYFUNCTION("""COMPUTED_VALUE"""),"RECA 750 ")</f>
        <v>RECA 750 </v>
      </c>
      <c r="Y518" s="1" t="str">
        <f>IFERROR(__xludf.DUMMYFUNCTION("""COMPUTED_VALUE"""),"PAGO COMPLETO")</f>
        <v>PAGO COMPLETO</v>
      </c>
      <c r="Z518" s="1"/>
      <c r="AA518" s="1"/>
      <c r="AB518" s="1">
        <f>IFERROR(__xludf.DUMMYFUNCTION("""COMPUTED_VALUE"""),0.0)</f>
        <v>0</v>
      </c>
      <c r="AC518" s="1">
        <f>IFERROR(__xludf.DUMMYFUNCTION("""COMPUTED_VALUE"""),0.0)</f>
        <v>0</v>
      </c>
      <c r="AD518" s="1" t="str">
        <f>IFERROR(__xludf.DUMMYFUNCTION("""COMPUTED_VALUE"""),"Ingrid Guillermo Rivera")</f>
        <v>Ingrid Guillermo Rivera</v>
      </c>
      <c r="AE518" s="1" t="str">
        <f>IFERROR(__xludf.DUMMYFUNCTION("""COMPUTED_VALUE"""),"ISIL")</f>
        <v>ISIL</v>
      </c>
      <c r="AF518" s="1">
        <f>IFERROR(__xludf.DUMMYFUNCTION("""COMPUTED_VALUE"""),2020.0)</f>
        <v>2020</v>
      </c>
      <c r="AG518" s="1">
        <f>IFERROR(__xludf.DUMMYFUNCTION("""COMPUTED_VALUE"""),692434.0)</f>
        <v>692434</v>
      </c>
      <c r="AH518" s="1">
        <f>IFERROR(__xludf.DUMMYFUNCTION("""COMPUTED_VALUE"""),24.0)</f>
        <v>24</v>
      </c>
      <c r="AI518" s="1" t="str">
        <f>IFERROR(__xludf.DUMMYFUNCTION("""COMPUTED_VALUE"""),"0000415907")</f>
        <v>0000415907</v>
      </c>
      <c r="AJ518" s="1">
        <f>IFERROR(__xludf.DUMMYFUNCTION("""COMPUTED_VALUE"""),7.6660448E7)</f>
        <v>76660448</v>
      </c>
      <c r="AK518" s="1">
        <f>IFERROR(__xludf.DUMMYFUNCTION("""COMPUTED_VALUE"""),9.64374342E8)</f>
        <v>964374342</v>
      </c>
      <c r="AL518" s="1" t="str">
        <f>IFERROR(__xludf.DUMMYFUNCTION("""COMPUTED_VALUE"""),"fiorellacarrascob@gmail.com")</f>
        <v>fiorellacarrascob@gmail.com</v>
      </c>
      <c r="AM518" s="1" t="str">
        <f>IFERROR(__xludf.DUMMYFUNCTION("""COMPUTED_VALUE"""),"FEMENINO")</f>
        <v>FEMENINO</v>
      </c>
      <c r="AN518" s="1">
        <f>IFERROR(__xludf.DUMMYFUNCTION("""COMPUTED_VALUE"""),1350.0)</f>
        <v>1350</v>
      </c>
      <c r="AO518" s="1">
        <f>IFERROR(__xludf.DUMMYFUNCTION("""COMPUTED_VALUE"""),0.0)</f>
        <v>0</v>
      </c>
      <c r="AP518" s="1" t="str">
        <f>IFERROR(__xludf.DUMMYFUNCTION("""COMPUTED_VALUE"""),"FORMULARIO")</f>
        <v>FORMULARIO</v>
      </c>
      <c r="AQ518" s="1" t="str">
        <f>IFERROR(__xludf.DUMMYFUNCTION("""COMPUTED_VALUE"""),"ORGANICO")</f>
        <v>ORGANICO</v>
      </c>
      <c r="AR518" s="1" t="str">
        <f>IFERROR(__xludf.DUMMYFUNCTION("""COMPUTED_VALUE"""),"HEREDADO")</f>
        <v>HEREDADO</v>
      </c>
      <c r="AS518" s="1"/>
      <c r="AT518" s="2">
        <f>IFERROR(__xludf.DUMMYFUNCTION("""COMPUTED_VALUE"""),45675.0)</f>
        <v>45675</v>
      </c>
      <c r="AU518" s="1">
        <f>IFERROR(__xludf.DUMMYFUNCTION("""COMPUTED_VALUE"""),1.0)</f>
        <v>1</v>
      </c>
      <c r="AV518" s="1" t="str">
        <f>IFERROR(__xludf.DUMMYFUNCTION("""COMPUTED_VALUE"""),"TRASLADO")</f>
        <v>TRASLADO</v>
      </c>
      <c r="AW518" s="1" t="str">
        <f>IFERROR(__xludf.DUMMYFUNCTION("""COMPUTED_VALUE"""),"SI")</f>
        <v>SI</v>
      </c>
      <c r="AX518" s="1"/>
      <c r="AY518" s="1" t="str">
        <f>IFERROR(__xludf.DUMMYFUNCTION("""COMPUTED_VALUE"""),"PAGO COMPLETO")</f>
        <v>PAGO COMPLETO</v>
      </c>
      <c r="AZ518" s="5">
        <f>IFERROR(__xludf.DUMMYFUNCTION("""COMPUTED_VALUE"""),45709.0)</f>
        <v>45709</v>
      </c>
      <c r="BA518" s="1">
        <f>IFERROR(__xludf.DUMMYFUNCTION("""COMPUTED_VALUE"""),0.0)</f>
        <v>0</v>
      </c>
      <c r="BB518" s="1">
        <f>IFERROR(__xludf.DUMMYFUNCTION("""COMPUTED_VALUE"""),0.0)</f>
        <v>0</v>
      </c>
      <c r="BC518" s="4">
        <f>IFERROR(__xludf.DUMMYFUNCTION("""COMPUTED_VALUE"""),0.0)</f>
        <v>0</v>
      </c>
      <c r="BD518" s="4">
        <f>IFERROR(__xludf.DUMMYFUNCTION("""COMPUTED_VALUE"""),0.0)</f>
        <v>0</v>
      </c>
      <c r="BE518" s="1">
        <f>IFERROR(__xludf.DUMMYFUNCTION("""COMPUTED_VALUE"""),2.0)</f>
        <v>2</v>
      </c>
      <c r="BF518" s="6">
        <f>IFERROR(__xludf.DUMMYFUNCTION("""COMPUTED_VALUE"""),1.0)</f>
        <v>1</v>
      </c>
      <c r="BG518" s="1">
        <f>IFERROR(__xludf.DUMMYFUNCTION("""COMPUTED_VALUE"""),1.0)</f>
        <v>1</v>
      </c>
      <c r="BH518" s="1" t="str">
        <f>IFERROR(__xludf.DUMMYFUNCTION("""COMPUTED_VALUE"""),"1")</f>
        <v>1</v>
      </c>
      <c r="BI518" s="4">
        <f>IFERROR(__xludf.DUMMYFUNCTION("""COMPUTED_VALUE"""),0.0)</f>
        <v>0</v>
      </c>
      <c r="BJ518" s="1">
        <f>IFERROR(__xludf.DUMMYFUNCTION("""COMPUTED_VALUE"""),0.0)</f>
        <v>0</v>
      </c>
      <c r="BK518" s="4">
        <f>IFERROR(__xludf.DUMMYFUNCTION("""COMPUTED_VALUE"""),0.0)</f>
        <v>0</v>
      </c>
      <c r="BL518" s="1">
        <f>IFERROR(__xludf.DUMMYFUNCTION("""COMPUTED_VALUE"""),750.0)</f>
        <v>750</v>
      </c>
      <c r="BM518" s="1">
        <f>IFERROR(__xludf.DUMMYFUNCTION("""COMPUTED_VALUE"""),8.0)</f>
        <v>8</v>
      </c>
      <c r="BN518" s="2">
        <f>IFERROR(__xludf.DUMMYFUNCTION("""COMPUTED_VALUE"""),45705.0)</f>
        <v>45705</v>
      </c>
      <c r="BO518" s="1">
        <f>IFERROR(__xludf.DUMMYFUNCTION("""COMPUTED_VALUE"""),2.0)</f>
        <v>2</v>
      </c>
      <c r="BP518" s="1">
        <f>IFERROR(__xludf.DUMMYFUNCTION("""COMPUTED_VALUE"""),2025.0)</f>
        <v>2025</v>
      </c>
    </row>
    <row r="519">
      <c r="A519" s="1">
        <f>IFERROR(__xludf.DUMMYFUNCTION("""COMPUTED_VALUE"""),518.0)</f>
        <v>518</v>
      </c>
      <c r="B519" s="1">
        <f>IFERROR(__xludf.DUMMYFUNCTION("""COMPUTED_VALUE"""),4596303.0)</f>
        <v>4596303</v>
      </c>
      <c r="C519" s="1" t="str">
        <f>IFERROR(__xludf.DUMMYFUNCTION("""COMPUTED_VALUE"""),"2025-1")</f>
        <v>2025-1</v>
      </c>
      <c r="D519" s="1" t="str">
        <f>IFERROR(__xludf.DUMMYFUNCTION("""COMPUTED_VALUE"""),"Admisión de Alto Rendimiento")</f>
        <v>Admisión de Alto Rendimiento</v>
      </c>
      <c r="E519" s="2">
        <f>IFERROR(__xludf.DUMMYFUNCTION("""COMPUTED_VALUE"""),45710.0)</f>
        <v>45710</v>
      </c>
      <c r="F519" s="1" t="str">
        <f>IFERROR(__xludf.DUMMYFUNCTION("""COMPUTED_VALUE"""),"FRANCO CESAR")</f>
        <v>FRANCO CESAR</v>
      </c>
      <c r="G519" s="1" t="str">
        <f>IFERROR(__xludf.DUMMYFUNCTION("""COMPUTED_VALUE"""),"RETAMOZO BRAVO")</f>
        <v>RETAMOZO BRAVO</v>
      </c>
      <c r="H519" s="1" t="str">
        <f>IFERROR(__xludf.DUMMYFUNCTION("""COMPUTED_VALUE"""),"Diseño Gráfico Publicitario")</f>
        <v>Diseño Gráfico Publicitario</v>
      </c>
      <c r="I519" s="1" t="str">
        <f>IFERROR(__xludf.DUMMYFUNCTION("""COMPUTED_VALUE"""),"CARGO")</f>
        <v>CARGO</v>
      </c>
      <c r="J519" s="1" t="str">
        <f>IFERROR(__xludf.DUMMYFUNCTION("""COMPUTED_VALUE"""),"Diurno")</f>
        <v>Diurno</v>
      </c>
      <c r="K519" s="1" t="str">
        <f>IFERROR(__xludf.DUMMYFUNCTION("""COMPUTED_VALUE"""),"NUEVO")</f>
        <v>NUEVO</v>
      </c>
      <c r="L519" s="1">
        <f>IFERROR(__xludf.DUMMYFUNCTION("""COMPUTED_VALUE"""),0.0)</f>
        <v>0</v>
      </c>
      <c r="M519" s="1">
        <f>IFERROR(__xludf.DUMMYFUNCTION("""COMPUTED_VALUE"""),0.0)</f>
        <v>0</v>
      </c>
      <c r="N519" s="1" t="str">
        <f>IFERROR(__xludf.DUMMYFUNCTION("""COMPUTED_VALUE"""),"BECA")</f>
        <v>BECA</v>
      </c>
      <c r="O519" s="1" t="str">
        <f>IFERROR(__xludf.DUMMYFUNCTION("""COMPUTED_VALUE"""),"BECA CONGELADA DE 2 AÑOS")</f>
        <v>BECA CONGELADA DE 2 AÑOS</v>
      </c>
      <c r="P519" s="4">
        <f>IFERROR(__xludf.DUMMYFUNCTION("""COMPUTED_VALUE"""),0.0)</f>
        <v>0</v>
      </c>
      <c r="Q519" s="4">
        <f>IFERROR(__xludf.DUMMYFUNCTION("""COMPUTED_VALUE"""),0.0)</f>
        <v>0</v>
      </c>
      <c r="R519" s="4">
        <f>IFERROR(__xludf.DUMMYFUNCTION("""COMPUTED_VALUE"""),1050.0)</f>
        <v>1050</v>
      </c>
      <c r="S519" s="4">
        <f>IFERROR(__xludf.DUMMYFUNCTION("""COMPUTED_VALUE"""),900.0)</f>
        <v>900</v>
      </c>
      <c r="T519" s="1" t="str">
        <f>IFERROR(__xludf.DUMMYFUNCTION("""COMPUTED_VALUE"""),"PALANCA 500")</f>
        <v>PALANCA 500</v>
      </c>
      <c r="U519" s="1" t="str">
        <f>IFERROR(__xludf.DUMMYFUNCTION("""COMPUTED_VALUE"""),"FABIOLA")</f>
        <v>FABIOLA</v>
      </c>
      <c r="V519" s="1" t="str">
        <f>IFERROR(__xludf.DUMMYFUNCTION("""COMPUTED_VALUE"""),"Ninguno")</f>
        <v>Ninguno</v>
      </c>
      <c r="W519" s="1" t="str">
        <f>IFERROR(__xludf.DUMMYFUNCTION("""COMPUTED_VALUE"""),"Ubicación de sede")</f>
        <v>Ubicación de sede</v>
      </c>
      <c r="X519" s="1"/>
      <c r="Y519" s="1" t="str">
        <f>IFERROR(__xludf.DUMMYFUNCTION("""COMPUTED_VALUE"""),"PAGO COMPLETO")</f>
        <v>PAGO COMPLETO</v>
      </c>
      <c r="Z519" s="1"/>
      <c r="AA519" s="1"/>
      <c r="AB519" s="1">
        <f>IFERROR(__xludf.DUMMYFUNCTION("""COMPUTED_VALUE"""),0.0)</f>
        <v>0</v>
      </c>
      <c r="AC519" s="1">
        <f>IFERROR(__xludf.DUMMYFUNCTION("""COMPUTED_VALUE"""),0.0)</f>
        <v>0</v>
      </c>
      <c r="AD519" s="1" t="str">
        <f>IFERROR(__xludf.DUMMYFUNCTION("""COMPUTED_VALUE"""),"Sergio Valderrama Rodriguez")</f>
        <v>Sergio Valderrama Rodriguez</v>
      </c>
      <c r="AE519" s="1" t="str">
        <f>IFERROR(__xludf.DUMMYFUNCTION("""COMPUTED_VALUE"""),"0")</f>
        <v>0</v>
      </c>
      <c r="AF519" s="1">
        <f>IFERROR(__xludf.DUMMYFUNCTION("""COMPUTED_VALUE"""),2024.0)</f>
        <v>2024</v>
      </c>
      <c r="AG519" s="1">
        <f>IFERROR(__xludf.DUMMYFUNCTION("""COMPUTED_VALUE"""),765370.0)</f>
        <v>765370</v>
      </c>
      <c r="AH519" s="1">
        <f>IFERROR(__xludf.DUMMYFUNCTION("""COMPUTED_VALUE"""),18.0)</f>
        <v>18</v>
      </c>
      <c r="AI519" s="1" t="str">
        <f>IFERROR(__xludf.DUMMYFUNCTION("""COMPUTED_VALUE"""),"0000415932")</f>
        <v>0000415932</v>
      </c>
      <c r="AJ519" s="1">
        <f>IFERROR(__xludf.DUMMYFUNCTION("""COMPUTED_VALUE"""),7.0735303E7)</f>
        <v>70735303</v>
      </c>
      <c r="AK519" s="1">
        <f>IFERROR(__xludf.DUMMYFUNCTION("""COMPUTED_VALUE"""),9.43418671E8)</f>
        <v>943418671</v>
      </c>
      <c r="AL519" s="1" t="str">
        <f>IFERROR(__xludf.DUMMYFUNCTION("""COMPUTED_VALUE"""),"luzbravoyucra@gmail.com")</f>
        <v>luzbravoyucra@gmail.com</v>
      </c>
      <c r="AM519" s="1" t="str">
        <f>IFERROR(__xludf.DUMMYFUNCTION("""COMPUTED_VALUE"""),"MASCULINO")</f>
        <v>MASCULINO</v>
      </c>
      <c r="AN519" s="1">
        <f>IFERROR(__xludf.DUMMYFUNCTION("""COMPUTED_VALUE"""),1350.0)</f>
        <v>1350</v>
      </c>
      <c r="AO519" s="1">
        <f>IFERROR(__xludf.DUMMYFUNCTION("""COMPUTED_VALUE"""),0.0)</f>
        <v>0</v>
      </c>
      <c r="AP519" s="1" t="str">
        <f>IFERROR(__xludf.DUMMYFUNCTION("""COMPUTED_VALUE"""),"COLEGIOS")</f>
        <v>COLEGIOS</v>
      </c>
      <c r="AQ519" s="1" t="str">
        <f>IFERROR(__xludf.DUMMYFUNCTION("""COMPUTED_VALUE"""),"COLEGIOS")</f>
        <v>COLEGIOS</v>
      </c>
      <c r="AR519" s="1" t="str">
        <f>IFERROR(__xludf.DUMMYFUNCTION("""COMPUTED_VALUE"""),"NUEVO")</f>
        <v>NUEVO</v>
      </c>
      <c r="AS519" s="1"/>
      <c r="AT519" s="2">
        <f>IFERROR(__xludf.DUMMYFUNCTION("""COMPUTED_VALUE"""),45550.0)</f>
        <v>45550</v>
      </c>
      <c r="AU519" s="1">
        <f>IFERROR(__xludf.DUMMYFUNCTION("""COMPUTED_VALUE"""),1.0)</f>
        <v>1</v>
      </c>
      <c r="AV519" s="1" t="str">
        <f>IFERROR(__xludf.DUMMYFUNCTION("""COMPUTED_VALUE"""),"NUEVO")</f>
        <v>NUEVO</v>
      </c>
      <c r="AW519" s="1" t="str">
        <f>IFERROR(__xludf.DUMMYFUNCTION("""COMPUTED_VALUE"""),"SI")</f>
        <v>SI</v>
      </c>
      <c r="AX519" s="1"/>
      <c r="AY519" s="1" t="str">
        <f>IFERROR(__xludf.DUMMYFUNCTION("""COMPUTED_VALUE"""),"PAGO COMPLETO")</f>
        <v>PAGO COMPLETO</v>
      </c>
      <c r="AZ519" s="5">
        <f>IFERROR(__xludf.DUMMYFUNCTION("""COMPUTED_VALUE"""),45710.0)</f>
        <v>45710</v>
      </c>
      <c r="BA519" s="1">
        <f>IFERROR(__xludf.DUMMYFUNCTION("""COMPUTED_VALUE"""),0.0)</f>
        <v>0</v>
      </c>
      <c r="BB519" s="1">
        <f>IFERROR(__xludf.DUMMYFUNCTION("""COMPUTED_VALUE"""),0.0)</f>
        <v>0</v>
      </c>
      <c r="BC519" s="4">
        <f>IFERROR(__xludf.DUMMYFUNCTION("""COMPUTED_VALUE"""),0.0)</f>
        <v>0</v>
      </c>
      <c r="BD519" s="4">
        <f>IFERROR(__xludf.DUMMYFUNCTION("""COMPUTED_VALUE"""),400.0)</f>
        <v>400</v>
      </c>
      <c r="BE519" s="1">
        <f>IFERROR(__xludf.DUMMYFUNCTION("""COMPUTED_VALUE"""),2.0)</f>
        <v>2</v>
      </c>
      <c r="BF519" s="6">
        <f>IFERROR(__xludf.DUMMYFUNCTION("""COMPUTED_VALUE"""),1.0)</f>
        <v>1</v>
      </c>
      <c r="BG519" s="1">
        <f>IFERROR(__xludf.DUMMYFUNCTION("""COMPUTED_VALUE"""),1.0)</f>
        <v>1</v>
      </c>
      <c r="BH519" s="1" t="str">
        <f>IFERROR(__xludf.DUMMYFUNCTION("""COMPUTED_VALUE"""),"0")</f>
        <v>0</v>
      </c>
      <c r="BI519" s="4">
        <f>IFERROR(__xludf.DUMMYFUNCTION("""COMPUTED_VALUE"""),400.0)</f>
        <v>400</v>
      </c>
      <c r="BJ519" s="1">
        <f>IFERROR(__xludf.DUMMYFUNCTION("""COMPUTED_VALUE"""),0.0)</f>
        <v>0</v>
      </c>
      <c r="BK519" s="4">
        <f>IFERROR(__xludf.DUMMYFUNCTION("""COMPUTED_VALUE"""),400.0)</f>
        <v>400</v>
      </c>
      <c r="BL519" s="1">
        <f>IFERROR(__xludf.DUMMYFUNCTION("""COMPUTED_VALUE"""),820.0)</f>
        <v>820</v>
      </c>
      <c r="BM519" s="1">
        <f>IFERROR(__xludf.DUMMYFUNCTION("""COMPUTED_VALUE"""),8.0)</f>
        <v>8</v>
      </c>
      <c r="BN519" s="2">
        <f>IFERROR(__xludf.DUMMYFUNCTION("""COMPUTED_VALUE"""),45705.0)</f>
        <v>45705</v>
      </c>
      <c r="BO519" s="1">
        <f>IFERROR(__xludf.DUMMYFUNCTION("""COMPUTED_VALUE"""),2.0)</f>
        <v>2</v>
      </c>
      <c r="BP519" s="1">
        <f>IFERROR(__xludf.DUMMYFUNCTION("""COMPUTED_VALUE"""),2025.0)</f>
        <v>2025</v>
      </c>
    </row>
    <row r="520">
      <c r="A520" s="1">
        <f>IFERROR(__xludf.DUMMYFUNCTION("""COMPUTED_VALUE"""),519.0)</f>
        <v>519</v>
      </c>
      <c r="B520" s="1">
        <f>IFERROR(__xludf.DUMMYFUNCTION("""COMPUTED_VALUE"""),4974555.0)</f>
        <v>4974555</v>
      </c>
      <c r="C520" s="1" t="str">
        <f>IFERROR(__xludf.DUMMYFUNCTION("""COMPUTED_VALUE"""),"2025-1")</f>
        <v>2025-1</v>
      </c>
      <c r="D520" s="1" t="str">
        <f>IFERROR(__xludf.DUMMYFUNCTION("""COMPUTED_VALUE"""),"Admisión Ordinaria")</f>
        <v>Admisión Ordinaria</v>
      </c>
      <c r="E520" s="2">
        <f>IFERROR(__xludf.DUMMYFUNCTION("""COMPUTED_VALUE"""),45710.0)</f>
        <v>45710</v>
      </c>
      <c r="F520" s="1" t="str">
        <f>IFERROR(__xludf.DUMMYFUNCTION("""COMPUTED_VALUE"""),"EDUARDO ANTONIO")</f>
        <v>EDUARDO ANTONIO</v>
      </c>
      <c r="G520" s="1" t="str">
        <f>IFERROR(__xludf.DUMMYFUNCTION("""COMPUTED_VALUE"""),"OCHANTE SEBASTIAN")</f>
        <v>OCHANTE SEBASTIAN</v>
      </c>
      <c r="H520" s="1" t="str">
        <f>IFERROR(__xludf.DUMMYFUNCTION("""COMPUTED_VALUE"""),"Diseño Gráfico Publicitario")</f>
        <v>Diseño Gráfico Publicitario</v>
      </c>
      <c r="I520" s="1" t="str">
        <f>IFERROR(__xludf.DUMMYFUNCTION("""COMPUTED_VALUE"""),"CARGO")</f>
        <v>CARGO</v>
      </c>
      <c r="J520" s="1" t="str">
        <f>IFERROR(__xludf.DUMMYFUNCTION("""COMPUTED_VALUE"""),"Diurno")</f>
        <v>Diurno</v>
      </c>
      <c r="K520" s="1" t="str">
        <f>IFERROR(__xludf.DUMMYFUNCTION("""COMPUTED_VALUE"""),"TRASLADO")</f>
        <v>TRASLADO</v>
      </c>
      <c r="L520" s="1">
        <f>IFERROR(__xludf.DUMMYFUNCTION("""COMPUTED_VALUE"""),0.0)</f>
        <v>0</v>
      </c>
      <c r="M520" s="1">
        <f>IFERROR(__xludf.DUMMYFUNCTION("""COMPUTED_VALUE"""),1.0)</f>
        <v>1</v>
      </c>
      <c r="N520" s="1" t="str">
        <f>IFERROR(__xludf.DUMMYFUNCTION("""COMPUTED_VALUE"""),"BECA")</f>
        <v>BECA</v>
      </c>
      <c r="O520" s="1" t="str">
        <f>IFERROR(__xludf.DUMMYFUNCTION("""COMPUTED_VALUE"""),"BECA CONGELADA DE 2 AÑOS")</f>
        <v>BECA CONGELADA DE 2 AÑOS</v>
      </c>
      <c r="P520" s="4">
        <f>IFERROR(__xludf.DUMMYFUNCTION("""COMPUTED_VALUE"""),125.0)</f>
        <v>125</v>
      </c>
      <c r="Q520" s="4">
        <f>IFERROR(__xludf.DUMMYFUNCTION("""COMPUTED_VALUE"""),237.5)</f>
        <v>237.5</v>
      </c>
      <c r="R520" s="4">
        <f>IFERROR(__xludf.DUMMYFUNCTION("""COMPUTED_VALUE"""),1200.0)</f>
        <v>1200</v>
      </c>
      <c r="S520" s="4">
        <f>IFERROR(__xludf.DUMMYFUNCTION("""COMPUTED_VALUE"""),1000.0)</f>
        <v>1000</v>
      </c>
      <c r="T520" s="1" t="str">
        <f>IFERROR(__xludf.DUMMYFUNCTION("""COMPUTED_VALUE"""),"PALANCA 500")</f>
        <v>PALANCA 500</v>
      </c>
      <c r="U520" s="1" t="str">
        <f>IFERROR(__xludf.DUMMYFUNCTION("""COMPUTED_VALUE"""),"RODRIGO")</f>
        <v>RODRIGO</v>
      </c>
      <c r="V520" s="1" t="str">
        <f>IFERROR(__xludf.DUMMYFUNCTION("""COMPUTED_VALUE"""),"Ninguno")</f>
        <v>Ninguno</v>
      </c>
      <c r="W520" s="1" t="str">
        <f>IFERROR(__xludf.DUMMYFUNCTION("""COMPUTED_VALUE"""),"Prestigio de la institución")</f>
        <v>Prestigio de la institución</v>
      </c>
      <c r="X520" s="1"/>
      <c r="Y520" s="1" t="str">
        <f>IFERROR(__xludf.DUMMYFUNCTION("""COMPUTED_VALUE"""),"PAGO COMPLETO")</f>
        <v>PAGO COMPLETO</v>
      </c>
      <c r="Z520" s="1"/>
      <c r="AA520" s="1"/>
      <c r="AB520" s="1">
        <f>IFERROR(__xludf.DUMMYFUNCTION("""COMPUTED_VALUE"""),0.0)</f>
        <v>0</v>
      </c>
      <c r="AC520" s="1">
        <f>IFERROR(__xludf.DUMMYFUNCTION("""COMPUTED_VALUE"""),0.0)</f>
        <v>0</v>
      </c>
      <c r="AD520" s="1" t="str">
        <f>IFERROR(__xludf.DUMMYFUNCTION("""COMPUTED_VALUE"""),"Angelica Iparraguirre")</f>
        <v>Angelica Iparraguirre</v>
      </c>
      <c r="AE520" s="1" t="str">
        <f>IFERROR(__xludf.DUMMYFUNCTION("""COMPUTED_VALUE"""),"Universidad Privada del Norte(UPN)")</f>
        <v>Universidad Privada del Norte(UPN)</v>
      </c>
      <c r="AF520" s="1">
        <f>IFERROR(__xludf.DUMMYFUNCTION("""COMPUTED_VALUE"""),2022.0)</f>
        <v>2022</v>
      </c>
      <c r="AG520" s="1">
        <f>IFERROR(__xludf.DUMMYFUNCTION("""COMPUTED_VALUE"""),1501824.0)</f>
        <v>1501824</v>
      </c>
      <c r="AH520" s="1">
        <f>IFERROR(__xludf.DUMMYFUNCTION("""COMPUTED_VALUE"""),20.0)</f>
        <v>20</v>
      </c>
      <c r="AI520" s="1" t="str">
        <f>IFERROR(__xludf.DUMMYFUNCTION("""COMPUTED_VALUE"""),"0000415983")</f>
        <v>0000415983</v>
      </c>
      <c r="AJ520" s="1">
        <f>IFERROR(__xludf.DUMMYFUNCTION("""COMPUTED_VALUE"""),7.5976417E7)</f>
        <v>75976417</v>
      </c>
      <c r="AK520" s="1">
        <f>IFERROR(__xludf.DUMMYFUNCTION("""COMPUTED_VALUE"""),9.34191045E8)</f>
        <v>934191045</v>
      </c>
      <c r="AL520" s="1" t="str">
        <f>IFERROR(__xludf.DUMMYFUNCTION("""COMPUTED_VALUE"""),"eduardoochante123456@gmail.com")</f>
        <v>eduardoochante123456@gmail.com</v>
      </c>
      <c r="AM520" s="1" t="str">
        <f>IFERROR(__xludf.DUMMYFUNCTION("""COMPUTED_VALUE"""),"MASCULINO")</f>
        <v>MASCULINO</v>
      </c>
      <c r="AN520" s="1">
        <f>IFERROR(__xludf.DUMMYFUNCTION("""COMPUTED_VALUE"""),0.0)</f>
        <v>0</v>
      </c>
      <c r="AO520" s="1">
        <f>IFERROR(__xludf.DUMMYFUNCTION("""COMPUTED_VALUE"""),440.0)</f>
        <v>440</v>
      </c>
      <c r="AP520" s="1" t="str">
        <f>IFERROR(__xludf.DUMMYFUNCTION("""COMPUTED_VALUE"""),"FORMULARIO")</f>
        <v>FORMULARIO</v>
      </c>
      <c r="AQ520" s="1" t="str">
        <f>IFERROR(__xludf.DUMMYFUNCTION("""COMPUTED_VALUE"""),"SEARCH CARRERA")</f>
        <v>SEARCH CARRERA</v>
      </c>
      <c r="AR520" s="1" t="str">
        <f>IFERROR(__xludf.DUMMYFUNCTION("""COMPUTED_VALUE"""),"NUEVO")</f>
        <v>NUEVO</v>
      </c>
      <c r="AS520" s="1" t="str">
        <f>IFERROR(__xludf.DUMMYFUNCTION("""COMPUTED_VALUE"""),"ucal-pg-performance-sedes-abierta-cpl-search_conversion_mundo_diseno_reactivacion-20241105")</f>
        <v>ucal-pg-performance-sedes-abierta-cpl-search_conversion_mundo_diseno_reactivacion-20241105</v>
      </c>
      <c r="AT520" s="2">
        <f>IFERROR(__xludf.DUMMYFUNCTION("""COMPUTED_VALUE"""),45683.0)</f>
        <v>45683</v>
      </c>
      <c r="AU520" s="1">
        <f>IFERROR(__xludf.DUMMYFUNCTION("""COMPUTED_VALUE"""),1.0)</f>
        <v>1</v>
      </c>
      <c r="AV520" s="1" t="str">
        <f>IFERROR(__xludf.DUMMYFUNCTION("""COMPUTED_VALUE"""),"NUEVO")</f>
        <v>NUEVO</v>
      </c>
      <c r="AW520" s="1" t="str">
        <f>IFERROR(__xludf.DUMMYFUNCTION("""COMPUTED_VALUE"""),"SI")</f>
        <v>SI</v>
      </c>
      <c r="AX520" s="1"/>
      <c r="AY520" s="1" t="str">
        <f>IFERROR(__xludf.DUMMYFUNCTION("""COMPUTED_VALUE"""),"PAGO COMPLETO")</f>
        <v>PAGO COMPLETO</v>
      </c>
      <c r="AZ520" s="5">
        <f>IFERROR(__xludf.DUMMYFUNCTION("""COMPUTED_VALUE"""),45710.0)</f>
        <v>45710</v>
      </c>
      <c r="BA520" s="1">
        <f>IFERROR(__xludf.DUMMYFUNCTION("""COMPUTED_VALUE"""),0.0)</f>
        <v>0</v>
      </c>
      <c r="BB520" s="1">
        <f>IFERROR(__xludf.DUMMYFUNCTION("""COMPUTED_VALUE"""),0.0)</f>
        <v>0</v>
      </c>
      <c r="BC520" s="4">
        <f>IFERROR(__xludf.DUMMYFUNCTION("""COMPUTED_VALUE"""),0.0)</f>
        <v>0</v>
      </c>
      <c r="BD520" s="4">
        <f>IFERROR(__xludf.DUMMYFUNCTION("""COMPUTED_VALUE"""),500.0)</f>
        <v>500</v>
      </c>
      <c r="BE520" s="1">
        <f>IFERROR(__xludf.DUMMYFUNCTION("""COMPUTED_VALUE"""),2.0)</f>
        <v>2</v>
      </c>
      <c r="BF520" s="6">
        <f>IFERROR(__xludf.DUMMYFUNCTION("""COMPUTED_VALUE"""),1.0)</f>
        <v>1</v>
      </c>
      <c r="BG520" s="1">
        <f>IFERROR(__xludf.DUMMYFUNCTION("""COMPUTED_VALUE"""),1.0)</f>
        <v>1</v>
      </c>
      <c r="BH520" s="1" t="str">
        <f>IFERROR(__xludf.DUMMYFUNCTION("""COMPUTED_VALUE"""),"0")</f>
        <v>0</v>
      </c>
      <c r="BI520" s="4">
        <f>IFERROR(__xludf.DUMMYFUNCTION("""COMPUTED_VALUE"""),500.0)</f>
        <v>500</v>
      </c>
      <c r="BJ520" s="1">
        <f>IFERROR(__xludf.DUMMYFUNCTION("""COMPUTED_VALUE"""),0.0)</f>
        <v>0</v>
      </c>
      <c r="BK520" s="4">
        <f>IFERROR(__xludf.DUMMYFUNCTION("""COMPUTED_VALUE"""),500.0)</f>
        <v>500</v>
      </c>
      <c r="BL520" s="1">
        <f>IFERROR(__xludf.DUMMYFUNCTION("""COMPUTED_VALUE"""),900.0)</f>
        <v>900</v>
      </c>
      <c r="BM520" s="1">
        <f>IFERROR(__xludf.DUMMYFUNCTION("""COMPUTED_VALUE"""),8.0)</f>
        <v>8</v>
      </c>
      <c r="BN520" s="2">
        <f>IFERROR(__xludf.DUMMYFUNCTION("""COMPUTED_VALUE"""),45705.0)</f>
        <v>45705</v>
      </c>
      <c r="BO520" s="1">
        <f>IFERROR(__xludf.DUMMYFUNCTION("""COMPUTED_VALUE"""),2.0)</f>
        <v>2</v>
      </c>
      <c r="BP520" s="1">
        <f>IFERROR(__xludf.DUMMYFUNCTION("""COMPUTED_VALUE"""),2025.0)</f>
        <v>2025</v>
      </c>
    </row>
    <row r="521">
      <c r="A521" s="1">
        <f>IFERROR(__xludf.DUMMYFUNCTION("""COMPUTED_VALUE"""),520.0)</f>
        <v>520</v>
      </c>
      <c r="B521" s="1">
        <f>IFERROR(__xludf.DUMMYFUNCTION("""COMPUTED_VALUE"""),5036444.0)</f>
        <v>5036444</v>
      </c>
      <c r="C521" s="1" t="str">
        <f>IFERROR(__xludf.DUMMYFUNCTION("""COMPUTED_VALUE"""),"2025-1")</f>
        <v>2025-1</v>
      </c>
      <c r="D521" s="1" t="str">
        <f>IFERROR(__xludf.DUMMYFUNCTION("""COMPUTED_VALUE"""),"Admisión Extraordinaria (Traslados)")</f>
        <v>Admisión Extraordinaria (Traslados)</v>
      </c>
      <c r="E521" s="2">
        <f>IFERROR(__xludf.DUMMYFUNCTION("""COMPUTED_VALUE"""),45710.0)</f>
        <v>45710</v>
      </c>
      <c r="F521" s="1" t="str">
        <f>IFERROR(__xludf.DUMMYFUNCTION("""COMPUTED_VALUE"""),"ADRIANA MINERVA ")</f>
        <v>ADRIANA MINERVA </v>
      </c>
      <c r="G521" s="1" t="str">
        <f>IFERROR(__xludf.DUMMYFUNCTION("""COMPUTED_VALUE"""),"GIL ARROYO VASQUEZ")</f>
        <v>GIL ARROYO VASQUEZ</v>
      </c>
      <c r="H521" s="1" t="str">
        <f>IFERROR(__xludf.DUMMYFUNCTION("""COMPUTED_VALUE"""),"Arquitectura")</f>
        <v>Arquitectura</v>
      </c>
      <c r="I521" s="1" t="str">
        <f>IFERROR(__xludf.DUMMYFUNCTION("""COMPUTED_VALUE"""),"Pago Link")</f>
        <v>Pago Link</v>
      </c>
      <c r="J521" s="1" t="str">
        <f>IFERROR(__xludf.DUMMYFUNCTION("""COMPUTED_VALUE"""),"Diurno")</f>
        <v>Diurno</v>
      </c>
      <c r="K521" s="1" t="str">
        <f>IFERROR(__xludf.DUMMYFUNCTION("""COMPUTED_VALUE"""),"TRASLADO")</f>
        <v>TRASLADO</v>
      </c>
      <c r="L521" s="1">
        <f>IFERROR(__xludf.DUMMYFUNCTION("""COMPUTED_VALUE"""),1.0)</f>
        <v>1</v>
      </c>
      <c r="M521" s="1">
        <f>IFERROR(__xludf.DUMMYFUNCTION("""COMPUTED_VALUE"""),0.0)</f>
        <v>0</v>
      </c>
      <c r="N521" s="1" t="str">
        <f>IFERROR(__xludf.DUMMYFUNCTION("""COMPUTED_VALUE"""),"RECA")</f>
        <v>RECA</v>
      </c>
      <c r="O521" s="1" t="str">
        <f>IFERROR(__xludf.DUMMYFUNCTION("""COMPUTED_VALUE"""),"RECA TRASLADO CON CONVA")</f>
        <v>RECA TRASLADO CON CONVA</v>
      </c>
      <c r="P521" s="4">
        <f>IFERROR(__xludf.DUMMYFUNCTION("""COMPUTED_VALUE"""),0.0)</f>
        <v>0</v>
      </c>
      <c r="Q521" s="4">
        <f>IFERROR(__xludf.DUMMYFUNCTION("""COMPUTED_VALUE"""),0.0)</f>
        <v>0</v>
      </c>
      <c r="R521" s="4">
        <f>IFERROR(__xludf.DUMMYFUNCTION("""COMPUTED_VALUE"""),1000.0)</f>
        <v>1000</v>
      </c>
      <c r="S521" s="4">
        <f>IFERROR(__xludf.DUMMYFUNCTION("""COMPUTED_VALUE"""),1000.0)</f>
        <v>1000</v>
      </c>
      <c r="T521" s="1" t="str">
        <f>IFERROR(__xludf.DUMMYFUNCTION("""COMPUTED_VALUE"""),"NINGUNO")</f>
        <v>NINGUNO</v>
      </c>
      <c r="U521" s="1"/>
      <c r="V521" s="1" t="str">
        <f>IFERROR(__xludf.DUMMYFUNCTION("""COMPUTED_VALUE"""),"Ninguno")</f>
        <v>Ninguno</v>
      </c>
      <c r="W521" s="1" t="str">
        <f>IFERROR(__xludf.DUMMYFUNCTION("""COMPUTED_VALUE"""),"Metodología de enseñanza")</f>
        <v>Metodología de enseñanza</v>
      </c>
      <c r="X521" s="1"/>
      <c r="Y521" s="1" t="str">
        <f>IFERROR(__xludf.DUMMYFUNCTION("""COMPUTED_VALUE"""),"PAGO FRACCIONADO")</f>
        <v>PAGO FRACCIONADO</v>
      </c>
      <c r="Z521" s="1">
        <f>IFERROR(__xludf.DUMMYFUNCTION("""COMPUTED_VALUE"""),500.0)</f>
        <v>500</v>
      </c>
      <c r="AA521" s="1" t="str">
        <f>IFERROR(__xludf.DUMMYFUNCTION("""COMPUTED_VALUE"""),"28/02/2025")</f>
        <v>28/02/2025</v>
      </c>
      <c r="AB521" s="1">
        <f>IFERROR(__xludf.DUMMYFUNCTION("""COMPUTED_VALUE"""),0.0)</f>
        <v>0</v>
      </c>
      <c r="AC521" s="1">
        <f>IFERROR(__xludf.DUMMYFUNCTION("""COMPUTED_VALUE"""),0.0)</f>
        <v>0</v>
      </c>
      <c r="AD521" s="1" t="str">
        <f>IFERROR(__xludf.DUMMYFUNCTION("""COMPUTED_VALUE"""),"Ingrid Guillermo Rivera")</f>
        <v>Ingrid Guillermo Rivera</v>
      </c>
      <c r="AE521" s="1" t="str">
        <f>IFERROR(__xludf.DUMMYFUNCTION("""COMPUTED_VALUE"""),"Universidad Peruana De Ciencias Aplicadas(UPC)")</f>
        <v>Universidad Peruana De Ciencias Aplicadas(UPC)</v>
      </c>
      <c r="AF521" s="1">
        <f>IFERROR(__xludf.DUMMYFUNCTION("""COMPUTED_VALUE"""),2021.0)</f>
        <v>2021</v>
      </c>
      <c r="AG521" s="1">
        <f>IFERROR(__xludf.DUMMYFUNCTION("""COMPUTED_VALUE"""),607697.0)</f>
        <v>607697</v>
      </c>
      <c r="AH521" s="1">
        <f>IFERROR(__xludf.DUMMYFUNCTION("""COMPUTED_VALUE"""),21.0)</f>
        <v>21</v>
      </c>
      <c r="AI521" s="1" t="str">
        <f>IFERROR(__xludf.DUMMYFUNCTION("""COMPUTED_VALUE"""),"0000021709")</f>
        <v>0000021709</v>
      </c>
      <c r="AJ521" s="1">
        <f>IFERROR(__xludf.DUMMYFUNCTION("""COMPUTED_VALUE"""),7.1271555E7)</f>
        <v>71271555</v>
      </c>
      <c r="AK521" s="1">
        <f>IFERROR(__xludf.DUMMYFUNCTION("""COMPUTED_VALUE"""),9.36974545E8)</f>
        <v>936974545</v>
      </c>
      <c r="AL521" s="1" t="str">
        <f>IFERROR(__xludf.DUMMYFUNCTION("""COMPUTED_VALUE"""),"adrianaminervagv@gmail.com")</f>
        <v>adrianaminervagv@gmail.com</v>
      </c>
      <c r="AM521" s="1" t="str">
        <f>IFERROR(__xludf.DUMMYFUNCTION("""COMPUTED_VALUE"""),"FEMENINO")</f>
        <v>FEMENINO</v>
      </c>
      <c r="AN521" s="1">
        <f>IFERROR(__xludf.DUMMYFUNCTION("""COMPUTED_VALUE"""),1350.0)</f>
        <v>1350</v>
      </c>
      <c r="AO521" s="1">
        <f>IFERROR(__xludf.DUMMYFUNCTION("""COMPUTED_VALUE"""),0.0)</f>
        <v>0</v>
      </c>
      <c r="AP521" s="1" t="str">
        <f>IFERROR(__xludf.DUMMYFUNCTION("""COMPUTED_VALUE"""),"FORMULARIO")</f>
        <v>FORMULARIO</v>
      </c>
      <c r="AQ521" s="1" t="str">
        <f>IFERROR(__xludf.DUMMYFUNCTION("""COMPUTED_VALUE"""),"ORGANICO")</f>
        <v>ORGANICO</v>
      </c>
      <c r="AR521" s="1" t="str">
        <f>IFERROR(__xludf.DUMMYFUNCTION("""COMPUTED_VALUE"""),"NUEVO")</f>
        <v>NUEVO</v>
      </c>
      <c r="AS521" s="1"/>
      <c r="AT521" s="2">
        <f>IFERROR(__xludf.DUMMYFUNCTION("""COMPUTED_VALUE"""),45709.0)</f>
        <v>45709</v>
      </c>
      <c r="AU521" s="1">
        <f>IFERROR(__xludf.DUMMYFUNCTION("""COMPUTED_VALUE"""),1.0)</f>
        <v>1</v>
      </c>
      <c r="AV521" s="1" t="str">
        <f>IFERROR(__xludf.DUMMYFUNCTION("""COMPUTED_VALUE"""),"TRASLADO")</f>
        <v>TRASLADO</v>
      </c>
      <c r="AW521" s="1" t="str">
        <f>IFERROR(__xludf.DUMMYFUNCTION("""COMPUTED_VALUE"""),"SI")</f>
        <v>SI</v>
      </c>
      <c r="AX521" s="1"/>
      <c r="AY521" s="1" t="str">
        <f>IFERROR(__xludf.DUMMYFUNCTION("""COMPUTED_VALUE"""),"PAGO COMPLETO")</f>
        <v>PAGO COMPLETO</v>
      </c>
      <c r="AZ521" s="5">
        <f>IFERROR(__xludf.DUMMYFUNCTION("""COMPUTED_VALUE"""),45710.0)</f>
        <v>45710</v>
      </c>
      <c r="BA521" s="1">
        <f>IFERROR(__xludf.DUMMYFUNCTION("""COMPUTED_VALUE"""),500.0)</f>
        <v>500</v>
      </c>
      <c r="BB521" s="1">
        <f>IFERROR(__xludf.DUMMYFUNCTION("""COMPUTED_VALUE"""),0.0)</f>
        <v>0</v>
      </c>
      <c r="BC521" s="4">
        <f>IFERROR(__xludf.DUMMYFUNCTION("""COMPUTED_VALUE"""),0.0)</f>
        <v>0</v>
      </c>
      <c r="BD521" s="4">
        <f>IFERROR(__xludf.DUMMYFUNCTION("""COMPUTED_VALUE"""),0.0)</f>
        <v>0</v>
      </c>
      <c r="BE521" s="1">
        <f>IFERROR(__xludf.DUMMYFUNCTION("""COMPUTED_VALUE"""),2.0)</f>
        <v>2</v>
      </c>
      <c r="BF521" s="6">
        <f>IFERROR(__xludf.DUMMYFUNCTION("""COMPUTED_VALUE"""),1.0)</f>
        <v>1</v>
      </c>
      <c r="BG521" s="1">
        <f>IFERROR(__xludf.DUMMYFUNCTION("""COMPUTED_VALUE"""),1.0)</f>
        <v>1</v>
      </c>
      <c r="BH521" s="1" t="str">
        <f>IFERROR(__xludf.DUMMYFUNCTION("""COMPUTED_VALUE"""),"1")</f>
        <v>1</v>
      </c>
      <c r="BI521" s="4">
        <f>IFERROR(__xludf.DUMMYFUNCTION("""COMPUTED_VALUE"""),1000.0)</f>
        <v>1000</v>
      </c>
      <c r="BJ521" s="1">
        <f>IFERROR(__xludf.DUMMYFUNCTION("""COMPUTED_VALUE"""),0.0)</f>
        <v>0</v>
      </c>
      <c r="BK521" s="4">
        <f>IFERROR(__xludf.DUMMYFUNCTION("""COMPUTED_VALUE"""),0.0)</f>
        <v>0</v>
      </c>
      <c r="BL521" s="1">
        <f>IFERROR(__xludf.DUMMYFUNCTION("""COMPUTED_VALUE"""),1000.0)</f>
        <v>1000</v>
      </c>
      <c r="BM521" s="1">
        <f>IFERROR(__xludf.DUMMYFUNCTION("""COMPUTED_VALUE"""),8.0)</f>
        <v>8</v>
      </c>
      <c r="BN521" s="2">
        <f>IFERROR(__xludf.DUMMYFUNCTION("""COMPUTED_VALUE"""),45705.0)</f>
        <v>45705</v>
      </c>
      <c r="BO521" s="1">
        <f>IFERROR(__xludf.DUMMYFUNCTION("""COMPUTED_VALUE"""),2.0)</f>
        <v>2</v>
      </c>
      <c r="BP521" s="1">
        <f>IFERROR(__xludf.DUMMYFUNCTION("""COMPUTED_VALUE"""),2025.0)</f>
        <v>2025</v>
      </c>
    </row>
    <row r="522">
      <c r="A522" s="1">
        <f>IFERROR(__xludf.DUMMYFUNCTION("""COMPUTED_VALUE"""),521.0)</f>
        <v>521</v>
      </c>
      <c r="B522" s="1">
        <f>IFERROR(__xludf.DUMMYFUNCTION("""COMPUTED_VALUE"""),2030684.0)</f>
        <v>2030684</v>
      </c>
      <c r="C522" s="1" t="str">
        <f>IFERROR(__xludf.DUMMYFUNCTION("""COMPUTED_VALUE"""),"2025-1")</f>
        <v>2025-1</v>
      </c>
      <c r="D522" s="1" t="str">
        <f>IFERROR(__xludf.DUMMYFUNCTION("""COMPUTED_VALUE"""),"Admisión de Alto Rendimiento")</f>
        <v>Admisión de Alto Rendimiento</v>
      </c>
      <c r="E522" s="2">
        <f>IFERROR(__xludf.DUMMYFUNCTION("""COMPUTED_VALUE"""),45712.0)</f>
        <v>45712</v>
      </c>
      <c r="F522" s="1" t="str">
        <f>IFERROR(__xludf.DUMMYFUNCTION("""COMPUTED_VALUE"""),"AVRIL YASMIN")</f>
        <v>AVRIL YASMIN</v>
      </c>
      <c r="G522" s="1" t="str">
        <f>IFERROR(__xludf.DUMMYFUNCTION("""COMPUTED_VALUE"""),"DE LA CRUZ GOMEZ")</f>
        <v>DE LA CRUZ GOMEZ</v>
      </c>
      <c r="H522" s="1" t="str">
        <f>IFERROR(__xludf.DUMMYFUNCTION("""COMPUTED_VALUE"""),"Arquitectura")</f>
        <v>Arquitectura</v>
      </c>
      <c r="I522" s="1" t="str">
        <f>IFERROR(__xludf.DUMMYFUNCTION("""COMPUTED_VALUE"""),"Pago Link")</f>
        <v>Pago Link</v>
      </c>
      <c r="J522" s="1" t="str">
        <f>IFERROR(__xludf.DUMMYFUNCTION("""COMPUTED_VALUE"""),"Diurno")</f>
        <v>Diurno</v>
      </c>
      <c r="K522" s="1" t="str">
        <f>IFERROR(__xludf.DUMMYFUNCTION("""COMPUTED_VALUE"""),"NUEVO")</f>
        <v>NUEVO</v>
      </c>
      <c r="L522" s="1">
        <f>IFERROR(__xludf.DUMMYFUNCTION("""COMPUTED_VALUE"""),0.0)</f>
        <v>0</v>
      </c>
      <c r="M522" s="1">
        <f>IFERROR(__xludf.DUMMYFUNCTION("""COMPUTED_VALUE"""),0.0)</f>
        <v>0</v>
      </c>
      <c r="N522" s="1" t="str">
        <f>IFERROR(__xludf.DUMMYFUNCTION("""COMPUTED_VALUE"""),"ESCALA REGULAR")</f>
        <v>ESCALA REGULAR</v>
      </c>
      <c r="O522" s="1" t="str">
        <f>IFERROR(__xludf.DUMMYFUNCTION("""COMPUTED_VALUE"""),"NINGUNO")</f>
        <v>NINGUNO</v>
      </c>
      <c r="P522" s="4">
        <f>IFERROR(__xludf.DUMMYFUNCTION("""COMPUTED_VALUE"""),0.0)</f>
        <v>0</v>
      </c>
      <c r="Q522" s="4">
        <f>IFERROR(__xludf.DUMMYFUNCTION("""COMPUTED_VALUE"""),0.0)</f>
        <v>0</v>
      </c>
      <c r="R522" s="4">
        <f>IFERROR(__xludf.DUMMYFUNCTION("""COMPUTED_VALUE"""),1300.0)</f>
        <v>1300</v>
      </c>
      <c r="S522" s="4">
        <f>IFERROR(__xludf.DUMMYFUNCTION("""COMPUTED_VALUE"""),1300.0)</f>
        <v>1300</v>
      </c>
      <c r="T522" s="1" t="str">
        <f>IFERROR(__xludf.DUMMYFUNCTION("""COMPUTED_VALUE"""),"PALANCA 500")</f>
        <v>PALANCA 500</v>
      </c>
      <c r="U522" s="1" t="str">
        <f>IFERROR(__xludf.DUMMYFUNCTION("""COMPUTED_VALUE"""),"RODRIGO")</f>
        <v>RODRIGO</v>
      </c>
      <c r="V522" s="1" t="str">
        <f>IFERROR(__xludf.DUMMYFUNCTION("""COMPUTED_VALUE"""),"Ninguno")</f>
        <v>Ninguno</v>
      </c>
      <c r="W522" s="1" t="str">
        <f>IFERROR(__xludf.DUMMYFUNCTION("""COMPUTED_VALUE"""),"Beca")</f>
        <v>Beca</v>
      </c>
      <c r="X522" s="1"/>
      <c r="Y522" s="1" t="str">
        <f>IFERROR(__xludf.DUMMYFUNCTION("""COMPUTED_VALUE"""),"PAGO COMPLETO")</f>
        <v>PAGO COMPLETO</v>
      </c>
      <c r="Z522" s="1"/>
      <c r="AA522" s="1"/>
      <c r="AB522" s="1">
        <f>IFERROR(__xludf.DUMMYFUNCTION("""COMPUTED_VALUE"""),0.0)</f>
        <v>0</v>
      </c>
      <c r="AC522" s="1">
        <f>IFERROR(__xludf.DUMMYFUNCTION("""COMPUTED_VALUE"""),0.0)</f>
        <v>0</v>
      </c>
      <c r="AD522" s="1" t="str">
        <f>IFERROR(__xludf.DUMMYFUNCTION("""COMPUTED_VALUE"""),"Erwyn Terie Vital Avila")</f>
        <v>Erwyn Terie Vital Avila</v>
      </c>
      <c r="AE522" s="1" t="str">
        <f>IFERROR(__xludf.DUMMYFUNCTION("""COMPUTED_VALUE"""),"0")</f>
        <v>0</v>
      </c>
      <c r="AF522" s="1">
        <f>IFERROR(__xludf.DUMMYFUNCTION("""COMPUTED_VALUE"""),2024.0)</f>
        <v>2024</v>
      </c>
      <c r="AG522" s="1">
        <f>IFERROR(__xludf.DUMMYFUNCTION("""COMPUTED_VALUE"""),1243104.0)</f>
        <v>1243104</v>
      </c>
      <c r="AH522" s="1">
        <f>IFERROR(__xludf.DUMMYFUNCTION("""COMPUTED_VALUE"""),17.0)</f>
        <v>17</v>
      </c>
      <c r="AI522" s="1" t="str">
        <f>IFERROR(__xludf.DUMMYFUNCTION("""COMPUTED_VALUE"""),"0000416193")</f>
        <v>0000416193</v>
      </c>
      <c r="AJ522" s="1">
        <f>IFERROR(__xludf.DUMMYFUNCTION("""COMPUTED_VALUE"""),6.1333949E7)</f>
        <v>61333949</v>
      </c>
      <c r="AK522" s="1">
        <f>IFERROR(__xludf.DUMMYFUNCTION("""COMPUTED_VALUE"""),9.91559916E8)</f>
        <v>991559916</v>
      </c>
      <c r="AL522" s="1" t="str">
        <f>IFERROR(__xludf.DUMMYFUNCTION("""COMPUTED_VALUE"""),"Katiayasmingomezizarra16@gmail.com")</f>
        <v>Katiayasmingomezizarra16@gmail.com</v>
      </c>
      <c r="AM522" s="1" t="str">
        <f>IFERROR(__xludf.DUMMYFUNCTION("""COMPUTED_VALUE"""),"FEMENINO")</f>
        <v>FEMENINO</v>
      </c>
      <c r="AN522" s="1">
        <f>IFERROR(__xludf.DUMMYFUNCTION("""COMPUTED_VALUE"""),1775.0)</f>
        <v>1775</v>
      </c>
      <c r="AO522" s="1">
        <f>IFERROR(__xludf.DUMMYFUNCTION("""COMPUTED_VALUE"""),420.0)</f>
        <v>420</v>
      </c>
      <c r="AP522" s="1" t="str">
        <f>IFERROR(__xludf.DUMMYFUNCTION("""COMPUTED_VALUE"""),"COLEGIOS")</f>
        <v>COLEGIOS</v>
      </c>
      <c r="AQ522" s="1" t="str">
        <f>IFERROR(__xludf.DUMMYFUNCTION("""COMPUTED_VALUE"""),"COLEGIOS")</f>
        <v>COLEGIOS</v>
      </c>
      <c r="AR522" s="1" t="str">
        <f>IFERROR(__xludf.DUMMYFUNCTION("""COMPUTED_VALUE"""),"NUEVO")</f>
        <v>NUEVO</v>
      </c>
      <c r="AS522" s="1"/>
      <c r="AT522" s="2">
        <f>IFERROR(__xludf.DUMMYFUNCTION("""COMPUTED_VALUE"""),45467.0)</f>
        <v>45467</v>
      </c>
      <c r="AU522" s="1">
        <f>IFERROR(__xludf.DUMMYFUNCTION("""COMPUTED_VALUE"""),1.0)</f>
        <v>1</v>
      </c>
      <c r="AV522" s="1" t="str">
        <f>IFERROR(__xludf.DUMMYFUNCTION("""COMPUTED_VALUE"""),"NUEVO")</f>
        <v>NUEVO</v>
      </c>
      <c r="AW522" s="1" t="str">
        <f>IFERROR(__xludf.DUMMYFUNCTION("""COMPUTED_VALUE"""),"SI")</f>
        <v>SI</v>
      </c>
      <c r="AX522" s="1"/>
      <c r="AY522" s="1" t="str">
        <f>IFERROR(__xludf.DUMMYFUNCTION("""COMPUTED_VALUE"""),"PAGO COMPLETO")</f>
        <v>PAGO COMPLETO</v>
      </c>
      <c r="AZ522" s="5">
        <f>IFERROR(__xludf.DUMMYFUNCTION("""COMPUTED_VALUE"""),45712.0)</f>
        <v>45712</v>
      </c>
      <c r="BA522" s="1">
        <f>IFERROR(__xludf.DUMMYFUNCTION("""COMPUTED_VALUE"""),0.0)</f>
        <v>0</v>
      </c>
      <c r="BB522" s="1">
        <f>IFERROR(__xludf.DUMMYFUNCTION("""COMPUTED_VALUE"""),0.0)</f>
        <v>0</v>
      </c>
      <c r="BC522" s="4">
        <f>IFERROR(__xludf.DUMMYFUNCTION("""COMPUTED_VALUE"""),0.0)</f>
        <v>0</v>
      </c>
      <c r="BD522" s="4">
        <f>IFERROR(__xludf.DUMMYFUNCTION("""COMPUTED_VALUE"""),800.0)</f>
        <v>800</v>
      </c>
      <c r="BE522" s="1">
        <f>IFERROR(__xludf.DUMMYFUNCTION("""COMPUTED_VALUE"""),2.0)</f>
        <v>2</v>
      </c>
      <c r="BF522" s="6">
        <f>IFERROR(__xludf.DUMMYFUNCTION("""COMPUTED_VALUE"""),1.0)</f>
        <v>1</v>
      </c>
      <c r="BG522" s="1">
        <f>IFERROR(__xludf.DUMMYFUNCTION("""COMPUTED_VALUE"""),1.0)</f>
        <v>1</v>
      </c>
      <c r="BH522" s="1" t="str">
        <f>IFERROR(__xludf.DUMMYFUNCTION("""COMPUTED_VALUE"""),"0")</f>
        <v>0</v>
      </c>
      <c r="BI522" s="4">
        <f>IFERROR(__xludf.DUMMYFUNCTION("""COMPUTED_VALUE"""),800.0)</f>
        <v>800</v>
      </c>
      <c r="BJ522" s="1">
        <f>IFERROR(__xludf.DUMMYFUNCTION("""COMPUTED_VALUE"""),0.0)</f>
        <v>0</v>
      </c>
      <c r="BK522" s="4">
        <f>IFERROR(__xludf.DUMMYFUNCTION("""COMPUTED_VALUE"""),800.0)</f>
        <v>800</v>
      </c>
      <c r="BL522" s="1">
        <f>IFERROR(__xludf.DUMMYFUNCTION("""COMPUTED_VALUE"""),1140.0)</f>
        <v>1140</v>
      </c>
      <c r="BM522" s="1">
        <f>IFERROR(__xludf.DUMMYFUNCTION("""COMPUTED_VALUE"""),9.0)</f>
        <v>9</v>
      </c>
      <c r="BN522" s="2">
        <f>IFERROR(__xludf.DUMMYFUNCTION("""COMPUTED_VALUE"""),45712.0)</f>
        <v>45712</v>
      </c>
      <c r="BO522" s="1">
        <f>IFERROR(__xludf.DUMMYFUNCTION("""COMPUTED_VALUE"""),2.0)</f>
        <v>2</v>
      </c>
      <c r="BP522" s="1">
        <f>IFERROR(__xludf.DUMMYFUNCTION("""COMPUTED_VALUE"""),2025.0)</f>
        <v>2025</v>
      </c>
    </row>
    <row r="523">
      <c r="A523" s="1">
        <f>IFERROR(__xludf.DUMMYFUNCTION("""COMPUTED_VALUE"""),522.0)</f>
        <v>522</v>
      </c>
      <c r="B523" s="1">
        <f>IFERROR(__xludf.DUMMYFUNCTION("""COMPUTED_VALUE"""),2390693.0)</f>
        <v>2390693</v>
      </c>
      <c r="C523" s="1" t="str">
        <f>IFERROR(__xludf.DUMMYFUNCTION("""COMPUTED_VALUE"""),"2025-1")</f>
        <v>2025-1</v>
      </c>
      <c r="D523" s="1" t="str">
        <f>IFERROR(__xludf.DUMMYFUNCTION("""COMPUTED_VALUE"""),"Admisión de Alto Rendimiento")</f>
        <v>Admisión de Alto Rendimiento</v>
      </c>
      <c r="E523" s="2">
        <f>IFERROR(__xludf.DUMMYFUNCTION("""COMPUTED_VALUE"""),45712.0)</f>
        <v>45712</v>
      </c>
      <c r="F523" s="1" t="str">
        <f>IFERROR(__xludf.DUMMYFUNCTION("""COMPUTED_VALUE"""),"GIULIANA MARIA ")</f>
        <v>GIULIANA MARIA </v>
      </c>
      <c r="G523" s="1" t="str">
        <f>IFERROR(__xludf.DUMMYFUNCTION("""COMPUTED_VALUE"""),"TRIVEÑO PERALTA")</f>
        <v>TRIVEÑO PERALTA</v>
      </c>
      <c r="H523" s="1" t="str">
        <f>IFERROR(__xludf.DUMMYFUNCTION("""COMPUTED_VALUE"""),"Comunicación Audiovisual y Cine")</f>
        <v>Comunicación Audiovisual y Cine</v>
      </c>
      <c r="I523" s="1" t="str">
        <f>IFERROR(__xludf.DUMMYFUNCTION("""COMPUTED_VALUE"""),"POS")</f>
        <v>POS</v>
      </c>
      <c r="J523" s="1" t="str">
        <f>IFERROR(__xludf.DUMMYFUNCTION("""COMPUTED_VALUE"""),"Diurno")</f>
        <v>Diurno</v>
      </c>
      <c r="K523" s="1" t="str">
        <f>IFERROR(__xludf.DUMMYFUNCTION("""COMPUTED_VALUE"""),"NUEVO")</f>
        <v>NUEVO</v>
      </c>
      <c r="L523" s="1">
        <f>IFERROR(__xludf.DUMMYFUNCTION("""COMPUTED_VALUE"""),0.0)</f>
        <v>0</v>
      </c>
      <c r="M523" s="1">
        <f>IFERROR(__xludf.DUMMYFUNCTION("""COMPUTED_VALUE"""),0.0)</f>
        <v>0</v>
      </c>
      <c r="N523" s="1" t="str">
        <f>IFERROR(__xludf.DUMMYFUNCTION("""COMPUTED_VALUE"""),"BECA")</f>
        <v>BECA</v>
      </c>
      <c r="O523" s="1" t="str">
        <f>IFERROR(__xludf.DUMMYFUNCTION("""COMPUTED_VALUE"""),"BECA CONGELADA DE 2 AÑOS")</f>
        <v>BECA CONGELADA DE 2 AÑOS</v>
      </c>
      <c r="P523" s="4">
        <f>IFERROR(__xludf.DUMMYFUNCTION("""COMPUTED_VALUE"""),0.0)</f>
        <v>0</v>
      </c>
      <c r="Q523" s="4">
        <f>IFERROR(__xludf.DUMMYFUNCTION("""COMPUTED_VALUE"""),0.0)</f>
        <v>0</v>
      </c>
      <c r="R523" s="4">
        <f>IFERROR(__xludf.DUMMYFUNCTION("""COMPUTED_VALUE"""),950.0)</f>
        <v>950</v>
      </c>
      <c r="S523" s="4">
        <f>IFERROR(__xludf.DUMMYFUNCTION("""COMPUTED_VALUE"""),800.0)</f>
        <v>800</v>
      </c>
      <c r="T523" s="1" t="str">
        <f>IFERROR(__xludf.DUMMYFUNCTION("""COMPUTED_VALUE"""),"PALANCA 500")</f>
        <v>PALANCA 500</v>
      </c>
      <c r="U523" s="1" t="str">
        <f>IFERROR(__xludf.DUMMYFUNCTION("""COMPUTED_VALUE"""),"RODRIGO")</f>
        <v>RODRIGO</v>
      </c>
      <c r="V523" s="1" t="str">
        <f>IFERROR(__xludf.DUMMYFUNCTION("""COMPUTED_VALUE"""),"Ninguno")</f>
        <v>Ninguno</v>
      </c>
      <c r="W523" s="1" t="str">
        <f>IFERROR(__xludf.DUMMYFUNCTION("""COMPUTED_VALUE"""),"Metodología de enseñanza")</f>
        <v>Metodología de enseñanza</v>
      </c>
      <c r="X523" s="1"/>
      <c r="Y523" s="1" t="str">
        <f>IFERROR(__xludf.DUMMYFUNCTION("""COMPUTED_VALUE"""),"PAGO COMPLETO")</f>
        <v>PAGO COMPLETO</v>
      </c>
      <c r="Z523" s="1"/>
      <c r="AA523" s="1"/>
      <c r="AB523" s="1">
        <f>IFERROR(__xludf.DUMMYFUNCTION("""COMPUTED_VALUE"""),0.0)</f>
        <v>0</v>
      </c>
      <c r="AC523" s="1">
        <f>IFERROR(__xludf.DUMMYFUNCTION("""COMPUTED_VALUE"""),0.0)</f>
        <v>0</v>
      </c>
      <c r="AD523" s="1" t="str">
        <f>IFERROR(__xludf.DUMMYFUNCTION("""COMPUTED_VALUE"""),"Ingrid Guillermo Rivera")</f>
        <v>Ingrid Guillermo Rivera</v>
      </c>
      <c r="AE523" s="1" t="str">
        <f>IFERROR(__xludf.DUMMYFUNCTION("""COMPUTED_VALUE"""),"0")</f>
        <v>0</v>
      </c>
      <c r="AF523" s="1">
        <f>IFERROR(__xludf.DUMMYFUNCTION("""COMPUTED_VALUE"""),2024.0)</f>
        <v>2024</v>
      </c>
      <c r="AG523" s="1">
        <f>IFERROR(__xludf.DUMMYFUNCTION("""COMPUTED_VALUE"""),1309574.0)</f>
        <v>1309574</v>
      </c>
      <c r="AH523" s="1">
        <f>IFERROR(__xludf.DUMMYFUNCTION("""COMPUTED_VALUE"""),17.0)</f>
        <v>17</v>
      </c>
      <c r="AI523" s="1" t="str">
        <f>IFERROR(__xludf.DUMMYFUNCTION("""COMPUTED_VALUE"""),"0000063415")</f>
        <v>0000063415</v>
      </c>
      <c r="AJ523" s="1">
        <f>IFERROR(__xludf.DUMMYFUNCTION("""COMPUTED_VALUE"""),7.1166955E7)</f>
        <v>71166955</v>
      </c>
      <c r="AK523" s="1">
        <f>IFERROR(__xludf.DUMMYFUNCTION("""COMPUTED_VALUE"""),9.93778581E8)</f>
        <v>993778581</v>
      </c>
      <c r="AL523" s="1" t="str">
        <f>IFERROR(__xludf.DUMMYFUNCTION("""COMPUTED_VALUE"""),"giulianamariatp71166955@gmail.com")</f>
        <v>giulianamariatp71166955@gmail.com</v>
      </c>
      <c r="AM523" s="1" t="str">
        <f>IFERROR(__xludf.DUMMYFUNCTION("""COMPUTED_VALUE"""),"FEMENINO")</f>
        <v>FEMENINO</v>
      </c>
      <c r="AN523" s="1">
        <f>IFERROR(__xludf.DUMMYFUNCTION("""COMPUTED_VALUE"""),1350.0)</f>
        <v>1350</v>
      </c>
      <c r="AO523" s="1">
        <f>IFERROR(__xludf.DUMMYFUNCTION("""COMPUTED_VALUE"""),0.0)</f>
        <v>0</v>
      </c>
      <c r="AP523" s="1" t="str">
        <f>IFERROR(__xludf.DUMMYFUNCTION("""COMPUTED_VALUE"""),"VISITA")</f>
        <v>VISITA</v>
      </c>
      <c r="AQ523" s="1" t="str">
        <f>IFERROR(__xludf.DUMMYFUNCTION("""COMPUTED_VALUE"""),"VISITA")</f>
        <v>VISITA</v>
      </c>
      <c r="AR523" s="1" t="str">
        <f>IFERROR(__xludf.DUMMYFUNCTION("""COMPUTED_VALUE"""),"NUEVO")</f>
        <v>NUEVO</v>
      </c>
      <c r="AS523" s="1"/>
      <c r="AT523" s="2">
        <f>IFERROR(__xludf.DUMMYFUNCTION("""COMPUTED_VALUE"""),45709.0)</f>
        <v>45709</v>
      </c>
      <c r="AU523" s="1">
        <f>IFERROR(__xludf.DUMMYFUNCTION("""COMPUTED_VALUE"""),1.0)</f>
        <v>1</v>
      </c>
      <c r="AV523" s="1" t="str">
        <f>IFERROR(__xludf.DUMMYFUNCTION("""COMPUTED_VALUE"""),"NUEVO")</f>
        <v>NUEVO</v>
      </c>
      <c r="AW523" s="1" t="str">
        <f>IFERROR(__xludf.DUMMYFUNCTION("""COMPUTED_VALUE"""),"SI")</f>
        <v>SI</v>
      </c>
      <c r="AX523" s="1"/>
      <c r="AY523" s="1" t="str">
        <f>IFERROR(__xludf.DUMMYFUNCTION("""COMPUTED_VALUE"""),"PAGO COMPLETO")</f>
        <v>PAGO COMPLETO</v>
      </c>
      <c r="AZ523" s="5">
        <f>IFERROR(__xludf.DUMMYFUNCTION("""COMPUTED_VALUE"""),45712.0)</f>
        <v>45712</v>
      </c>
      <c r="BA523" s="1">
        <f>IFERROR(__xludf.DUMMYFUNCTION("""COMPUTED_VALUE"""),0.0)</f>
        <v>0</v>
      </c>
      <c r="BB523" s="1">
        <f>IFERROR(__xludf.DUMMYFUNCTION("""COMPUTED_VALUE"""),0.0)</f>
        <v>0</v>
      </c>
      <c r="BC523" s="4">
        <f>IFERROR(__xludf.DUMMYFUNCTION("""COMPUTED_VALUE"""),0.0)</f>
        <v>0</v>
      </c>
      <c r="BD523" s="4">
        <f>IFERROR(__xludf.DUMMYFUNCTION("""COMPUTED_VALUE"""),300.0)</f>
        <v>300</v>
      </c>
      <c r="BE523" s="1">
        <f>IFERROR(__xludf.DUMMYFUNCTION("""COMPUTED_VALUE"""),2.0)</f>
        <v>2</v>
      </c>
      <c r="BF523" s="6">
        <f>IFERROR(__xludf.DUMMYFUNCTION("""COMPUTED_VALUE"""),1.0)</f>
        <v>1</v>
      </c>
      <c r="BG523" s="1">
        <f>IFERROR(__xludf.DUMMYFUNCTION("""COMPUTED_VALUE"""),1.0)</f>
        <v>1</v>
      </c>
      <c r="BH523" s="1" t="str">
        <f>IFERROR(__xludf.DUMMYFUNCTION("""COMPUTED_VALUE"""),"0")</f>
        <v>0</v>
      </c>
      <c r="BI523" s="4">
        <f>IFERROR(__xludf.DUMMYFUNCTION("""COMPUTED_VALUE"""),300.0)</f>
        <v>300</v>
      </c>
      <c r="BJ523" s="1">
        <f>IFERROR(__xludf.DUMMYFUNCTION("""COMPUTED_VALUE"""),0.0)</f>
        <v>0</v>
      </c>
      <c r="BK523" s="4">
        <f>IFERROR(__xludf.DUMMYFUNCTION("""COMPUTED_VALUE"""),300.0)</f>
        <v>300</v>
      </c>
      <c r="BL523" s="1">
        <f>IFERROR(__xludf.DUMMYFUNCTION("""COMPUTED_VALUE"""),740.0)</f>
        <v>740</v>
      </c>
      <c r="BM523" s="1">
        <f>IFERROR(__xludf.DUMMYFUNCTION("""COMPUTED_VALUE"""),9.0)</f>
        <v>9</v>
      </c>
      <c r="BN523" s="2">
        <f>IFERROR(__xludf.DUMMYFUNCTION("""COMPUTED_VALUE"""),45712.0)</f>
        <v>45712</v>
      </c>
      <c r="BO523" s="1">
        <f>IFERROR(__xludf.DUMMYFUNCTION("""COMPUTED_VALUE"""),2.0)</f>
        <v>2</v>
      </c>
      <c r="BP523" s="1">
        <f>IFERROR(__xludf.DUMMYFUNCTION("""COMPUTED_VALUE"""),2025.0)</f>
        <v>2025</v>
      </c>
    </row>
    <row r="524">
      <c r="A524" s="1">
        <f>IFERROR(__xludf.DUMMYFUNCTION("""COMPUTED_VALUE"""),523.0)</f>
        <v>523</v>
      </c>
      <c r="B524" s="1">
        <f>IFERROR(__xludf.DUMMYFUNCTION("""COMPUTED_VALUE"""),1403760.0)</f>
        <v>1403760</v>
      </c>
      <c r="C524" s="1" t="str">
        <f>IFERROR(__xludf.DUMMYFUNCTION("""COMPUTED_VALUE"""),"2025-1")</f>
        <v>2025-1</v>
      </c>
      <c r="D524" s="1" t="str">
        <f>IFERROR(__xludf.DUMMYFUNCTION("""COMPUTED_VALUE"""),"Admisión Extraordinaria (Traslados)")</f>
        <v>Admisión Extraordinaria (Traslados)</v>
      </c>
      <c r="E524" s="2">
        <f>IFERROR(__xludf.DUMMYFUNCTION("""COMPUTED_VALUE"""),45712.0)</f>
        <v>45712</v>
      </c>
      <c r="F524" s="1" t="str">
        <f>IFERROR(__xludf.DUMMYFUNCTION("""COMPUTED_VALUE"""),"MARILIN MIRELLA ")</f>
        <v>MARILIN MIRELLA </v>
      </c>
      <c r="G524" s="1" t="str">
        <f>IFERROR(__xludf.DUMMYFUNCTION("""COMPUTED_VALUE"""),"PACCORI ESPINOZA")</f>
        <v>PACCORI ESPINOZA</v>
      </c>
      <c r="H524" s="1" t="str">
        <f>IFERROR(__xludf.DUMMYFUNCTION("""COMPUTED_VALUE"""),"Arquitectura de Interiores")</f>
        <v>Arquitectura de Interiores</v>
      </c>
      <c r="I524" s="1" t="str">
        <f>IFERROR(__xludf.DUMMYFUNCTION("""COMPUTED_VALUE"""),"CARGO")</f>
        <v>CARGO</v>
      </c>
      <c r="J524" s="1" t="str">
        <f>IFERROR(__xludf.DUMMYFUNCTION("""COMPUTED_VALUE"""),"Diurno")</f>
        <v>Diurno</v>
      </c>
      <c r="K524" s="1" t="str">
        <f>IFERROR(__xludf.DUMMYFUNCTION("""COMPUTED_VALUE"""),"TRASLADO")</f>
        <v>TRASLADO</v>
      </c>
      <c r="L524" s="1">
        <f>IFERROR(__xludf.DUMMYFUNCTION("""COMPUTED_VALUE"""),1.0)</f>
        <v>1</v>
      </c>
      <c r="M524" s="1">
        <f>IFERROR(__xludf.DUMMYFUNCTION("""COMPUTED_VALUE"""),0.0)</f>
        <v>0</v>
      </c>
      <c r="N524" s="1" t="str">
        <f>IFERROR(__xludf.DUMMYFUNCTION("""COMPUTED_VALUE"""),"RECA")</f>
        <v>RECA</v>
      </c>
      <c r="O524" s="1" t="str">
        <f>IFERROR(__xludf.DUMMYFUNCTION("""COMPUTED_VALUE"""),"RECA TRASLADO CON CONVA")</f>
        <v>RECA TRASLADO CON CONVA</v>
      </c>
      <c r="P524" s="4">
        <f>IFERROR(__xludf.DUMMYFUNCTION("""COMPUTED_VALUE"""),0.0)</f>
        <v>0</v>
      </c>
      <c r="Q524" s="4">
        <f>IFERROR(__xludf.DUMMYFUNCTION("""COMPUTED_VALUE"""),0.0)</f>
        <v>0</v>
      </c>
      <c r="R524" s="4">
        <f>IFERROR(__xludf.DUMMYFUNCTION("""COMPUTED_VALUE"""),1300.0)</f>
        <v>1300</v>
      </c>
      <c r="S524" s="4">
        <f>IFERROR(__xludf.DUMMYFUNCTION("""COMPUTED_VALUE"""),1300.0)</f>
        <v>1300</v>
      </c>
      <c r="T524" s="1" t="str">
        <f>IFERROR(__xludf.DUMMYFUNCTION("""COMPUTED_VALUE"""),"NINGUNO")</f>
        <v>NINGUNO</v>
      </c>
      <c r="U524" s="1"/>
      <c r="V524" s="1" t="str">
        <f>IFERROR(__xludf.DUMMYFUNCTION("""COMPUTED_VALUE"""),"Ninguno")</f>
        <v>Ninguno</v>
      </c>
      <c r="W524" s="1" t="str">
        <f>IFERROR(__xludf.DUMMYFUNCTION("""COMPUTED_VALUE"""),"Metodología de enseñanza")</f>
        <v>Metodología de enseñanza</v>
      </c>
      <c r="X524" s="1"/>
      <c r="Y524" s="1" t="str">
        <f>IFERROR(__xludf.DUMMYFUNCTION("""COMPUTED_VALUE"""),"PAGO COMPLETO")</f>
        <v>PAGO COMPLETO</v>
      </c>
      <c r="Z524" s="1"/>
      <c r="AA524" s="1"/>
      <c r="AB524" s="1">
        <f>IFERROR(__xludf.DUMMYFUNCTION("""COMPUTED_VALUE"""),0.0)</f>
        <v>0</v>
      </c>
      <c r="AC524" s="1">
        <f>IFERROR(__xludf.DUMMYFUNCTION("""COMPUTED_VALUE"""),0.0)</f>
        <v>0</v>
      </c>
      <c r="AD524" s="1" t="str">
        <f>IFERROR(__xludf.DUMMYFUNCTION("""COMPUTED_VALUE"""),"Ingrid Guillermo Rivera")</f>
        <v>Ingrid Guillermo Rivera</v>
      </c>
      <c r="AE524" s="1" t="str">
        <f>IFERROR(__xludf.DUMMYFUNCTION("""COMPUTED_VALUE"""),"Instituto de Educación Superior Tecnológico Privado Toulouse Lautrec")</f>
        <v>Instituto de Educación Superior Tecnológico Privado Toulouse Lautrec</v>
      </c>
      <c r="AF524" s="1">
        <f>IFERROR(__xludf.DUMMYFUNCTION("""COMPUTED_VALUE"""),2021.0)</f>
        <v>2021</v>
      </c>
      <c r="AG524" s="1">
        <f>IFERROR(__xludf.DUMMYFUNCTION("""COMPUTED_VALUE"""),1508019.0)</f>
        <v>1508019</v>
      </c>
      <c r="AH524" s="1">
        <f>IFERROR(__xludf.DUMMYFUNCTION("""COMPUTED_VALUE"""),20.0)</f>
        <v>20</v>
      </c>
      <c r="AI524" s="1" t="str">
        <f>IFERROR(__xludf.DUMMYFUNCTION("""COMPUTED_VALUE"""),"0000034104")</f>
        <v>0000034104</v>
      </c>
      <c r="AJ524" s="1">
        <f>IFERROR(__xludf.DUMMYFUNCTION("""COMPUTED_VALUE"""),7.5606518E7)</f>
        <v>75606518</v>
      </c>
      <c r="AK524" s="1">
        <f>IFERROR(__xludf.DUMMYFUNCTION("""COMPUTED_VALUE"""),9.03220089E8)</f>
        <v>903220089</v>
      </c>
      <c r="AL524" s="1" t="str">
        <f>IFERROR(__xludf.DUMMYFUNCTION("""COMPUTED_VALUE"""),"mpaccorie135@gmail.com")</f>
        <v>mpaccorie135@gmail.com</v>
      </c>
      <c r="AM524" s="1" t="str">
        <f>IFERROR(__xludf.DUMMYFUNCTION("""COMPUTED_VALUE"""),"FEMENINO")</f>
        <v>FEMENINO</v>
      </c>
      <c r="AN524" s="1">
        <f>IFERROR(__xludf.DUMMYFUNCTION("""COMPUTED_VALUE"""),1850.0)</f>
        <v>1850</v>
      </c>
      <c r="AO524" s="1">
        <f>IFERROR(__xludf.DUMMYFUNCTION("""COMPUTED_VALUE"""),675.0)</f>
        <v>675</v>
      </c>
      <c r="AP524" s="1" t="str">
        <f>IFERROR(__xludf.DUMMYFUNCTION("""COMPUTED_VALUE"""),"BIDIRECCIONAL")</f>
        <v>BIDIRECCIONAL</v>
      </c>
      <c r="AQ524" s="1" t="str">
        <f>IFERROR(__xludf.DUMMYFUNCTION("""COMPUTED_VALUE"""),"ORGANICO")</f>
        <v>ORGANICO</v>
      </c>
      <c r="AR524" s="1" t="str">
        <f>IFERROR(__xludf.DUMMYFUNCTION("""COMPUTED_VALUE"""),"NUEVO")</f>
        <v>NUEVO</v>
      </c>
      <c r="AS524" s="1"/>
      <c r="AT524" s="2">
        <f>IFERROR(__xludf.DUMMYFUNCTION("""COMPUTED_VALUE"""),45708.0)</f>
        <v>45708</v>
      </c>
      <c r="AU524" s="1">
        <f>IFERROR(__xludf.DUMMYFUNCTION("""COMPUTED_VALUE"""),1.0)</f>
        <v>1</v>
      </c>
      <c r="AV524" s="1" t="str">
        <f>IFERROR(__xludf.DUMMYFUNCTION("""COMPUTED_VALUE"""),"TRASLADO")</f>
        <v>TRASLADO</v>
      </c>
      <c r="AW524" s="1" t="str">
        <f>IFERROR(__xludf.DUMMYFUNCTION("""COMPUTED_VALUE"""),"SI")</f>
        <v>SI</v>
      </c>
      <c r="AX524" s="1"/>
      <c r="AY524" s="1" t="str">
        <f>IFERROR(__xludf.DUMMYFUNCTION("""COMPUTED_VALUE"""),"PAGO COMPLETO")</f>
        <v>PAGO COMPLETO</v>
      </c>
      <c r="AZ524" s="5">
        <f>IFERROR(__xludf.DUMMYFUNCTION("""COMPUTED_VALUE"""),45712.0)</f>
        <v>45712</v>
      </c>
      <c r="BA524" s="1">
        <f>IFERROR(__xludf.DUMMYFUNCTION("""COMPUTED_VALUE"""),0.0)</f>
        <v>0</v>
      </c>
      <c r="BB524" s="1">
        <f>IFERROR(__xludf.DUMMYFUNCTION("""COMPUTED_VALUE"""),0.0)</f>
        <v>0</v>
      </c>
      <c r="BC524" s="4">
        <f>IFERROR(__xludf.DUMMYFUNCTION("""COMPUTED_VALUE"""),0.0)</f>
        <v>0</v>
      </c>
      <c r="BD524" s="4">
        <f>IFERROR(__xludf.DUMMYFUNCTION("""COMPUTED_VALUE"""),0.0)</f>
        <v>0</v>
      </c>
      <c r="BE524" s="1">
        <f>IFERROR(__xludf.DUMMYFUNCTION("""COMPUTED_VALUE"""),2.0)</f>
        <v>2</v>
      </c>
      <c r="BF524" s="6">
        <f>IFERROR(__xludf.DUMMYFUNCTION("""COMPUTED_VALUE"""),1.0)</f>
        <v>1</v>
      </c>
      <c r="BG524" s="1">
        <f>IFERROR(__xludf.DUMMYFUNCTION("""COMPUTED_VALUE"""),1.0)</f>
        <v>1</v>
      </c>
      <c r="BH524" s="1" t="str">
        <f>IFERROR(__xludf.DUMMYFUNCTION("""COMPUTED_VALUE"""),"1")</f>
        <v>1</v>
      </c>
      <c r="BI524" s="4">
        <f>IFERROR(__xludf.DUMMYFUNCTION("""COMPUTED_VALUE"""),0.0)</f>
        <v>0</v>
      </c>
      <c r="BJ524" s="1">
        <f>IFERROR(__xludf.DUMMYFUNCTION("""COMPUTED_VALUE"""),0.0)</f>
        <v>0</v>
      </c>
      <c r="BK524" s="4">
        <f>IFERROR(__xludf.DUMMYFUNCTION("""COMPUTED_VALUE"""),0.0)</f>
        <v>0</v>
      </c>
      <c r="BL524" s="1">
        <f>IFERROR(__xludf.DUMMYFUNCTION("""COMPUTED_VALUE"""),1300.0)</f>
        <v>1300</v>
      </c>
      <c r="BM524" s="1">
        <f>IFERROR(__xludf.DUMMYFUNCTION("""COMPUTED_VALUE"""),9.0)</f>
        <v>9</v>
      </c>
      <c r="BN524" s="2">
        <f>IFERROR(__xludf.DUMMYFUNCTION("""COMPUTED_VALUE"""),45712.0)</f>
        <v>45712</v>
      </c>
      <c r="BO524" s="1">
        <f>IFERROR(__xludf.DUMMYFUNCTION("""COMPUTED_VALUE"""),2.0)</f>
        <v>2</v>
      </c>
      <c r="BP524" s="1">
        <f>IFERROR(__xludf.DUMMYFUNCTION("""COMPUTED_VALUE"""),2025.0)</f>
        <v>2025</v>
      </c>
    </row>
    <row r="525">
      <c r="A525" s="1">
        <f>IFERROR(__xludf.DUMMYFUNCTION("""COMPUTED_VALUE"""),524.0)</f>
        <v>524</v>
      </c>
      <c r="B525" s="1">
        <f>IFERROR(__xludf.DUMMYFUNCTION("""COMPUTED_VALUE"""),2833022.0)</f>
        <v>2833022</v>
      </c>
      <c r="C525" s="1" t="str">
        <f>IFERROR(__xludf.DUMMYFUNCTION("""COMPUTED_VALUE"""),"2025-1")</f>
        <v>2025-1</v>
      </c>
      <c r="D525" s="1" t="str">
        <f>IFERROR(__xludf.DUMMYFUNCTION("""COMPUTED_VALUE"""),"Admisión de Alto Rendimiento")</f>
        <v>Admisión de Alto Rendimiento</v>
      </c>
      <c r="E525" s="2">
        <f>IFERROR(__xludf.DUMMYFUNCTION("""COMPUTED_VALUE"""),45712.0)</f>
        <v>45712</v>
      </c>
      <c r="F525" s="1" t="str">
        <f>IFERROR(__xludf.DUMMYFUNCTION("""COMPUTED_VALUE"""),"DAYANA LISBETH ")</f>
        <v>DAYANA LISBETH </v>
      </c>
      <c r="G525" s="1" t="str">
        <f>IFERROR(__xludf.DUMMYFUNCTION("""COMPUTED_VALUE"""),"DUNIAM PALOMINO")</f>
        <v>DUNIAM PALOMINO</v>
      </c>
      <c r="H525" s="1" t="str">
        <f>IFERROR(__xludf.DUMMYFUNCTION("""COMPUTED_VALUE"""),"Arquitectura de Interiores")</f>
        <v>Arquitectura de Interiores</v>
      </c>
      <c r="I525" s="1" t="str">
        <f>IFERROR(__xludf.DUMMYFUNCTION("""COMPUTED_VALUE"""),"CARGO")</f>
        <v>CARGO</v>
      </c>
      <c r="J525" s="1" t="str">
        <f>IFERROR(__xludf.DUMMYFUNCTION("""COMPUTED_VALUE"""),"Diurno")</f>
        <v>Diurno</v>
      </c>
      <c r="K525" s="1" t="str">
        <f>IFERROR(__xludf.DUMMYFUNCTION("""COMPUTED_VALUE"""),"NUEVO")</f>
        <v>NUEVO</v>
      </c>
      <c r="L525" s="1">
        <f>IFERROR(__xludf.DUMMYFUNCTION("""COMPUTED_VALUE"""),0.0)</f>
        <v>0</v>
      </c>
      <c r="M525" s="1">
        <f>IFERROR(__xludf.DUMMYFUNCTION("""COMPUTED_VALUE"""),0.0)</f>
        <v>0</v>
      </c>
      <c r="N525" s="1" t="str">
        <f>IFERROR(__xludf.DUMMYFUNCTION("""COMPUTED_VALUE"""),"BECA")</f>
        <v>BECA</v>
      </c>
      <c r="O525" s="1" t="str">
        <f>IFERROR(__xludf.DUMMYFUNCTION("""COMPUTED_VALUE"""),"BECA CONGELADA DE 2 AÑOS")</f>
        <v>BECA CONGELADA DE 2 AÑOS</v>
      </c>
      <c r="P525" s="4">
        <f>IFERROR(__xludf.DUMMYFUNCTION("""COMPUTED_VALUE"""),0.0)</f>
        <v>0</v>
      </c>
      <c r="Q525" s="4">
        <f>IFERROR(__xludf.DUMMYFUNCTION("""COMPUTED_VALUE"""),0.0)</f>
        <v>0</v>
      </c>
      <c r="R525" s="4">
        <f>IFERROR(__xludf.DUMMYFUNCTION("""COMPUTED_VALUE"""),950.0)</f>
        <v>950</v>
      </c>
      <c r="S525" s="4">
        <f>IFERROR(__xludf.DUMMYFUNCTION("""COMPUTED_VALUE"""),800.0)</f>
        <v>800</v>
      </c>
      <c r="T525" s="1" t="str">
        <f>IFERROR(__xludf.DUMMYFUNCTION("""COMPUTED_VALUE"""),"PALANCA 500")</f>
        <v>PALANCA 500</v>
      </c>
      <c r="U525" s="1" t="str">
        <f>IFERROR(__xludf.DUMMYFUNCTION("""COMPUTED_VALUE"""),"RODRIGO")</f>
        <v>RODRIGO</v>
      </c>
      <c r="V525" s="1" t="str">
        <f>IFERROR(__xludf.DUMMYFUNCTION("""COMPUTED_VALUE"""),"Ninguno")</f>
        <v>Ninguno</v>
      </c>
      <c r="W525" s="1" t="str">
        <f>IFERROR(__xludf.DUMMYFUNCTION("""COMPUTED_VALUE"""),"Metodología de enseñanza")</f>
        <v>Metodología de enseñanza</v>
      </c>
      <c r="X525" s="1"/>
      <c r="Y525" s="1" t="str">
        <f>IFERROR(__xludf.DUMMYFUNCTION("""COMPUTED_VALUE"""),"PAGO COMPLETO")</f>
        <v>PAGO COMPLETO</v>
      </c>
      <c r="Z525" s="1"/>
      <c r="AA525" s="1"/>
      <c r="AB525" s="1">
        <f>IFERROR(__xludf.DUMMYFUNCTION("""COMPUTED_VALUE"""),0.0)</f>
        <v>0</v>
      </c>
      <c r="AC525" s="1">
        <f>IFERROR(__xludf.DUMMYFUNCTION("""COMPUTED_VALUE"""),0.0)</f>
        <v>0</v>
      </c>
      <c r="AD525" s="1" t="str">
        <f>IFERROR(__xludf.DUMMYFUNCTION("""COMPUTED_VALUE"""),"Ingrid Guillermo Rivera")</f>
        <v>Ingrid Guillermo Rivera</v>
      </c>
      <c r="AE525" s="1" t="str">
        <f>IFERROR(__xludf.DUMMYFUNCTION("""COMPUTED_VALUE"""),"0")</f>
        <v>0</v>
      </c>
      <c r="AF525" s="1">
        <f>IFERROR(__xludf.DUMMYFUNCTION("""COMPUTED_VALUE"""),2024.0)</f>
        <v>2024</v>
      </c>
      <c r="AG525" s="1">
        <f>IFERROR(__xludf.DUMMYFUNCTION("""COMPUTED_VALUE"""),781930.0)</f>
        <v>781930</v>
      </c>
      <c r="AH525" s="1">
        <f>IFERROR(__xludf.DUMMYFUNCTION("""COMPUTED_VALUE"""),17.0)</f>
        <v>17</v>
      </c>
      <c r="AI525" s="1" t="str">
        <f>IFERROR(__xludf.DUMMYFUNCTION("""COMPUTED_VALUE"""),"0000416320")</f>
        <v>0000416320</v>
      </c>
      <c r="AJ525" s="1">
        <f>IFERROR(__xludf.DUMMYFUNCTION("""COMPUTED_VALUE"""),6.1330712E7)</f>
        <v>61330712</v>
      </c>
      <c r="AK525" s="1">
        <f>IFERROR(__xludf.DUMMYFUNCTION("""COMPUTED_VALUE"""),9.8956182E8)</f>
        <v>989561820</v>
      </c>
      <c r="AL525" s="1" t="str">
        <f>IFERROR(__xludf.DUMMYFUNCTION("""COMPUTED_VALUE"""),"dayanaduniam@gmail.com")</f>
        <v>dayanaduniam@gmail.com</v>
      </c>
      <c r="AM525" s="1" t="str">
        <f>IFERROR(__xludf.DUMMYFUNCTION("""COMPUTED_VALUE"""),"FEMENINO")</f>
        <v>FEMENINO</v>
      </c>
      <c r="AN525" s="1">
        <f>IFERROR(__xludf.DUMMYFUNCTION("""COMPUTED_VALUE"""),1350.0)</f>
        <v>1350</v>
      </c>
      <c r="AO525" s="1">
        <f>IFERROR(__xludf.DUMMYFUNCTION("""COMPUTED_VALUE"""),0.0)</f>
        <v>0</v>
      </c>
      <c r="AP525" s="1" t="str">
        <f>IFERROR(__xludf.DUMMYFUNCTION("""COMPUTED_VALUE"""),"BIDIRECCIONAL")</f>
        <v>BIDIRECCIONAL</v>
      </c>
      <c r="AQ525" s="1" t="str">
        <f>IFERROR(__xludf.DUMMYFUNCTION("""COMPUTED_VALUE"""),"ORGANICO")</f>
        <v>ORGANICO</v>
      </c>
      <c r="AR525" s="1" t="str">
        <f>IFERROR(__xludf.DUMMYFUNCTION("""COMPUTED_VALUE"""),"NUEVO")</f>
        <v>NUEVO</v>
      </c>
      <c r="AS525" s="1"/>
      <c r="AT525" s="2">
        <f>IFERROR(__xludf.DUMMYFUNCTION("""COMPUTED_VALUE"""),45710.0)</f>
        <v>45710</v>
      </c>
      <c r="AU525" s="1">
        <f>IFERROR(__xludf.DUMMYFUNCTION("""COMPUTED_VALUE"""),1.0)</f>
        <v>1</v>
      </c>
      <c r="AV525" s="1" t="str">
        <f>IFERROR(__xludf.DUMMYFUNCTION("""COMPUTED_VALUE"""),"NUEVO")</f>
        <v>NUEVO</v>
      </c>
      <c r="AW525" s="1" t="str">
        <f>IFERROR(__xludf.DUMMYFUNCTION("""COMPUTED_VALUE"""),"SI")</f>
        <v>SI</v>
      </c>
      <c r="AX525" s="1"/>
      <c r="AY525" s="1" t="str">
        <f>IFERROR(__xludf.DUMMYFUNCTION("""COMPUTED_VALUE"""),"PAGO COMPLETO")</f>
        <v>PAGO COMPLETO</v>
      </c>
      <c r="AZ525" s="5">
        <f>IFERROR(__xludf.DUMMYFUNCTION("""COMPUTED_VALUE"""),45712.0)</f>
        <v>45712</v>
      </c>
      <c r="BA525" s="1">
        <f>IFERROR(__xludf.DUMMYFUNCTION("""COMPUTED_VALUE"""),0.0)</f>
        <v>0</v>
      </c>
      <c r="BB525" s="1">
        <f>IFERROR(__xludf.DUMMYFUNCTION("""COMPUTED_VALUE"""),0.0)</f>
        <v>0</v>
      </c>
      <c r="BC525" s="4">
        <f>IFERROR(__xludf.DUMMYFUNCTION("""COMPUTED_VALUE"""),0.0)</f>
        <v>0</v>
      </c>
      <c r="BD525" s="4">
        <f>IFERROR(__xludf.DUMMYFUNCTION("""COMPUTED_VALUE"""),300.0)</f>
        <v>300</v>
      </c>
      <c r="BE525" s="1">
        <f>IFERROR(__xludf.DUMMYFUNCTION("""COMPUTED_VALUE"""),2.0)</f>
        <v>2</v>
      </c>
      <c r="BF525" s="6">
        <f>IFERROR(__xludf.DUMMYFUNCTION("""COMPUTED_VALUE"""),1.0)</f>
        <v>1</v>
      </c>
      <c r="BG525" s="1">
        <f>IFERROR(__xludf.DUMMYFUNCTION("""COMPUTED_VALUE"""),1.0)</f>
        <v>1</v>
      </c>
      <c r="BH525" s="1" t="str">
        <f>IFERROR(__xludf.DUMMYFUNCTION("""COMPUTED_VALUE"""),"0")</f>
        <v>0</v>
      </c>
      <c r="BI525" s="4">
        <f>IFERROR(__xludf.DUMMYFUNCTION("""COMPUTED_VALUE"""),300.0)</f>
        <v>300</v>
      </c>
      <c r="BJ525" s="1">
        <f>IFERROR(__xludf.DUMMYFUNCTION("""COMPUTED_VALUE"""),0.0)</f>
        <v>0</v>
      </c>
      <c r="BK525" s="4">
        <f>IFERROR(__xludf.DUMMYFUNCTION("""COMPUTED_VALUE"""),300.0)</f>
        <v>300</v>
      </c>
      <c r="BL525" s="1">
        <f>IFERROR(__xludf.DUMMYFUNCTION("""COMPUTED_VALUE"""),740.0)</f>
        <v>740</v>
      </c>
      <c r="BM525" s="1">
        <f>IFERROR(__xludf.DUMMYFUNCTION("""COMPUTED_VALUE"""),9.0)</f>
        <v>9</v>
      </c>
      <c r="BN525" s="2">
        <f>IFERROR(__xludf.DUMMYFUNCTION("""COMPUTED_VALUE"""),45712.0)</f>
        <v>45712</v>
      </c>
      <c r="BO525" s="1">
        <f>IFERROR(__xludf.DUMMYFUNCTION("""COMPUTED_VALUE"""),2.0)</f>
        <v>2</v>
      </c>
      <c r="BP525" s="1">
        <f>IFERROR(__xludf.DUMMYFUNCTION("""COMPUTED_VALUE"""),2025.0)</f>
        <v>2025</v>
      </c>
    </row>
    <row r="526">
      <c r="A526" s="1">
        <f>IFERROR(__xludf.DUMMYFUNCTION("""COMPUTED_VALUE"""),525.0)</f>
        <v>525</v>
      </c>
      <c r="B526" s="1">
        <f>IFERROR(__xludf.DUMMYFUNCTION("""COMPUTED_VALUE"""),564707.0)</f>
        <v>564707</v>
      </c>
      <c r="C526" s="1" t="str">
        <f>IFERROR(__xludf.DUMMYFUNCTION("""COMPUTED_VALUE"""),"2025-1")</f>
        <v>2025-1</v>
      </c>
      <c r="D526" s="1" t="str">
        <f>IFERROR(__xludf.DUMMYFUNCTION("""COMPUTED_VALUE"""),"Admisión Extraordinaria (Traslados)")</f>
        <v>Admisión Extraordinaria (Traslados)</v>
      </c>
      <c r="E526" s="2">
        <f>IFERROR(__xludf.DUMMYFUNCTION("""COMPUTED_VALUE"""),45712.0)</f>
        <v>45712</v>
      </c>
      <c r="F526" s="1" t="str">
        <f>IFERROR(__xludf.DUMMYFUNCTION("""COMPUTED_VALUE"""),"VICENTE ")</f>
        <v>VICENTE </v>
      </c>
      <c r="G526" s="1" t="str">
        <f>IFERROR(__xludf.DUMMYFUNCTION("""COMPUTED_VALUE"""),"HINOSHITA IBERICO")</f>
        <v>HINOSHITA IBERICO</v>
      </c>
      <c r="H526" s="1" t="str">
        <f>IFERROR(__xludf.DUMMYFUNCTION("""COMPUTED_VALUE"""),"Arquitectura")</f>
        <v>Arquitectura</v>
      </c>
      <c r="I526" s="1" t="str">
        <f>IFERROR(__xludf.DUMMYFUNCTION("""COMPUTED_VALUE"""),"Pago Link")</f>
        <v>Pago Link</v>
      </c>
      <c r="J526" s="1" t="str">
        <f>IFERROR(__xludf.DUMMYFUNCTION("""COMPUTED_VALUE"""),"Diurno")</f>
        <v>Diurno</v>
      </c>
      <c r="K526" s="1" t="str">
        <f>IFERROR(__xludf.DUMMYFUNCTION("""COMPUTED_VALUE"""),"TRASLADO")</f>
        <v>TRASLADO</v>
      </c>
      <c r="L526" s="1">
        <f>IFERROR(__xludf.DUMMYFUNCTION("""COMPUTED_VALUE"""),1.0)</f>
        <v>1</v>
      </c>
      <c r="M526" s="1">
        <f>IFERROR(__xludf.DUMMYFUNCTION("""COMPUTED_VALUE"""),0.0)</f>
        <v>0</v>
      </c>
      <c r="N526" s="1" t="str">
        <f>IFERROR(__xludf.DUMMYFUNCTION("""COMPUTED_VALUE"""),"RECA")</f>
        <v>RECA</v>
      </c>
      <c r="O526" s="1" t="str">
        <f>IFERROR(__xludf.DUMMYFUNCTION("""COMPUTED_VALUE"""),"RECA TRASLADO CON CONVA")</f>
        <v>RECA TRASLADO CON CONVA</v>
      </c>
      <c r="P526" s="4">
        <f>IFERROR(__xludf.DUMMYFUNCTION("""COMPUTED_VALUE"""),0.0)</f>
        <v>0</v>
      </c>
      <c r="Q526" s="4">
        <f>IFERROR(__xludf.DUMMYFUNCTION("""COMPUTED_VALUE"""),0.0)</f>
        <v>0</v>
      </c>
      <c r="R526" s="4">
        <f>IFERROR(__xludf.DUMMYFUNCTION("""COMPUTED_VALUE"""),1650.0)</f>
        <v>1650</v>
      </c>
      <c r="S526" s="4">
        <f>IFERROR(__xludf.DUMMYFUNCTION("""COMPUTED_VALUE"""),1400.0)</f>
        <v>1400</v>
      </c>
      <c r="T526" s="1" t="str">
        <f>IFERROR(__xludf.DUMMYFUNCTION("""COMPUTED_VALUE"""),"NINGUNO")</f>
        <v>NINGUNO</v>
      </c>
      <c r="U526" s="1" t="str">
        <f>IFERROR(__xludf.DUMMYFUNCTION("""COMPUTED_VALUE"""),"RODRIGO")</f>
        <v>RODRIGO</v>
      </c>
      <c r="V526" s="1" t="str">
        <f>IFERROR(__xludf.DUMMYFUNCTION("""COMPUTED_VALUE"""),"Ninguno")</f>
        <v>Ninguno</v>
      </c>
      <c r="W526" s="1" t="str">
        <f>IFERROR(__xludf.DUMMYFUNCTION("""COMPUTED_VALUE"""),"Malla curricular")</f>
        <v>Malla curricular</v>
      </c>
      <c r="X526" s="1" t="str">
        <f>IFERROR(__xludf.DUMMYFUNCTION("""COMPUTED_VALUE"""),"viene de UPC")</f>
        <v>viene de UPC</v>
      </c>
      <c r="Y526" s="1" t="str">
        <f>IFERROR(__xludf.DUMMYFUNCTION("""COMPUTED_VALUE"""),"PAGO FRACCIONADO")</f>
        <v>PAGO FRACCIONADO</v>
      </c>
      <c r="Z526" s="1">
        <f>IFERROR(__xludf.DUMMYFUNCTION("""COMPUTED_VALUE"""),700.0)</f>
        <v>700</v>
      </c>
      <c r="AA526" s="1" t="str">
        <f>IFERROR(__xludf.DUMMYFUNCTION("""COMPUTED_VALUE"""),"28/02/2025")</f>
        <v>28/02/2025</v>
      </c>
      <c r="AB526" s="1">
        <f>IFERROR(__xludf.DUMMYFUNCTION("""COMPUTED_VALUE"""),0.0)</f>
        <v>0</v>
      </c>
      <c r="AC526" s="1">
        <f>IFERROR(__xludf.DUMMYFUNCTION("""COMPUTED_VALUE"""),0.0)</f>
        <v>0</v>
      </c>
      <c r="AD526" s="1" t="str">
        <f>IFERROR(__xludf.DUMMYFUNCTION("""COMPUTED_VALUE"""),"Rosa Ugarte")</f>
        <v>Rosa Ugarte</v>
      </c>
      <c r="AE526" s="1" t="str">
        <f>IFERROR(__xludf.DUMMYFUNCTION("""COMPUTED_VALUE"""),"Universidad Peruana De Ciencias Aplicadas(UPC)")</f>
        <v>Universidad Peruana De Ciencias Aplicadas(UPC)</v>
      </c>
      <c r="AF526" s="1">
        <f>IFERROR(__xludf.DUMMYFUNCTION("""COMPUTED_VALUE"""),2020.0)</f>
        <v>2020</v>
      </c>
      <c r="AG526" s="1">
        <f>IFERROR(__xludf.DUMMYFUNCTION("""COMPUTED_VALUE"""),0.0)</f>
        <v>0</v>
      </c>
      <c r="AH526" s="1">
        <f>IFERROR(__xludf.DUMMYFUNCTION("""COMPUTED_VALUE"""),28.0)</f>
        <v>28</v>
      </c>
      <c r="AI526" s="1" t="str">
        <f>IFERROR(__xludf.DUMMYFUNCTION("""COMPUTED_VALUE"""),"0000416199")</f>
        <v>0000416199</v>
      </c>
      <c r="AJ526" s="1">
        <f>IFERROR(__xludf.DUMMYFUNCTION("""COMPUTED_VALUE"""),7.4204307E7)</f>
        <v>74204307</v>
      </c>
      <c r="AK526" s="1">
        <f>IFERROR(__xludf.DUMMYFUNCTION("""COMPUTED_VALUE"""),9.93750126E8)</f>
        <v>993750126</v>
      </c>
      <c r="AL526" s="1" t="str">
        <f>IFERROR(__xludf.DUMMYFUNCTION("""COMPUTED_VALUE"""),"vicentehinoshitai@gmail.com")</f>
        <v>vicentehinoshitai@gmail.com</v>
      </c>
      <c r="AM526" s="1" t="str">
        <f>IFERROR(__xludf.DUMMYFUNCTION("""COMPUTED_VALUE"""),"MASCULINO")</f>
        <v>MASCULINO</v>
      </c>
      <c r="AN526" s="1">
        <f>IFERROR(__xludf.DUMMYFUNCTION("""COMPUTED_VALUE"""),1350.0)</f>
        <v>1350</v>
      </c>
      <c r="AO526" s="1">
        <f>IFERROR(__xludf.DUMMYFUNCTION("""COMPUTED_VALUE"""),0.0)</f>
        <v>0</v>
      </c>
      <c r="AP526" s="1" t="str">
        <f>IFERROR(__xludf.DUMMYFUNCTION("""COMPUTED_VALUE"""),"FORMULARIO")</f>
        <v>FORMULARIO</v>
      </c>
      <c r="AQ526" s="1" t="str">
        <f>IFERROR(__xludf.DUMMYFUNCTION("""COMPUTED_VALUE"""),"ORGANICO")</f>
        <v>ORGANICO</v>
      </c>
      <c r="AR526" s="1" t="str">
        <f>IFERROR(__xludf.DUMMYFUNCTION("""COMPUTED_VALUE"""),"HEREDADO")</f>
        <v>HEREDADO</v>
      </c>
      <c r="AS526" s="1"/>
      <c r="AT526" s="2">
        <f>IFERROR(__xludf.DUMMYFUNCTION("""COMPUTED_VALUE"""),45708.0)</f>
        <v>45708</v>
      </c>
      <c r="AU526" s="1">
        <f>IFERROR(__xludf.DUMMYFUNCTION("""COMPUTED_VALUE"""),1.0)</f>
        <v>1</v>
      </c>
      <c r="AV526" s="1" t="str">
        <f>IFERROR(__xludf.DUMMYFUNCTION("""COMPUTED_VALUE"""),"TRASLADO")</f>
        <v>TRASLADO</v>
      </c>
      <c r="AW526" s="1" t="str">
        <f>IFERROR(__xludf.DUMMYFUNCTION("""COMPUTED_VALUE"""),"SI")</f>
        <v>SI</v>
      </c>
      <c r="AX526" s="1"/>
      <c r="AY526" s="1" t="str">
        <f>IFERROR(__xludf.DUMMYFUNCTION("""COMPUTED_VALUE"""),"PAGO COMPLETO")</f>
        <v>PAGO COMPLETO</v>
      </c>
      <c r="AZ526" s="5">
        <f>IFERROR(__xludf.DUMMYFUNCTION("""COMPUTED_VALUE"""),45716.0)</f>
        <v>45716</v>
      </c>
      <c r="BA526" s="1">
        <f>IFERROR(__xludf.DUMMYFUNCTION("""COMPUTED_VALUE"""),700.0)</f>
        <v>700</v>
      </c>
      <c r="BB526" s="1">
        <f>IFERROR(__xludf.DUMMYFUNCTION("""COMPUTED_VALUE"""),0.0)</f>
        <v>0</v>
      </c>
      <c r="BC526" s="4">
        <f>IFERROR(__xludf.DUMMYFUNCTION("""COMPUTED_VALUE"""),0.0)</f>
        <v>0</v>
      </c>
      <c r="BD526" s="4">
        <f>IFERROR(__xludf.DUMMYFUNCTION("""COMPUTED_VALUE"""),0.0)</f>
        <v>0</v>
      </c>
      <c r="BE526" s="1">
        <f>IFERROR(__xludf.DUMMYFUNCTION("""COMPUTED_VALUE"""),2.0)</f>
        <v>2</v>
      </c>
      <c r="BF526" s="6">
        <f>IFERROR(__xludf.DUMMYFUNCTION("""COMPUTED_VALUE"""),1.0)</f>
        <v>1</v>
      </c>
      <c r="BG526" s="1">
        <f>IFERROR(__xludf.DUMMYFUNCTION("""COMPUTED_VALUE"""),1.0)</f>
        <v>1</v>
      </c>
      <c r="BH526" s="1" t="str">
        <f>IFERROR(__xludf.DUMMYFUNCTION("""COMPUTED_VALUE"""),"1")</f>
        <v>1</v>
      </c>
      <c r="BI526" s="4">
        <f>IFERROR(__xludf.DUMMYFUNCTION("""COMPUTED_VALUE"""),1400.0)</f>
        <v>1400</v>
      </c>
      <c r="BJ526" s="1">
        <f>IFERROR(__xludf.DUMMYFUNCTION("""COMPUTED_VALUE"""),0.0)</f>
        <v>0</v>
      </c>
      <c r="BK526" s="4">
        <f>IFERROR(__xludf.DUMMYFUNCTION("""COMPUTED_VALUE"""),0.0)</f>
        <v>0</v>
      </c>
      <c r="BL526" s="1">
        <f>IFERROR(__xludf.DUMMYFUNCTION("""COMPUTED_VALUE"""),1400.0)</f>
        <v>1400</v>
      </c>
      <c r="BM526" s="1">
        <f>IFERROR(__xludf.DUMMYFUNCTION("""COMPUTED_VALUE"""),9.0)</f>
        <v>9</v>
      </c>
      <c r="BN526" s="2">
        <f>IFERROR(__xludf.DUMMYFUNCTION("""COMPUTED_VALUE"""),45712.0)</f>
        <v>45712</v>
      </c>
      <c r="BO526" s="1">
        <f>IFERROR(__xludf.DUMMYFUNCTION("""COMPUTED_VALUE"""),2.0)</f>
        <v>2</v>
      </c>
      <c r="BP526" s="1">
        <f>IFERROR(__xludf.DUMMYFUNCTION("""COMPUTED_VALUE"""),2025.0)</f>
        <v>2025</v>
      </c>
    </row>
    <row r="527">
      <c r="A527" s="1">
        <f>IFERROR(__xludf.DUMMYFUNCTION("""COMPUTED_VALUE"""),526.0)</f>
        <v>526</v>
      </c>
      <c r="B527" s="1">
        <f>IFERROR(__xludf.DUMMYFUNCTION("""COMPUTED_VALUE"""),5043186.0)</f>
        <v>5043186</v>
      </c>
      <c r="C527" s="1" t="str">
        <f>IFERROR(__xludf.DUMMYFUNCTION("""COMPUTED_VALUE"""),"2025-1")</f>
        <v>2025-1</v>
      </c>
      <c r="D527" s="1" t="str">
        <f>IFERROR(__xludf.DUMMYFUNCTION("""COMPUTED_VALUE"""),"Admisión de Alto Rendimiento")</f>
        <v>Admisión de Alto Rendimiento</v>
      </c>
      <c r="E527" s="2">
        <f>IFERROR(__xludf.DUMMYFUNCTION("""COMPUTED_VALUE"""),45713.0)</f>
        <v>45713</v>
      </c>
      <c r="F527" s="1" t="str">
        <f>IFERROR(__xludf.DUMMYFUNCTION("""COMPUTED_VALUE"""),"BRENDA ESTEFANY ")</f>
        <v>BRENDA ESTEFANY </v>
      </c>
      <c r="G527" s="1" t="str">
        <f>IFERROR(__xludf.DUMMYFUNCTION("""COMPUTED_VALUE"""),"MALPARTIDA CORONEL")</f>
        <v>MALPARTIDA CORONEL</v>
      </c>
      <c r="H527" s="1" t="str">
        <f>IFERROR(__xludf.DUMMYFUNCTION("""COMPUTED_VALUE"""),"Psicología")</f>
        <v>Psicología</v>
      </c>
      <c r="I527" s="1" t="str">
        <f>IFERROR(__xludf.DUMMYFUNCTION("""COMPUTED_VALUE"""),"POS")</f>
        <v>POS</v>
      </c>
      <c r="J527" s="1" t="str">
        <f>IFERROR(__xludf.DUMMYFUNCTION("""COMPUTED_VALUE"""),"Diurno")</f>
        <v>Diurno</v>
      </c>
      <c r="K527" s="1" t="str">
        <f>IFERROR(__xludf.DUMMYFUNCTION("""COMPUTED_VALUE"""),"NUEVO")</f>
        <v>NUEVO</v>
      </c>
      <c r="L527" s="1">
        <f>IFERROR(__xludf.DUMMYFUNCTION("""COMPUTED_VALUE"""),0.0)</f>
        <v>0</v>
      </c>
      <c r="M527" s="1">
        <f>IFERROR(__xludf.DUMMYFUNCTION("""COMPUTED_VALUE"""),0.0)</f>
        <v>0</v>
      </c>
      <c r="N527" s="1" t="str">
        <f>IFERROR(__xludf.DUMMYFUNCTION("""COMPUTED_VALUE"""),"BECA")</f>
        <v>BECA</v>
      </c>
      <c r="O527" s="1" t="str">
        <f>IFERROR(__xludf.DUMMYFUNCTION("""COMPUTED_VALUE"""),"BECA CONGELADA DE 2 AÑOS")</f>
        <v>BECA CONGELADA DE 2 AÑOS</v>
      </c>
      <c r="P527" s="4">
        <f>IFERROR(__xludf.DUMMYFUNCTION("""COMPUTED_VALUE"""),0.0)</f>
        <v>0</v>
      </c>
      <c r="Q527" s="4">
        <f>IFERROR(__xludf.DUMMYFUNCTION("""COMPUTED_VALUE"""),0.0)</f>
        <v>0</v>
      </c>
      <c r="R527" s="4">
        <f>IFERROR(__xludf.DUMMYFUNCTION("""COMPUTED_VALUE"""),1050.0)</f>
        <v>1050</v>
      </c>
      <c r="S527" s="4">
        <f>IFERROR(__xludf.DUMMYFUNCTION("""COMPUTED_VALUE"""),900.0)</f>
        <v>900</v>
      </c>
      <c r="T527" s="1" t="str">
        <f>IFERROR(__xludf.DUMMYFUNCTION("""COMPUTED_VALUE"""),"PALANCA 500")</f>
        <v>PALANCA 500</v>
      </c>
      <c r="U527" s="1"/>
      <c r="V527" s="1" t="str">
        <f>IFERROR(__xludf.DUMMYFUNCTION("""COMPUTED_VALUE"""),"Ninguno")</f>
        <v>Ninguno</v>
      </c>
      <c r="W527" s="1" t="str">
        <f>IFERROR(__xludf.DUMMYFUNCTION("""COMPUTED_VALUE"""),"Beca")</f>
        <v>Beca</v>
      </c>
      <c r="X527" s="1" t="str">
        <f>IFERROR(__xludf.DUMMYFUNCTION("""COMPUTED_VALUE"""),"LE GUSTA LA UNIVERSIDAD")</f>
        <v>LE GUSTA LA UNIVERSIDAD</v>
      </c>
      <c r="Y527" s="1" t="str">
        <f>IFERROR(__xludf.DUMMYFUNCTION("""COMPUTED_VALUE"""),"PAGO COMPLETO")</f>
        <v>PAGO COMPLETO</v>
      </c>
      <c r="Z527" s="1"/>
      <c r="AA527" s="1"/>
      <c r="AB527" s="1">
        <f>IFERROR(__xludf.DUMMYFUNCTION("""COMPUTED_VALUE"""),0.0)</f>
        <v>0</v>
      </c>
      <c r="AC527" s="1">
        <f>IFERROR(__xludf.DUMMYFUNCTION("""COMPUTED_VALUE"""),0.0)</f>
        <v>0</v>
      </c>
      <c r="AD527" s="1" t="str">
        <f>IFERROR(__xludf.DUMMYFUNCTION("""COMPUTED_VALUE"""),"Daniel Zapata")</f>
        <v>Daniel Zapata</v>
      </c>
      <c r="AE527" s="1" t="str">
        <f>IFERROR(__xludf.DUMMYFUNCTION("""COMPUTED_VALUE"""),"0")</f>
        <v>0</v>
      </c>
      <c r="AF527" s="1">
        <f>IFERROR(__xludf.DUMMYFUNCTION("""COMPUTED_VALUE"""),2023.0)</f>
        <v>2023</v>
      </c>
      <c r="AG527" s="1">
        <f>IFERROR(__xludf.DUMMYFUNCTION("""COMPUTED_VALUE"""),703231.0)</f>
        <v>703231</v>
      </c>
      <c r="AH527" s="1">
        <f>IFERROR(__xludf.DUMMYFUNCTION("""COMPUTED_VALUE"""),20.0)</f>
        <v>20</v>
      </c>
      <c r="AI527" s="1" t="str">
        <f>IFERROR(__xludf.DUMMYFUNCTION("""COMPUTED_VALUE"""),"0000416424")</f>
        <v>0000416424</v>
      </c>
      <c r="AJ527" s="1">
        <f>IFERROR(__xludf.DUMMYFUNCTION("""COMPUTED_VALUE"""),7.4734781E7)</f>
        <v>74734781</v>
      </c>
      <c r="AK527" s="1">
        <f>IFERROR(__xludf.DUMMYFUNCTION("""COMPUTED_VALUE"""),9.21896345E8)</f>
        <v>921896345</v>
      </c>
      <c r="AL527" s="1" t="str">
        <f>IFERROR(__xludf.DUMMYFUNCTION("""COMPUTED_VALUE"""),"malpartidacoronelb@gmail.com")</f>
        <v>malpartidacoronelb@gmail.com</v>
      </c>
      <c r="AM527" s="1" t="str">
        <f>IFERROR(__xludf.DUMMYFUNCTION("""COMPUTED_VALUE"""),"FEMENINO")</f>
        <v>FEMENINO</v>
      </c>
      <c r="AN527" s="1">
        <f>IFERROR(__xludf.DUMMYFUNCTION("""COMPUTED_VALUE"""),1350.0)</f>
        <v>1350</v>
      </c>
      <c r="AO527" s="1">
        <f>IFERROR(__xludf.DUMMYFUNCTION("""COMPUTED_VALUE"""),0.0)</f>
        <v>0</v>
      </c>
      <c r="AP527" s="1" t="str">
        <f>IFERROR(__xludf.DUMMYFUNCTION("""COMPUTED_VALUE"""),"FORMULARIO")</f>
        <v>FORMULARIO</v>
      </c>
      <c r="AQ527" s="1" t="str">
        <f>IFERROR(__xludf.DUMMYFUNCTION("""COMPUTED_VALUE"""),"ORGANICO")</f>
        <v>ORGANICO</v>
      </c>
      <c r="AR527" s="1" t="str">
        <f>IFERROR(__xludf.DUMMYFUNCTION("""COMPUTED_VALUE"""),"HEREDADO")</f>
        <v>HEREDADO</v>
      </c>
      <c r="AS527" s="1"/>
      <c r="AT527" s="2">
        <f>IFERROR(__xludf.DUMMYFUNCTION("""COMPUTED_VALUE"""),45713.0)</f>
        <v>45713</v>
      </c>
      <c r="AU527" s="1">
        <f>IFERROR(__xludf.DUMMYFUNCTION("""COMPUTED_VALUE"""),1.0)</f>
        <v>1</v>
      </c>
      <c r="AV527" s="1" t="str">
        <f>IFERROR(__xludf.DUMMYFUNCTION("""COMPUTED_VALUE"""),"NUEVO")</f>
        <v>NUEVO</v>
      </c>
      <c r="AW527" s="1" t="str">
        <f>IFERROR(__xludf.DUMMYFUNCTION("""COMPUTED_VALUE"""),"SI")</f>
        <v>SI</v>
      </c>
      <c r="AX527" s="1"/>
      <c r="AY527" s="1" t="str">
        <f>IFERROR(__xludf.DUMMYFUNCTION("""COMPUTED_VALUE"""),"PAGO COMPLETO")</f>
        <v>PAGO COMPLETO</v>
      </c>
      <c r="AZ527" s="5">
        <f>IFERROR(__xludf.DUMMYFUNCTION("""COMPUTED_VALUE"""),45713.0)</f>
        <v>45713</v>
      </c>
      <c r="BA527" s="1">
        <f>IFERROR(__xludf.DUMMYFUNCTION("""COMPUTED_VALUE"""),0.0)</f>
        <v>0</v>
      </c>
      <c r="BB527" s="1">
        <f>IFERROR(__xludf.DUMMYFUNCTION("""COMPUTED_VALUE"""),0.0)</f>
        <v>0</v>
      </c>
      <c r="BC527" s="4">
        <f>IFERROR(__xludf.DUMMYFUNCTION("""COMPUTED_VALUE"""),0.0)</f>
        <v>0</v>
      </c>
      <c r="BD527" s="4">
        <f>IFERROR(__xludf.DUMMYFUNCTION("""COMPUTED_VALUE"""),400.0)</f>
        <v>400</v>
      </c>
      <c r="BE527" s="1">
        <f>IFERROR(__xludf.DUMMYFUNCTION("""COMPUTED_VALUE"""),2.0)</f>
        <v>2</v>
      </c>
      <c r="BF527" s="6">
        <f>IFERROR(__xludf.DUMMYFUNCTION("""COMPUTED_VALUE"""),1.0)</f>
        <v>1</v>
      </c>
      <c r="BG527" s="1">
        <f>IFERROR(__xludf.DUMMYFUNCTION("""COMPUTED_VALUE"""),1.0)</f>
        <v>1</v>
      </c>
      <c r="BH527" s="1" t="str">
        <f>IFERROR(__xludf.DUMMYFUNCTION("""COMPUTED_VALUE"""),"0")</f>
        <v>0</v>
      </c>
      <c r="BI527" s="4">
        <f>IFERROR(__xludf.DUMMYFUNCTION("""COMPUTED_VALUE"""),400.0)</f>
        <v>400</v>
      </c>
      <c r="BJ527" s="1">
        <f>IFERROR(__xludf.DUMMYFUNCTION("""COMPUTED_VALUE"""),0.0)</f>
        <v>0</v>
      </c>
      <c r="BK527" s="4">
        <f>IFERROR(__xludf.DUMMYFUNCTION("""COMPUTED_VALUE"""),400.0)</f>
        <v>400</v>
      </c>
      <c r="BL527" s="1">
        <f>IFERROR(__xludf.DUMMYFUNCTION("""COMPUTED_VALUE"""),820.0)</f>
        <v>820</v>
      </c>
      <c r="BM527" s="1">
        <f>IFERROR(__xludf.DUMMYFUNCTION("""COMPUTED_VALUE"""),9.0)</f>
        <v>9</v>
      </c>
      <c r="BN527" s="2">
        <f>IFERROR(__xludf.DUMMYFUNCTION("""COMPUTED_VALUE"""),45712.0)</f>
        <v>45712</v>
      </c>
      <c r="BO527" s="1">
        <f>IFERROR(__xludf.DUMMYFUNCTION("""COMPUTED_VALUE"""),2.0)</f>
        <v>2</v>
      </c>
      <c r="BP527" s="1">
        <f>IFERROR(__xludf.DUMMYFUNCTION("""COMPUTED_VALUE"""),2025.0)</f>
        <v>2025</v>
      </c>
    </row>
    <row r="528">
      <c r="A528" s="1">
        <f>IFERROR(__xludf.DUMMYFUNCTION("""COMPUTED_VALUE"""),527.0)</f>
        <v>527</v>
      </c>
      <c r="B528" s="1">
        <f>IFERROR(__xludf.DUMMYFUNCTION("""COMPUTED_VALUE"""),1905617.0)</f>
        <v>1905617</v>
      </c>
      <c r="C528" s="1" t="str">
        <f>IFERROR(__xludf.DUMMYFUNCTION("""COMPUTED_VALUE"""),"2025-1")</f>
        <v>2025-1</v>
      </c>
      <c r="D528" s="1" t="str">
        <f>IFERROR(__xludf.DUMMYFUNCTION("""COMPUTED_VALUE"""),"Admisión Ordinaria")</f>
        <v>Admisión Ordinaria</v>
      </c>
      <c r="E528" s="2">
        <f>IFERROR(__xludf.DUMMYFUNCTION("""COMPUTED_VALUE"""),45713.0)</f>
        <v>45713</v>
      </c>
      <c r="F528" s="1" t="str">
        <f>IFERROR(__xludf.DUMMYFUNCTION("""COMPUTED_VALUE"""),"DIANA ESTEFANI")</f>
        <v>DIANA ESTEFANI</v>
      </c>
      <c r="G528" s="1" t="str">
        <f>IFERROR(__xludf.DUMMYFUNCTION("""COMPUTED_VALUE"""),"ATOCHE QUISPE")</f>
        <v>ATOCHE QUISPE</v>
      </c>
      <c r="H528" s="1" t="str">
        <f>IFERROR(__xludf.DUMMYFUNCTION("""COMPUTED_VALUE"""),"Diseño Gráfico Publicitario")</f>
        <v>Diseño Gráfico Publicitario</v>
      </c>
      <c r="I528" s="1" t="str">
        <f>IFERROR(__xludf.DUMMYFUNCTION("""COMPUTED_VALUE"""),"CARGO")</f>
        <v>CARGO</v>
      </c>
      <c r="J528" s="1" t="str">
        <f>IFERROR(__xludf.DUMMYFUNCTION("""COMPUTED_VALUE"""),"Diurno")</f>
        <v>Diurno</v>
      </c>
      <c r="K528" s="1" t="str">
        <f>IFERROR(__xludf.DUMMYFUNCTION("""COMPUTED_VALUE"""),"NUEVO")</f>
        <v>NUEVO</v>
      </c>
      <c r="L528" s="1">
        <f>IFERROR(__xludf.DUMMYFUNCTION("""COMPUTED_VALUE"""),0.0)</f>
        <v>0</v>
      </c>
      <c r="M528" s="1">
        <f>IFERROR(__xludf.DUMMYFUNCTION("""COMPUTED_VALUE"""),0.0)</f>
        <v>0</v>
      </c>
      <c r="N528" s="1" t="str">
        <f>IFERROR(__xludf.DUMMYFUNCTION("""COMPUTED_VALUE"""),"BECA")</f>
        <v>BECA</v>
      </c>
      <c r="O528" s="1" t="str">
        <f>IFERROR(__xludf.DUMMYFUNCTION("""COMPUTED_VALUE"""),"BECA CONGELADA DE 2 AÑOS")</f>
        <v>BECA CONGELADA DE 2 AÑOS</v>
      </c>
      <c r="P528" s="4">
        <f>IFERROR(__xludf.DUMMYFUNCTION("""COMPUTED_VALUE"""),0.0)</f>
        <v>0</v>
      </c>
      <c r="Q528" s="4">
        <f>IFERROR(__xludf.DUMMYFUNCTION("""COMPUTED_VALUE"""),0.0)</f>
        <v>0</v>
      </c>
      <c r="R528" s="4">
        <f>IFERROR(__xludf.DUMMYFUNCTION("""COMPUTED_VALUE"""),1050.0)</f>
        <v>1050</v>
      </c>
      <c r="S528" s="4">
        <f>IFERROR(__xludf.DUMMYFUNCTION("""COMPUTED_VALUE"""),900.0)</f>
        <v>900</v>
      </c>
      <c r="T528" s="1" t="str">
        <f>IFERROR(__xludf.DUMMYFUNCTION("""COMPUTED_VALUE"""),"PALANCA 500 - Refirio")</f>
        <v>PALANCA 500 - Refirio</v>
      </c>
      <c r="U528" s="1" t="str">
        <f>IFERROR(__xludf.DUMMYFUNCTION("""COMPUTED_VALUE"""),"FABIOLA")</f>
        <v>FABIOLA</v>
      </c>
      <c r="V528" s="1" t="str">
        <f>IFERROR(__xludf.DUMMYFUNCTION("""COMPUTED_VALUE"""),"Ninguno")</f>
        <v>Ninguno</v>
      </c>
      <c r="W528" s="1" t="str">
        <f>IFERROR(__xludf.DUMMYFUNCTION("""COMPUTED_VALUE"""),"Malla curricular")</f>
        <v>Malla curricular</v>
      </c>
      <c r="X528" s="1"/>
      <c r="Y528" s="1" t="str">
        <f>IFERROR(__xludf.DUMMYFUNCTION("""COMPUTED_VALUE"""),"PAGO COMPLETO")</f>
        <v>PAGO COMPLETO</v>
      </c>
      <c r="Z528" s="1"/>
      <c r="AA528" s="1"/>
      <c r="AB528" s="1">
        <f>IFERROR(__xludf.DUMMYFUNCTION("""COMPUTED_VALUE"""),0.0)</f>
        <v>0</v>
      </c>
      <c r="AC528" s="1">
        <f>IFERROR(__xludf.DUMMYFUNCTION("""COMPUTED_VALUE"""),0.0)</f>
        <v>0</v>
      </c>
      <c r="AD528" s="1" t="str">
        <f>IFERROR(__xludf.DUMMYFUNCTION("""COMPUTED_VALUE"""),"Angelica Iparraguirre")</f>
        <v>Angelica Iparraguirre</v>
      </c>
      <c r="AE528" s="1" t="str">
        <f>IFERROR(__xludf.DUMMYFUNCTION("""COMPUTED_VALUE"""),"0")</f>
        <v>0</v>
      </c>
      <c r="AF528" s="1">
        <f>IFERROR(__xludf.DUMMYFUNCTION("""COMPUTED_VALUE"""),2019.0)</f>
        <v>2019</v>
      </c>
      <c r="AG528" s="1">
        <f>IFERROR(__xludf.DUMMYFUNCTION("""COMPUTED_VALUE"""),481853.0)</f>
        <v>481853</v>
      </c>
      <c r="AH528" s="1">
        <f>IFERROR(__xludf.DUMMYFUNCTION("""COMPUTED_VALUE"""),22.0)</f>
        <v>22</v>
      </c>
      <c r="AI528" s="1" t="str">
        <f>IFERROR(__xludf.DUMMYFUNCTION("""COMPUTED_VALUE"""),"0000378987")</f>
        <v>0000378987</v>
      </c>
      <c r="AJ528" s="1">
        <f>IFERROR(__xludf.DUMMYFUNCTION("""COMPUTED_VALUE"""),7.5255951E7)</f>
        <v>75255951</v>
      </c>
      <c r="AK528" s="1">
        <f>IFERROR(__xludf.DUMMYFUNCTION("""COMPUTED_VALUE"""),9.55826579E8)</f>
        <v>955826579</v>
      </c>
      <c r="AL528" s="1" t="str">
        <f>IFERROR(__xludf.DUMMYFUNCTION("""COMPUTED_VALUE"""),"atochediana43@gmail.com")</f>
        <v>atochediana43@gmail.com</v>
      </c>
      <c r="AM528" s="1" t="str">
        <f>IFERROR(__xludf.DUMMYFUNCTION("""COMPUTED_VALUE"""),"FEMENINO")</f>
        <v>FEMENINO</v>
      </c>
      <c r="AN528" s="1">
        <f>IFERROR(__xludf.DUMMYFUNCTION("""COMPUTED_VALUE"""),1350.0)</f>
        <v>1350</v>
      </c>
      <c r="AO528" s="1">
        <f>IFERROR(__xludf.DUMMYFUNCTION("""COMPUTED_VALUE"""),0.0)</f>
        <v>0</v>
      </c>
      <c r="AP528" s="1" t="str">
        <f>IFERROR(__xludf.DUMMYFUNCTION("""COMPUTED_VALUE"""),"FORMULARIO")</f>
        <v>FORMULARIO</v>
      </c>
      <c r="AQ528" s="1" t="str">
        <f>IFERROR(__xludf.DUMMYFUNCTION("""COMPUTED_VALUE"""),"SEARCH MARCA")</f>
        <v>SEARCH MARCA</v>
      </c>
      <c r="AR528" s="1" t="str">
        <f>IFERROR(__xludf.DUMMYFUNCTION("""COMPUTED_VALUE"""),"NUEVO")</f>
        <v>NUEVO</v>
      </c>
      <c r="AS528" s="1" t="str">
        <f>IFERROR(__xludf.DUMMYFUNCTION("""COMPUTED_VALUE"""),"ucal-pg-performance-sedes-abierta-cpl-search_conversion_marca-20240401")</f>
        <v>ucal-pg-performance-sedes-abierta-cpl-search_conversion_marca-20240401</v>
      </c>
      <c r="AT528" s="2">
        <f>IFERROR(__xludf.DUMMYFUNCTION("""COMPUTED_VALUE"""),45558.0)</f>
        <v>45558</v>
      </c>
      <c r="AU528" s="1">
        <f>IFERROR(__xludf.DUMMYFUNCTION("""COMPUTED_VALUE"""),1.0)</f>
        <v>1</v>
      </c>
      <c r="AV528" s="1" t="str">
        <f>IFERROR(__xludf.DUMMYFUNCTION("""COMPUTED_VALUE"""),"NUEVO")</f>
        <v>NUEVO</v>
      </c>
      <c r="AW528" s="1" t="str">
        <f>IFERROR(__xludf.DUMMYFUNCTION("""COMPUTED_VALUE"""),"SI")</f>
        <v>SI</v>
      </c>
      <c r="AX528" s="1"/>
      <c r="AY528" s="1" t="str">
        <f>IFERROR(__xludf.DUMMYFUNCTION("""COMPUTED_VALUE"""),"PAGO COMPLETO")</f>
        <v>PAGO COMPLETO</v>
      </c>
      <c r="AZ528" s="5">
        <f>IFERROR(__xludf.DUMMYFUNCTION("""COMPUTED_VALUE"""),45713.0)</f>
        <v>45713</v>
      </c>
      <c r="BA528" s="1">
        <f>IFERROR(__xludf.DUMMYFUNCTION("""COMPUTED_VALUE"""),0.0)</f>
        <v>0</v>
      </c>
      <c r="BB528" s="1">
        <f>IFERROR(__xludf.DUMMYFUNCTION("""COMPUTED_VALUE"""),0.0)</f>
        <v>0</v>
      </c>
      <c r="BC528" s="4">
        <f>IFERROR(__xludf.DUMMYFUNCTION("""COMPUTED_VALUE"""),0.0)</f>
        <v>0</v>
      </c>
      <c r="BD528" s="4">
        <f>IFERROR(__xludf.DUMMYFUNCTION("""COMPUTED_VALUE"""),400.0)</f>
        <v>400</v>
      </c>
      <c r="BE528" s="1">
        <f>IFERROR(__xludf.DUMMYFUNCTION("""COMPUTED_VALUE"""),2.0)</f>
        <v>2</v>
      </c>
      <c r="BF528" s="6">
        <f>IFERROR(__xludf.DUMMYFUNCTION("""COMPUTED_VALUE"""),1.0)</f>
        <v>1</v>
      </c>
      <c r="BG528" s="1">
        <f>IFERROR(__xludf.DUMMYFUNCTION("""COMPUTED_VALUE"""),1.0)</f>
        <v>1</v>
      </c>
      <c r="BH528" s="1" t="str">
        <f>IFERROR(__xludf.DUMMYFUNCTION("""COMPUTED_VALUE"""),"0")</f>
        <v>0</v>
      </c>
      <c r="BI528" s="4">
        <f>IFERROR(__xludf.DUMMYFUNCTION("""COMPUTED_VALUE"""),400.0)</f>
        <v>400</v>
      </c>
      <c r="BJ528" s="1">
        <f>IFERROR(__xludf.DUMMYFUNCTION("""COMPUTED_VALUE"""),0.0)</f>
        <v>0</v>
      </c>
      <c r="BK528" s="4">
        <f>IFERROR(__xludf.DUMMYFUNCTION("""COMPUTED_VALUE"""),1300.0)</f>
        <v>1300</v>
      </c>
      <c r="BL528" s="1">
        <f>IFERROR(__xludf.DUMMYFUNCTION("""COMPUTED_VALUE"""),640.0)</f>
        <v>640</v>
      </c>
      <c r="BM528" s="1">
        <f>IFERROR(__xludf.DUMMYFUNCTION("""COMPUTED_VALUE"""),9.0)</f>
        <v>9</v>
      </c>
      <c r="BN528" s="2">
        <f>IFERROR(__xludf.DUMMYFUNCTION("""COMPUTED_VALUE"""),45712.0)</f>
        <v>45712</v>
      </c>
      <c r="BO528" s="1">
        <f>IFERROR(__xludf.DUMMYFUNCTION("""COMPUTED_VALUE"""),2.0)</f>
        <v>2</v>
      </c>
      <c r="BP528" s="1">
        <f>IFERROR(__xludf.DUMMYFUNCTION("""COMPUTED_VALUE"""),2025.0)</f>
        <v>2025</v>
      </c>
    </row>
    <row r="529">
      <c r="A529" s="1">
        <f>IFERROR(__xludf.DUMMYFUNCTION("""COMPUTED_VALUE"""),528.0)</f>
        <v>528</v>
      </c>
      <c r="B529" s="1">
        <f>IFERROR(__xludf.DUMMYFUNCTION("""COMPUTED_VALUE"""),4974410.0)</f>
        <v>4974410</v>
      </c>
      <c r="C529" s="1" t="str">
        <f>IFERROR(__xludf.DUMMYFUNCTION("""COMPUTED_VALUE"""),"2025-1")</f>
        <v>2025-1</v>
      </c>
      <c r="D529" s="1" t="str">
        <f>IFERROR(__xludf.DUMMYFUNCTION("""COMPUTED_VALUE"""),"Admisión Ordinaria")</f>
        <v>Admisión Ordinaria</v>
      </c>
      <c r="E529" s="2">
        <f>IFERROR(__xludf.DUMMYFUNCTION("""COMPUTED_VALUE"""),45713.0)</f>
        <v>45713</v>
      </c>
      <c r="F529" s="1" t="str">
        <f>IFERROR(__xludf.DUMMYFUNCTION("""COMPUTED_VALUE"""),"MARIA JESUS")</f>
        <v>MARIA JESUS</v>
      </c>
      <c r="G529" s="1" t="str">
        <f>IFERROR(__xludf.DUMMYFUNCTION("""COMPUTED_VALUE"""),"HINOSTROZA SANTANA")</f>
        <v>HINOSTROZA SANTANA</v>
      </c>
      <c r="H529" s="1" t="str">
        <f>IFERROR(__xludf.DUMMYFUNCTION("""COMPUTED_VALUE"""),"Administración y Negocios Internacionales")</f>
        <v>Administración y Negocios Internacionales</v>
      </c>
      <c r="I529" s="1" t="str">
        <f>IFERROR(__xludf.DUMMYFUNCTION("""COMPUTED_VALUE"""),"CARGO")</f>
        <v>CARGO</v>
      </c>
      <c r="J529" s="1" t="str">
        <f>IFERROR(__xludf.DUMMYFUNCTION("""COMPUTED_VALUE"""),"Nocturno - A distancia")</f>
        <v>Nocturno - A distancia</v>
      </c>
      <c r="K529" s="1" t="str">
        <f>IFERROR(__xludf.DUMMYFUNCTION("""COMPUTED_VALUE"""),"NUEVO")</f>
        <v>NUEVO</v>
      </c>
      <c r="L529" s="1">
        <f>IFERROR(__xludf.DUMMYFUNCTION("""COMPUTED_VALUE"""),0.0)</f>
        <v>0</v>
      </c>
      <c r="M529" s="1">
        <f>IFERROR(__xludf.DUMMYFUNCTION("""COMPUTED_VALUE"""),0.0)</f>
        <v>0</v>
      </c>
      <c r="N529" s="1" t="str">
        <f>IFERROR(__xludf.DUMMYFUNCTION("""COMPUTED_VALUE"""),"ESCALA DISTANCIA")</f>
        <v>ESCALA DISTANCIA</v>
      </c>
      <c r="O529" s="1" t="str">
        <f>IFERROR(__xludf.DUMMYFUNCTION("""COMPUTED_VALUE"""),"ESCALA DISTANCIA REGULAR")</f>
        <v>ESCALA DISTANCIA REGULAR</v>
      </c>
      <c r="P529" s="4">
        <f>IFERROR(__xludf.DUMMYFUNCTION("""COMPUTED_VALUE"""),0.0)</f>
        <v>0</v>
      </c>
      <c r="Q529" s="4">
        <f>IFERROR(__xludf.DUMMYFUNCTION("""COMPUTED_VALUE"""),0.0)</f>
        <v>0</v>
      </c>
      <c r="R529" s="4">
        <f>IFERROR(__xludf.DUMMYFUNCTION("""COMPUTED_VALUE"""),1350.0)</f>
        <v>1350</v>
      </c>
      <c r="S529" s="4">
        <f>IFERROR(__xludf.DUMMYFUNCTION("""COMPUTED_VALUE"""),700.0)</f>
        <v>700</v>
      </c>
      <c r="T529" s="1" t="str">
        <f>IFERROR(__xludf.DUMMYFUNCTION("""COMPUTED_VALUE"""),"NINGUNO")</f>
        <v>NINGUNO</v>
      </c>
      <c r="U529" s="1" t="str">
        <f>IFERROR(__xludf.DUMMYFUNCTION("""COMPUTED_VALUE"""),"FABIOLA")</f>
        <v>FABIOLA</v>
      </c>
      <c r="V529" s="1" t="str">
        <f>IFERROR(__xludf.DUMMYFUNCTION("""COMPUTED_VALUE"""),"Ninguno")</f>
        <v>Ninguno</v>
      </c>
      <c r="W529" s="1" t="str">
        <f>IFERROR(__xludf.DUMMYFUNCTION("""COMPUTED_VALUE"""),"Precio accesible")</f>
        <v>Precio accesible</v>
      </c>
      <c r="X529" s="1"/>
      <c r="Y529" s="1" t="str">
        <f>IFERROR(__xludf.DUMMYFUNCTION("""COMPUTED_VALUE"""),"PAGO COMPLETO")</f>
        <v>PAGO COMPLETO</v>
      </c>
      <c r="Z529" s="1"/>
      <c r="AA529" s="1"/>
      <c r="AB529" s="1">
        <f>IFERROR(__xludf.DUMMYFUNCTION("""COMPUTED_VALUE"""),0.0)</f>
        <v>0</v>
      </c>
      <c r="AC529" s="1">
        <f>IFERROR(__xludf.DUMMYFUNCTION("""COMPUTED_VALUE"""),0.0)</f>
        <v>0</v>
      </c>
      <c r="AD529" s="1" t="str">
        <f>IFERROR(__xludf.DUMMYFUNCTION("""COMPUTED_VALUE"""),"Angelica Iparraguirre")</f>
        <v>Angelica Iparraguirre</v>
      </c>
      <c r="AE529" s="1" t="str">
        <f>IFERROR(__xludf.DUMMYFUNCTION("""COMPUTED_VALUE"""),"0")</f>
        <v>0</v>
      </c>
      <c r="AF529" s="1">
        <f>IFERROR(__xludf.DUMMYFUNCTION("""COMPUTED_VALUE"""),2018.0)</f>
        <v>2018</v>
      </c>
      <c r="AG529" s="1">
        <f>IFERROR(__xludf.DUMMYFUNCTION("""COMPUTED_VALUE"""),919753.0)</f>
        <v>919753</v>
      </c>
      <c r="AH529" s="1">
        <f>IFERROR(__xludf.DUMMYFUNCTION("""COMPUTED_VALUE"""),22.0)</f>
        <v>22</v>
      </c>
      <c r="AI529" s="1" t="str">
        <f>IFERROR(__xludf.DUMMYFUNCTION("""COMPUTED_VALUE"""),"0000411629")</f>
        <v>0000411629</v>
      </c>
      <c r="AJ529" s="1">
        <f>IFERROR(__xludf.DUMMYFUNCTION("""COMPUTED_VALUE"""),7.2860826E7)</f>
        <v>72860826</v>
      </c>
      <c r="AK529" s="1">
        <f>IFERROR(__xludf.DUMMYFUNCTION("""COMPUTED_VALUE"""),9.2163722E8)</f>
        <v>921637220</v>
      </c>
      <c r="AL529" s="1" t="str">
        <f>IFERROR(__xludf.DUMMYFUNCTION("""COMPUTED_VALUE"""),"majehisa23@gmail.com")</f>
        <v>majehisa23@gmail.com</v>
      </c>
      <c r="AM529" s="1" t="str">
        <f>IFERROR(__xludf.DUMMYFUNCTION("""COMPUTED_VALUE"""),"FEMENINO")</f>
        <v>FEMENINO</v>
      </c>
      <c r="AN529" s="1">
        <f>IFERROR(__xludf.DUMMYFUNCTION("""COMPUTED_VALUE"""),1850.0)</f>
        <v>1850</v>
      </c>
      <c r="AO529" s="1">
        <f>IFERROR(__xludf.DUMMYFUNCTION("""COMPUTED_VALUE"""),580.0)</f>
        <v>580</v>
      </c>
      <c r="AP529" s="1" t="str">
        <f>IFERROR(__xludf.DUMMYFUNCTION("""COMPUTED_VALUE"""),"FORMULARIO")</f>
        <v>FORMULARIO</v>
      </c>
      <c r="AQ529" s="1" t="str">
        <f>IFERROR(__xludf.DUMMYFUNCTION("""COMPUTED_VALUE"""),"ORGANICO")</f>
        <v>ORGANICO</v>
      </c>
      <c r="AR529" s="1" t="str">
        <f>IFERROR(__xludf.DUMMYFUNCTION("""COMPUTED_VALUE"""),"NUEVO")</f>
        <v>NUEVO</v>
      </c>
      <c r="AS529" s="1"/>
      <c r="AT529" s="2">
        <f>IFERROR(__xludf.DUMMYFUNCTION("""COMPUTED_VALUE"""),45707.0)</f>
        <v>45707</v>
      </c>
      <c r="AU529" s="1">
        <f>IFERROR(__xludf.DUMMYFUNCTION("""COMPUTED_VALUE"""),1.0)</f>
        <v>1</v>
      </c>
      <c r="AV529" s="1" t="str">
        <f>IFERROR(__xludf.DUMMYFUNCTION("""COMPUTED_VALUE"""),"NUEVO")</f>
        <v>NUEVO</v>
      </c>
      <c r="AW529" s="1" t="str">
        <f>IFERROR(__xludf.DUMMYFUNCTION("""COMPUTED_VALUE"""),"SI")</f>
        <v>SI</v>
      </c>
      <c r="AX529" s="1"/>
      <c r="AY529" s="1" t="str">
        <f>IFERROR(__xludf.DUMMYFUNCTION("""COMPUTED_VALUE"""),"PAGO COMPLETO")</f>
        <v>PAGO COMPLETO</v>
      </c>
      <c r="AZ529" s="5">
        <f>IFERROR(__xludf.DUMMYFUNCTION("""COMPUTED_VALUE"""),45713.0)</f>
        <v>45713</v>
      </c>
      <c r="BA529" s="1">
        <f>IFERROR(__xludf.DUMMYFUNCTION("""COMPUTED_VALUE"""),0.0)</f>
        <v>0</v>
      </c>
      <c r="BB529" s="1">
        <f>IFERROR(__xludf.DUMMYFUNCTION("""COMPUTED_VALUE"""),0.0)</f>
        <v>0</v>
      </c>
      <c r="BC529" s="4">
        <f>IFERROR(__xludf.DUMMYFUNCTION("""COMPUTED_VALUE"""),0.0)</f>
        <v>0</v>
      </c>
      <c r="BD529" s="4">
        <f>IFERROR(__xludf.DUMMYFUNCTION("""COMPUTED_VALUE"""),0.0)</f>
        <v>0</v>
      </c>
      <c r="BE529" s="1">
        <f>IFERROR(__xludf.DUMMYFUNCTION("""COMPUTED_VALUE"""),2.0)</f>
        <v>2</v>
      </c>
      <c r="BF529" s="6">
        <f>IFERROR(__xludf.DUMMYFUNCTION("""COMPUTED_VALUE"""),1.0)</f>
        <v>1</v>
      </c>
      <c r="BG529" s="1">
        <f>IFERROR(__xludf.DUMMYFUNCTION("""COMPUTED_VALUE"""),1.0)</f>
        <v>1</v>
      </c>
      <c r="BH529" s="1" t="str">
        <f>IFERROR(__xludf.DUMMYFUNCTION("""COMPUTED_VALUE"""),"0")</f>
        <v>0</v>
      </c>
      <c r="BI529" s="4">
        <f>IFERROR(__xludf.DUMMYFUNCTION("""COMPUTED_VALUE"""),0.0)</f>
        <v>0</v>
      </c>
      <c r="BJ529" s="1">
        <f>IFERROR(__xludf.DUMMYFUNCTION("""COMPUTED_VALUE"""),0.0)</f>
        <v>0</v>
      </c>
      <c r="BK529" s="4">
        <f>IFERROR(__xludf.DUMMYFUNCTION("""COMPUTED_VALUE"""),0.0)</f>
        <v>0</v>
      </c>
      <c r="BL529" s="1">
        <f>IFERROR(__xludf.DUMMYFUNCTION("""COMPUTED_VALUE"""),700.0)</f>
        <v>700</v>
      </c>
      <c r="BM529" s="1">
        <f>IFERROR(__xludf.DUMMYFUNCTION("""COMPUTED_VALUE"""),9.0)</f>
        <v>9</v>
      </c>
      <c r="BN529" s="2">
        <f>IFERROR(__xludf.DUMMYFUNCTION("""COMPUTED_VALUE"""),45712.0)</f>
        <v>45712</v>
      </c>
      <c r="BO529" s="1">
        <f>IFERROR(__xludf.DUMMYFUNCTION("""COMPUTED_VALUE"""),2.0)</f>
        <v>2</v>
      </c>
      <c r="BP529" s="1">
        <f>IFERROR(__xludf.DUMMYFUNCTION("""COMPUTED_VALUE"""),2025.0)</f>
        <v>2025</v>
      </c>
    </row>
    <row r="530">
      <c r="A530" s="1">
        <f>IFERROR(__xludf.DUMMYFUNCTION("""COMPUTED_VALUE"""),529.0)</f>
        <v>529</v>
      </c>
      <c r="B530" s="1">
        <f>IFERROR(__xludf.DUMMYFUNCTION("""COMPUTED_VALUE"""),5037612.0)</f>
        <v>5037612</v>
      </c>
      <c r="C530" s="1" t="str">
        <f>IFERROR(__xludf.DUMMYFUNCTION("""COMPUTED_VALUE"""),"2025-1")</f>
        <v>2025-1</v>
      </c>
      <c r="D530" s="1" t="str">
        <f>IFERROR(__xludf.DUMMYFUNCTION("""COMPUTED_VALUE"""),"Admisión Extraordinaria (Traslados)")</f>
        <v>Admisión Extraordinaria (Traslados)</v>
      </c>
      <c r="E530" s="2">
        <f>IFERROR(__xludf.DUMMYFUNCTION("""COMPUTED_VALUE"""),45713.0)</f>
        <v>45713</v>
      </c>
      <c r="F530" s="1" t="str">
        <f>IFERROR(__xludf.DUMMYFUNCTION("""COMPUTED_VALUE"""),"JOSE DIEGO ")</f>
        <v>JOSE DIEGO </v>
      </c>
      <c r="G530" s="1" t="str">
        <f>IFERROR(__xludf.DUMMYFUNCTION("""COMPUTED_VALUE"""),"PURIZACA CASTRO")</f>
        <v>PURIZACA CASTRO</v>
      </c>
      <c r="H530" s="1" t="str">
        <f>IFERROR(__xludf.DUMMYFUNCTION("""COMPUTED_VALUE"""),"Diseño Gráfico Publicitario")</f>
        <v>Diseño Gráfico Publicitario</v>
      </c>
      <c r="I530" s="1" t="str">
        <f>IFERROR(__xludf.DUMMYFUNCTION("""COMPUTED_VALUE"""),"POS")</f>
        <v>POS</v>
      </c>
      <c r="J530" s="1" t="str">
        <f>IFERROR(__xludf.DUMMYFUNCTION("""COMPUTED_VALUE"""),"Diurno")</f>
        <v>Diurno</v>
      </c>
      <c r="K530" s="1" t="str">
        <f>IFERROR(__xludf.DUMMYFUNCTION("""COMPUTED_VALUE"""),"TRASLADO")</f>
        <v>TRASLADO</v>
      </c>
      <c r="L530" s="1">
        <f>IFERROR(__xludf.DUMMYFUNCTION("""COMPUTED_VALUE"""),1.0)</f>
        <v>1</v>
      </c>
      <c r="M530" s="1">
        <f>IFERROR(__xludf.DUMMYFUNCTION("""COMPUTED_VALUE"""),0.0)</f>
        <v>0</v>
      </c>
      <c r="N530" s="1" t="str">
        <f>IFERROR(__xludf.DUMMYFUNCTION("""COMPUTED_VALUE"""),"RECA")</f>
        <v>RECA</v>
      </c>
      <c r="O530" s="1" t="str">
        <f>IFERROR(__xludf.DUMMYFUNCTION("""COMPUTED_VALUE"""),"RECA TRASLADO CON CONVA")</f>
        <v>RECA TRASLADO CON CONVA</v>
      </c>
      <c r="P530" s="4">
        <f>IFERROR(__xludf.DUMMYFUNCTION("""COMPUTED_VALUE"""),0.0)</f>
        <v>0</v>
      </c>
      <c r="Q530" s="4">
        <f>IFERROR(__xludf.DUMMYFUNCTION("""COMPUTED_VALUE"""),0.0)</f>
        <v>0</v>
      </c>
      <c r="R530" s="4">
        <f>IFERROR(__xludf.DUMMYFUNCTION("""COMPUTED_VALUE"""),750.0)</f>
        <v>750</v>
      </c>
      <c r="S530" s="4">
        <f>IFERROR(__xludf.DUMMYFUNCTION("""COMPUTED_VALUE"""),750.0)</f>
        <v>750</v>
      </c>
      <c r="T530" s="1" t="str">
        <f>IFERROR(__xludf.DUMMYFUNCTION("""COMPUTED_VALUE"""),"NINGUNO")</f>
        <v>NINGUNO</v>
      </c>
      <c r="U530" s="1" t="str">
        <f>IFERROR(__xludf.DUMMYFUNCTION("""COMPUTED_VALUE"""),"FABIOLA")</f>
        <v>FABIOLA</v>
      </c>
      <c r="V530" s="1" t="str">
        <f>IFERROR(__xludf.DUMMYFUNCTION("""COMPUTED_VALUE"""),"Ninguno")</f>
        <v>Ninguno</v>
      </c>
      <c r="W530" s="1" t="str">
        <f>IFERROR(__xludf.DUMMYFUNCTION("""COMPUTED_VALUE"""),"Metodología de enseñanza")</f>
        <v>Metodología de enseñanza</v>
      </c>
      <c r="X530" s="1" t="str">
        <f>IFERROR(__xludf.DUMMYFUNCTION("""COMPUTED_VALUE"""),"metodologia")</f>
        <v>metodologia</v>
      </c>
      <c r="Y530" s="1" t="str">
        <f>IFERROR(__xludf.DUMMYFUNCTION("""COMPUTED_VALUE"""),"PAGO COMPLETO")</f>
        <v>PAGO COMPLETO</v>
      </c>
      <c r="Z530" s="1"/>
      <c r="AA530" s="1"/>
      <c r="AB530" s="1">
        <f>IFERROR(__xludf.DUMMYFUNCTION("""COMPUTED_VALUE"""),0.0)</f>
        <v>0</v>
      </c>
      <c r="AC530" s="1">
        <f>IFERROR(__xludf.DUMMYFUNCTION("""COMPUTED_VALUE"""),0.0)</f>
        <v>0</v>
      </c>
      <c r="AD530" s="1" t="str">
        <f>IFERROR(__xludf.DUMMYFUNCTION("""COMPUTED_VALUE"""),"Cinthia Mariella Orosco")</f>
        <v>Cinthia Mariella Orosco</v>
      </c>
      <c r="AE530" s="1" t="str">
        <f>IFERROR(__xludf.DUMMYFUNCTION("""COMPUTED_VALUE"""),"Cibertec")</f>
        <v>Cibertec</v>
      </c>
      <c r="AF530" s="1">
        <f>IFERROR(__xludf.DUMMYFUNCTION("""COMPUTED_VALUE"""),2021.0)</f>
        <v>2021</v>
      </c>
      <c r="AG530" s="1">
        <f>IFERROR(__xludf.DUMMYFUNCTION("""COMPUTED_VALUE"""),1099654.0)</f>
        <v>1099654</v>
      </c>
      <c r="AH530" s="1">
        <f>IFERROR(__xludf.DUMMYFUNCTION("""COMPUTED_VALUE"""),26.0)</f>
        <v>26</v>
      </c>
      <c r="AI530" s="1" t="str">
        <f>IFERROR(__xludf.DUMMYFUNCTION("""COMPUTED_VALUE"""),"0000416356")</f>
        <v>0000416356</v>
      </c>
      <c r="AJ530" s="1">
        <f>IFERROR(__xludf.DUMMYFUNCTION("""COMPUTED_VALUE"""),7.5788699E7)</f>
        <v>75788699</v>
      </c>
      <c r="AK530" s="1">
        <f>IFERROR(__xludf.DUMMYFUNCTION("""COMPUTED_VALUE"""),9.20634871E8)</f>
        <v>920634871</v>
      </c>
      <c r="AL530" s="1" t="str">
        <f>IFERROR(__xludf.DUMMYFUNCTION("""COMPUTED_VALUE"""),"josepur1920@gmail.com")</f>
        <v>josepur1920@gmail.com</v>
      </c>
      <c r="AM530" s="1" t="str">
        <f>IFERROR(__xludf.DUMMYFUNCTION("""COMPUTED_VALUE"""),"MASCULINO")</f>
        <v>MASCULINO</v>
      </c>
      <c r="AN530" s="1">
        <f>IFERROR(__xludf.DUMMYFUNCTION("""COMPUTED_VALUE"""),1350.0)</f>
        <v>1350</v>
      </c>
      <c r="AO530" s="1">
        <f>IFERROR(__xludf.DUMMYFUNCTION("""COMPUTED_VALUE"""),0.0)</f>
        <v>0</v>
      </c>
      <c r="AP530" s="1" t="str">
        <f>IFERROR(__xludf.DUMMYFUNCTION("""COMPUTED_VALUE"""),"BIDIRECCIONAL")</f>
        <v>BIDIRECCIONAL</v>
      </c>
      <c r="AQ530" s="1" t="str">
        <f>IFERROR(__xludf.DUMMYFUNCTION("""COMPUTED_VALUE"""),"SEARCH CARRERA")</f>
        <v>SEARCH CARRERA</v>
      </c>
      <c r="AR530" s="1" t="str">
        <f>IFERROR(__xludf.DUMMYFUNCTION("""COMPUTED_VALUE"""),"NUEVO")</f>
        <v>NUEVO</v>
      </c>
      <c r="AS530" s="1" t="str">
        <f>IFERROR(__xludf.DUMMYFUNCTION("""COMPUTED_VALUE"""),"ucal-pg-performance-sedes-abierta-cpl-search_conversion_mundo_diseno-20240401")</f>
        <v>ucal-pg-performance-sedes-abierta-cpl-search_conversion_mundo_diseno-20240401</v>
      </c>
      <c r="AT530" s="2">
        <f>IFERROR(__xludf.DUMMYFUNCTION("""COMPUTED_VALUE"""),45710.0)</f>
        <v>45710</v>
      </c>
      <c r="AU530" s="1">
        <f>IFERROR(__xludf.DUMMYFUNCTION("""COMPUTED_VALUE"""),1.0)</f>
        <v>1</v>
      </c>
      <c r="AV530" s="1" t="str">
        <f>IFERROR(__xludf.DUMMYFUNCTION("""COMPUTED_VALUE"""),"TRASLADO")</f>
        <v>TRASLADO</v>
      </c>
      <c r="AW530" s="1" t="str">
        <f>IFERROR(__xludf.DUMMYFUNCTION("""COMPUTED_VALUE"""),"SI")</f>
        <v>SI</v>
      </c>
      <c r="AX530" s="1"/>
      <c r="AY530" s="1" t="str">
        <f>IFERROR(__xludf.DUMMYFUNCTION("""COMPUTED_VALUE"""),"PAGO COMPLETO")</f>
        <v>PAGO COMPLETO</v>
      </c>
      <c r="AZ530" s="5">
        <f>IFERROR(__xludf.DUMMYFUNCTION("""COMPUTED_VALUE"""),45713.0)</f>
        <v>45713</v>
      </c>
      <c r="BA530" s="1">
        <f>IFERROR(__xludf.DUMMYFUNCTION("""COMPUTED_VALUE"""),0.0)</f>
        <v>0</v>
      </c>
      <c r="BB530" s="1">
        <f>IFERROR(__xludf.DUMMYFUNCTION("""COMPUTED_VALUE"""),0.0)</f>
        <v>0</v>
      </c>
      <c r="BC530" s="4">
        <f>IFERROR(__xludf.DUMMYFUNCTION("""COMPUTED_VALUE"""),0.0)</f>
        <v>0</v>
      </c>
      <c r="BD530" s="4">
        <f>IFERROR(__xludf.DUMMYFUNCTION("""COMPUTED_VALUE"""),0.0)</f>
        <v>0</v>
      </c>
      <c r="BE530" s="1">
        <f>IFERROR(__xludf.DUMMYFUNCTION("""COMPUTED_VALUE"""),2.0)</f>
        <v>2</v>
      </c>
      <c r="BF530" s="6">
        <f>IFERROR(__xludf.DUMMYFUNCTION("""COMPUTED_VALUE"""),1.0)</f>
        <v>1</v>
      </c>
      <c r="BG530" s="1">
        <f>IFERROR(__xludf.DUMMYFUNCTION("""COMPUTED_VALUE"""),1.0)</f>
        <v>1</v>
      </c>
      <c r="BH530" s="1" t="str">
        <f>IFERROR(__xludf.DUMMYFUNCTION("""COMPUTED_VALUE"""),"1")</f>
        <v>1</v>
      </c>
      <c r="BI530" s="4">
        <f>IFERROR(__xludf.DUMMYFUNCTION("""COMPUTED_VALUE"""),0.0)</f>
        <v>0</v>
      </c>
      <c r="BJ530" s="1">
        <f>IFERROR(__xludf.DUMMYFUNCTION("""COMPUTED_VALUE"""),0.0)</f>
        <v>0</v>
      </c>
      <c r="BK530" s="4">
        <f>IFERROR(__xludf.DUMMYFUNCTION("""COMPUTED_VALUE"""),0.0)</f>
        <v>0</v>
      </c>
      <c r="BL530" s="1">
        <f>IFERROR(__xludf.DUMMYFUNCTION("""COMPUTED_VALUE"""),750.0)</f>
        <v>750</v>
      </c>
      <c r="BM530" s="1">
        <f>IFERROR(__xludf.DUMMYFUNCTION("""COMPUTED_VALUE"""),9.0)</f>
        <v>9</v>
      </c>
      <c r="BN530" s="2">
        <f>IFERROR(__xludf.DUMMYFUNCTION("""COMPUTED_VALUE"""),45712.0)</f>
        <v>45712</v>
      </c>
      <c r="BO530" s="1">
        <f>IFERROR(__xludf.DUMMYFUNCTION("""COMPUTED_VALUE"""),2.0)</f>
        <v>2</v>
      </c>
      <c r="BP530" s="1">
        <f>IFERROR(__xludf.DUMMYFUNCTION("""COMPUTED_VALUE"""),2025.0)</f>
        <v>2025</v>
      </c>
    </row>
    <row r="531">
      <c r="A531" s="1">
        <f>IFERROR(__xludf.DUMMYFUNCTION("""COMPUTED_VALUE"""),530.0)</f>
        <v>530</v>
      </c>
      <c r="B531" s="1">
        <f>IFERROR(__xludf.DUMMYFUNCTION("""COMPUTED_VALUE"""),4749493.0)</f>
        <v>4749493</v>
      </c>
      <c r="C531" s="1" t="str">
        <f>IFERROR(__xludf.DUMMYFUNCTION("""COMPUTED_VALUE"""),"2025-1")</f>
        <v>2025-1</v>
      </c>
      <c r="D531" s="1" t="str">
        <f>IFERROR(__xludf.DUMMYFUNCTION("""COMPUTED_VALUE"""),"Admisión de Alto Rendimiento")</f>
        <v>Admisión de Alto Rendimiento</v>
      </c>
      <c r="E531" s="2">
        <f>IFERROR(__xludf.DUMMYFUNCTION("""COMPUTED_VALUE"""),45713.0)</f>
        <v>45713</v>
      </c>
      <c r="F531" s="1" t="str">
        <f>IFERROR(__xludf.DUMMYFUNCTION("""COMPUTED_VALUE"""),"PEDRO MATEO ")</f>
        <v>PEDRO MATEO </v>
      </c>
      <c r="G531" s="1" t="str">
        <f>IFERROR(__xludf.DUMMYFUNCTION("""COMPUTED_VALUE"""),"MONTOYA ROMERO")</f>
        <v>MONTOYA ROMERO</v>
      </c>
      <c r="H531" s="1" t="str">
        <f>IFERROR(__xludf.DUMMYFUNCTION("""COMPUTED_VALUE"""),"Diseño Gráfico Publicitario")</f>
        <v>Diseño Gráfico Publicitario</v>
      </c>
      <c r="I531" s="1" t="str">
        <f>IFERROR(__xludf.DUMMYFUNCTION("""COMPUTED_VALUE"""),"CARGO")</f>
        <v>CARGO</v>
      </c>
      <c r="J531" s="1" t="str">
        <f>IFERROR(__xludf.DUMMYFUNCTION("""COMPUTED_VALUE"""),"Diurno")</f>
        <v>Diurno</v>
      </c>
      <c r="K531" s="1" t="str">
        <f>IFERROR(__xludf.DUMMYFUNCTION("""COMPUTED_VALUE"""),"NUEVO")</f>
        <v>NUEVO</v>
      </c>
      <c r="L531" s="1">
        <f>IFERROR(__xludf.DUMMYFUNCTION("""COMPUTED_VALUE"""),0.0)</f>
        <v>0</v>
      </c>
      <c r="M531" s="1">
        <f>IFERROR(__xludf.DUMMYFUNCTION("""COMPUTED_VALUE"""),0.0)</f>
        <v>0</v>
      </c>
      <c r="N531" s="1" t="str">
        <f>IFERROR(__xludf.DUMMYFUNCTION("""COMPUTED_VALUE"""),"BECA")</f>
        <v>BECA</v>
      </c>
      <c r="O531" s="1" t="str">
        <f>IFERROR(__xludf.DUMMYFUNCTION("""COMPUTED_VALUE"""),"BECA CONGELADA DE 2 AÑOS")</f>
        <v>BECA CONGELADA DE 2 AÑOS</v>
      </c>
      <c r="P531" s="4">
        <f>IFERROR(__xludf.DUMMYFUNCTION("""COMPUTED_VALUE"""),100.0)</f>
        <v>100</v>
      </c>
      <c r="Q531" s="4">
        <f>IFERROR(__xludf.DUMMYFUNCTION("""COMPUTED_VALUE"""),237.5)</f>
        <v>237.5</v>
      </c>
      <c r="R531" s="4">
        <f>IFERROR(__xludf.DUMMYFUNCTION("""COMPUTED_VALUE"""),1650.0)</f>
        <v>1650</v>
      </c>
      <c r="S531" s="4">
        <f>IFERROR(__xludf.DUMMYFUNCTION("""COMPUTED_VALUE"""),1330.0)</f>
        <v>1330</v>
      </c>
      <c r="T531" s="1" t="str">
        <f>IFERROR(__xludf.DUMMYFUNCTION("""COMPUTED_VALUE"""),"PALANCA 500")</f>
        <v>PALANCA 500</v>
      </c>
      <c r="U531" s="1" t="str">
        <f>IFERROR(__xludf.DUMMYFUNCTION("""COMPUTED_VALUE"""),"RODRIGO")</f>
        <v>RODRIGO</v>
      </c>
      <c r="V531" s="1" t="str">
        <f>IFERROR(__xludf.DUMMYFUNCTION("""COMPUTED_VALUE"""),"Ninguno")</f>
        <v>Ninguno</v>
      </c>
      <c r="W531" s="1" t="str">
        <f>IFERROR(__xludf.DUMMYFUNCTION("""COMPUTED_VALUE"""),"Metodología de enseñanza")</f>
        <v>Metodología de enseñanza</v>
      </c>
      <c r="X531" s="1" t="str">
        <f>IFERROR(__xludf.DUMMYFUNCTION("""COMPUTED_VALUE"""),"SU BOLETA CON BECA DE DOS AÑOS ES DE 1330 ")</f>
        <v>SU BOLETA CON BECA DE DOS AÑOS ES DE 1330 </v>
      </c>
      <c r="Y531" s="1" t="str">
        <f>IFERROR(__xludf.DUMMYFUNCTION("""COMPUTED_VALUE"""),"PAGO COMPLETO")</f>
        <v>PAGO COMPLETO</v>
      </c>
      <c r="Z531" s="1"/>
      <c r="AA531" s="1"/>
      <c r="AB531" s="1">
        <f>IFERROR(__xludf.DUMMYFUNCTION("""COMPUTED_VALUE"""),0.0)</f>
        <v>0</v>
      </c>
      <c r="AC531" s="1">
        <f>IFERROR(__xludf.DUMMYFUNCTION("""COMPUTED_VALUE"""),0.0)</f>
        <v>0</v>
      </c>
      <c r="AD531" s="1" t="str">
        <f>IFERROR(__xludf.DUMMYFUNCTION("""COMPUTED_VALUE"""),"Ingrid Guillermo Rivera")</f>
        <v>Ingrid Guillermo Rivera</v>
      </c>
      <c r="AE531" s="1" t="str">
        <f>IFERROR(__xludf.DUMMYFUNCTION("""COMPUTED_VALUE"""),"0")</f>
        <v>0</v>
      </c>
      <c r="AF531" s="1">
        <f>IFERROR(__xludf.DUMMYFUNCTION("""COMPUTED_VALUE"""),2023.0)</f>
        <v>2023</v>
      </c>
      <c r="AG531" s="1">
        <f>IFERROR(__xludf.DUMMYFUNCTION("""COMPUTED_VALUE"""),1508779.0)</f>
        <v>1508779</v>
      </c>
      <c r="AH531" s="1">
        <f>IFERROR(__xludf.DUMMYFUNCTION("""COMPUTED_VALUE"""),19.0)</f>
        <v>19</v>
      </c>
      <c r="AI531" s="1" t="str">
        <f>IFERROR(__xludf.DUMMYFUNCTION("""COMPUTED_VALUE"""),"0000416388")</f>
        <v>0000416388</v>
      </c>
      <c r="AJ531" s="1">
        <f>IFERROR(__xludf.DUMMYFUNCTION("""COMPUTED_VALUE"""),7.0529929E7)</f>
        <v>70529929</v>
      </c>
      <c r="AK531" s="1">
        <f>IFERROR(__xludf.DUMMYFUNCTION("""COMPUTED_VALUE"""),9.66067671E8)</f>
        <v>966067671</v>
      </c>
      <c r="AL531" s="1" t="str">
        <f>IFERROR(__xludf.DUMMYFUNCTION("""COMPUTED_VALUE"""),"mateitomontoya7@gmail.com")</f>
        <v>mateitomontoya7@gmail.com</v>
      </c>
      <c r="AM531" s="1" t="str">
        <f>IFERROR(__xludf.DUMMYFUNCTION("""COMPUTED_VALUE"""),"MASCULINO")</f>
        <v>MASCULINO</v>
      </c>
      <c r="AN531" s="1">
        <f>IFERROR(__xludf.DUMMYFUNCTION("""COMPUTED_VALUE"""),1850.0)</f>
        <v>1850</v>
      </c>
      <c r="AO531" s="1">
        <f>IFERROR(__xludf.DUMMYFUNCTION("""COMPUTED_VALUE"""),800.0)</f>
        <v>800</v>
      </c>
      <c r="AP531" s="1" t="str">
        <f>IFERROR(__xludf.DUMMYFUNCTION("""COMPUTED_VALUE"""),"BIDIRECCIONAL")</f>
        <v>BIDIRECCIONAL</v>
      </c>
      <c r="AQ531" s="1" t="str">
        <f>IFERROR(__xludf.DUMMYFUNCTION("""COMPUTED_VALUE"""),"SEARCH MARCA")</f>
        <v>SEARCH MARCA</v>
      </c>
      <c r="AR531" s="1" t="str">
        <f>IFERROR(__xludf.DUMMYFUNCTION("""COMPUTED_VALUE"""),"NUEVO")</f>
        <v>NUEVO</v>
      </c>
      <c r="AS531" s="1" t="str">
        <f>IFERROR(__xludf.DUMMYFUNCTION("""COMPUTED_VALUE"""),"ucal-pg-performance-sedes-abierta-cpl-search_conversion_marca-20240401")</f>
        <v>ucal-pg-performance-sedes-abierta-cpl-search_conversion_marca-20240401</v>
      </c>
      <c r="AT531" s="2">
        <f>IFERROR(__xludf.DUMMYFUNCTION("""COMPUTED_VALUE"""),45712.0)</f>
        <v>45712</v>
      </c>
      <c r="AU531" s="1">
        <f>IFERROR(__xludf.DUMMYFUNCTION("""COMPUTED_VALUE"""),1.0)</f>
        <v>1</v>
      </c>
      <c r="AV531" s="1" t="str">
        <f>IFERROR(__xludf.DUMMYFUNCTION("""COMPUTED_VALUE"""),"NUEVO")</f>
        <v>NUEVO</v>
      </c>
      <c r="AW531" s="1" t="str">
        <f>IFERROR(__xludf.DUMMYFUNCTION("""COMPUTED_VALUE"""),"SI")</f>
        <v>SI</v>
      </c>
      <c r="AX531" s="1"/>
      <c r="AY531" s="1" t="str">
        <f>IFERROR(__xludf.DUMMYFUNCTION("""COMPUTED_VALUE"""),"PAGO COMPLETO")</f>
        <v>PAGO COMPLETO</v>
      </c>
      <c r="AZ531" s="5">
        <f>IFERROR(__xludf.DUMMYFUNCTION("""COMPUTED_VALUE"""),45713.0)</f>
        <v>45713</v>
      </c>
      <c r="BA531" s="1">
        <f>IFERROR(__xludf.DUMMYFUNCTION("""COMPUTED_VALUE"""),0.0)</f>
        <v>0</v>
      </c>
      <c r="BB531" s="1">
        <f>IFERROR(__xludf.DUMMYFUNCTION("""COMPUTED_VALUE"""),0.0)</f>
        <v>0</v>
      </c>
      <c r="BC531" s="4">
        <f>IFERROR(__xludf.DUMMYFUNCTION("""COMPUTED_VALUE"""),0.0)</f>
        <v>0</v>
      </c>
      <c r="BD531" s="4">
        <f>IFERROR(__xludf.DUMMYFUNCTION("""COMPUTED_VALUE"""),830.0)</f>
        <v>830</v>
      </c>
      <c r="BE531" s="1">
        <f>IFERROR(__xludf.DUMMYFUNCTION("""COMPUTED_VALUE"""),2.0)</f>
        <v>2</v>
      </c>
      <c r="BF531" s="6">
        <f>IFERROR(__xludf.DUMMYFUNCTION("""COMPUTED_VALUE"""),1.0)</f>
        <v>1</v>
      </c>
      <c r="BG531" s="1">
        <f>IFERROR(__xludf.DUMMYFUNCTION("""COMPUTED_VALUE"""),1.0)</f>
        <v>1</v>
      </c>
      <c r="BH531" s="1" t="str">
        <f>IFERROR(__xludf.DUMMYFUNCTION("""COMPUTED_VALUE"""),"0")</f>
        <v>0</v>
      </c>
      <c r="BI531" s="4">
        <f>IFERROR(__xludf.DUMMYFUNCTION("""COMPUTED_VALUE"""),830.0)</f>
        <v>830</v>
      </c>
      <c r="BJ531" s="1">
        <f>IFERROR(__xludf.DUMMYFUNCTION("""COMPUTED_VALUE"""),0.0)</f>
        <v>0</v>
      </c>
      <c r="BK531" s="4">
        <f>IFERROR(__xludf.DUMMYFUNCTION("""COMPUTED_VALUE"""),830.0)</f>
        <v>830</v>
      </c>
      <c r="BL531" s="1">
        <f>IFERROR(__xludf.DUMMYFUNCTION("""COMPUTED_VALUE"""),1164.0)</f>
        <v>1164</v>
      </c>
      <c r="BM531" s="1">
        <f>IFERROR(__xludf.DUMMYFUNCTION("""COMPUTED_VALUE"""),9.0)</f>
        <v>9</v>
      </c>
      <c r="BN531" s="2">
        <f>IFERROR(__xludf.DUMMYFUNCTION("""COMPUTED_VALUE"""),45712.0)</f>
        <v>45712</v>
      </c>
      <c r="BO531" s="1">
        <f>IFERROR(__xludf.DUMMYFUNCTION("""COMPUTED_VALUE"""),2.0)</f>
        <v>2</v>
      </c>
      <c r="BP531" s="1">
        <f>IFERROR(__xludf.DUMMYFUNCTION("""COMPUTED_VALUE"""),2025.0)</f>
        <v>2025</v>
      </c>
    </row>
    <row r="532">
      <c r="A532" s="1">
        <f>IFERROR(__xludf.DUMMYFUNCTION("""COMPUTED_VALUE"""),531.0)</f>
        <v>531</v>
      </c>
      <c r="B532" s="1">
        <f>IFERROR(__xludf.DUMMYFUNCTION("""COMPUTED_VALUE"""),5039815.0)</f>
        <v>5039815</v>
      </c>
      <c r="C532" s="1" t="str">
        <f>IFERROR(__xludf.DUMMYFUNCTION("""COMPUTED_VALUE"""),"2025-1")</f>
        <v>2025-1</v>
      </c>
      <c r="D532" s="1" t="str">
        <f>IFERROR(__xludf.DUMMYFUNCTION("""COMPUTED_VALUE"""),"Admisión Ordinaria")</f>
        <v>Admisión Ordinaria</v>
      </c>
      <c r="E532" s="2">
        <f>IFERROR(__xludf.DUMMYFUNCTION("""COMPUTED_VALUE"""),45713.0)</f>
        <v>45713</v>
      </c>
      <c r="F532" s="1" t="str">
        <f>IFERROR(__xludf.DUMMYFUNCTION("""COMPUTED_VALUE"""),"CAROLINA")</f>
        <v>CAROLINA</v>
      </c>
      <c r="G532" s="1" t="str">
        <f>IFERROR(__xludf.DUMMYFUNCTION("""COMPUTED_VALUE"""),"CARDENAS GONZALES")</f>
        <v>CARDENAS GONZALES</v>
      </c>
      <c r="H532" s="1" t="str">
        <f>IFERROR(__xludf.DUMMYFUNCTION("""COMPUTED_VALUE"""),"Arquitectura")</f>
        <v>Arquitectura</v>
      </c>
      <c r="I532" s="1" t="str">
        <f>IFERROR(__xludf.DUMMYFUNCTION("""COMPUTED_VALUE"""),"POS")</f>
        <v>POS</v>
      </c>
      <c r="J532" s="1" t="str">
        <f>IFERROR(__xludf.DUMMYFUNCTION("""COMPUTED_VALUE"""),"Diurno")</f>
        <v>Diurno</v>
      </c>
      <c r="K532" s="1" t="str">
        <f>IFERROR(__xludf.DUMMYFUNCTION("""COMPUTED_VALUE"""),"NUEVO")</f>
        <v>NUEVO</v>
      </c>
      <c r="L532" s="1">
        <f>IFERROR(__xludf.DUMMYFUNCTION("""COMPUTED_VALUE"""),0.0)</f>
        <v>0</v>
      </c>
      <c r="M532" s="1">
        <f>IFERROR(__xludf.DUMMYFUNCTION("""COMPUTED_VALUE"""),0.0)</f>
        <v>0</v>
      </c>
      <c r="N532" s="1" t="str">
        <f>IFERROR(__xludf.DUMMYFUNCTION("""COMPUTED_VALUE"""),"BECA")</f>
        <v>BECA</v>
      </c>
      <c r="O532" s="1" t="str">
        <f>IFERROR(__xludf.DUMMYFUNCTION("""COMPUTED_VALUE"""),"BECA CONGELADA DE 2 AÑOS")</f>
        <v>BECA CONGELADA DE 2 AÑOS</v>
      </c>
      <c r="P532" s="4">
        <f>IFERROR(__xludf.DUMMYFUNCTION("""COMPUTED_VALUE"""),0.0)</f>
        <v>0</v>
      </c>
      <c r="Q532" s="4">
        <f>IFERROR(__xludf.DUMMYFUNCTION("""COMPUTED_VALUE"""),0.0)</f>
        <v>0</v>
      </c>
      <c r="R532" s="4">
        <f>IFERROR(__xludf.DUMMYFUNCTION("""COMPUTED_VALUE"""),1100.0)</f>
        <v>1100</v>
      </c>
      <c r="S532" s="4">
        <f>IFERROR(__xludf.DUMMYFUNCTION("""COMPUTED_VALUE"""),950.0)</f>
        <v>950</v>
      </c>
      <c r="T532" s="1" t="str">
        <f>IFERROR(__xludf.DUMMYFUNCTION("""COMPUTED_VALUE"""),"PALANCA 500")</f>
        <v>PALANCA 500</v>
      </c>
      <c r="U532" s="1"/>
      <c r="V532" s="1" t="str">
        <f>IFERROR(__xludf.DUMMYFUNCTION("""COMPUTED_VALUE"""),"Ninguno")</f>
        <v>Ninguno</v>
      </c>
      <c r="W532" s="1" t="str">
        <f>IFERROR(__xludf.DUMMYFUNCTION("""COMPUTED_VALUE"""),"Metodología de enseñanza")</f>
        <v>Metodología de enseñanza</v>
      </c>
      <c r="X532" s="1"/>
      <c r="Y532" s="1" t="str">
        <f>IFERROR(__xludf.DUMMYFUNCTION("""COMPUTED_VALUE"""),"PAGO COMPLETO")</f>
        <v>PAGO COMPLETO</v>
      </c>
      <c r="Z532" s="1"/>
      <c r="AA532" s="1"/>
      <c r="AB532" s="1">
        <f>IFERROR(__xludf.DUMMYFUNCTION("""COMPUTED_VALUE"""),0.0)</f>
        <v>0</v>
      </c>
      <c r="AC532" s="1">
        <f>IFERROR(__xludf.DUMMYFUNCTION("""COMPUTED_VALUE"""),0.0)</f>
        <v>0</v>
      </c>
      <c r="AD532" s="1" t="str">
        <f>IFERROR(__xludf.DUMMYFUNCTION("""COMPUTED_VALUE"""),"Ingrid Guillermo Rivera")</f>
        <v>Ingrid Guillermo Rivera</v>
      </c>
      <c r="AE532" s="1" t="str">
        <f>IFERROR(__xludf.DUMMYFUNCTION("""COMPUTED_VALUE"""),"0")</f>
        <v>0</v>
      </c>
      <c r="AF532" s="1">
        <f>IFERROR(__xludf.DUMMYFUNCTION("""COMPUTED_VALUE"""),2010.0)</f>
        <v>2010</v>
      </c>
      <c r="AG532" s="1">
        <f>IFERROR(__xludf.DUMMYFUNCTION("""COMPUTED_VALUE"""),502484.0)</f>
        <v>502484</v>
      </c>
      <c r="AH532" s="1">
        <f>IFERROR(__xludf.DUMMYFUNCTION("""COMPUTED_VALUE"""),32.0)</f>
        <v>32</v>
      </c>
      <c r="AI532" s="1" t="str">
        <f>IFERROR(__xludf.DUMMYFUNCTION("""COMPUTED_VALUE"""),"0000416406")</f>
        <v>0000416406</v>
      </c>
      <c r="AJ532" s="1">
        <f>IFERROR(__xludf.DUMMYFUNCTION("""COMPUTED_VALUE"""),7.0507345E7)</f>
        <v>70507345</v>
      </c>
      <c r="AK532" s="1">
        <f>IFERROR(__xludf.DUMMYFUNCTION("""COMPUTED_VALUE"""),9.48790568E8)</f>
        <v>948790568</v>
      </c>
      <c r="AL532" s="1" t="str">
        <f>IFERROR(__xludf.DUMMYFUNCTION("""COMPUTED_VALUE"""),"cardenasgonzalescarolina@gmail.com")</f>
        <v>cardenasgonzalescarolina@gmail.com</v>
      </c>
      <c r="AM532" s="1" t="str">
        <f>IFERROR(__xludf.DUMMYFUNCTION("""COMPUTED_VALUE"""),"FEMENINO")</f>
        <v>FEMENINO</v>
      </c>
      <c r="AN532" s="1">
        <f>IFERROR(__xludf.DUMMYFUNCTION("""COMPUTED_VALUE"""),1350.0)</f>
        <v>1350</v>
      </c>
      <c r="AO532" s="1">
        <f>IFERROR(__xludf.DUMMYFUNCTION("""COMPUTED_VALUE"""),0.0)</f>
        <v>0</v>
      </c>
      <c r="AP532" s="1" t="str">
        <f>IFERROR(__xludf.DUMMYFUNCTION("""COMPUTED_VALUE"""),"BIDIRECCIONAL")</f>
        <v>BIDIRECCIONAL</v>
      </c>
      <c r="AQ532" s="1" t="str">
        <f>IFERROR(__xludf.DUMMYFUNCTION("""COMPUTED_VALUE"""),"SEARCH MARCA")</f>
        <v>SEARCH MARCA</v>
      </c>
      <c r="AR532" s="1" t="str">
        <f>IFERROR(__xludf.DUMMYFUNCTION("""COMPUTED_VALUE"""),"NUEVO")</f>
        <v>NUEVO</v>
      </c>
      <c r="AS532" s="1" t="str">
        <f>IFERROR(__xludf.DUMMYFUNCTION("""COMPUTED_VALUE"""),"ucal-pg-performance-sedes-abierta-cpl-search_conversion_marca-20240401")</f>
        <v>ucal-pg-performance-sedes-abierta-cpl-search_conversion_marca-20240401</v>
      </c>
      <c r="AT532" s="2">
        <f>IFERROR(__xludf.DUMMYFUNCTION("""COMPUTED_VALUE"""),45711.0)</f>
        <v>45711</v>
      </c>
      <c r="AU532" s="1">
        <f>IFERROR(__xludf.DUMMYFUNCTION("""COMPUTED_VALUE"""),1.0)</f>
        <v>1</v>
      </c>
      <c r="AV532" s="1" t="str">
        <f>IFERROR(__xludf.DUMMYFUNCTION("""COMPUTED_VALUE"""),"NUEVO")</f>
        <v>NUEVO</v>
      </c>
      <c r="AW532" s="1" t="str">
        <f>IFERROR(__xludf.DUMMYFUNCTION("""COMPUTED_VALUE"""),"SI")</f>
        <v>SI</v>
      </c>
      <c r="AX532" s="1"/>
      <c r="AY532" s="1" t="str">
        <f>IFERROR(__xludf.DUMMYFUNCTION("""COMPUTED_VALUE"""),"PAGO COMPLETO")</f>
        <v>PAGO COMPLETO</v>
      </c>
      <c r="AZ532" s="5">
        <f>IFERROR(__xludf.DUMMYFUNCTION("""COMPUTED_VALUE"""),45713.0)</f>
        <v>45713</v>
      </c>
      <c r="BA532" s="1">
        <f>IFERROR(__xludf.DUMMYFUNCTION("""COMPUTED_VALUE"""),0.0)</f>
        <v>0</v>
      </c>
      <c r="BB532" s="1">
        <f>IFERROR(__xludf.DUMMYFUNCTION("""COMPUTED_VALUE"""),0.0)</f>
        <v>0</v>
      </c>
      <c r="BC532" s="4">
        <f>IFERROR(__xludf.DUMMYFUNCTION("""COMPUTED_VALUE"""),0.0)</f>
        <v>0</v>
      </c>
      <c r="BD532" s="4">
        <f>IFERROR(__xludf.DUMMYFUNCTION("""COMPUTED_VALUE"""),450.0)</f>
        <v>450</v>
      </c>
      <c r="BE532" s="1">
        <f>IFERROR(__xludf.DUMMYFUNCTION("""COMPUTED_VALUE"""),2.0)</f>
        <v>2</v>
      </c>
      <c r="BF532" s="6">
        <f>IFERROR(__xludf.DUMMYFUNCTION("""COMPUTED_VALUE"""),1.0)</f>
        <v>1</v>
      </c>
      <c r="BG532" s="1">
        <f>IFERROR(__xludf.DUMMYFUNCTION("""COMPUTED_VALUE"""),1.0)</f>
        <v>1</v>
      </c>
      <c r="BH532" s="1" t="str">
        <f>IFERROR(__xludf.DUMMYFUNCTION("""COMPUTED_VALUE"""),"0")</f>
        <v>0</v>
      </c>
      <c r="BI532" s="4">
        <f>IFERROR(__xludf.DUMMYFUNCTION("""COMPUTED_VALUE"""),450.0)</f>
        <v>450</v>
      </c>
      <c r="BJ532" s="1">
        <f>IFERROR(__xludf.DUMMYFUNCTION("""COMPUTED_VALUE"""),0.0)</f>
        <v>0</v>
      </c>
      <c r="BK532" s="4">
        <f>IFERROR(__xludf.DUMMYFUNCTION("""COMPUTED_VALUE"""),450.0)</f>
        <v>450</v>
      </c>
      <c r="BL532" s="1">
        <f>IFERROR(__xludf.DUMMYFUNCTION("""COMPUTED_VALUE"""),860.0)</f>
        <v>860</v>
      </c>
      <c r="BM532" s="1">
        <f>IFERROR(__xludf.DUMMYFUNCTION("""COMPUTED_VALUE"""),9.0)</f>
        <v>9</v>
      </c>
      <c r="BN532" s="2">
        <f>IFERROR(__xludf.DUMMYFUNCTION("""COMPUTED_VALUE"""),45712.0)</f>
        <v>45712</v>
      </c>
      <c r="BO532" s="1">
        <f>IFERROR(__xludf.DUMMYFUNCTION("""COMPUTED_VALUE"""),2.0)</f>
        <v>2</v>
      </c>
      <c r="BP532" s="1">
        <f>IFERROR(__xludf.DUMMYFUNCTION("""COMPUTED_VALUE"""),2025.0)</f>
        <v>2025</v>
      </c>
    </row>
    <row r="533">
      <c r="A533" s="1">
        <f>IFERROR(__xludf.DUMMYFUNCTION("""COMPUTED_VALUE"""),532.0)</f>
        <v>532</v>
      </c>
      <c r="B533" s="1">
        <f>IFERROR(__xludf.DUMMYFUNCTION("""COMPUTED_VALUE"""),2100588.0)</f>
        <v>2100588</v>
      </c>
      <c r="C533" s="1" t="str">
        <f>IFERROR(__xludf.DUMMYFUNCTION("""COMPUTED_VALUE"""),"2025-1")</f>
        <v>2025-1</v>
      </c>
      <c r="D533" s="1" t="str">
        <f>IFERROR(__xludf.DUMMYFUNCTION("""COMPUTED_VALUE"""),"Admisión Ordinaria")</f>
        <v>Admisión Ordinaria</v>
      </c>
      <c r="E533" s="2">
        <f>IFERROR(__xludf.DUMMYFUNCTION("""COMPUTED_VALUE"""),45714.0)</f>
        <v>45714</v>
      </c>
      <c r="F533" s="1" t="str">
        <f>IFERROR(__xludf.DUMMYFUNCTION("""COMPUTED_VALUE"""),"ANTONIO MATHIAS ")</f>
        <v>ANTONIO MATHIAS </v>
      </c>
      <c r="G533" s="1" t="str">
        <f>IFERROR(__xludf.DUMMYFUNCTION("""COMPUTED_VALUE"""),"YACTAYO RUBINA")</f>
        <v>YACTAYO RUBINA</v>
      </c>
      <c r="H533" s="1" t="str">
        <f>IFERROR(__xludf.DUMMYFUNCTION("""COMPUTED_VALUE"""),"Diseño Gráfico Publicitario")</f>
        <v>Diseño Gráfico Publicitario</v>
      </c>
      <c r="I533" s="1" t="str">
        <f>IFERROR(__xludf.DUMMYFUNCTION("""COMPUTED_VALUE"""),"POS")</f>
        <v>POS</v>
      </c>
      <c r="J533" s="1" t="str">
        <f>IFERROR(__xludf.DUMMYFUNCTION("""COMPUTED_VALUE"""),"Diurno")</f>
        <v>Diurno</v>
      </c>
      <c r="K533" s="1" t="str">
        <f>IFERROR(__xludf.DUMMYFUNCTION("""COMPUTED_VALUE"""),"NUEVO")</f>
        <v>NUEVO</v>
      </c>
      <c r="L533" s="1">
        <f>IFERROR(__xludf.DUMMYFUNCTION("""COMPUTED_VALUE"""),0.0)</f>
        <v>0</v>
      </c>
      <c r="M533" s="1">
        <f>IFERROR(__xludf.DUMMYFUNCTION("""COMPUTED_VALUE"""),0.0)</f>
        <v>0</v>
      </c>
      <c r="N533" s="1" t="str">
        <f>IFERROR(__xludf.DUMMYFUNCTION("""COMPUTED_VALUE"""),"ESCALA REGULAR")</f>
        <v>ESCALA REGULAR</v>
      </c>
      <c r="O533" s="1" t="str">
        <f>IFERROR(__xludf.DUMMYFUNCTION("""COMPUTED_VALUE"""),"NINGUNO")</f>
        <v>NINGUNO</v>
      </c>
      <c r="P533" s="4">
        <f>IFERROR(__xludf.DUMMYFUNCTION("""COMPUTED_VALUE"""),100.0)</f>
        <v>100</v>
      </c>
      <c r="Q533" s="4">
        <f>IFERROR(__xludf.DUMMYFUNCTION("""COMPUTED_VALUE"""),237.5)</f>
        <v>237.5</v>
      </c>
      <c r="R533" s="4">
        <f>IFERROR(__xludf.DUMMYFUNCTION("""COMPUTED_VALUE"""),1300.0)</f>
        <v>1300</v>
      </c>
      <c r="S533" s="4">
        <f>IFERROR(__xludf.DUMMYFUNCTION("""COMPUTED_VALUE"""),1300.0)</f>
        <v>1300</v>
      </c>
      <c r="T533" s="1" t="str">
        <f>IFERROR(__xludf.DUMMYFUNCTION("""COMPUTED_VALUE"""),"PALANCA 500")</f>
        <v>PALANCA 500</v>
      </c>
      <c r="U533" s="1"/>
      <c r="V533" s="1" t="str">
        <f>IFERROR(__xludf.DUMMYFUNCTION("""COMPUTED_VALUE"""),"Ninguno")</f>
        <v>Ninguno</v>
      </c>
      <c r="W533" s="1" t="str">
        <f>IFERROR(__xludf.DUMMYFUNCTION("""COMPUTED_VALUE"""),"Malla curricular")</f>
        <v>Malla curricular</v>
      </c>
      <c r="X533" s="1" t="str">
        <f>IFERROR(__xludf.DUMMYFUNCTION("""COMPUTED_VALUE"""),"LE GUSTA LA UNIVERSIDAD ")</f>
        <v>LE GUSTA LA UNIVERSIDAD </v>
      </c>
      <c r="Y533" s="1" t="str">
        <f>IFERROR(__xludf.DUMMYFUNCTION("""COMPUTED_VALUE"""),"PAGO COMPLETO")</f>
        <v>PAGO COMPLETO</v>
      </c>
      <c r="Z533" s="1"/>
      <c r="AA533" s="1"/>
      <c r="AB533" s="1">
        <f>IFERROR(__xludf.DUMMYFUNCTION("""COMPUTED_VALUE"""),0.0)</f>
        <v>0</v>
      </c>
      <c r="AC533" s="1">
        <f>IFERROR(__xludf.DUMMYFUNCTION("""COMPUTED_VALUE"""),0.0)</f>
        <v>0</v>
      </c>
      <c r="AD533" s="1" t="str">
        <f>IFERROR(__xludf.DUMMYFUNCTION("""COMPUTED_VALUE"""),"Daniel Zapata")</f>
        <v>Daniel Zapata</v>
      </c>
      <c r="AE533" s="1" t="str">
        <f>IFERROR(__xludf.DUMMYFUNCTION("""COMPUTED_VALUE"""),"0")</f>
        <v>0</v>
      </c>
      <c r="AF533" s="1">
        <f>IFERROR(__xludf.DUMMYFUNCTION("""COMPUTED_VALUE"""),2022.0)</f>
        <v>2022</v>
      </c>
      <c r="AG533" s="1">
        <f>IFERROR(__xludf.DUMMYFUNCTION("""COMPUTED_VALUE"""),325639.0)</f>
        <v>325639</v>
      </c>
      <c r="AH533" s="1">
        <f>IFERROR(__xludf.DUMMYFUNCTION("""COMPUTED_VALUE"""),19.0)</f>
        <v>19</v>
      </c>
      <c r="AI533" s="1" t="str">
        <f>IFERROR(__xludf.DUMMYFUNCTION("""COMPUTED_VALUE"""),"0000416634")</f>
        <v>0000416634</v>
      </c>
      <c r="AJ533" s="1">
        <f>IFERROR(__xludf.DUMMYFUNCTION("""COMPUTED_VALUE"""),7.5284525E7)</f>
        <v>75284525</v>
      </c>
      <c r="AK533" s="1">
        <f>IFERROR(__xludf.DUMMYFUNCTION("""COMPUTED_VALUE"""),9.8254996E8)</f>
        <v>982549960</v>
      </c>
      <c r="AL533" s="1" t="str">
        <f>IFERROR(__xludf.DUMMYFUNCTION("""COMPUTED_VALUE"""),"mathiasyactayo5@gmail.com")</f>
        <v>mathiasyactayo5@gmail.com</v>
      </c>
      <c r="AM533" s="1" t="str">
        <f>IFERROR(__xludf.DUMMYFUNCTION("""COMPUTED_VALUE"""),"MASCULINO")</f>
        <v>MASCULINO</v>
      </c>
      <c r="AN533" s="1">
        <f>IFERROR(__xludf.DUMMYFUNCTION("""COMPUTED_VALUE"""),1350.0)</f>
        <v>1350</v>
      </c>
      <c r="AO533" s="1">
        <f>IFERROR(__xludf.DUMMYFUNCTION("""COMPUTED_VALUE"""),0.0)</f>
        <v>0</v>
      </c>
      <c r="AP533" s="1" t="str">
        <f>IFERROR(__xludf.DUMMYFUNCTION("""COMPUTED_VALUE"""),"FORMULARIO")</f>
        <v>FORMULARIO</v>
      </c>
      <c r="AQ533" s="1" t="str">
        <f>IFERROR(__xludf.DUMMYFUNCTION("""COMPUTED_VALUE"""),"SEARCH MARCA")</f>
        <v>SEARCH MARCA</v>
      </c>
      <c r="AR533" s="1" t="str">
        <f>IFERROR(__xludf.DUMMYFUNCTION("""COMPUTED_VALUE"""),"NUEVO")</f>
        <v>NUEVO</v>
      </c>
      <c r="AS533" s="1" t="str">
        <f>IFERROR(__xludf.DUMMYFUNCTION("""COMPUTED_VALUE"""),"ucal-pg-performance-sedes-abierta-cpl-search_conversion_marca-20240401")</f>
        <v>ucal-pg-performance-sedes-abierta-cpl-search_conversion_marca-20240401</v>
      </c>
      <c r="AT533" s="2">
        <f>IFERROR(__xludf.DUMMYFUNCTION("""COMPUTED_VALUE"""),45579.0)</f>
        <v>45579</v>
      </c>
      <c r="AU533" s="1">
        <f>IFERROR(__xludf.DUMMYFUNCTION("""COMPUTED_VALUE"""),1.0)</f>
        <v>1</v>
      </c>
      <c r="AV533" s="1" t="str">
        <f>IFERROR(__xludf.DUMMYFUNCTION("""COMPUTED_VALUE"""),"NUEVO")</f>
        <v>NUEVO</v>
      </c>
      <c r="AW533" s="1" t="str">
        <f>IFERROR(__xludf.DUMMYFUNCTION("""COMPUTED_VALUE"""),"SI")</f>
        <v>SI</v>
      </c>
      <c r="AX533" s="1"/>
      <c r="AY533" s="1" t="str">
        <f>IFERROR(__xludf.DUMMYFUNCTION("""COMPUTED_VALUE"""),"PAGO COMPLETO")</f>
        <v>PAGO COMPLETO</v>
      </c>
      <c r="AZ533" s="5">
        <f>IFERROR(__xludf.DUMMYFUNCTION("""COMPUTED_VALUE"""),45714.0)</f>
        <v>45714</v>
      </c>
      <c r="BA533" s="1">
        <f>IFERROR(__xludf.DUMMYFUNCTION("""COMPUTED_VALUE"""),0.0)</f>
        <v>0</v>
      </c>
      <c r="BB533" s="1">
        <f>IFERROR(__xludf.DUMMYFUNCTION("""COMPUTED_VALUE"""),0.0)</f>
        <v>0</v>
      </c>
      <c r="BC533" s="4">
        <f>IFERROR(__xludf.DUMMYFUNCTION("""COMPUTED_VALUE"""),0.0)</f>
        <v>0</v>
      </c>
      <c r="BD533" s="4">
        <f>IFERROR(__xludf.DUMMYFUNCTION("""COMPUTED_VALUE"""),800.0)</f>
        <v>800</v>
      </c>
      <c r="BE533" s="1">
        <f>IFERROR(__xludf.DUMMYFUNCTION("""COMPUTED_VALUE"""),2.0)</f>
        <v>2</v>
      </c>
      <c r="BF533" s="6">
        <f>IFERROR(__xludf.DUMMYFUNCTION("""COMPUTED_VALUE"""),1.0)</f>
        <v>1</v>
      </c>
      <c r="BG533" s="1">
        <f>IFERROR(__xludf.DUMMYFUNCTION("""COMPUTED_VALUE"""),1.0)</f>
        <v>1</v>
      </c>
      <c r="BH533" s="1" t="str">
        <f>IFERROR(__xludf.DUMMYFUNCTION("""COMPUTED_VALUE"""),"0")</f>
        <v>0</v>
      </c>
      <c r="BI533" s="4">
        <f>IFERROR(__xludf.DUMMYFUNCTION("""COMPUTED_VALUE"""),800.0)</f>
        <v>800</v>
      </c>
      <c r="BJ533" s="1">
        <f>IFERROR(__xludf.DUMMYFUNCTION("""COMPUTED_VALUE"""),0.0)</f>
        <v>0</v>
      </c>
      <c r="BK533" s="4">
        <f>IFERROR(__xludf.DUMMYFUNCTION("""COMPUTED_VALUE"""),800.0)</f>
        <v>800</v>
      </c>
      <c r="BL533" s="1">
        <f>IFERROR(__xludf.DUMMYFUNCTION("""COMPUTED_VALUE"""),1140.0)</f>
        <v>1140</v>
      </c>
      <c r="BM533" s="1">
        <f>IFERROR(__xludf.DUMMYFUNCTION("""COMPUTED_VALUE"""),9.0)</f>
        <v>9</v>
      </c>
      <c r="BN533" s="2">
        <f>IFERROR(__xludf.DUMMYFUNCTION("""COMPUTED_VALUE"""),45712.0)</f>
        <v>45712</v>
      </c>
      <c r="BO533" s="1">
        <f>IFERROR(__xludf.DUMMYFUNCTION("""COMPUTED_VALUE"""),2.0)</f>
        <v>2</v>
      </c>
      <c r="BP533" s="1">
        <f>IFERROR(__xludf.DUMMYFUNCTION("""COMPUTED_VALUE"""),2025.0)</f>
        <v>2025</v>
      </c>
    </row>
    <row r="534">
      <c r="A534" s="1">
        <f>IFERROR(__xludf.DUMMYFUNCTION("""COMPUTED_VALUE"""),533.0)</f>
        <v>533</v>
      </c>
      <c r="B534" s="1">
        <f>IFERROR(__xludf.DUMMYFUNCTION("""COMPUTED_VALUE"""),5046456.0)</f>
        <v>5046456</v>
      </c>
      <c r="C534" s="1" t="str">
        <f>IFERROR(__xludf.DUMMYFUNCTION("""COMPUTED_VALUE"""),"2025-1")</f>
        <v>2025-1</v>
      </c>
      <c r="D534" s="1" t="str">
        <f>IFERROR(__xludf.DUMMYFUNCTION("""COMPUTED_VALUE"""),"Admisión Ordinaria")</f>
        <v>Admisión Ordinaria</v>
      </c>
      <c r="E534" s="2">
        <f>IFERROR(__xludf.DUMMYFUNCTION("""COMPUTED_VALUE"""),45714.0)</f>
        <v>45714</v>
      </c>
      <c r="F534" s="1" t="str">
        <f>IFERROR(__xludf.DUMMYFUNCTION("""COMPUTED_VALUE"""),"IRINA PILAR ")</f>
        <v>IRINA PILAR </v>
      </c>
      <c r="G534" s="1" t="str">
        <f>IFERROR(__xludf.DUMMYFUNCTION("""COMPUTED_VALUE"""),"NOMBERTO CARDENAS")</f>
        <v>NOMBERTO CARDENAS</v>
      </c>
      <c r="H534" s="1" t="str">
        <f>IFERROR(__xludf.DUMMYFUNCTION("""COMPUTED_VALUE"""),"Arquitectura de Interiores")</f>
        <v>Arquitectura de Interiores</v>
      </c>
      <c r="I534" s="1" t="str">
        <f>IFERROR(__xludf.DUMMYFUNCTION("""COMPUTED_VALUE"""),"CARGO")</f>
        <v>CARGO</v>
      </c>
      <c r="J534" s="1" t="str">
        <f>IFERROR(__xludf.DUMMYFUNCTION("""COMPUTED_VALUE"""),"Diurno")</f>
        <v>Diurno</v>
      </c>
      <c r="K534" s="1" t="str">
        <f>IFERROR(__xludf.DUMMYFUNCTION("""COMPUTED_VALUE"""),"NUEVO")</f>
        <v>NUEVO</v>
      </c>
      <c r="L534" s="1">
        <f>IFERROR(__xludf.DUMMYFUNCTION("""COMPUTED_VALUE"""),0.0)</f>
        <v>0</v>
      </c>
      <c r="M534" s="1">
        <f>IFERROR(__xludf.DUMMYFUNCTION("""COMPUTED_VALUE"""),0.0)</f>
        <v>0</v>
      </c>
      <c r="N534" s="1" t="str">
        <f>IFERROR(__xludf.DUMMYFUNCTION("""COMPUTED_VALUE"""),"ESCALA REGULAR")</f>
        <v>ESCALA REGULAR</v>
      </c>
      <c r="O534" s="1" t="str">
        <f>IFERROR(__xludf.DUMMYFUNCTION("""COMPUTED_VALUE"""),"NINGUNO")</f>
        <v>NINGUNO</v>
      </c>
      <c r="P534" s="4">
        <f>IFERROR(__xludf.DUMMYFUNCTION("""COMPUTED_VALUE"""),0.0)</f>
        <v>0</v>
      </c>
      <c r="Q534" s="4">
        <f>IFERROR(__xludf.DUMMYFUNCTION("""COMPUTED_VALUE"""),0.0)</f>
        <v>0</v>
      </c>
      <c r="R534" s="4">
        <f>IFERROR(__xludf.DUMMYFUNCTION("""COMPUTED_VALUE"""),1300.0)</f>
        <v>1300</v>
      </c>
      <c r="S534" s="4">
        <f>IFERROR(__xludf.DUMMYFUNCTION("""COMPUTED_VALUE"""),1300.0)</f>
        <v>1300</v>
      </c>
      <c r="T534" s="1" t="str">
        <f>IFERROR(__xludf.DUMMYFUNCTION("""COMPUTED_VALUE"""),"PALANCA 500")</f>
        <v>PALANCA 500</v>
      </c>
      <c r="U534" s="1"/>
      <c r="V534" s="1" t="str">
        <f>IFERROR(__xludf.DUMMYFUNCTION("""COMPUTED_VALUE"""),"Ninguno")</f>
        <v>Ninguno</v>
      </c>
      <c r="W534" s="1" t="str">
        <f>IFERROR(__xludf.DUMMYFUNCTION("""COMPUTED_VALUE"""),"Malla curricular")</f>
        <v>Malla curricular</v>
      </c>
      <c r="X534" s="1" t="str">
        <f>IFERROR(__xludf.DUMMYFUNCTION("""COMPUTED_VALUE"""),"Le gusta la universidad ")</f>
        <v>Le gusta la universidad </v>
      </c>
      <c r="Y534" s="1" t="str">
        <f>IFERROR(__xludf.DUMMYFUNCTION("""COMPUTED_VALUE"""),"PAGO COMPLETO")</f>
        <v>PAGO COMPLETO</v>
      </c>
      <c r="Z534" s="1"/>
      <c r="AA534" s="1"/>
      <c r="AB534" s="1">
        <f>IFERROR(__xludf.DUMMYFUNCTION("""COMPUTED_VALUE"""),1.0)</f>
        <v>1</v>
      </c>
      <c r="AC534" s="1">
        <f>IFERROR(__xludf.DUMMYFUNCTION("""COMPUTED_VALUE"""),0.0)</f>
        <v>0</v>
      </c>
      <c r="AD534" s="1" t="str">
        <f>IFERROR(__xludf.DUMMYFUNCTION("""COMPUTED_VALUE"""),"Daniel Zapata")</f>
        <v>Daniel Zapata</v>
      </c>
      <c r="AE534" s="1" t="str">
        <f>IFERROR(__xludf.DUMMYFUNCTION("""COMPUTED_VALUE"""),"0")</f>
        <v>0</v>
      </c>
      <c r="AF534" s="1">
        <f>IFERROR(__xludf.DUMMYFUNCTION("""COMPUTED_VALUE"""),2020.0)</f>
        <v>2020</v>
      </c>
      <c r="AG534" s="1">
        <f>IFERROR(__xludf.DUMMYFUNCTION("""COMPUTED_VALUE"""),1542513.0)</f>
        <v>1542513</v>
      </c>
      <c r="AH534" s="1">
        <f>IFERROR(__xludf.DUMMYFUNCTION("""COMPUTED_VALUE"""),22.0)</f>
        <v>22</v>
      </c>
      <c r="AI534" s="1" t="str">
        <f>IFERROR(__xludf.DUMMYFUNCTION("""COMPUTED_VALUE"""),"0000416720")</f>
        <v>0000416720</v>
      </c>
      <c r="AJ534" s="1">
        <f>IFERROR(__xludf.DUMMYFUNCTION("""COMPUTED_VALUE"""),7.5597809E7)</f>
        <v>75597809</v>
      </c>
      <c r="AK534" s="1">
        <f>IFERROR(__xludf.DUMMYFUNCTION("""COMPUTED_VALUE"""),9.98993254E8)</f>
        <v>998993254</v>
      </c>
      <c r="AL534" s="1" t="str">
        <f>IFERROR(__xludf.DUMMYFUNCTION("""COMPUTED_VALUE"""),"irinanomberto@gmail.com")</f>
        <v>irinanomberto@gmail.com</v>
      </c>
      <c r="AM534" s="1" t="str">
        <f>IFERROR(__xludf.DUMMYFUNCTION("""COMPUTED_VALUE"""),"FEMENINO")</f>
        <v>FEMENINO</v>
      </c>
      <c r="AN534" s="1">
        <f>IFERROR(__xludf.DUMMYFUNCTION("""COMPUTED_VALUE"""),1600.0)</f>
        <v>1600</v>
      </c>
      <c r="AO534" s="1">
        <f>IFERROR(__xludf.DUMMYFUNCTION("""COMPUTED_VALUE"""),230.0)</f>
        <v>230</v>
      </c>
      <c r="AP534" s="1" t="str">
        <f>IFERROR(__xludf.DUMMYFUNCTION("""COMPUTED_VALUE"""),"FORMULARIO")</f>
        <v>FORMULARIO</v>
      </c>
      <c r="AQ534" s="1" t="str">
        <f>IFERROR(__xludf.DUMMYFUNCTION("""COMPUTED_VALUE"""),"ORGANICO")</f>
        <v>ORGANICO</v>
      </c>
      <c r="AR534" s="1" t="str">
        <f>IFERROR(__xludf.DUMMYFUNCTION("""COMPUTED_VALUE"""),"NUEVO")</f>
        <v>NUEVO</v>
      </c>
      <c r="AS534" s="1"/>
      <c r="AT534" s="2">
        <f>IFERROR(__xludf.DUMMYFUNCTION("""COMPUTED_VALUE"""),45714.0)</f>
        <v>45714</v>
      </c>
      <c r="AU534" s="1">
        <f>IFERROR(__xludf.DUMMYFUNCTION("""COMPUTED_VALUE"""),1.0)</f>
        <v>1</v>
      </c>
      <c r="AV534" s="1" t="str">
        <f>IFERROR(__xludf.DUMMYFUNCTION("""COMPUTED_VALUE"""),"NUEVO")</f>
        <v>NUEVO</v>
      </c>
      <c r="AW534" s="1" t="str">
        <f>IFERROR(__xludf.DUMMYFUNCTION("""COMPUTED_VALUE"""),"SI")</f>
        <v>SI</v>
      </c>
      <c r="AX534" s="1"/>
      <c r="AY534" s="1" t="str">
        <f>IFERROR(__xludf.DUMMYFUNCTION("""COMPUTED_VALUE"""),"PAGO COMPLETO")</f>
        <v>PAGO COMPLETO</v>
      </c>
      <c r="AZ534" s="5">
        <f>IFERROR(__xludf.DUMMYFUNCTION("""COMPUTED_VALUE"""),45714.0)</f>
        <v>45714</v>
      </c>
      <c r="BA534" s="1">
        <f>IFERROR(__xludf.DUMMYFUNCTION("""COMPUTED_VALUE"""),0.0)</f>
        <v>0</v>
      </c>
      <c r="BB534" s="1">
        <f>IFERROR(__xludf.DUMMYFUNCTION("""COMPUTED_VALUE"""),0.0)</f>
        <v>0</v>
      </c>
      <c r="BC534" s="4">
        <f>IFERROR(__xludf.DUMMYFUNCTION("""COMPUTED_VALUE"""),0.0)</f>
        <v>0</v>
      </c>
      <c r="BD534" s="4">
        <f>IFERROR(__xludf.DUMMYFUNCTION("""COMPUTED_VALUE"""),800.0)</f>
        <v>800</v>
      </c>
      <c r="BE534" s="1">
        <f>IFERROR(__xludf.DUMMYFUNCTION("""COMPUTED_VALUE"""),2.0)</f>
        <v>2</v>
      </c>
      <c r="BF534" s="6">
        <f>IFERROR(__xludf.DUMMYFUNCTION("""COMPUTED_VALUE"""),1.0)</f>
        <v>1</v>
      </c>
      <c r="BG534" s="1">
        <f>IFERROR(__xludf.DUMMYFUNCTION("""COMPUTED_VALUE"""),1.0)</f>
        <v>1</v>
      </c>
      <c r="BH534" s="1" t="str">
        <f>IFERROR(__xludf.DUMMYFUNCTION("""COMPUTED_VALUE"""),"0")</f>
        <v>0</v>
      </c>
      <c r="BI534" s="4">
        <f>IFERROR(__xludf.DUMMYFUNCTION("""COMPUTED_VALUE"""),800.0)</f>
        <v>800</v>
      </c>
      <c r="BJ534" s="1">
        <f>IFERROR(__xludf.DUMMYFUNCTION("""COMPUTED_VALUE"""),0.0)</f>
        <v>0</v>
      </c>
      <c r="BK534" s="4">
        <f>IFERROR(__xludf.DUMMYFUNCTION("""COMPUTED_VALUE"""),800.0)</f>
        <v>800</v>
      </c>
      <c r="BL534" s="1">
        <f>IFERROR(__xludf.DUMMYFUNCTION("""COMPUTED_VALUE"""),1140.0)</f>
        <v>1140</v>
      </c>
      <c r="BM534" s="1">
        <f>IFERROR(__xludf.DUMMYFUNCTION("""COMPUTED_VALUE"""),9.0)</f>
        <v>9</v>
      </c>
      <c r="BN534" s="2">
        <f>IFERROR(__xludf.DUMMYFUNCTION("""COMPUTED_VALUE"""),45712.0)</f>
        <v>45712</v>
      </c>
      <c r="BO534" s="1">
        <f>IFERROR(__xludf.DUMMYFUNCTION("""COMPUTED_VALUE"""),2.0)</f>
        <v>2</v>
      </c>
      <c r="BP534" s="1">
        <f>IFERROR(__xludf.DUMMYFUNCTION("""COMPUTED_VALUE"""),2025.0)</f>
        <v>2025</v>
      </c>
    </row>
    <row r="535">
      <c r="A535" s="1">
        <f>IFERROR(__xludf.DUMMYFUNCTION("""COMPUTED_VALUE"""),534.0)</f>
        <v>534</v>
      </c>
      <c r="B535" s="1">
        <f>IFERROR(__xludf.DUMMYFUNCTION("""COMPUTED_VALUE"""),5036072.0)</f>
        <v>5036072</v>
      </c>
      <c r="C535" s="1" t="str">
        <f>IFERROR(__xludf.DUMMYFUNCTION("""COMPUTED_VALUE"""),"2025-1")</f>
        <v>2025-1</v>
      </c>
      <c r="D535" s="1" t="str">
        <f>IFERROR(__xludf.DUMMYFUNCTION("""COMPUTED_VALUE"""),"Admisión Ordinaria")</f>
        <v>Admisión Ordinaria</v>
      </c>
      <c r="E535" s="2">
        <f>IFERROR(__xludf.DUMMYFUNCTION("""COMPUTED_VALUE"""),45714.0)</f>
        <v>45714</v>
      </c>
      <c r="F535" s="1" t="str">
        <f>IFERROR(__xludf.DUMMYFUNCTION("""COMPUTED_VALUE"""),"LUZ FERNANDITA ")</f>
        <v>LUZ FERNANDITA </v>
      </c>
      <c r="G535" s="1" t="str">
        <f>IFERROR(__xludf.DUMMYFUNCTION("""COMPUTED_VALUE"""),"CRUZ IGNACIO")</f>
        <v>CRUZ IGNACIO</v>
      </c>
      <c r="H535" s="1" t="str">
        <f>IFERROR(__xludf.DUMMYFUNCTION("""COMPUTED_VALUE"""),"Psicología")</f>
        <v>Psicología</v>
      </c>
      <c r="I535" s="1" t="str">
        <f>IFERROR(__xludf.DUMMYFUNCTION("""COMPUTED_VALUE"""),"CARGO")</f>
        <v>CARGO</v>
      </c>
      <c r="J535" s="1" t="str">
        <f>IFERROR(__xludf.DUMMYFUNCTION("""COMPUTED_VALUE"""),"Nocturno - A distancia")</f>
        <v>Nocturno - A distancia</v>
      </c>
      <c r="K535" s="1" t="str">
        <f>IFERROR(__xludf.DUMMYFUNCTION("""COMPUTED_VALUE"""),"NUEVO")</f>
        <v>NUEVO</v>
      </c>
      <c r="L535" s="1">
        <f>IFERROR(__xludf.DUMMYFUNCTION("""COMPUTED_VALUE"""),0.0)</f>
        <v>0</v>
      </c>
      <c r="M535" s="1">
        <f>IFERROR(__xludf.DUMMYFUNCTION("""COMPUTED_VALUE"""),0.0)</f>
        <v>0</v>
      </c>
      <c r="N535" s="1" t="str">
        <f>IFERROR(__xludf.DUMMYFUNCTION("""COMPUTED_VALUE"""),"ESCALA REGULAR")</f>
        <v>ESCALA REGULAR</v>
      </c>
      <c r="O535" s="1" t="str">
        <f>IFERROR(__xludf.DUMMYFUNCTION("""COMPUTED_VALUE"""),"NINGUNO")</f>
        <v>NINGUNO</v>
      </c>
      <c r="P535" s="4">
        <f>IFERROR(__xludf.DUMMYFUNCTION("""COMPUTED_VALUE"""),0.0)</f>
        <v>0</v>
      </c>
      <c r="Q535" s="4">
        <f>IFERROR(__xludf.DUMMYFUNCTION("""COMPUTED_VALUE"""),0.0)</f>
        <v>0</v>
      </c>
      <c r="R535" s="4">
        <f>IFERROR(__xludf.DUMMYFUNCTION("""COMPUTED_VALUE"""),750.0)</f>
        <v>750</v>
      </c>
      <c r="S535" s="4">
        <f>IFERROR(__xludf.DUMMYFUNCTION("""COMPUTED_VALUE"""),750.0)</f>
        <v>750</v>
      </c>
      <c r="T535" s="1" t="str">
        <f>IFERROR(__xludf.DUMMYFUNCTION("""COMPUTED_VALUE"""),"NINGUNO")</f>
        <v>NINGUNO</v>
      </c>
      <c r="U535" s="1" t="str">
        <f>IFERROR(__xludf.DUMMYFUNCTION("""COMPUTED_VALUE"""),"FABIOLA")</f>
        <v>FABIOLA</v>
      </c>
      <c r="V535" s="1" t="str">
        <f>IFERROR(__xludf.DUMMYFUNCTION("""COMPUTED_VALUE"""),"Ninguno")</f>
        <v>Ninguno</v>
      </c>
      <c r="W535" s="1" t="str">
        <f>IFERROR(__xludf.DUMMYFUNCTION("""COMPUTED_VALUE"""),"Malla curricular")</f>
        <v>Malla curricular</v>
      </c>
      <c r="X535" s="1" t="str">
        <f>IFERROR(__xludf.DUMMYFUNCTION("""COMPUTED_VALUE"""),"malla curricular")</f>
        <v>malla curricular</v>
      </c>
      <c r="Y535" s="1" t="str">
        <f>IFERROR(__xludf.DUMMYFUNCTION("""COMPUTED_VALUE"""),"PAGO COMPLETO")</f>
        <v>PAGO COMPLETO</v>
      </c>
      <c r="Z535" s="1"/>
      <c r="AA535" s="1"/>
      <c r="AB535" s="1">
        <f>IFERROR(__xludf.DUMMYFUNCTION("""COMPUTED_VALUE"""),0.0)</f>
        <v>0</v>
      </c>
      <c r="AC535" s="1">
        <f>IFERROR(__xludf.DUMMYFUNCTION("""COMPUTED_VALUE"""),0.0)</f>
        <v>0</v>
      </c>
      <c r="AD535" s="1" t="str">
        <f>IFERROR(__xludf.DUMMYFUNCTION("""COMPUTED_VALUE"""),"Cinthia Mariella Orosco")</f>
        <v>Cinthia Mariella Orosco</v>
      </c>
      <c r="AE535" s="1" t="str">
        <f>IFERROR(__xludf.DUMMYFUNCTION("""COMPUTED_VALUE"""),"0")</f>
        <v>0</v>
      </c>
      <c r="AF535" s="1">
        <f>IFERROR(__xludf.DUMMYFUNCTION("""COMPUTED_VALUE"""),2021.0)</f>
        <v>2021</v>
      </c>
      <c r="AG535" s="1">
        <f>IFERROR(__xludf.DUMMYFUNCTION("""COMPUTED_VALUE"""),1347111.0)</f>
        <v>1347111</v>
      </c>
      <c r="AH535" s="1">
        <f>IFERROR(__xludf.DUMMYFUNCTION("""COMPUTED_VALUE"""),26.0)</f>
        <v>26</v>
      </c>
      <c r="AI535" s="1" t="str">
        <f>IFERROR(__xludf.DUMMYFUNCTION("""COMPUTED_VALUE"""),"0000416708")</f>
        <v>0000416708</v>
      </c>
      <c r="AJ535" s="1">
        <f>IFERROR(__xludf.DUMMYFUNCTION("""COMPUTED_VALUE"""),7.4303524E7)</f>
        <v>74303524</v>
      </c>
      <c r="AK535" s="1">
        <f>IFERROR(__xludf.DUMMYFUNCTION("""COMPUTED_VALUE"""),9.34929074E8)</f>
        <v>934929074</v>
      </c>
      <c r="AL535" s="1" t="str">
        <f>IFERROR(__xludf.DUMMYFUNCTION("""COMPUTED_VALUE"""),"fernandaignacio1501@gmail.com")</f>
        <v>fernandaignacio1501@gmail.com</v>
      </c>
      <c r="AM535" s="1" t="str">
        <f>IFERROR(__xludf.DUMMYFUNCTION("""COMPUTED_VALUE"""),"FEMENINO")</f>
        <v>FEMENINO</v>
      </c>
      <c r="AN535" s="1">
        <f>IFERROR(__xludf.DUMMYFUNCTION("""COMPUTED_VALUE"""),1350.0)</f>
        <v>1350</v>
      </c>
      <c r="AO535" s="1">
        <f>IFERROR(__xludf.DUMMYFUNCTION("""COMPUTED_VALUE"""),0.0)</f>
        <v>0</v>
      </c>
      <c r="AP535" s="1" t="str">
        <f>IFERROR(__xludf.DUMMYFUNCTION("""COMPUTED_VALUE"""),"BIDIRECCIONAL")</f>
        <v>BIDIRECCIONAL</v>
      </c>
      <c r="AQ535" s="1" t="str">
        <f>IFERROR(__xludf.DUMMYFUNCTION("""COMPUTED_VALUE"""),"SEARCH CARRERA")</f>
        <v>SEARCH CARRERA</v>
      </c>
      <c r="AR535" s="1" t="str">
        <f>IFERROR(__xludf.DUMMYFUNCTION("""COMPUTED_VALUE"""),"NUEVO")</f>
        <v>NUEVO</v>
      </c>
      <c r="AS535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535" s="2">
        <f>IFERROR(__xludf.DUMMYFUNCTION("""COMPUTED_VALUE"""),45709.0)</f>
        <v>45709</v>
      </c>
      <c r="AU535" s="1">
        <f>IFERROR(__xludf.DUMMYFUNCTION("""COMPUTED_VALUE"""),1.0)</f>
        <v>1</v>
      </c>
      <c r="AV535" s="1" t="str">
        <f>IFERROR(__xludf.DUMMYFUNCTION("""COMPUTED_VALUE"""),"NUEVO")</f>
        <v>NUEVO</v>
      </c>
      <c r="AW535" s="1" t="str">
        <f>IFERROR(__xludf.DUMMYFUNCTION("""COMPUTED_VALUE"""),"SI")</f>
        <v>SI</v>
      </c>
      <c r="AX535" s="1"/>
      <c r="AY535" s="1" t="str">
        <f>IFERROR(__xludf.DUMMYFUNCTION("""COMPUTED_VALUE"""),"PAGO COMPLETO")</f>
        <v>PAGO COMPLETO</v>
      </c>
      <c r="AZ535" s="5">
        <f>IFERROR(__xludf.DUMMYFUNCTION("""COMPUTED_VALUE"""),45714.0)</f>
        <v>45714</v>
      </c>
      <c r="BA535" s="1">
        <f>IFERROR(__xludf.DUMMYFUNCTION("""COMPUTED_VALUE"""),0.0)</f>
        <v>0</v>
      </c>
      <c r="BB535" s="1">
        <f>IFERROR(__xludf.DUMMYFUNCTION("""COMPUTED_VALUE"""),0.0)</f>
        <v>0</v>
      </c>
      <c r="BC535" s="4">
        <f>IFERROR(__xludf.DUMMYFUNCTION("""COMPUTED_VALUE"""),0.0)</f>
        <v>0</v>
      </c>
      <c r="BD535" s="4">
        <f>IFERROR(__xludf.DUMMYFUNCTION("""COMPUTED_VALUE"""),0.0)</f>
        <v>0</v>
      </c>
      <c r="BE535" s="1">
        <f>IFERROR(__xludf.DUMMYFUNCTION("""COMPUTED_VALUE"""),2.0)</f>
        <v>2</v>
      </c>
      <c r="BF535" s="6">
        <f>IFERROR(__xludf.DUMMYFUNCTION("""COMPUTED_VALUE"""),1.0)</f>
        <v>1</v>
      </c>
      <c r="BG535" s="1">
        <f>IFERROR(__xludf.DUMMYFUNCTION("""COMPUTED_VALUE"""),1.0)</f>
        <v>1</v>
      </c>
      <c r="BH535" s="1" t="str">
        <f>IFERROR(__xludf.DUMMYFUNCTION("""COMPUTED_VALUE"""),"0")</f>
        <v>0</v>
      </c>
      <c r="BI535" s="4">
        <f>IFERROR(__xludf.DUMMYFUNCTION("""COMPUTED_VALUE"""),0.0)</f>
        <v>0</v>
      </c>
      <c r="BJ535" s="1">
        <f>IFERROR(__xludf.DUMMYFUNCTION("""COMPUTED_VALUE"""),0.0)</f>
        <v>0</v>
      </c>
      <c r="BK535" s="4">
        <f>IFERROR(__xludf.DUMMYFUNCTION("""COMPUTED_VALUE"""),0.0)</f>
        <v>0</v>
      </c>
      <c r="BL535" s="1">
        <f>IFERROR(__xludf.DUMMYFUNCTION("""COMPUTED_VALUE"""),750.0)</f>
        <v>750</v>
      </c>
      <c r="BM535" s="1">
        <f>IFERROR(__xludf.DUMMYFUNCTION("""COMPUTED_VALUE"""),9.0)</f>
        <v>9</v>
      </c>
      <c r="BN535" s="2">
        <f>IFERROR(__xludf.DUMMYFUNCTION("""COMPUTED_VALUE"""),45712.0)</f>
        <v>45712</v>
      </c>
      <c r="BO535" s="1">
        <f>IFERROR(__xludf.DUMMYFUNCTION("""COMPUTED_VALUE"""),2.0)</f>
        <v>2</v>
      </c>
      <c r="BP535" s="1">
        <f>IFERROR(__xludf.DUMMYFUNCTION("""COMPUTED_VALUE"""),2025.0)</f>
        <v>2025</v>
      </c>
    </row>
    <row r="536">
      <c r="A536" s="1">
        <f>IFERROR(__xludf.DUMMYFUNCTION("""COMPUTED_VALUE"""),535.0)</f>
        <v>535</v>
      </c>
      <c r="B536" s="1">
        <f>IFERROR(__xludf.DUMMYFUNCTION("""COMPUTED_VALUE"""),1313489.0)</f>
        <v>1313489</v>
      </c>
      <c r="C536" s="1" t="str">
        <f>IFERROR(__xludf.DUMMYFUNCTION("""COMPUTED_VALUE"""),"2025-1")</f>
        <v>2025-1</v>
      </c>
      <c r="D536" s="1" t="str">
        <f>IFERROR(__xludf.DUMMYFUNCTION("""COMPUTED_VALUE"""),"Admisión Extraordinaria (Traslados)")</f>
        <v>Admisión Extraordinaria (Traslados)</v>
      </c>
      <c r="E536" s="2">
        <f>IFERROR(__xludf.DUMMYFUNCTION("""COMPUTED_VALUE"""),45714.0)</f>
        <v>45714</v>
      </c>
      <c r="F536" s="1" t="str">
        <f>IFERROR(__xludf.DUMMYFUNCTION("""COMPUTED_VALUE"""),"LEIDY SOFÍA")</f>
        <v>LEIDY SOFÍA</v>
      </c>
      <c r="G536" s="1" t="str">
        <f>IFERROR(__xludf.DUMMYFUNCTION("""COMPUTED_VALUE"""),"RAMOS SINCHE")</f>
        <v>RAMOS SINCHE</v>
      </c>
      <c r="H536" s="1" t="str">
        <f>IFERROR(__xludf.DUMMYFUNCTION("""COMPUTED_VALUE"""),"Diseño Gráfico Publicitario")</f>
        <v>Diseño Gráfico Publicitario</v>
      </c>
      <c r="I536" s="1" t="str">
        <f>IFERROR(__xludf.DUMMYFUNCTION("""COMPUTED_VALUE"""),"POS")</f>
        <v>POS</v>
      </c>
      <c r="J536" s="1" t="str">
        <f>IFERROR(__xludf.DUMMYFUNCTION("""COMPUTED_VALUE"""),"Diurno")</f>
        <v>Diurno</v>
      </c>
      <c r="K536" s="1" t="str">
        <f>IFERROR(__xludf.DUMMYFUNCTION("""COMPUTED_VALUE"""),"TRASLADO")</f>
        <v>TRASLADO</v>
      </c>
      <c r="L536" s="1">
        <f>IFERROR(__xludf.DUMMYFUNCTION("""COMPUTED_VALUE"""),1.0)</f>
        <v>1</v>
      </c>
      <c r="M536" s="1">
        <f>IFERROR(__xludf.DUMMYFUNCTION("""COMPUTED_VALUE"""),0.0)</f>
        <v>0</v>
      </c>
      <c r="N536" s="1" t="str">
        <f>IFERROR(__xludf.DUMMYFUNCTION("""COMPUTED_VALUE"""),"RECA")</f>
        <v>RECA</v>
      </c>
      <c r="O536" s="1" t="str">
        <f>IFERROR(__xludf.DUMMYFUNCTION("""COMPUTED_VALUE"""),"RECA TRASLADO CON CONVA")</f>
        <v>RECA TRASLADO CON CONVA</v>
      </c>
      <c r="P536" s="4">
        <f>IFERROR(__xludf.DUMMYFUNCTION("""COMPUTED_VALUE"""),0.0)</f>
        <v>0</v>
      </c>
      <c r="Q536" s="4">
        <f>IFERROR(__xludf.DUMMYFUNCTION("""COMPUTED_VALUE"""),0.0)</f>
        <v>0</v>
      </c>
      <c r="R536" s="4">
        <f>IFERROR(__xludf.DUMMYFUNCTION("""COMPUTED_VALUE"""),750.0)</f>
        <v>750</v>
      </c>
      <c r="S536" s="4">
        <f>IFERROR(__xludf.DUMMYFUNCTION("""COMPUTED_VALUE"""),750.0)</f>
        <v>750</v>
      </c>
      <c r="T536" s="1" t="str">
        <f>IFERROR(__xludf.DUMMYFUNCTION("""COMPUTED_VALUE"""),"NINGUNO")</f>
        <v>NINGUNO</v>
      </c>
      <c r="U536" s="1"/>
      <c r="V536" s="1" t="str">
        <f>IFERROR(__xludf.DUMMYFUNCTION("""COMPUTED_VALUE"""),"Ninguno")</f>
        <v>Ninguno</v>
      </c>
      <c r="W536" s="1" t="str">
        <f>IFERROR(__xludf.DUMMYFUNCTION("""COMPUTED_VALUE"""),"Metodología de enseñanza")</f>
        <v>Metodología de enseñanza</v>
      </c>
      <c r="X536" s="1"/>
      <c r="Y536" s="1" t="str">
        <f>IFERROR(__xludf.DUMMYFUNCTION("""COMPUTED_VALUE"""),"PAGO COMPLETO")</f>
        <v>PAGO COMPLETO</v>
      </c>
      <c r="Z536" s="1"/>
      <c r="AA536" s="1"/>
      <c r="AB536" s="1">
        <f>IFERROR(__xludf.DUMMYFUNCTION("""COMPUTED_VALUE"""),0.0)</f>
        <v>0</v>
      </c>
      <c r="AC536" s="1">
        <f>IFERROR(__xludf.DUMMYFUNCTION("""COMPUTED_VALUE"""),0.0)</f>
        <v>0</v>
      </c>
      <c r="AD536" s="1" t="str">
        <f>IFERROR(__xludf.DUMMYFUNCTION("""COMPUTED_VALUE"""),"Ingrid Guillermo Rivera")</f>
        <v>Ingrid Guillermo Rivera</v>
      </c>
      <c r="AE536" s="1" t="str">
        <f>IFERROR(__xludf.DUMMYFUNCTION("""COMPUTED_VALUE"""),"ISIL")</f>
        <v>ISIL</v>
      </c>
      <c r="AF536" s="1">
        <f>IFERROR(__xludf.DUMMYFUNCTION("""COMPUTED_VALUE"""),2019.0)</f>
        <v>2019</v>
      </c>
      <c r="AG536" s="1">
        <f>IFERROR(__xludf.DUMMYFUNCTION("""COMPUTED_VALUE"""),872762.0)</f>
        <v>872762</v>
      </c>
      <c r="AH536" s="1">
        <f>IFERROR(__xludf.DUMMYFUNCTION("""COMPUTED_VALUE"""),16.0)</f>
        <v>16</v>
      </c>
      <c r="AI536" s="1" t="str">
        <f>IFERROR(__xludf.DUMMYFUNCTION("""COMPUTED_VALUE"""),"0000416577")</f>
        <v>0000416577</v>
      </c>
      <c r="AJ536" s="1">
        <f>IFERROR(__xludf.DUMMYFUNCTION("""COMPUTED_VALUE"""),7.2170378E7)</f>
        <v>72170378</v>
      </c>
      <c r="AK536" s="1">
        <f>IFERROR(__xludf.DUMMYFUNCTION("""COMPUTED_VALUE"""),9.7546676E8)</f>
        <v>975466760</v>
      </c>
      <c r="AL536" s="1" t="str">
        <f>IFERROR(__xludf.DUMMYFUNCTION("""COMPUTED_VALUE"""),"ramosleidysofia@gmail.com")</f>
        <v>ramosleidysofia@gmail.com</v>
      </c>
      <c r="AM536" s="1" t="str">
        <f>IFERROR(__xludf.DUMMYFUNCTION("""COMPUTED_VALUE"""),"FEMENINO")</f>
        <v>FEMENINO</v>
      </c>
      <c r="AN536" s="1">
        <f>IFERROR(__xludf.DUMMYFUNCTION("""COMPUTED_VALUE"""),1850.0)</f>
        <v>1850</v>
      </c>
      <c r="AO536" s="1">
        <f>IFERROR(__xludf.DUMMYFUNCTION("""COMPUTED_VALUE"""),655.0)</f>
        <v>655</v>
      </c>
      <c r="AP536" s="1" t="str">
        <f>IFERROR(__xludf.DUMMYFUNCTION("""COMPUTED_VALUE"""),"OUTBOUND")</f>
        <v>OUTBOUND</v>
      </c>
      <c r="AQ536" s="1" t="str">
        <f>IFERROR(__xludf.DUMMYFUNCTION("""COMPUTED_VALUE"""),"OUTBOUND")</f>
        <v>OUTBOUND</v>
      </c>
      <c r="AR536" s="1" t="str">
        <f>IFERROR(__xludf.DUMMYFUNCTION("""COMPUTED_VALUE"""),"HEREDADO")</f>
        <v>HEREDADO</v>
      </c>
      <c r="AS536" s="1"/>
      <c r="AT536" s="2">
        <f>IFERROR(__xludf.DUMMYFUNCTION("""COMPUTED_VALUE"""),45713.0)</f>
        <v>45713</v>
      </c>
      <c r="AU536" s="1">
        <f>IFERROR(__xludf.DUMMYFUNCTION("""COMPUTED_VALUE"""),1.0)</f>
        <v>1</v>
      </c>
      <c r="AV536" s="1" t="str">
        <f>IFERROR(__xludf.DUMMYFUNCTION("""COMPUTED_VALUE"""),"TRASLADO")</f>
        <v>TRASLADO</v>
      </c>
      <c r="AW536" s="1" t="str">
        <f>IFERROR(__xludf.DUMMYFUNCTION("""COMPUTED_VALUE"""),"SI")</f>
        <v>SI</v>
      </c>
      <c r="AX536" s="1"/>
      <c r="AY536" s="1" t="str">
        <f>IFERROR(__xludf.DUMMYFUNCTION("""COMPUTED_VALUE"""),"PAGO COMPLETO")</f>
        <v>PAGO COMPLETO</v>
      </c>
      <c r="AZ536" s="5">
        <f>IFERROR(__xludf.DUMMYFUNCTION("""COMPUTED_VALUE"""),45714.0)</f>
        <v>45714</v>
      </c>
      <c r="BA536" s="1">
        <f>IFERROR(__xludf.DUMMYFUNCTION("""COMPUTED_VALUE"""),0.0)</f>
        <v>0</v>
      </c>
      <c r="BB536" s="1">
        <f>IFERROR(__xludf.DUMMYFUNCTION("""COMPUTED_VALUE"""),0.0)</f>
        <v>0</v>
      </c>
      <c r="BC536" s="4">
        <f>IFERROR(__xludf.DUMMYFUNCTION("""COMPUTED_VALUE"""),0.0)</f>
        <v>0</v>
      </c>
      <c r="BD536" s="4">
        <f>IFERROR(__xludf.DUMMYFUNCTION("""COMPUTED_VALUE"""),0.0)</f>
        <v>0</v>
      </c>
      <c r="BE536" s="1">
        <f>IFERROR(__xludf.DUMMYFUNCTION("""COMPUTED_VALUE"""),2.0)</f>
        <v>2</v>
      </c>
      <c r="BF536" s="6">
        <f>IFERROR(__xludf.DUMMYFUNCTION("""COMPUTED_VALUE"""),1.0)</f>
        <v>1</v>
      </c>
      <c r="BG536" s="1">
        <f>IFERROR(__xludf.DUMMYFUNCTION("""COMPUTED_VALUE"""),1.0)</f>
        <v>1</v>
      </c>
      <c r="BH536" s="1" t="str">
        <f>IFERROR(__xludf.DUMMYFUNCTION("""COMPUTED_VALUE"""),"1")</f>
        <v>1</v>
      </c>
      <c r="BI536" s="4">
        <f>IFERROR(__xludf.DUMMYFUNCTION("""COMPUTED_VALUE"""),0.0)</f>
        <v>0</v>
      </c>
      <c r="BJ536" s="1">
        <f>IFERROR(__xludf.DUMMYFUNCTION("""COMPUTED_VALUE"""),0.0)</f>
        <v>0</v>
      </c>
      <c r="BK536" s="4">
        <f>IFERROR(__xludf.DUMMYFUNCTION("""COMPUTED_VALUE"""),0.0)</f>
        <v>0</v>
      </c>
      <c r="BL536" s="1">
        <f>IFERROR(__xludf.DUMMYFUNCTION("""COMPUTED_VALUE"""),750.0)</f>
        <v>750</v>
      </c>
      <c r="BM536" s="1">
        <f>IFERROR(__xludf.DUMMYFUNCTION("""COMPUTED_VALUE"""),9.0)</f>
        <v>9</v>
      </c>
      <c r="BN536" s="2">
        <f>IFERROR(__xludf.DUMMYFUNCTION("""COMPUTED_VALUE"""),45712.0)</f>
        <v>45712</v>
      </c>
      <c r="BO536" s="1">
        <f>IFERROR(__xludf.DUMMYFUNCTION("""COMPUTED_VALUE"""),2.0)</f>
        <v>2</v>
      </c>
      <c r="BP536" s="1">
        <f>IFERROR(__xludf.DUMMYFUNCTION("""COMPUTED_VALUE"""),2025.0)</f>
        <v>2025</v>
      </c>
    </row>
    <row r="537">
      <c r="A537" s="1">
        <f>IFERROR(__xludf.DUMMYFUNCTION("""COMPUTED_VALUE"""),536.0)</f>
        <v>536</v>
      </c>
      <c r="B537" s="1">
        <f>IFERROR(__xludf.DUMMYFUNCTION("""COMPUTED_VALUE"""),5046045.0)</f>
        <v>5046045</v>
      </c>
      <c r="C537" s="1" t="str">
        <f>IFERROR(__xludf.DUMMYFUNCTION("""COMPUTED_VALUE"""),"2025-1")</f>
        <v>2025-1</v>
      </c>
      <c r="D537" s="1" t="str">
        <f>IFERROR(__xludf.DUMMYFUNCTION("""COMPUTED_VALUE"""),"Admisión Ordinaria")</f>
        <v>Admisión Ordinaria</v>
      </c>
      <c r="E537" s="2">
        <f>IFERROR(__xludf.DUMMYFUNCTION("""COMPUTED_VALUE"""),45714.0)</f>
        <v>45714</v>
      </c>
      <c r="F537" s="1" t="str">
        <f>IFERROR(__xludf.DUMMYFUNCTION("""COMPUTED_VALUE"""),"JEAN PIERRE ERICSON ")</f>
        <v>JEAN PIERRE ERICSON </v>
      </c>
      <c r="G537" s="1" t="str">
        <f>IFERROR(__xludf.DUMMYFUNCTION("""COMPUTED_VALUE"""),"CABRERA SINARAHUA")</f>
        <v>CABRERA SINARAHUA</v>
      </c>
      <c r="H537" s="1" t="str">
        <f>IFERROR(__xludf.DUMMYFUNCTION("""COMPUTED_VALUE"""),"Comunicación y Publicidad Transmedia")</f>
        <v>Comunicación y Publicidad Transmedia</v>
      </c>
      <c r="I537" s="1" t="str">
        <f>IFERROR(__xludf.DUMMYFUNCTION("""COMPUTED_VALUE"""),"Pago Link")</f>
        <v>Pago Link</v>
      </c>
      <c r="J537" s="1" t="str">
        <f>IFERROR(__xludf.DUMMYFUNCTION("""COMPUTED_VALUE"""),"Diurno")</f>
        <v>Diurno</v>
      </c>
      <c r="K537" s="1" t="str">
        <f>IFERROR(__xludf.DUMMYFUNCTION("""COMPUTED_VALUE"""),"NUEVO")</f>
        <v>NUEVO</v>
      </c>
      <c r="L537" s="1">
        <f>IFERROR(__xludf.DUMMYFUNCTION("""COMPUTED_VALUE"""),0.0)</f>
        <v>0</v>
      </c>
      <c r="M537" s="1">
        <f>IFERROR(__xludf.DUMMYFUNCTION("""COMPUTED_VALUE"""),0.0)</f>
        <v>0</v>
      </c>
      <c r="N537" s="1" t="str">
        <f>IFERROR(__xludf.DUMMYFUNCTION("""COMPUTED_VALUE"""),"BECA")</f>
        <v>BECA</v>
      </c>
      <c r="O537" s="1" t="str">
        <f>IFERROR(__xludf.DUMMYFUNCTION("""COMPUTED_VALUE"""),"BECA CONGELADA DE 2 AÑOS")</f>
        <v>BECA CONGELADA DE 2 AÑOS</v>
      </c>
      <c r="P537" s="4">
        <f>IFERROR(__xludf.DUMMYFUNCTION("""COMPUTED_VALUE"""),0.0)</f>
        <v>0</v>
      </c>
      <c r="Q537" s="4">
        <f>IFERROR(__xludf.DUMMYFUNCTION("""COMPUTED_VALUE"""),0.0)</f>
        <v>0</v>
      </c>
      <c r="R537" s="4">
        <f>IFERROR(__xludf.DUMMYFUNCTION("""COMPUTED_VALUE"""),1050.0)</f>
        <v>1050</v>
      </c>
      <c r="S537" s="4">
        <f>IFERROR(__xludf.DUMMYFUNCTION("""COMPUTED_VALUE"""),900.0)</f>
        <v>900</v>
      </c>
      <c r="T537" s="1" t="str">
        <f>IFERROR(__xludf.DUMMYFUNCTION("""COMPUTED_VALUE"""),"PALANCA 500")</f>
        <v>PALANCA 500</v>
      </c>
      <c r="U537" s="1" t="str">
        <f>IFERROR(__xludf.DUMMYFUNCTION("""COMPUTED_VALUE"""),"RODRIGO")</f>
        <v>RODRIGO</v>
      </c>
      <c r="V537" s="1" t="str">
        <f>IFERROR(__xludf.DUMMYFUNCTION("""COMPUTED_VALUE"""),"Ninguno")</f>
        <v>Ninguno</v>
      </c>
      <c r="W537" s="1" t="str">
        <f>IFERROR(__xludf.DUMMYFUNCTION("""COMPUTED_VALUE"""),"Bolsa Laboral")</f>
        <v>Bolsa Laboral</v>
      </c>
      <c r="X537" s="1" t="str">
        <f>IFERROR(__xludf.DUMMYFUNCTION("""COMPUTED_VALUE"""),"0")</f>
        <v>0</v>
      </c>
      <c r="Y537" s="1" t="str">
        <f>IFERROR(__xludf.DUMMYFUNCTION("""COMPUTED_VALUE"""),"PAGO COMPLETO")</f>
        <v>PAGO COMPLETO</v>
      </c>
      <c r="Z537" s="1"/>
      <c r="AA537" s="1"/>
      <c r="AB537" s="1">
        <f>IFERROR(__xludf.DUMMYFUNCTION("""COMPUTED_VALUE"""),0.0)</f>
        <v>0</v>
      </c>
      <c r="AC537" s="1">
        <f>IFERROR(__xludf.DUMMYFUNCTION("""COMPUTED_VALUE"""),0.0)</f>
        <v>0</v>
      </c>
      <c r="AD537" s="1" t="str">
        <f>IFERROR(__xludf.DUMMYFUNCTION("""COMPUTED_VALUE"""),"Andrea Araujo Antara")</f>
        <v>Andrea Araujo Antara</v>
      </c>
      <c r="AE537" s="1" t="str">
        <f>IFERROR(__xludf.DUMMYFUNCTION("""COMPUTED_VALUE"""),"0")</f>
        <v>0</v>
      </c>
      <c r="AF537" s="1">
        <f>IFERROR(__xludf.DUMMYFUNCTION("""COMPUTED_VALUE"""),2020.0)</f>
        <v>2020</v>
      </c>
      <c r="AG537" s="1">
        <f>IFERROR(__xludf.DUMMYFUNCTION("""COMPUTED_VALUE"""),0.0)</f>
        <v>0</v>
      </c>
      <c r="AH537" s="1">
        <f>IFERROR(__xludf.DUMMYFUNCTION("""COMPUTED_VALUE"""),29.0)</f>
        <v>29</v>
      </c>
      <c r="AI537" s="1" t="str">
        <f>IFERROR(__xludf.DUMMYFUNCTION("""COMPUTED_VALUE"""),"0000416727")</f>
        <v>0000416727</v>
      </c>
      <c r="AJ537" s="1">
        <f>IFERROR(__xludf.DUMMYFUNCTION("""COMPUTED_VALUE"""),7.589791E7)</f>
        <v>75897910</v>
      </c>
      <c r="AK537" s="1">
        <f>IFERROR(__xludf.DUMMYFUNCTION("""COMPUTED_VALUE"""),9.34707945E8)</f>
        <v>934707945</v>
      </c>
      <c r="AL537" s="1" t="str">
        <f>IFERROR(__xludf.DUMMYFUNCTION("""COMPUTED_VALUE"""),"jeanpierreecs@gmail.com")</f>
        <v>jeanpierreecs@gmail.com</v>
      </c>
      <c r="AM537" s="1" t="str">
        <f>IFERROR(__xludf.DUMMYFUNCTION("""COMPUTED_VALUE"""),"MASCULINO")</f>
        <v>MASCULINO</v>
      </c>
      <c r="AN537" s="1">
        <f>IFERROR(__xludf.DUMMYFUNCTION("""COMPUTED_VALUE"""),0.0)</f>
        <v>0</v>
      </c>
      <c r="AO537" s="1">
        <f>IFERROR(__xludf.DUMMYFUNCTION("""COMPUTED_VALUE"""),0.0)</f>
        <v>0</v>
      </c>
      <c r="AP537" s="1" t="str">
        <f>IFERROR(__xludf.DUMMYFUNCTION("""COMPUTED_VALUE"""),"FORMULARIO")</f>
        <v>FORMULARIO</v>
      </c>
      <c r="AQ537" s="1" t="str">
        <f>IFERROR(__xludf.DUMMYFUNCTION("""COMPUTED_VALUE"""),"SEARCH CARRERA")</f>
        <v>SEARCH CARRERA</v>
      </c>
      <c r="AR537" s="1" t="str">
        <f>IFERROR(__xludf.DUMMYFUNCTION("""COMPUTED_VALUE"""),"NUEVO")</f>
        <v>NUEVO</v>
      </c>
      <c r="AS537" s="1" t="str">
        <f>IFERROR(__xludf.DUMMYFUNCTION("""COMPUTED_VALUE"""),"ucal-pg-performance-sedes-abierta-cpl-search_conversion_carrera_marketing_e_innovacion-20250220")</f>
        <v>ucal-pg-performance-sedes-abierta-cpl-search_conversion_carrera_marketing_e_innovacion-20250220</v>
      </c>
      <c r="AT537" s="2">
        <f>IFERROR(__xludf.DUMMYFUNCTION("""COMPUTED_VALUE"""),45714.0)</f>
        <v>45714</v>
      </c>
      <c r="AU537" s="1">
        <f>IFERROR(__xludf.DUMMYFUNCTION("""COMPUTED_VALUE"""),1.0)</f>
        <v>1</v>
      </c>
      <c r="AV537" s="1" t="str">
        <f>IFERROR(__xludf.DUMMYFUNCTION("""COMPUTED_VALUE"""),"NUEVO")</f>
        <v>NUEVO</v>
      </c>
      <c r="AW537" s="1" t="str">
        <f>IFERROR(__xludf.DUMMYFUNCTION("""COMPUTED_VALUE"""),"SI")</f>
        <v>SI</v>
      </c>
      <c r="AX537" s="1"/>
      <c r="AY537" s="1" t="str">
        <f>IFERROR(__xludf.DUMMYFUNCTION("""COMPUTED_VALUE"""),"PAGO COMPLETO")</f>
        <v>PAGO COMPLETO</v>
      </c>
      <c r="AZ537" s="5">
        <f>IFERROR(__xludf.DUMMYFUNCTION("""COMPUTED_VALUE"""),45714.0)</f>
        <v>45714</v>
      </c>
      <c r="BA537" s="1">
        <f>IFERROR(__xludf.DUMMYFUNCTION("""COMPUTED_VALUE"""),0.0)</f>
        <v>0</v>
      </c>
      <c r="BB537" s="1">
        <f>IFERROR(__xludf.DUMMYFUNCTION("""COMPUTED_VALUE"""),0.0)</f>
        <v>0</v>
      </c>
      <c r="BC537" s="4">
        <f>IFERROR(__xludf.DUMMYFUNCTION("""COMPUTED_VALUE"""),0.0)</f>
        <v>0</v>
      </c>
      <c r="BD537" s="4">
        <f>IFERROR(__xludf.DUMMYFUNCTION("""COMPUTED_VALUE"""),400.0)</f>
        <v>400</v>
      </c>
      <c r="BE537" s="1">
        <f>IFERROR(__xludf.DUMMYFUNCTION("""COMPUTED_VALUE"""),2.0)</f>
        <v>2</v>
      </c>
      <c r="BF537" s="6">
        <f>IFERROR(__xludf.DUMMYFUNCTION("""COMPUTED_VALUE"""),1.0)</f>
        <v>1</v>
      </c>
      <c r="BG537" s="1">
        <f>IFERROR(__xludf.DUMMYFUNCTION("""COMPUTED_VALUE"""),1.0)</f>
        <v>1</v>
      </c>
      <c r="BH537" s="1" t="str">
        <f>IFERROR(__xludf.DUMMYFUNCTION("""COMPUTED_VALUE"""),"0")</f>
        <v>0</v>
      </c>
      <c r="BI537" s="4">
        <f>IFERROR(__xludf.DUMMYFUNCTION("""COMPUTED_VALUE"""),400.0)</f>
        <v>400</v>
      </c>
      <c r="BJ537" s="1">
        <f>IFERROR(__xludf.DUMMYFUNCTION("""COMPUTED_VALUE"""),0.0)</f>
        <v>0</v>
      </c>
      <c r="BK537" s="4">
        <f>IFERROR(__xludf.DUMMYFUNCTION("""COMPUTED_VALUE"""),400.0)</f>
        <v>400</v>
      </c>
      <c r="BL537" s="1">
        <f>IFERROR(__xludf.DUMMYFUNCTION("""COMPUTED_VALUE"""),820.0)</f>
        <v>820</v>
      </c>
      <c r="BM537" s="1">
        <f>IFERROR(__xludf.DUMMYFUNCTION("""COMPUTED_VALUE"""),9.0)</f>
        <v>9</v>
      </c>
      <c r="BN537" s="2">
        <f>IFERROR(__xludf.DUMMYFUNCTION("""COMPUTED_VALUE"""),45712.0)</f>
        <v>45712</v>
      </c>
      <c r="BO537" s="1">
        <f>IFERROR(__xludf.DUMMYFUNCTION("""COMPUTED_VALUE"""),2.0)</f>
        <v>2</v>
      </c>
      <c r="BP537" s="1">
        <f>IFERROR(__xludf.DUMMYFUNCTION("""COMPUTED_VALUE"""),2025.0)</f>
        <v>2025</v>
      </c>
    </row>
    <row r="538">
      <c r="A538" s="1">
        <f>IFERROR(__xludf.DUMMYFUNCTION("""COMPUTED_VALUE"""),537.0)</f>
        <v>537</v>
      </c>
      <c r="B538" s="1">
        <f>IFERROR(__xludf.DUMMYFUNCTION("""COMPUTED_VALUE"""),5042676.0)</f>
        <v>5042676</v>
      </c>
      <c r="C538" s="1" t="str">
        <f>IFERROR(__xludf.DUMMYFUNCTION("""COMPUTED_VALUE"""),"2025-1")</f>
        <v>2025-1</v>
      </c>
      <c r="D538" s="1" t="str">
        <f>IFERROR(__xludf.DUMMYFUNCTION("""COMPUTED_VALUE"""),"Admisión Ordinaria")</f>
        <v>Admisión Ordinaria</v>
      </c>
      <c r="E538" s="2">
        <f>IFERROR(__xludf.DUMMYFUNCTION("""COMPUTED_VALUE"""),45714.0)</f>
        <v>45714</v>
      </c>
      <c r="F538" s="1" t="str">
        <f>IFERROR(__xludf.DUMMYFUNCTION("""COMPUTED_VALUE"""),"LUCIANO")</f>
        <v>LUCIANO</v>
      </c>
      <c r="G538" s="1" t="str">
        <f>IFERROR(__xludf.DUMMYFUNCTION("""COMPUTED_VALUE"""),"RAVAZZANI PATIÑO")</f>
        <v>RAVAZZANI PATIÑO</v>
      </c>
      <c r="H538" s="1" t="str">
        <f>IFERROR(__xludf.DUMMYFUNCTION("""COMPUTED_VALUE"""),"Marketing e Innovación")</f>
        <v>Marketing e Innovación</v>
      </c>
      <c r="I538" s="1" t="str">
        <f>IFERROR(__xludf.DUMMYFUNCTION("""COMPUTED_VALUE"""),"CARGO")</f>
        <v>CARGO</v>
      </c>
      <c r="J538" s="1" t="str">
        <f>IFERROR(__xludf.DUMMYFUNCTION("""COMPUTED_VALUE"""),"Diurno")</f>
        <v>Diurno</v>
      </c>
      <c r="K538" s="1" t="str">
        <f>IFERROR(__xludf.DUMMYFUNCTION("""COMPUTED_VALUE"""),"NUEVO")</f>
        <v>NUEVO</v>
      </c>
      <c r="L538" s="1">
        <f>IFERROR(__xludf.DUMMYFUNCTION("""COMPUTED_VALUE"""),0.0)</f>
        <v>0</v>
      </c>
      <c r="M538" s="1">
        <f>IFERROR(__xludf.DUMMYFUNCTION("""COMPUTED_VALUE"""),0.0)</f>
        <v>0</v>
      </c>
      <c r="N538" s="1" t="str">
        <f>IFERROR(__xludf.DUMMYFUNCTION("""COMPUTED_VALUE"""),"BECA")</f>
        <v>BECA</v>
      </c>
      <c r="O538" s="1" t="str">
        <f>IFERROR(__xludf.DUMMYFUNCTION("""COMPUTED_VALUE"""),"BECA CONGELADA DE 2 AÑOS")</f>
        <v>BECA CONGELADA DE 2 AÑOS</v>
      </c>
      <c r="P538" s="4">
        <f>IFERROR(__xludf.DUMMYFUNCTION("""COMPUTED_VALUE"""),100.0)</f>
        <v>100</v>
      </c>
      <c r="Q538" s="4">
        <f>IFERROR(__xludf.DUMMYFUNCTION("""COMPUTED_VALUE"""),237.5)</f>
        <v>237.5</v>
      </c>
      <c r="R538" s="4">
        <f>IFERROR(__xludf.DUMMYFUNCTION("""COMPUTED_VALUE"""),1650.0)</f>
        <v>1650</v>
      </c>
      <c r="S538" s="4">
        <f>IFERROR(__xludf.DUMMYFUNCTION("""COMPUTED_VALUE"""),1330.0)</f>
        <v>1330</v>
      </c>
      <c r="T538" s="1" t="str">
        <f>IFERROR(__xludf.DUMMYFUNCTION("""COMPUTED_VALUE"""),"PALANCA 500")</f>
        <v>PALANCA 500</v>
      </c>
      <c r="U538" s="1" t="str">
        <f>IFERROR(__xludf.DUMMYFUNCTION("""COMPUTED_VALUE"""),"RODRIGO")</f>
        <v>RODRIGO</v>
      </c>
      <c r="V538" s="1" t="str">
        <f>IFERROR(__xludf.DUMMYFUNCTION("""COMPUTED_VALUE"""),"Ninguno")</f>
        <v>Ninguno</v>
      </c>
      <c r="W538" s="1" t="str">
        <f>IFERROR(__xludf.DUMMYFUNCTION("""COMPUTED_VALUE"""),"Ubicación de sede")</f>
        <v>Ubicación de sede</v>
      </c>
      <c r="X538" s="1"/>
      <c r="Y538" s="1" t="str">
        <f>IFERROR(__xludf.DUMMYFUNCTION("""COMPUTED_VALUE"""),"PAGO COMPLETO")</f>
        <v>PAGO COMPLETO</v>
      </c>
      <c r="Z538" s="1"/>
      <c r="AA538" s="1"/>
      <c r="AB538" s="1">
        <f>IFERROR(__xludf.DUMMYFUNCTION("""COMPUTED_VALUE"""),0.0)</f>
        <v>0</v>
      </c>
      <c r="AC538" s="1">
        <f>IFERROR(__xludf.DUMMYFUNCTION("""COMPUTED_VALUE"""),0.0)</f>
        <v>0</v>
      </c>
      <c r="AD538" s="1" t="str">
        <f>IFERROR(__xludf.DUMMYFUNCTION("""COMPUTED_VALUE"""),"Angelica Iparraguirre")</f>
        <v>Angelica Iparraguirre</v>
      </c>
      <c r="AE538" s="1" t="str">
        <f>IFERROR(__xludf.DUMMYFUNCTION("""COMPUTED_VALUE"""),"0")</f>
        <v>0</v>
      </c>
      <c r="AF538" s="1">
        <f>IFERROR(__xludf.DUMMYFUNCTION("""COMPUTED_VALUE"""),2023.0)</f>
        <v>2023</v>
      </c>
      <c r="AG538" s="1">
        <f>IFERROR(__xludf.DUMMYFUNCTION("""COMPUTED_VALUE"""),1508779.0)</f>
        <v>1508779</v>
      </c>
      <c r="AH538" s="1">
        <f>IFERROR(__xludf.DUMMYFUNCTION("""COMPUTED_VALUE"""),19.0)</f>
        <v>19</v>
      </c>
      <c r="AI538" s="1" t="str">
        <f>IFERROR(__xludf.DUMMYFUNCTION("""COMPUTED_VALUE"""),"0000416688")</f>
        <v>0000416688</v>
      </c>
      <c r="AJ538" s="1">
        <f>IFERROR(__xludf.DUMMYFUNCTION("""COMPUTED_VALUE"""),7.757002E7)</f>
        <v>77570020</v>
      </c>
      <c r="AK538" s="1">
        <f>IFERROR(__xludf.DUMMYFUNCTION("""COMPUTED_VALUE"""),9.70826572E8)</f>
        <v>970826572</v>
      </c>
      <c r="AL538" s="1" t="str">
        <f>IFERROR(__xludf.DUMMYFUNCTION("""COMPUTED_VALUE"""),"lukiravazzanip@gmail.com")</f>
        <v>lukiravazzanip@gmail.com</v>
      </c>
      <c r="AM538" s="1" t="str">
        <f>IFERROR(__xludf.DUMMYFUNCTION("""COMPUTED_VALUE"""),"MASCULINO")</f>
        <v>MASCULINO</v>
      </c>
      <c r="AN538" s="1">
        <f>IFERROR(__xludf.DUMMYFUNCTION("""COMPUTED_VALUE"""),1850.0)</f>
        <v>1850</v>
      </c>
      <c r="AO538" s="1">
        <f>IFERROR(__xludf.DUMMYFUNCTION("""COMPUTED_VALUE"""),800.0)</f>
        <v>800</v>
      </c>
      <c r="AP538" s="1" t="str">
        <f>IFERROR(__xludf.DUMMYFUNCTION("""COMPUTED_VALUE"""),"FORMULARIO")</f>
        <v>FORMULARIO</v>
      </c>
      <c r="AQ538" s="1" t="str">
        <f>IFERROR(__xludf.DUMMYFUNCTION("""COMPUTED_VALUE"""),"SEARCH MARCA")</f>
        <v>SEARCH MARCA</v>
      </c>
      <c r="AR538" s="1" t="str">
        <f>IFERROR(__xludf.DUMMYFUNCTION("""COMPUTED_VALUE"""),"NUEVO")</f>
        <v>NUEVO</v>
      </c>
      <c r="AS538" s="1" t="str">
        <f>IFERROR(__xludf.DUMMYFUNCTION("""COMPUTED_VALUE"""),"ucal-pg-performance-sedes-abierta-cpl-search_conversion_marca-20240401")</f>
        <v>ucal-pg-performance-sedes-abierta-cpl-search_conversion_marca-20240401</v>
      </c>
      <c r="AT538" s="2">
        <f>IFERROR(__xludf.DUMMYFUNCTION("""COMPUTED_VALUE"""),45712.0)</f>
        <v>45712</v>
      </c>
      <c r="AU538" s="1">
        <f>IFERROR(__xludf.DUMMYFUNCTION("""COMPUTED_VALUE"""),1.0)</f>
        <v>1</v>
      </c>
      <c r="AV538" s="1" t="str">
        <f>IFERROR(__xludf.DUMMYFUNCTION("""COMPUTED_VALUE"""),"NUEVO")</f>
        <v>NUEVO</v>
      </c>
      <c r="AW538" s="1" t="str">
        <f>IFERROR(__xludf.DUMMYFUNCTION("""COMPUTED_VALUE"""),"SI")</f>
        <v>SI</v>
      </c>
      <c r="AX538" s="1"/>
      <c r="AY538" s="1" t="str">
        <f>IFERROR(__xludf.DUMMYFUNCTION("""COMPUTED_VALUE"""),"PAGO COMPLETO")</f>
        <v>PAGO COMPLETO</v>
      </c>
      <c r="AZ538" s="5">
        <f>IFERROR(__xludf.DUMMYFUNCTION("""COMPUTED_VALUE"""),45714.0)</f>
        <v>45714</v>
      </c>
      <c r="BA538" s="1">
        <f>IFERROR(__xludf.DUMMYFUNCTION("""COMPUTED_VALUE"""),0.0)</f>
        <v>0</v>
      </c>
      <c r="BB538" s="1">
        <f>IFERROR(__xludf.DUMMYFUNCTION("""COMPUTED_VALUE"""),0.0)</f>
        <v>0</v>
      </c>
      <c r="BC538" s="4">
        <f>IFERROR(__xludf.DUMMYFUNCTION("""COMPUTED_VALUE"""),0.0)</f>
        <v>0</v>
      </c>
      <c r="BD538" s="4">
        <f>IFERROR(__xludf.DUMMYFUNCTION("""COMPUTED_VALUE"""),830.0)</f>
        <v>830</v>
      </c>
      <c r="BE538" s="1">
        <f>IFERROR(__xludf.DUMMYFUNCTION("""COMPUTED_VALUE"""),2.0)</f>
        <v>2</v>
      </c>
      <c r="BF538" s="6">
        <f>IFERROR(__xludf.DUMMYFUNCTION("""COMPUTED_VALUE"""),1.0)</f>
        <v>1</v>
      </c>
      <c r="BG538" s="1">
        <f>IFERROR(__xludf.DUMMYFUNCTION("""COMPUTED_VALUE"""),1.0)</f>
        <v>1</v>
      </c>
      <c r="BH538" s="1" t="str">
        <f>IFERROR(__xludf.DUMMYFUNCTION("""COMPUTED_VALUE"""),"0")</f>
        <v>0</v>
      </c>
      <c r="BI538" s="4">
        <f>IFERROR(__xludf.DUMMYFUNCTION("""COMPUTED_VALUE"""),830.0)</f>
        <v>830</v>
      </c>
      <c r="BJ538" s="1">
        <f>IFERROR(__xludf.DUMMYFUNCTION("""COMPUTED_VALUE"""),0.0)</f>
        <v>0</v>
      </c>
      <c r="BK538" s="4">
        <f>IFERROR(__xludf.DUMMYFUNCTION("""COMPUTED_VALUE"""),830.0)</f>
        <v>830</v>
      </c>
      <c r="BL538" s="1">
        <f>IFERROR(__xludf.DUMMYFUNCTION("""COMPUTED_VALUE"""),1164.0)</f>
        <v>1164</v>
      </c>
      <c r="BM538" s="1">
        <f>IFERROR(__xludf.DUMMYFUNCTION("""COMPUTED_VALUE"""),9.0)</f>
        <v>9</v>
      </c>
      <c r="BN538" s="2">
        <f>IFERROR(__xludf.DUMMYFUNCTION("""COMPUTED_VALUE"""),45712.0)</f>
        <v>45712</v>
      </c>
      <c r="BO538" s="1">
        <f>IFERROR(__xludf.DUMMYFUNCTION("""COMPUTED_VALUE"""),2.0)</f>
        <v>2</v>
      </c>
      <c r="BP538" s="1">
        <f>IFERROR(__xludf.DUMMYFUNCTION("""COMPUTED_VALUE"""),2025.0)</f>
        <v>2025</v>
      </c>
    </row>
    <row r="539">
      <c r="A539" s="1">
        <f>IFERROR(__xludf.DUMMYFUNCTION("""COMPUTED_VALUE"""),538.0)</f>
        <v>538</v>
      </c>
      <c r="B539" s="1">
        <f>IFERROR(__xludf.DUMMYFUNCTION("""COMPUTED_VALUE"""),2984179.0)</f>
        <v>2984179</v>
      </c>
      <c r="C539" s="1" t="str">
        <f>IFERROR(__xludf.DUMMYFUNCTION("""COMPUTED_VALUE"""),"2025-1")</f>
        <v>2025-1</v>
      </c>
      <c r="D539" s="1" t="str">
        <f>IFERROR(__xludf.DUMMYFUNCTION("""COMPUTED_VALUE"""),"Admisión de Alto Rendimiento")</f>
        <v>Admisión de Alto Rendimiento</v>
      </c>
      <c r="E539" s="2">
        <f>IFERROR(__xludf.DUMMYFUNCTION("""COMPUTED_VALUE"""),45714.0)</f>
        <v>45714</v>
      </c>
      <c r="F539" s="1" t="str">
        <f>IFERROR(__xludf.DUMMYFUNCTION("""COMPUTED_VALUE"""),"ANDREA ORIEL")</f>
        <v>ANDREA ORIEL</v>
      </c>
      <c r="G539" s="1" t="str">
        <f>IFERROR(__xludf.DUMMYFUNCTION("""COMPUTED_VALUE"""),"RUIZ PALOMINO")</f>
        <v>RUIZ PALOMINO</v>
      </c>
      <c r="H539" s="1" t="str">
        <f>IFERROR(__xludf.DUMMYFUNCTION("""COMPUTED_VALUE"""),"Comunicación Audiovisual y Cine")</f>
        <v>Comunicación Audiovisual y Cine</v>
      </c>
      <c r="I539" s="1" t="str">
        <f>IFERROR(__xludf.DUMMYFUNCTION("""COMPUTED_VALUE"""),"Pago Link")</f>
        <v>Pago Link</v>
      </c>
      <c r="J539" s="1" t="str">
        <f>IFERROR(__xludf.DUMMYFUNCTION("""COMPUTED_VALUE"""),"Diurno")</f>
        <v>Diurno</v>
      </c>
      <c r="K539" s="1" t="str">
        <f>IFERROR(__xludf.DUMMYFUNCTION("""COMPUTED_VALUE"""),"NUEVO")</f>
        <v>NUEVO</v>
      </c>
      <c r="L539" s="1">
        <f>IFERROR(__xludf.DUMMYFUNCTION("""COMPUTED_VALUE"""),0.0)</f>
        <v>0</v>
      </c>
      <c r="M539" s="1">
        <f>IFERROR(__xludf.DUMMYFUNCTION("""COMPUTED_VALUE"""),0.0)</f>
        <v>0</v>
      </c>
      <c r="N539" s="1" t="str">
        <f>IFERROR(__xludf.DUMMYFUNCTION("""COMPUTED_VALUE"""),"BECA")</f>
        <v>BECA</v>
      </c>
      <c r="O539" s="1" t="str">
        <f>IFERROR(__xludf.DUMMYFUNCTION("""COMPUTED_VALUE"""),"BECA CONGELADA DE 2 AÑOS")</f>
        <v>BECA CONGELADA DE 2 AÑOS</v>
      </c>
      <c r="P539" s="4">
        <f>IFERROR(__xludf.DUMMYFUNCTION("""COMPUTED_VALUE"""),0.0)</f>
        <v>0</v>
      </c>
      <c r="Q539" s="4">
        <f>IFERROR(__xludf.DUMMYFUNCTION("""COMPUTED_VALUE"""),0.0)</f>
        <v>0</v>
      </c>
      <c r="R539" s="4">
        <f>IFERROR(__xludf.DUMMYFUNCTION("""COMPUTED_VALUE"""),950.0)</f>
        <v>950</v>
      </c>
      <c r="S539" s="4">
        <f>IFERROR(__xludf.DUMMYFUNCTION("""COMPUTED_VALUE"""),800.0)</f>
        <v>800</v>
      </c>
      <c r="T539" s="1" t="str">
        <f>IFERROR(__xludf.DUMMYFUNCTION("""COMPUTED_VALUE"""),"PALANCA 500")</f>
        <v>PALANCA 500</v>
      </c>
      <c r="U539" s="1" t="str">
        <f>IFERROR(__xludf.DUMMYFUNCTION("""COMPUTED_VALUE"""),"RODRIGO")</f>
        <v>RODRIGO</v>
      </c>
      <c r="V539" s="1" t="str">
        <f>IFERROR(__xludf.DUMMYFUNCTION("""COMPUTED_VALUE"""),"Ninguno")</f>
        <v>Ninguno</v>
      </c>
      <c r="W539" s="1" t="str">
        <f>IFERROR(__xludf.DUMMYFUNCTION("""COMPUTED_VALUE"""),"Ubicación de sede")</f>
        <v>Ubicación de sede</v>
      </c>
      <c r="X539" s="1"/>
      <c r="Y539" s="1" t="str">
        <f>IFERROR(__xludf.DUMMYFUNCTION("""COMPUTED_VALUE"""),"PAGO COMPLETO")</f>
        <v>PAGO COMPLETO</v>
      </c>
      <c r="Z539" s="1"/>
      <c r="AA539" s="1"/>
      <c r="AB539" s="1">
        <f>IFERROR(__xludf.DUMMYFUNCTION("""COMPUTED_VALUE"""),0.0)</f>
        <v>0</v>
      </c>
      <c r="AC539" s="1">
        <f>IFERROR(__xludf.DUMMYFUNCTION("""COMPUTED_VALUE"""),0.0)</f>
        <v>0</v>
      </c>
      <c r="AD539" s="1" t="str">
        <f>IFERROR(__xludf.DUMMYFUNCTION("""COMPUTED_VALUE"""),"Angelica Iparraguirre")</f>
        <v>Angelica Iparraguirre</v>
      </c>
      <c r="AE539" s="1" t="str">
        <f>IFERROR(__xludf.DUMMYFUNCTION("""COMPUTED_VALUE"""),"0")</f>
        <v>0</v>
      </c>
      <c r="AF539" s="1">
        <f>IFERROR(__xludf.DUMMYFUNCTION("""COMPUTED_VALUE"""),2024.0)</f>
        <v>2024</v>
      </c>
      <c r="AG539" s="1">
        <f>IFERROR(__xludf.DUMMYFUNCTION("""COMPUTED_VALUE"""),777995.0)</f>
        <v>777995</v>
      </c>
      <c r="AH539" s="1">
        <f>IFERROR(__xludf.DUMMYFUNCTION("""COMPUTED_VALUE"""),18.0)</f>
        <v>18</v>
      </c>
      <c r="AI539" s="1" t="str">
        <f>IFERROR(__xludf.DUMMYFUNCTION("""COMPUTED_VALUE"""),"0000416795")</f>
        <v>0000416795</v>
      </c>
      <c r="AJ539" s="1">
        <f>IFERROR(__xludf.DUMMYFUNCTION("""COMPUTED_VALUE"""),7.0697134E7)</f>
        <v>70697134</v>
      </c>
      <c r="AK539" s="1">
        <f>IFERROR(__xludf.DUMMYFUNCTION("""COMPUTED_VALUE"""),9.16343352E8)</f>
        <v>916343352</v>
      </c>
      <c r="AL539" s="1" t="str">
        <f>IFERROR(__xludf.DUMMYFUNCTION("""COMPUTED_VALUE"""),"oriel.ariela@gmail.com")</f>
        <v>oriel.ariela@gmail.com</v>
      </c>
      <c r="AM539" s="1" t="str">
        <f>IFERROR(__xludf.DUMMYFUNCTION("""COMPUTED_VALUE"""),"FEMENINO")</f>
        <v>FEMENINO</v>
      </c>
      <c r="AN539" s="1">
        <f>IFERROR(__xludf.DUMMYFUNCTION("""COMPUTED_VALUE"""),1350.0)</f>
        <v>1350</v>
      </c>
      <c r="AO539" s="1">
        <f>IFERROR(__xludf.DUMMYFUNCTION("""COMPUTED_VALUE"""),0.0)</f>
        <v>0</v>
      </c>
      <c r="AP539" s="1" t="str">
        <f>IFERROR(__xludf.DUMMYFUNCTION("""COMPUTED_VALUE"""),"OUTBOUND")</f>
        <v>OUTBOUND</v>
      </c>
      <c r="AQ539" s="1" t="str">
        <f>IFERROR(__xludf.DUMMYFUNCTION("""COMPUTED_VALUE"""),"OUTBOUND")</f>
        <v>OUTBOUND</v>
      </c>
      <c r="AR539" s="1" t="str">
        <f>IFERROR(__xludf.DUMMYFUNCTION("""COMPUTED_VALUE"""),"NUEVO")</f>
        <v>NUEVO</v>
      </c>
      <c r="AS539" s="1"/>
      <c r="AT539" s="2">
        <f>IFERROR(__xludf.DUMMYFUNCTION("""COMPUTED_VALUE"""),45712.0)</f>
        <v>45712</v>
      </c>
      <c r="AU539" s="1">
        <f>IFERROR(__xludf.DUMMYFUNCTION("""COMPUTED_VALUE"""),1.0)</f>
        <v>1</v>
      </c>
      <c r="AV539" s="1" t="str">
        <f>IFERROR(__xludf.DUMMYFUNCTION("""COMPUTED_VALUE"""),"NUEVO")</f>
        <v>NUEVO</v>
      </c>
      <c r="AW539" s="1" t="str">
        <f>IFERROR(__xludf.DUMMYFUNCTION("""COMPUTED_VALUE"""),"SI")</f>
        <v>SI</v>
      </c>
      <c r="AX539" s="1"/>
      <c r="AY539" s="1" t="str">
        <f>IFERROR(__xludf.DUMMYFUNCTION("""COMPUTED_VALUE"""),"PAGO COMPLETO")</f>
        <v>PAGO COMPLETO</v>
      </c>
      <c r="AZ539" s="5">
        <f>IFERROR(__xludf.DUMMYFUNCTION("""COMPUTED_VALUE"""),45714.0)</f>
        <v>45714</v>
      </c>
      <c r="BA539" s="1">
        <f>IFERROR(__xludf.DUMMYFUNCTION("""COMPUTED_VALUE"""),0.0)</f>
        <v>0</v>
      </c>
      <c r="BB539" s="1">
        <f>IFERROR(__xludf.DUMMYFUNCTION("""COMPUTED_VALUE"""),0.0)</f>
        <v>0</v>
      </c>
      <c r="BC539" s="4">
        <f>IFERROR(__xludf.DUMMYFUNCTION("""COMPUTED_VALUE"""),0.0)</f>
        <v>0</v>
      </c>
      <c r="BD539" s="4">
        <f>IFERROR(__xludf.DUMMYFUNCTION("""COMPUTED_VALUE"""),300.0)</f>
        <v>300</v>
      </c>
      <c r="BE539" s="1">
        <f>IFERROR(__xludf.DUMMYFUNCTION("""COMPUTED_VALUE"""),2.0)</f>
        <v>2</v>
      </c>
      <c r="BF539" s="6">
        <f>IFERROR(__xludf.DUMMYFUNCTION("""COMPUTED_VALUE"""),1.0)</f>
        <v>1</v>
      </c>
      <c r="BG539" s="1">
        <f>IFERROR(__xludf.DUMMYFUNCTION("""COMPUTED_VALUE"""),1.0)</f>
        <v>1</v>
      </c>
      <c r="BH539" s="1" t="str">
        <f>IFERROR(__xludf.DUMMYFUNCTION("""COMPUTED_VALUE"""),"0")</f>
        <v>0</v>
      </c>
      <c r="BI539" s="4">
        <f>IFERROR(__xludf.DUMMYFUNCTION("""COMPUTED_VALUE"""),300.0)</f>
        <v>300</v>
      </c>
      <c r="BJ539" s="1">
        <f>IFERROR(__xludf.DUMMYFUNCTION("""COMPUTED_VALUE"""),0.0)</f>
        <v>0</v>
      </c>
      <c r="BK539" s="4">
        <f>IFERROR(__xludf.DUMMYFUNCTION("""COMPUTED_VALUE"""),300.0)</f>
        <v>300</v>
      </c>
      <c r="BL539" s="1">
        <f>IFERROR(__xludf.DUMMYFUNCTION("""COMPUTED_VALUE"""),740.0)</f>
        <v>740</v>
      </c>
      <c r="BM539" s="1">
        <f>IFERROR(__xludf.DUMMYFUNCTION("""COMPUTED_VALUE"""),9.0)</f>
        <v>9</v>
      </c>
      <c r="BN539" s="2">
        <f>IFERROR(__xludf.DUMMYFUNCTION("""COMPUTED_VALUE"""),45712.0)</f>
        <v>45712</v>
      </c>
      <c r="BO539" s="1">
        <f>IFERROR(__xludf.DUMMYFUNCTION("""COMPUTED_VALUE"""),2.0)</f>
        <v>2</v>
      </c>
      <c r="BP539" s="1">
        <f>IFERROR(__xludf.DUMMYFUNCTION("""COMPUTED_VALUE"""),2025.0)</f>
        <v>2025</v>
      </c>
    </row>
    <row r="540">
      <c r="A540" s="1">
        <f>IFERROR(__xludf.DUMMYFUNCTION("""COMPUTED_VALUE"""),539.0)</f>
        <v>539</v>
      </c>
      <c r="B540" s="1">
        <f>IFERROR(__xludf.DUMMYFUNCTION("""COMPUTED_VALUE"""),1984913.0)</f>
        <v>1984913</v>
      </c>
      <c r="C540" s="1" t="str">
        <f>IFERROR(__xludf.DUMMYFUNCTION("""COMPUTED_VALUE"""),"2025-1")</f>
        <v>2025-1</v>
      </c>
      <c r="D540" s="1" t="str">
        <f>IFERROR(__xludf.DUMMYFUNCTION("""COMPUTED_VALUE"""),"Admisión de Alto Rendimiento")</f>
        <v>Admisión de Alto Rendimiento</v>
      </c>
      <c r="E540" s="2">
        <f>IFERROR(__xludf.DUMMYFUNCTION("""COMPUTED_VALUE"""),45714.0)</f>
        <v>45714</v>
      </c>
      <c r="F540" s="1" t="str">
        <f>IFERROR(__xludf.DUMMYFUNCTION("""COMPUTED_VALUE"""),"XIMENA SOFÍA")</f>
        <v>XIMENA SOFÍA</v>
      </c>
      <c r="G540" s="1" t="str">
        <f>IFERROR(__xludf.DUMMYFUNCTION("""COMPUTED_VALUE"""),"HUAMAN ALVAREZ")</f>
        <v>HUAMAN ALVAREZ</v>
      </c>
      <c r="H540" s="1" t="str">
        <f>IFERROR(__xludf.DUMMYFUNCTION("""COMPUTED_VALUE"""),"Psicología")</f>
        <v>Psicología</v>
      </c>
      <c r="I540" s="1" t="str">
        <f>IFERROR(__xludf.DUMMYFUNCTION("""COMPUTED_VALUE"""),"Pago Link")</f>
        <v>Pago Link</v>
      </c>
      <c r="J540" s="1" t="str">
        <f>IFERROR(__xludf.DUMMYFUNCTION("""COMPUTED_VALUE"""),"Nocturno - A distancia")</f>
        <v>Nocturno - A distancia</v>
      </c>
      <c r="K540" s="1" t="str">
        <f>IFERROR(__xludf.DUMMYFUNCTION("""COMPUTED_VALUE"""),"NUEVO")</f>
        <v>NUEVO</v>
      </c>
      <c r="L540" s="1">
        <f>IFERROR(__xludf.DUMMYFUNCTION("""COMPUTED_VALUE"""),0.0)</f>
        <v>0</v>
      </c>
      <c r="M540" s="1">
        <f>IFERROR(__xludf.DUMMYFUNCTION("""COMPUTED_VALUE"""),0.0)</f>
        <v>0</v>
      </c>
      <c r="N540" s="1" t="str">
        <f>IFERROR(__xludf.DUMMYFUNCTION("""COMPUTED_VALUE"""),"ESCALA REGULAR")</f>
        <v>ESCALA REGULAR</v>
      </c>
      <c r="O540" s="1" t="str">
        <f>IFERROR(__xludf.DUMMYFUNCTION("""COMPUTED_VALUE"""),"ESCALA  REG. CONGELADA 2 AÑOS")</f>
        <v>ESCALA  REG. CONGELADA 2 AÑOS</v>
      </c>
      <c r="P540" s="4">
        <f>IFERROR(__xludf.DUMMYFUNCTION("""COMPUTED_VALUE"""),0.0)</f>
        <v>0</v>
      </c>
      <c r="Q540" s="4">
        <f>IFERROR(__xludf.DUMMYFUNCTION("""COMPUTED_VALUE"""),0.0)</f>
        <v>0</v>
      </c>
      <c r="R540" s="4">
        <f>IFERROR(__xludf.DUMMYFUNCTION("""COMPUTED_VALUE"""),750.0)</f>
        <v>750</v>
      </c>
      <c r="S540" s="4">
        <f>IFERROR(__xludf.DUMMYFUNCTION("""COMPUTED_VALUE"""),750.0)</f>
        <v>750</v>
      </c>
      <c r="T540" s="1" t="str">
        <f>IFERROR(__xludf.DUMMYFUNCTION("""COMPUTED_VALUE"""),"NINGUNO")</f>
        <v>NINGUNO</v>
      </c>
      <c r="U540" s="1" t="str">
        <f>IFERROR(__xludf.DUMMYFUNCTION("""COMPUTED_VALUE"""),"FABIOLA")</f>
        <v>FABIOLA</v>
      </c>
      <c r="V540" s="1" t="str">
        <f>IFERROR(__xludf.DUMMYFUNCTION("""COMPUTED_VALUE"""),"Ninguno")</f>
        <v>Ninguno</v>
      </c>
      <c r="W540" s="1" t="str">
        <f>IFERROR(__xludf.DUMMYFUNCTION("""COMPUTED_VALUE"""),"Otros")</f>
        <v>Otros</v>
      </c>
      <c r="X540" s="1"/>
      <c r="Y540" s="1" t="str">
        <f>IFERROR(__xludf.DUMMYFUNCTION("""COMPUTED_VALUE"""),"PAGO COMPLETO")</f>
        <v>PAGO COMPLETO</v>
      </c>
      <c r="Z540" s="1"/>
      <c r="AA540" s="1"/>
      <c r="AB540" s="1">
        <f>IFERROR(__xludf.DUMMYFUNCTION("""COMPUTED_VALUE"""),0.0)</f>
        <v>0</v>
      </c>
      <c r="AC540" s="1">
        <f>IFERROR(__xludf.DUMMYFUNCTION("""COMPUTED_VALUE"""),0.0)</f>
        <v>0</v>
      </c>
      <c r="AD540" s="1" t="str">
        <f>IFERROR(__xludf.DUMMYFUNCTION("""COMPUTED_VALUE"""),"Sergio Valderrama Rodriguez")</f>
        <v>Sergio Valderrama Rodriguez</v>
      </c>
      <c r="AE540" s="1" t="str">
        <f>IFERROR(__xludf.DUMMYFUNCTION("""COMPUTED_VALUE"""),"0")</f>
        <v>0</v>
      </c>
      <c r="AF540" s="1">
        <f>IFERROR(__xludf.DUMMYFUNCTION("""COMPUTED_VALUE"""),2024.0)</f>
        <v>2024</v>
      </c>
      <c r="AG540" s="1"/>
      <c r="AH540" s="1">
        <f>IFERROR(__xludf.DUMMYFUNCTION("""COMPUTED_VALUE"""),18.0)</f>
        <v>18</v>
      </c>
      <c r="AI540" s="1" t="str">
        <f>IFERROR(__xludf.DUMMYFUNCTION("""COMPUTED_VALUE"""),"0000068439")</f>
        <v>0000068439</v>
      </c>
      <c r="AJ540" s="1">
        <f>IFERROR(__xludf.DUMMYFUNCTION("""COMPUTED_VALUE"""),7.0629159E7)</f>
        <v>70629159</v>
      </c>
      <c r="AK540" s="1">
        <f>IFERROR(__xludf.DUMMYFUNCTION("""COMPUTED_VALUE"""),9.86618078E8)</f>
        <v>986618078</v>
      </c>
      <c r="AL540" s="1" t="str">
        <f>IFERROR(__xludf.DUMMYFUNCTION("""COMPUTED_VALUE"""),"ximenexis1602@gmail.com")</f>
        <v>ximenexis1602@gmail.com</v>
      </c>
      <c r="AM540" s="1" t="str">
        <f>IFERROR(__xludf.DUMMYFUNCTION("""COMPUTED_VALUE"""),"FEMENINO")</f>
        <v>FEMENINO</v>
      </c>
      <c r="AN540" s="1">
        <f>IFERROR(__xludf.DUMMYFUNCTION("""COMPUTED_VALUE"""),1200.0)</f>
        <v>1200</v>
      </c>
      <c r="AO540" s="1">
        <f>IFERROR(__xludf.DUMMYFUNCTION("""COMPUTED_VALUE"""),0.0)</f>
        <v>0</v>
      </c>
      <c r="AP540" s="1" t="str">
        <f>IFERROR(__xludf.DUMMYFUNCTION("""COMPUTED_VALUE"""),"BIDIRECCIONAL")</f>
        <v>BIDIRECCIONAL</v>
      </c>
      <c r="AQ540" s="1" t="str">
        <f>IFERROR(__xludf.DUMMYFUNCTION("""COMPUTED_VALUE"""),"SEARCH CARRERA")</f>
        <v>SEARCH CARRERA</v>
      </c>
      <c r="AR540" s="1" t="str">
        <f>IFERROR(__xludf.DUMMYFUNCTION("""COMPUTED_VALUE"""),"HEREDADO")</f>
        <v>HEREDADO</v>
      </c>
      <c r="AS540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540" s="2">
        <f>IFERROR(__xludf.DUMMYFUNCTION("""COMPUTED_VALUE"""),45714.0)</f>
        <v>45714</v>
      </c>
      <c r="AU540" s="1">
        <f>IFERROR(__xludf.DUMMYFUNCTION("""COMPUTED_VALUE"""),1.0)</f>
        <v>1</v>
      </c>
      <c r="AV540" s="1" t="str">
        <f>IFERROR(__xludf.DUMMYFUNCTION("""COMPUTED_VALUE"""),"NUEVO")</f>
        <v>NUEVO</v>
      </c>
      <c r="AW540" s="1" t="str">
        <f>IFERROR(__xludf.DUMMYFUNCTION("""COMPUTED_VALUE"""),"SI")</f>
        <v>SI</v>
      </c>
      <c r="AX540" s="1"/>
      <c r="AY540" s="1" t="str">
        <f>IFERROR(__xludf.DUMMYFUNCTION("""COMPUTED_VALUE"""),"PAGO COMPLETO")</f>
        <v>PAGO COMPLETO</v>
      </c>
      <c r="AZ540" s="5">
        <f>IFERROR(__xludf.DUMMYFUNCTION("""COMPUTED_VALUE"""),45714.0)</f>
        <v>45714</v>
      </c>
      <c r="BA540" s="1">
        <f>IFERROR(__xludf.DUMMYFUNCTION("""COMPUTED_VALUE"""),0.0)</f>
        <v>0</v>
      </c>
      <c r="BB540" s="1">
        <f>IFERROR(__xludf.DUMMYFUNCTION("""COMPUTED_VALUE"""),0.0)</f>
        <v>0</v>
      </c>
      <c r="BC540" s="4">
        <f>IFERROR(__xludf.DUMMYFUNCTION("""COMPUTED_VALUE"""),0.0)</f>
        <v>0</v>
      </c>
      <c r="BD540" s="4">
        <f>IFERROR(__xludf.DUMMYFUNCTION("""COMPUTED_VALUE"""),0.0)</f>
        <v>0</v>
      </c>
      <c r="BE540" s="1">
        <f>IFERROR(__xludf.DUMMYFUNCTION("""COMPUTED_VALUE"""),2.0)</f>
        <v>2</v>
      </c>
      <c r="BF540" s="6">
        <f>IFERROR(__xludf.DUMMYFUNCTION("""COMPUTED_VALUE"""),1.0)</f>
        <v>1</v>
      </c>
      <c r="BG540" s="1">
        <f>IFERROR(__xludf.DUMMYFUNCTION("""COMPUTED_VALUE"""),1.0)</f>
        <v>1</v>
      </c>
      <c r="BH540" s="1" t="str">
        <f>IFERROR(__xludf.DUMMYFUNCTION("""COMPUTED_VALUE"""),"0")</f>
        <v>0</v>
      </c>
      <c r="BI540" s="4">
        <f>IFERROR(__xludf.DUMMYFUNCTION("""COMPUTED_VALUE"""),0.0)</f>
        <v>0</v>
      </c>
      <c r="BJ540" s="1">
        <f>IFERROR(__xludf.DUMMYFUNCTION("""COMPUTED_VALUE"""),0.0)</f>
        <v>0</v>
      </c>
      <c r="BK540" s="4">
        <f>IFERROR(__xludf.DUMMYFUNCTION("""COMPUTED_VALUE"""),0.0)</f>
        <v>0</v>
      </c>
      <c r="BL540" s="1">
        <f>IFERROR(__xludf.DUMMYFUNCTION("""COMPUTED_VALUE"""),750.0)</f>
        <v>750</v>
      </c>
      <c r="BM540" s="1">
        <f>IFERROR(__xludf.DUMMYFUNCTION("""COMPUTED_VALUE"""),9.0)</f>
        <v>9</v>
      </c>
      <c r="BN540" s="2">
        <f>IFERROR(__xludf.DUMMYFUNCTION("""COMPUTED_VALUE"""),45712.0)</f>
        <v>45712</v>
      </c>
      <c r="BO540" s="1">
        <f>IFERROR(__xludf.DUMMYFUNCTION("""COMPUTED_VALUE"""),2.0)</f>
        <v>2</v>
      </c>
      <c r="BP540" s="1">
        <f>IFERROR(__xludf.DUMMYFUNCTION("""COMPUTED_VALUE"""),2025.0)</f>
        <v>2025</v>
      </c>
    </row>
    <row r="541">
      <c r="A541" s="1">
        <f>IFERROR(__xludf.DUMMYFUNCTION("""COMPUTED_VALUE"""),540.0)</f>
        <v>540</v>
      </c>
      <c r="B541" s="1">
        <f>IFERROR(__xludf.DUMMYFUNCTION("""COMPUTED_VALUE"""),5031109.0)</f>
        <v>5031109</v>
      </c>
      <c r="C541" s="1" t="str">
        <f>IFERROR(__xludf.DUMMYFUNCTION("""COMPUTED_VALUE"""),"2025-1")</f>
        <v>2025-1</v>
      </c>
      <c r="D541" s="1" t="str">
        <f>IFERROR(__xludf.DUMMYFUNCTION("""COMPUTED_VALUE"""),"Admisión de Alto Rendimiento")</f>
        <v>Admisión de Alto Rendimiento</v>
      </c>
      <c r="E541" s="2">
        <f>IFERROR(__xludf.DUMMYFUNCTION("""COMPUTED_VALUE"""),45714.0)</f>
        <v>45714</v>
      </c>
      <c r="F541" s="1" t="str">
        <f>IFERROR(__xludf.DUMMYFUNCTION("""COMPUTED_VALUE"""),"YAZURI CAMILA ")</f>
        <v>YAZURI CAMILA </v>
      </c>
      <c r="G541" s="1" t="str">
        <f>IFERROR(__xludf.DUMMYFUNCTION("""COMPUTED_VALUE"""),"BAEZ GONZALES")</f>
        <v>BAEZ GONZALES</v>
      </c>
      <c r="H541" s="1" t="str">
        <f>IFERROR(__xludf.DUMMYFUNCTION("""COMPUTED_VALUE"""),"Arquitectura de Interiores")</f>
        <v>Arquitectura de Interiores</v>
      </c>
      <c r="I541" s="1" t="str">
        <f>IFERROR(__xludf.DUMMYFUNCTION("""COMPUTED_VALUE"""),"CARGO")</f>
        <v>CARGO</v>
      </c>
      <c r="J541" s="1" t="str">
        <f>IFERROR(__xludf.DUMMYFUNCTION("""COMPUTED_VALUE"""),"Diurno")</f>
        <v>Diurno</v>
      </c>
      <c r="K541" s="1" t="str">
        <f>IFERROR(__xludf.DUMMYFUNCTION("""COMPUTED_VALUE"""),"NUEVO")</f>
        <v>NUEVO</v>
      </c>
      <c r="L541" s="1">
        <f>IFERROR(__xludf.DUMMYFUNCTION("""COMPUTED_VALUE"""),0.0)</f>
        <v>0</v>
      </c>
      <c r="M541" s="1">
        <f>IFERROR(__xludf.DUMMYFUNCTION("""COMPUTED_VALUE"""),0.0)</f>
        <v>0</v>
      </c>
      <c r="N541" s="1" t="str">
        <f>IFERROR(__xludf.DUMMYFUNCTION("""COMPUTED_VALUE"""),"BECA")</f>
        <v>BECA</v>
      </c>
      <c r="O541" s="1" t="str">
        <f>IFERROR(__xludf.DUMMYFUNCTION("""COMPUTED_VALUE"""),"BECA CONGELADA DE 2 AÑOS")</f>
        <v>BECA CONGELADA DE 2 AÑOS</v>
      </c>
      <c r="P541" s="4">
        <f>IFERROR(__xludf.DUMMYFUNCTION("""COMPUTED_VALUE"""),0.0)</f>
        <v>0</v>
      </c>
      <c r="Q541" s="4">
        <f>IFERROR(__xludf.DUMMYFUNCTION("""COMPUTED_VALUE"""),0.0)</f>
        <v>0</v>
      </c>
      <c r="R541" s="4">
        <f>IFERROR(__xludf.DUMMYFUNCTION("""COMPUTED_VALUE"""),1100.0)</f>
        <v>1100</v>
      </c>
      <c r="S541" s="4">
        <f>IFERROR(__xludf.DUMMYFUNCTION("""COMPUTED_VALUE"""),950.0)</f>
        <v>950</v>
      </c>
      <c r="T541" s="1" t="str">
        <f>IFERROR(__xludf.DUMMYFUNCTION("""COMPUTED_VALUE"""),"PALANCA 500")</f>
        <v>PALANCA 500</v>
      </c>
      <c r="U541" s="1" t="str">
        <f>IFERROR(__xludf.DUMMYFUNCTION("""COMPUTED_VALUE"""),"FABIOLA")</f>
        <v>FABIOLA</v>
      </c>
      <c r="V541" s="1" t="str">
        <f>IFERROR(__xludf.DUMMYFUNCTION("""COMPUTED_VALUE"""),"Ninguno")</f>
        <v>Ninguno</v>
      </c>
      <c r="W541" s="1" t="str">
        <f>IFERROR(__xludf.DUMMYFUNCTION("""COMPUTED_VALUE"""),"Metodología de enseñanza")</f>
        <v>Metodología de enseñanza</v>
      </c>
      <c r="X541" s="1" t="str">
        <f>IFERROR(__xludf.DUMMYFUNCTION("""COMPUTED_VALUE"""),"metodologia")</f>
        <v>metodologia</v>
      </c>
      <c r="Y541" s="1" t="str">
        <f>IFERROR(__xludf.DUMMYFUNCTION("""COMPUTED_VALUE"""),"PAGO COMPLETO")</f>
        <v>PAGO COMPLETO</v>
      </c>
      <c r="Z541" s="1"/>
      <c r="AA541" s="1"/>
      <c r="AB541" s="1">
        <f>IFERROR(__xludf.DUMMYFUNCTION("""COMPUTED_VALUE"""),0.0)</f>
        <v>0</v>
      </c>
      <c r="AC541" s="1">
        <f>IFERROR(__xludf.DUMMYFUNCTION("""COMPUTED_VALUE"""),0.0)</f>
        <v>0</v>
      </c>
      <c r="AD541" s="1" t="str">
        <f>IFERROR(__xludf.DUMMYFUNCTION("""COMPUTED_VALUE"""),"Cinthia Mariella Orosco")</f>
        <v>Cinthia Mariella Orosco</v>
      </c>
      <c r="AE541" s="1" t="str">
        <f>IFERROR(__xludf.DUMMYFUNCTION("""COMPUTED_VALUE"""),"0")</f>
        <v>0</v>
      </c>
      <c r="AF541" s="1">
        <f>IFERROR(__xludf.DUMMYFUNCTION("""COMPUTED_VALUE"""),2024.0)</f>
        <v>2024</v>
      </c>
      <c r="AG541" s="1"/>
      <c r="AH541" s="1">
        <f>IFERROR(__xludf.DUMMYFUNCTION("""COMPUTED_VALUE"""),17.0)</f>
        <v>17</v>
      </c>
      <c r="AI541" s="1" t="str">
        <f>IFERROR(__xludf.DUMMYFUNCTION("""COMPUTED_VALUE"""),"0000416759")</f>
        <v>0000416759</v>
      </c>
      <c r="AJ541" s="1">
        <f>IFERROR(__xludf.DUMMYFUNCTION("""COMPUTED_VALUE"""),7.0743234E7)</f>
        <v>70743234</v>
      </c>
      <c r="AK541" s="1">
        <f>IFERROR(__xludf.DUMMYFUNCTION("""COMPUTED_VALUE"""),9.96330691E8)</f>
        <v>996330691</v>
      </c>
      <c r="AL541" s="1" t="str">
        <f>IFERROR(__xludf.DUMMYFUNCTION("""COMPUTED_VALUE"""),"yazuri446@gmail.com")</f>
        <v>yazuri446@gmail.com</v>
      </c>
      <c r="AM541" s="1" t="str">
        <f>IFERROR(__xludf.DUMMYFUNCTION("""COMPUTED_VALUE"""),"FEMENINO")</f>
        <v>FEMENINO</v>
      </c>
      <c r="AN541" s="1">
        <f>IFERROR(__xludf.DUMMYFUNCTION("""COMPUTED_VALUE"""),1100.0)</f>
        <v>1100</v>
      </c>
      <c r="AO541" s="1">
        <f>IFERROR(__xludf.DUMMYFUNCTION("""COMPUTED_VALUE"""),0.0)</f>
        <v>0</v>
      </c>
      <c r="AP541" s="1" t="str">
        <f>IFERROR(__xludf.DUMMYFUNCTION("""COMPUTED_VALUE"""),"FORMULARIO")</f>
        <v>FORMULARIO</v>
      </c>
      <c r="AQ541" s="1" t="str">
        <f>IFERROR(__xludf.DUMMYFUNCTION("""COMPUTED_VALUE"""),"SEARCH MARCA")</f>
        <v>SEARCH MARCA</v>
      </c>
      <c r="AR541" s="1" t="str">
        <f>IFERROR(__xludf.DUMMYFUNCTION("""COMPUTED_VALUE"""),"NUEVO")</f>
        <v>NUEVO</v>
      </c>
      <c r="AS541" s="1" t="str">
        <f>IFERROR(__xludf.DUMMYFUNCTION("""COMPUTED_VALUE"""),"ucal-pg-performance-sedes-abierta-cpl-search_conversion_marca-20240401")</f>
        <v>ucal-pg-performance-sedes-abierta-cpl-search_conversion_marca-20240401</v>
      </c>
      <c r="AT541" s="2">
        <f>IFERROR(__xludf.DUMMYFUNCTION("""COMPUTED_VALUE"""),45707.0)</f>
        <v>45707</v>
      </c>
      <c r="AU541" s="1">
        <f>IFERROR(__xludf.DUMMYFUNCTION("""COMPUTED_VALUE"""),1.0)</f>
        <v>1</v>
      </c>
      <c r="AV541" s="1" t="str">
        <f>IFERROR(__xludf.DUMMYFUNCTION("""COMPUTED_VALUE"""),"NUEVO")</f>
        <v>NUEVO</v>
      </c>
      <c r="AW541" s="1" t="str">
        <f>IFERROR(__xludf.DUMMYFUNCTION("""COMPUTED_VALUE"""),"SI")</f>
        <v>SI</v>
      </c>
      <c r="AX541" s="1"/>
      <c r="AY541" s="1" t="str">
        <f>IFERROR(__xludf.DUMMYFUNCTION("""COMPUTED_VALUE"""),"PAGO COMPLETO")</f>
        <v>PAGO COMPLETO</v>
      </c>
      <c r="AZ541" s="5">
        <f>IFERROR(__xludf.DUMMYFUNCTION("""COMPUTED_VALUE"""),45714.0)</f>
        <v>45714</v>
      </c>
      <c r="BA541" s="1">
        <f>IFERROR(__xludf.DUMMYFUNCTION("""COMPUTED_VALUE"""),0.0)</f>
        <v>0</v>
      </c>
      <c r="BB541" s="1">
        <f>IFERROR(__xludf.DUMMYFUNCTION("""COMPUTED_VALUE"""),0.0)</f>
        <v>0</v>
      </c>
      <c r="BC541" s="4">
        <f>IFERROR(__xludf.DUMMYFUNCTION("""COMPUTED_VALUE"""),0.0)</f>
        <v>0</v>
      </c>
      <c r="BD541" s="4">
        <f>IFERROR(__xludf.DUMMYFUNCTION("""COMPUTED_VALUE"""),450.0)</f>
        <v>450</v>
      </c>
      <c r="BE541" s="1">
        <f>IFERROR(__xludf.DUMMYFUNCTION("""COMPUTED_VALUE"""),2.0)</f>
        <v>2</v>
      </c>
      <c r="BF541" s="6">
        <f>IFERROR(__xludf.DUMMYFUNCTION("""COMPUTED_VALUE"""),1.0)</f>
        <v>1</v>
      </c>
      <c r="BG541" s="1">
        <f>IFERROR(__xludf.DUMMYFUNCTION("""COMPUTED_VALUE"""),1.0)</f>
        <v>1</v>
      </c>
      <c r="BH541" s="1" t="str">
        <f>IFERROR(__xludf.DUMMYFUNCTION("""COMPUTED_VALUE"""),"0")</f>
        <v>0</v>
      </c>
      <c r="BI541" s="4">
        <f>IFERROR(__xludf.DUMMYFUNCTION("""COMPUTED_VALUE"""),450.0)</f>
        <v>450</v>
      </c>
      <c r="BJ541" s="1">
        <f>IFERROR(__xludf.DUMMYFUNCTION("""COMPUTED_VALUE"""),0.0)</f>
        <v>0</v>
      </c>
      <c r="BK541" s="4">
        <f>IFERROR(__xludf.DUMMYFUNCTION("""COMPUTED_VALUE"""),450.0)</f>
        <v>450</v>
      </c>
      <c r="BL541" s="1">
        <f>IFERROR(__xludf.DUMMYFUNCTION("""COMPUTED_VALUE"""),860.0)</f>
        <v>860</v>
      </c>
      <c r="BM541" s="1">
        <f>IFERROR(__xludf.DUMMYFUNCTION("""COMPUTED_VALUE"""),9.0)</f>
        <v>9</v>
      </c>
      <c r="BN541" s="2">
        <f>IFERROR(__xludf.DUMMYFUNCTION("""COMPUTED_VALUE"""),45712.0)</f>
        <v>45712</v>
      </c>
      <c r="BO541" s="1">
        <f>IFERROR(__xludf.DUMMYFUNCTION("""COMPUTED_VALUE"""),2.0)</f>
        <v>2</v>
      </c>
      <c r="BP541" s="1">
        <f>IFERROR(__xludf.DUMMYFUNCTION("""COMPUTED_VALUE"""),2025.0)</f>
        <v>2025</v>
      </c>
    </row>
    <row r="542">
      <c r="A542" s="1">
        <f>IFERROR(__xludf.DUMMYFUNCTION("""COMPUTED_VALUE"""),541.0)</f>
        <v>541</v>
      </c>
      <c r="B542" s="1">
        <f>IFERROR(__xludf.DUMMYFUNCTION("""COMPUTED_VALUE"""),4938924.0)</f>
        <v>4938924</v>
      </c>
      <c r="C542" s="1" t="str">
        <f>IFERROR(__xludf.DUMMYFUNCTION("""COMPUTED_VALUE"""),"2025-1")</f>
        <v>2025-1</v>
      </c>
      <c r="D542" s="1" t="str">
        <f>IFERROR(__xludf.DUMMYFUNCTION("""COMPUTED_VALUE"""),"Admisión Ordinaria")</f>
        <v>Admisión Ordinaria</v>
      </c>
      <c r="E542" s="2">
        <f>IFERROR(__xludf.DUMMYFUNCTION("""COMPUTED_VALUE"""),45715.0)</f>
        <v>45715</v>
      </c>
      <c r="F542" s="1" t="str">
        <f>IFERROR(__xludf.DUMMYFUNCTION("""COMPUTED_VALUE"""),"JOSÉ JORIN ")</f>
        <v>JOSÉ JORIN </v>
      </c>
      <c r="G542" s="1" t="str">
        <f>IFERROR(__xludf.DUMMYFUNCTION("""COMPUTED_VALUE"""),"IPARRAGUIRRE MONTAÑO")</f>
        <v>IPARRAGUIRRE MONTAÑO</v>
      </c>
      <c r="H542" s="1" t="str">
        <f>IFERROR(__xludf.DUMMYFUNCTION("""COMPUTED_VALUE"""),"Comunicación")</f>
        <v>Comunicación</v>
      </c>
      <c r="I542" s="1" t="str">
        <f>IFERROR(__xludf.DUMMYFUNCTION("""COMPUTED_VALUE"""),"CARGO")</f>
        <v>CARGO</v>
      </c>
      <c r="J542" s="1" t="str">
        <f>IFERROR(__xludf.DUMMYFUNCTION("""COMPUTED_VALUE"""),"Diurno")</f>
        <v>Diurno</v>
      </c>
      <c r="K542" s="1" t="str">
        <f>IFERROR(__xludf.DUMMYFUNCTION("""COMPUTED_VALUE"""),"NUEVO")</f>
        <v>NUEVO</v>
      </c>
      <c r="L542" s="1">
        <f>IFERROR(__xludf.DUMMYFUNCTION("""COMPUTED_VALUE"""),0.0)</f>
        <v>0</v>
      </c>
      <c r="M542" s="1">
        <f>IFERROR(__xludf.DUMMYFUNCTION("""COMPUTED_VALUE"""),0.0)</f>
        <v>0</v>
      </c>
      <c r="N542" s="1" t="str">
        <f>IFERROR(__xludf.DUMMYFUNCTION("""COMPUTED_VALUE"""),"BECA")</f>
        <v>BECA</v>
      </c>
      <c r="O542" s="1" t="str">
        <f>IFERROR(__xludf.DUMMYFUNCTION("""COMPUTED_VALUE"""),"BECA CONGELADA DE 2 AÑOS")</f>
        <v>BECA CONGELADA DE 2 AÑOS</v>
      </c>
      <c r="P542" s="4">
        <f>IFERROR(__xludf.DUMMYFUNCTION("""COMPUTED_VALUE"""),0.0)</f>
        <v>0</v>
      </c>
      <c r="Q542" s="4">
        <f>IFERROR(__xludf.DUMMYFUNCTION("""COMPUTED_VALUE"""),0.0)</f>
        <v>0</v>
      </c>
      <c r="R542" s="4">
        <f>IFERROR(__xludf.DUMMYFUNCTION("""COMPUTED_VALUE"""),1100.0)</f>
        <v>1100</v>
      </c>
      <c r="S542" s="4">
        <f>IFERROR(__xludf.DUMMYFUNCTION("""COMPUTED_VALUE"""),1000.0)</f>
        <v>1000</v>
      </c>
      <c r="T542" s="1" t="str">
        <f>IFERROR(__xludf.DUMMYFUNCTION("""COMPUTED_VALUE"""),"PALANCA 500")</f>
        <v>PALANCA 500</v>
      </c>
      <c r="U542" s="1" t="str">
        <f>IFERROR(__xludf.DUMMYFUNCTION("""COMPUTED_VALUE"""),"FABIOLA")</f>
        <v>FABIOLA</v>
      </c>
      <c r="V542" s="1" t="str">
        <f>IFERROR(__xludf.DUMMYFUNCTION("""COMPUTED_VALUE"""),"Ninguno")</f>
        <v>Ninguno</v>
      </c>
      <c r="W542" s="1" t="str">
        <f>IFERROR(__xludf.DUMMYFUNCTION("""COMPUTED_VALUE"""),"Metodología de enseñanza")</f>
        <v>Metodología de enseñanza</v>
      </c>
      <c r="X542" s="1" t="str">
        <f>IFERROR(__xludf.DUMMYFUNCTION("""COMPUTED_VALUE"""),"metodologia")</f>
        <v>metodologia</v>
      </c>
      <c r="Y542" s="1" t="str">
        <f>IFERROR(__xludf.DUMMYFUNCTION("""COMPUTED_VALUE"""),"PAGO COMPLETO")</f>
        <v>PAGO COMPLETO</v>
      </c>
      <c r="Z542" s="1"/>
      <c r="AA542" s="1"/>
      <c r="AB542" s="1">
        <f>IFERROR(__xludf.DUMMYFUNCTION("""COMPUTED_VALUE"""),0.0)</f>
        <v>0</v>
      </c>
      <c r="AC542" s="1">
        <f>IFERROR(__xludf.DUMMYFUNCTION("""COMPUTED_VALUE"""),0.0)</f>
        <v>0</v>
      </c>
      <c r="AD542" s="1" t="str">
        <f>IFERROR(__xludf.DUMMYFUNCTION("""COMPUTED_VALUE"""),"Cinthia Mariella Orosco")</f>
        <v>Cinthia Mariella Orosco</v>
      </c>
      <c r="AE542" s="1" t="str">
        <f>IFERROR(__xludf.DUMMYFUNCTION("""COMPUTED_VALUE"""),"0")</f>
        <v>0</v>
      </c>
      <c r="AF542" s="1">
        <f>IFERROR(__xludf.DUMMYFUNCTION("""COMPUTED_VALUE"""),2021.0)</f>
        <v>2021</v>
      </c>
      <c r="AG542" s="1">
        <f>IFERROR(__xludf.DUMMYFUNCTION("""COMPUTED_VALUE"""),751230.0)</f>
        <v>751230</v>
      </c>
      <c r="AH542" s="1">
        <f>IFERROR(__xludf.DUMMYFUNCTION("""COMPUTED_VALUE"""),20.0)</f>
        <v>20</v>
      </c>
      <c r="AI542" s="1" t="str">
        <f>IFERROR(__xludf.DUMMYFUNCTION("""COMPUTED_VALUE"""),"0000416681")</f>
        <v>0000416681</v>
      </c>
      <c r="AJ542" s="1">
        <f>IFERROR(__xludf.DUMMYFUNCTION("""COMPUTED_VALUE"""),7.5433991E7)</f>
        <v>75433991</v>
      </c>
      <c r="AK542" s="1">
        <f>IFERROR(__xludf.DUMMYFUNCTION("""COMPUTED_VALUE"""),9.60236957E8)</f>
        <v>960236957</v>
      </c>
      <c r="AL542" s="1" t="str">
        <f>IFERROR(__xludf.DUMMYFUNCTION("""COMPUTED_VALUE"""),"ijosejorin@gmail.com")</f>
        <v>ijosejorin@gmail.com</v>
      </c>
      <c r="AM542" s="1" t="str">
        <f>IFERROR(__xludf.DUMMYFUNCTION("""COMPUTED_VALUE"""),"FEMENINO")</f>
        <v>FEMENINO</v>
      </c>
      <c r="AN542" s="1">
        <f>IFERROR(__xludf.DUMMYFUNCTION("""COMPUTED_VALUE"""),1350.0)</f>
        <v>1350</v>
      </c>
      <c r="AO542" s="1">
        <f>IFERROR(__xludf.DUMMYFUNCTION("""COMPUTED_VALUE"""),0.0)</f>
        <v>0</v>
      </c>
      <c r="AP542" s="1" t="str">
        <f>IFERROR(__xludf.DUMMYFUNCTION("""COMPUTED_VALUE"""),"FORMULARIO")</f>
        <v>FORMULARIO</v>
      </c>
      <c r="AQ542" s="1" t="str">
        <f>IFERROR(__xludf.DUMMYFUNCTION("""COMPUTED_VALUE"""),"SEARCH CARRERA")</f>
        <v>SEARCH CARRERA</v>
      </c>
      <c r="AR542" s="1" t="str">
        <f>IFERROR(__xludf.DUMMYFUNCTION("""COMPUTED_VALUE"""),"NUEVO")</f>
        <v>NUEVO</v>
      </c>
      <c r="AS542" s="1" t="str">
        <f>IFERROR(__xludf.DUMMYFUNCTION("""COMPUTED_VALUE"""),"ucal-pg-performance-sedes-abierta-cpl-search_conversion_mundo_comunicaciones_reactivacion-20241105")</f>
        <v>ucal-pg-performance-sedes-abierta-cpl-search_conversion_mundo_comunicaciones_reactivacion-20241105</v>
      </c>
      <c r="AT542" s="2">
        <f>IFERROR(__xludf.DUMMYFUNCTION("""COMPUTED_VALUE"""),45667.0)</f>
        <v>45667</v>
      </c>
      <c r="AU542" s="1">
        <f>IFERROR(__xludf.DUMMYFUNCTION("""COMPUTED_VALUE"""),1.0)</f>
        <v>1</v>
      </c>
      <c r="AV542" s="1" t="str">
        <f>IFERROR(__xludf.DUMMYFUNCTION("""COMPUTED_VALUE"""),"NUEVO")</f>
        <v>NUEVO</v>
      </c>
      <c r="AW542" s="1" t="str">
        <f>IFERROR(__xludf.DUMMYFUNCTION("""COMPUTED_VALUE"""),"SI")</f>
        <v>SI</v>
      </c>
      <c r="AX542" s="1"/>
      <c r="AY542" s="1" t="str">
        <f>IFERROR(__xludf.DUMMYFUNCTION("""COMPUTED_VALUE"""),"PAGO COMPLETO")</f>
        <v>PAGO COMPLETO</v>
      </c>
      <c r="AZ542" s="5">
        <f>IFERROR(__xludf.DUMMYFUNCTION("""COMPUTED_VALUE"""),45715.0)</f>
        <v>45715</v>
      </c>
      <c r="BA542" s="1">
        <f>IFERROR(__xludf.DUMMYFUNCTION("""COMPUTED_VALUE"""),0.0)</f>
        <v>0</v>
      </c>
      <c r="BB542" s="1">
        <f>IFERROR(__xludf.DUMMYFUNCTION("""COMPUTED_VALUE"""),0.0)</f>
        <v>0</v>
      </c>
      <c r="BC542" s="4">
        <f>IFERROR(__xludf.DUMMYFUNCTION("""COMPUTED_VALUE"""),0.0)</f>
        <v>0</v>
      </c>
      <c r="BD542" s="4">
        <f>IFERROR(__xludf.DUMMYFUNCTION("""COMPUTED_VALUE"""),500.0)</f>
        <v>500</v>
      </c>
      <c r="BE542" s="1">
        <f>IFERROR(__xludf.DUMMYFUNCTION("""COMPUTED_VALUE"""),2.0)</f>
        <v>2</v>
      </c>
      <c r="BF542" s="6">
        <f>IFERROR(__xludf.DUMMYFUNCTION("""COMPUTED_VALUE"""),1.0)</f>
        <v>1</v>
      </c>
      <c r="BG542" s="1">
        <f>IFERROR(__xludf.DUMMYFUNCTION("""COMPUTED_VALUE"""),1.0)</f>
        <v>1</v>
      </c>
      <c r="BH542" s="1" t="str">
        <f>IFERROR(__xludf.DUMMYFUNCTION("""COMPUTED_VALUE"""),"0")</f>
        <v>0</v>
      </c>
      <c r="BI542" s="4">
        <f>IFERROR(__xludf.DUMMYFUNCTION("""COMPUTED_VALUE"""),500.0)</f>
        <v>500</v>
      </c>
      <c r="BJ542" s="1">
        <f>IFERROR(__xludf.DUMMYFUNCTION("""COMPUTED_VALUE"""),0.0)</f>
        <v>0</v>
      </c>
      <c r="BK542" s="4">
        <f>IFERROR(__xludf.DUMMYFUNCTION("""COMPUTED_VALUE"""),500.0)</f>
        <v>500</v>
      </c>
      <c r="BL542" s="1">
        <f>IFERROR(__xludf.DUMMYFUNCTION("""COMPUTED_VALUE"""),900.0)</f>
        <v>900</v>
      </c>
      <c r="BM542" s="1">
        <f>IFERROR(__xludf.DUMMYFUNCTION("""COMPUTED_VALUE"""),9.0)</f>
        <v>9</v>
      </c>
      <c r="BN542" s="2">
        <f>IFERROR(__xludf.DUMMYFUNCTION("""COMPUTED_VALUE"""),45712.0)</f>
        <v>45712</v>
      </c>
      <c r="BO542" s="1">
        <f>IFERROR(__xludf.DUMMYFUNCTION("""COMPUTED_VALUE"""),2.0)</f>
        <v>2</v>
      </c>
      <c r="BP542" s="1">
        <f>IFERROR(__xludf.DUMMYFUNCTION("""COMPUTED_VALUE"""),2025.0)</f>
        <v>2025</v>
      </c>
    </row>
    <row r="543">
      <c r="A543" s="1">
        <f>IFERROR(__xludf.DUMMYFUNCTION("""COMPUTED_VALUE"""),542.0)</f>
        <v>542</v>
      </c>
      <c r="B543" s="1">
        <f>IFERROR(__xludf.DUMMYFUNCTION("""COMPUTED_VALUE"""),5037439.0)</f>
        <v>5037439</v>
      </c>
      <c r="C543" s="1" t="str">
        <f>IFERROR(__xludf.DUMMYFUNCTION("""COMPUTED_VALUE"""),"2025-1")</f>
        <v>2025-1</v>
      </c>
      <c r="D543" s="1" t="str">
        <f>IFERROR(__xludf.DUMMYFUNCTION("""COMPUTED_VALUE"""),"Admisión de Alto Rendimiento")</f>
        <v>Admisión de Alto Rendimiento</v>
      </c>
      <c r="E543" s="2">
        <f>IFERROR(__xludf.DUMMYFUNCTION("""COMPUTED_VALUE"""),45715.0)</f>
        <v>45715</v>
      </c>
      <c r="F543" s="1" t="str">
        <f>IFERROR(__xludf.DUMMYFUNCTION("""COMPUTED_VALUE"""),"VIANKA CECILIA ")</f>
        <v>VIANKA CECILIA </v>
      </c>
      <c r="G543" s="1" t="str">
        <f>IFERROR(__xludf.DUMMYFUNCTION("""COMPUTED_VALUE"""),"FERNÁNDEZ CALDERÓN")</f>
        <v>FERNÁNDEZ CALDERÓN</v>
      </c>
      <c r="H543" s="1" t="str">
        <f>IFERROR(__xludf.DUMMYFUNCTION("""COMPUTED_VALUE"""),"Comunicación Audiovisual y Cine")</f>
        <v>Comunicación Audiovisual y Cine</v>
      </c>
      <c r="I543" s="1" t="str">
        <f>IFERROR(__xludf.DUMMYFUNCTION("""COMPUTED_VALUE"""),"CARGO")</f>
        <v>CARGO</v>
      </c>
      <c r="J543" s="1" t="str">
        <f>IFERROR(__xludf.DUMMYFUNCTION("""COMPUTED_VALUE"""),"Diurno")</f>
        <v>Diurno</v>
      </c>
      <c r="K543" s="1" t="str">
        <f>IFERROR(__xludf.DUMMYFUNCTION("""COMPUTED_VALUE"""),"NUEVO")</f>
        <v>NUEVO</v>
      </c>
      <c r="L543" s="1">
        <f>IFERROR(__xludf.DUMMYFUNCTION("""COMPUTED_VALUE"""),0.0)</f>
        <v>0</v>
      </c>
      <c r="M543" s="1">
        <f>IFERROR(__xludf.DUMMYFUNCTION("""COMPUTED_VALUE"""),0.0)</f>
        <v>0</v>
      </c>
      <c r="N543" s="1" t="str">
        <f>IFERROR(__xludf.DUMMYFUNCTION("""COMPUTED_VALUE"""),"BECA")</f>
        <v>BECA</v>
      </c>
      <c r="O543" s="1" t="str">
        <f>IFERROR(__xludf.DUMMYFUNCTION("""COMPUTED_VALUE"""),"BECA CONGELADA DE 2 AÑOS")</f>
        <v>BECA CONGELADA DE 2 AÑOS</v>
      </c>
      <c r="P543" s="4">
        <f>IFERROR(__xludf.DUMMYFUNCTION("""COMPUTED_VALUE"""),0.0)</f>
        <v>0</v>
      </c>
      <c r="Q543" s="4">
        <f>IFERROR(__xludf.DUMMYFUNCTION("""COMPUTED_VALUE"""),0.0)</f>
        <v>0</v>
      </c>
      <c r="R543" s="4">
        <f>IFERROR(__xludf.DUMMYFUNCTION("""COMPUTED_VALUE"""),1100.0)</f>
        <v>1100</v>
      </c>
      <c r="S543" s="4">
        <f>IFERROR(__xludf.DUMMYFUNCTION("""COMPUTED_VALUE"""),1000.0)</f>
        <v>1000</v>
      </c>
      <c r="T543" s="1" t="str">
        <f>IFERROR(__xludf.DUMMYFUNCTION("""COMPUTED_VALUE"""),"PALANCA 500")</f>
        <v>PALANCA 500</v>
      </c>
      <c r="U543" s="1" t="str">
        <f>IFERROR(__xludf.DUMMYFUNCTION("""COMPUTED_VALUE"""),"FABIOLA")</f>
        <v>FABIOLA</v>
      </c>
      <c r="V543" s="1" t="str">
        <f>IFERROR(__xludf.DUMMYFUNCTION("""COMPUTED_VALUE"""),"Andrea Araujo")</f>
        <v>Andrea Araujo</v>
      </c>
      <c r="W543" s="1" t="str">
        <f>IFERROR(__xludf.DUMMYFUNCTION("""COMPUTED_VALUE"""),"Equipos e instalaciones")</f>
        <v>Equipos e instalaciones</v>
      </c>
      <c r="X543" s="1" t="str">
        <f>IFERROR(__xludf.DUMMYFUNCTION("""COMPUTED_VALUE"""),"1ra boleta 500")</f>
        <v>1ra boleta 500</v>
      </c>
      <c r="Y543" s="1" t="str">
        <f>IFERROR(__xludf.DUMMYFUNCTION("""COMPUTED_VALUE"""),"PAGO COMPLETO")</f>
        <v>PAGO COMPLETO</v>
      </c>
      <c r="Z543" s="1"/>
      <c r="AA543" s="1"/>
      <c r="AB543" s="1">
        <f>IFERROR(__xludf.DUMMYFUNCTION("""COMPUTED_VALUE"""),0.0)</f>
        <v>0</v>
      </c>
      <c r="AC543" s="1">
        <f>IFERROR(__xludf.DUMMYFUNCTION("""COMPUTED_VALUE"""),0.0)</f>
        <v>0</v>
      </c>
      <c r="AD543" s="1" t="str">
        <f>IFERROR(__xludf.DUMMYFUNCTION("""COMPUTED_VALUE"""),"Fiorella Lanegra")</f>
        <v>Fiorella Lanegra</v>
      </c>
      <c r="AE543" s="1" t="str">
        <f>IFERROR(__xludf.DUMMYFUNCTION("""COMPUTED_VALUE"""),"0")</f>
        <v>0</v>
      </c>
      <c r="AF543" s="1">
        <f>IFERROR(__xludf.DUMMYFUNCTION("""COMPUTED_VALUE"""),2024.0)</f>
        <v>2024</v>
      </c>
      <c r="AG543" s="1">
        <f>IFERROR(__xludf.DUMMYFUNCTION("""COMPUTED_VALUE"""),773788.0)</f>
        <v>773788</v>
      </c>
      <c r="AH543" s="1">
        <f>IFERROR(__xludf.DUMMYFUNCTION("""COMPUTED_VALUE"""),18.0)</f>
        <v>18</v>
      </c>
      <c r="AI543" s="1" t="str">
        <f>IFERROR(__xludf.DUMMYFUNCTION("""COMPUTED_VALUE"""),"0000416802")</f>
        <v>0000416802</v>
      </c>
      <c r="AJ543" s="1">
        <f>IFERROR(__xludf.DUMMYFUNCTION("""COMPUTED_VALUE"""),6.126453E7)</f>
        <v>61264530</v>
      </c>
      <c r="AK543" s="1">
        <f>IFERROR(__xludf.DUMMYFUNCTION("""COMPUTED_VALUE"""),9.24852128E8)</f>
        <v>924852128</v>
      </c>
      <c r="AL543" s="1" t="str">
        <f>IFERROR(__xludf.DUMMYFUNCTION("""COMPUTED_VALUE"""),"fernandezviankacecilia@gmail.com")</f>
        <v>fernandezviankacecilia@gmail.com</v>
      </c>
      <c r="AM543" s="1" t="str">
        <f>IFERROR(__xludf.DUMMYFUNCTION("""COMPUTED_VALUE"""),"FEMENINO")</f>
        <v>FEMENINO</v>
      </c>
      <c r="AN543" s="1">
        <f>IFERROR(__xludf.DUMMYFUNCTION("""COMPUTED_VALUE"""),0.0)</f>
        <v>0</v>
      </c>
      <c r="AO543" s="1">
        <f>IFERROR(__xludf.DUMMYFUNCTION("""COMPUTED_VALUE"""),0.0)</f>
        <v>0</v>
      </c>
      <c r="AP543" s="1" t="str">
        <f>IFERROR(__xludf.DUMMYFUNCTION("""COMPUTED_VALUE"""),"FORMULARIO")</f>
        <v>FORMULARIO</v>
      </c>
      <c r="AQ543" s="1" t="str">
        <f>IFERROR(__xludf.DUMMYFUNCTION("""COMPUTED_VALUE"""),"SEARCH MARCA")</f>
        <v>SEARCH MARCA</v>
      </c>
      <c r="AR543" s="1" t="str">
        <f>IFERROR(__xludf.DUMMYFUNCTION("""COMPUTED_VALUE"""),"NUEVO")</f>
        <v>NUEVO</v>
      </c>
      <c r="AS543" s="1" t="str">
        <f>IFERROR(__xludf.DUMMYFUNCTION("""COMPUTED_VALUE"""),"ucal-pg-performance-sedes-abierta-cpl-search_conversion_marca-20240401")</f>
        <v>ucal-pg-performance-sedes-abierta-cpl-search_conversion_marca-20240401</v>
      </c>
      <c r="AT543" s="2">
        <f>IFERROR(__xludf.DUMMYFUNCTION("""COMPUTED_VALUE"""),45710.0)</f>
        <v>45710</v>
      </c>
      <c r="AU543" s="1">
        <f>IFERROR(__xludf.DUMMYFUNCTION("""COMPUTED_VALUE"""),1.0)</f>
        <v>1</v>
      </c>
      <c r="AV543" s="1" t="str">
        <f>IFERROR(__xludf.DUMMYFUNCTION("""COMPUTED_VALUE"""),"NUEVO")</f>
        <v>NUEVO</v>
      </c>
      <c r="AW543" s="1" t="str">
        <f>IFERROR(__xludf.DUMMYFUNCTION("""COMPUTED_VALUE"""),"SI")</f>
        <v>SI</v>
      </c>
      <c r="AX543" s="1"/>
      <c r="AY543" s="1" t="str">
        <f>IFERROR(__xludf.DUMMYFUNCTION("""COMPUTED_VALUE"""),"PAGO COMPLETO")</f>
        <v>PAGO COMPLETO</v>
      </c>
      <c r="AZ543" s="5">
        <f>IFERROR(__xludf.DUMMYFUNCTION("""COMPUTED_VALUE"""),45715.0)</f>
        <v>45715</v>
      </c>
      <c r="BA543" s="1">
        <f>IFERROR(__xludf.DUMMYFUNCTION("""COMPUTED_VALUE"""),0.0)</f>
        <v>0</v>
      </c>
      <c r="BB543" s="1">
        <f>IFERROR(__xludf.DUMMYFUNCTION("""COMPUTED_VALUE"""),0.0)</f>
        <v>0</v>
      </c>
      <c r="BC543" s="4">
        <f>IFERROR(__xludf.DUMMYFUNCTION("""COMPUTED_VALUE"""),0.0)</f>
        <v>0</v>
      </c>
      <c r="BD543" s="4">
        <f>IFERROR(__xludf.DUMMYFUNCTION("""COMPUTED_VALUE"""),500.0)</f>
        <v>500</v>
      </c>
      <c r="BE543" s="1">
        <f>IFERROR(__xludf.DUMMYFUNCTION("""COMPUTED_VALUE"""),2.0)</f>
        <v>2</v>
      </c>
      <c r="BF543" s="6">
        <f>IFERROR(__xludf.DUMMYFUNCTION("""COMPUTED_VALUE"""),1.0)</f>
        <v>1</v>
      </c>
      <c r="BG543" s="1">
        <f>IFERROR(__xludf.DUMMYFUNCTION("""COMPUTED_VALUE"""),1.0)</f>
        <v>1</v>
      </c>
      <c r="BH543" s="1" t="str">
        <f>IFERROR(__xludf.DUMMYFUNCTION("""COMPUTED_VALUE"""),"0")</f>
        <v>0</v>
      </c>
      <c r="BI543" s="4">
        <f>IFERROR(__xludf.DUMMYFUNCTION("""COMPUTED_VALUE"""),500.0)</f>
        <v>500</v>
      </c>
      <c r="BJ543" s="1">
        <f>IFERROR(__xludf.DUMMYFUNCTION("""COMPUTED_VALUE"""),0.0)</f>
        <v>0</v>
      </c>
      <c r="BK543" s="4">
        <f>IFERROR(__xludf.DUMMYFUNCTION("""COMPUTED_VALUE"""),500.0)</f>
        <v>500</v>
      </c>
      <c r="BL543" s="1">
        <f>IFERROR(__xludf.DUMMYFUNCTION("""COMPUTED_VALUE"""),900.0)</f>
        <v>900</v>
      </c>
      <c r="BM543" s="1">
        <f>IFERROR(__xludf.DUMMYFUNCTION("""COMPUTED_VALUE"""),9.0)</f>
        <v>9</v>
      </c>
      <c r="BN543" s="2">
        <f>IFERROR(__xludf.DUMMYFUNCTION("""COMPUTED_VALUE"""),45712.0)</f>
        <v>45712</v>
      </c>
      <c r="BO543" s="1">
        <f>IFERROR(__xludf.DUMMYFUNCTION("""COMPUTED_VALUE"""),2.0)</f>
        <v>2</v>
      </c>
      <c r="BP543" s="1">
        <f>IFERROR(__xludf.DUMMYFUNCTION("""COMPUTED_VALUE"""),2025.0)</f>
        <v>2025</v>
      </c>
    </row>
    <row r="544">
      <c r="A544" s="1">
        <f>IFERROR(__xludf.DUMMYFUNCTION("""COMPUTED_VALUE"""),543.0)</f>
        <v>543</v>
      </c>
      <c r="B544" s="1">
        <f>IFERROR(__xludf.DUMMYFUNCTION("""COMPUTED_VALUE"""),5044519.0)</f>
        <v>5044519</v>
      </c>
      <c r="C544" s="1" t="str">
        <f>IFERROR(__xludf.DUMMYFUNCTION("""COMPUTED_VALUE"""),"2025-1")</f>
        <v>2025-1</v>
      </c>
      <c r="D544" s="1" t="str">
        <f>IFERROR(__xludf.DUMMYFUNCTION("""COMPUTED_VALUE"""),"Admisión Extraordinaria (Traslados)")</f>
        <v>Admisión Extraordinaria (Traslados)</v>
      </c>
      <c r="E544" s="2">
        <f>IFERROR(__xludf.DUMMYFUNCTION("""COMPUTED_VALUE"""),45715.0)</f>
        <v>45715</v>
      </c>
      <c r="F544" s="1" t="str">
        <f>IFERROR(__xludf.DUMMYFUNCTION("""COMPUTED_VALUE"""),"EDWIN SEBASTIÁN ")</f>
        <v>EDWIN SEBASTIÁN </v>
      </c>
      <c r="G544" s="1" t="str">
        <f>IFERROR(__xludf.DUMMYFUNCTION("""COMPUTED_VALUE"""),"OROYA USURIN")</f>
        <v>OROYA USURIN</v>
      </c>
      <c r="H544" s="1" t="str">
        <f>IFERROR(__xludf.DUMMYFUNCTION("""COMPUTED_VALUE"""),"Comunicación Audiovisual y Cine")</f>
        <v>Comunicación Audiovisual y Cine</v>
      </c>
      <c r="I544" s="1" t="str">
        <f>IFERROR(__xludf.DUMMYFUNCTION("""COMPUTED_VALUE"""),"Pago Link")</f>
        <v>Pago Link</v>
      </c>
      <c r="J544" s="1" t="str">
        <f>IFERROR(__xludf.DUMMYFUNCTION("""COMPUTED_VALUE"""),"Diurno")</f>
        <v>Diurno</v>
      </c>
      <c r="K544" s="1" t="str">
        <f>IFERROR(__xludf.DUMMYFUNCTION("""COMPUTED_VALUE"""),"TRASLADO")</f>
        <v>TRASLADO</v>
      </c>
      <c r="L544" s="1">
        <f>IFERROR(__xludf.DUMMYFUNCTION("""COMPUTED_VALUE"""),1.0)</f>
        <v>1</v>
      </c>
      <c r="M544" s="1">
        <f>IFERROR(__xludf.DUMMYFUNCTION("""COMPUTED_VALUE"""),0.0)</f>
        <v>0</v>
      </c>
      <c r="N544" s="1" t="str">
        <f>IFERROR(__xludf.DUMMYFUNCTION("""COMPUTED_VALUE"""),"RECA")</f>
        <v>RECA</v>
      </c>
      <c r="O544" s="1" t="str">
        <f>IFERROR(__xludf.DUMMYFUNCTION("""COMPUTED_VALUE"""),"RECA TRASLADO CON CONVA")</f>
        <v>RECA TRASLADO CON CONVA</v>
      </c>
      <c r="P544" s="4">
        <f>IFERROR(__xludf.DUMMYFUNCTION("""COMPUTED_VALUE"""),0.0)</f>
        <v>0</v>
      </c>
      <c r="Q544" s="4">
        <f>IFERROR(__xludf.DUMMYFUNCTION("""COMPUTED_VALUE"""),0.0)</f>
        <v>0</v>
      </c>
      <c r="R544" s="4">
        <f>IFERROR(__xludf.DUMMYFUNCTION("""COMPUTED_VALUE"""),1100.0)</f>
        <v>1100</v>
      </c>
      <c r="S544" s="4">
        <f>IFERROR(__xludf.DUMMYFUNCTION("""COMPUTED_VALUE"""),750.0)</f>
        <v>750</v>
      </c>
      <c r="T544" s="1" t="str">
        <f>IFERROR(__xludf.DUMMYFUNCTION("""COMPUTED_VALUE"""),"NINGUNO")</f>
        <v>NINGUNO</v>
      </c>
      <c r="U544" s="1" t="str">
        <f>IFERROR(__xludf.DUMMYFUNCTION("""COMPUTED_VALUE"""),"RODRIGO")</f>
        <v>RODRIGO</v>
      </c>
      <c r="V544" s="1" t="str">
        <f>IFERROR(__xludf.DUMMYFUNCTION("""COMPUTED_VALUE"""),"Ninguno")</f>
        <v>Ninguno</v>
      </c>
      <c r="W544" s="1" t="str">
        <f>IFERROR(__xludf.DUMMYFUNCTION("""COMPUTED_VALUE"""),"Convenios internacionales")</f>
        <v>Convenios internacionales</v>
      </c>
      <c r="X544" s="1" t="str">
        <f>IFERROR(__xludf.DUMMYFUNCTION("""COMPUTED_VALUE"""),"isil ")</f>
        <v>isil </v>
      </c>
      <c r="Y544" s="1" t="str">
        <f>IFERROR(__xludf.DUMMYFUNCTION("""COMPUTED_VALUE"""),"PAGO COMPLETO")</f>
        <v>PAGO COMPLETO</v>
      </c>
      <c r="Z544" s="1"/>
      <c r="AA544" s="1"/>
      <c r="AB544" s="1">
        <f>IFERROR(__xludf.DUMMYFUNCTION("""COMPUTED_VALUE"""),1.0)</f>
        <v>1</v>
      </c>
      <c r="AC544" s="1">
        <f>IFERROR(__xludf.DUMMYFUNCTION("""COMPUTED_VALUE"""),0.0)</f>
        <v>0</v>
      </c>
      <c r="AD544" s="1" t="str">
        <f>IFERROR(__xludf.DUMMYFUNCTION("""COMPUTED_VALUE"""),"Rosa Ugarte")</f>
        <v>Rosa Ugarte</v>
      </c>
      <c r="AE544" s="1" t="str">
        <f>IFERROR(__xludf.DUMMYFUNCTION("""COMPUTED_VALUE"""),"ISIL")</f>
        <v>ISIL</v>
      </c>
      <c r="AF544" s="1">
        <f>IFERROR(__xludf.DUMMYFUNCTION("""COMPUTED_VALUE"""),2020.0)</f>
        <v>2020</v>
      </c>
      <c r="AG544" s="1">
        <f>IFERROR(__xludf.DUMMYFUNCTION("""COMPUTED_VALUE"""),692467.0)</f>
        <v>692467</v>
      </c>
      <c r="AH544" s="1">
        <f>IFERROR(__xludf.DUMMYFUNCTION("""COMPUTED_VALUE"""),22.0)</f>
        <v>22</v>
      </c>
      <c r="AI544" s="1" t="str">
        <f>IFERROR(__xludf.DUMMYFUNCTION("""COMPUTED_VALUE"""),"0000416822")</f>
        <v>0000416822</v>
      </c>
      <c r="AJ544" s="1">
        <f>IFERROR(__xludf.DUMMYFUNCTION("""COMPUTED_VALUE"""),7.2366701E7)</f>
        <v>72366701</v>
      </c>
      <c r="AK544" s="1">
        <f>IFERROR(__xludf.DUMMYFUNCTION("""COMPUTED_VALUE"""),9.30439891E8)</f>
        <v>930439891</v>
      </c>
      <c r="AL544" s="1" t="str">
        <f>IFERROR(__xludf.DUMMYFUNCTION("""COMPUTED_VALUE"""),"sebastianou489@gmail.com")</f>
        <v>sebastianou489@gmail.com</v>
      </c>
      <c r="AM544" s="1" t="str">
        <f>IFERROR(__xludf.DUMMYFUNCTION("""COMPUTED_VALUE"""),"MASCULINO")</f>
        <v>MASCULINO</v>
      </c>
      <c r="AN544" s="1">
        <f>IFERROR(__xludf.DUMMYFUNCTION("""COMPUTED_VALUE"""),1350.0)</f>
        <v>1350</v>
      </c>
      <c r="AO544" s="1">
        <f>IFERROR(__xludf.DUMMYFUNCTION("""COMPUTED_VALUE"""),0.0)</f>
        <v>0</v>
      </c>
      <c r="AP544" s="1" t="str">
        <f>IFERROR(__xludf.DUMMYFUNCTION("""COMPUTED_VALUE"""),"FORMULARIO")</f>
        <v>FORMULARIO</v>
      </c>
      <c r="AQ544" s="1" t="str">
        <f>IFERROR(__xludf.DUMMYFUNCTION("""COMPUTED_VALUE"""),"ORGANICO")</f>
        <v>ORGANICO</v>
      </c>
      <c r="AR544" s="1" t="str">
        <f>IFERROR(__xludf.DUMMYFUNCTION("""COMPUTED_VALUE"""),"NUEVO")</f>
        <v>NUEVO</v>
      </c>
      <c r="AS544" s="1"/>
      <c r="AT544" s="2">
        <f>IFERROR(__xludf.DUMMYFUNCTION("""COMPUTED_VALUE"""),45713.0)</f>
        <v>45713</v>
      </c>
      <c r="AU544" s="1">
        <f>IFERROR(__xludf.DUMMYFUNCTION("""COMPUTED_VALUE"""),1.0)</f>
        <v>1</v>
      </c>
      <c r="AV544" s="1" t="str">
        <f>IFERROR(__xludf.DUMMYFUNCTION("""COMPUTED_VALUE"""),"TRASLADO")</f>
        <v>TRASLADO</v>
      </c>
      <c r="AW544" s="1" t="str">
        <f>IFERROR(__xludf.DUMMYFUNCTION("""COMPUTED_VALUE"""),"SI")</f>
        <v>SI</v>
      </c>
      <c r="AX544" s="1"/>
      <c r="AY544" s="1" t="str">
        <f>IFERROR(__xludf.DUMMYFUNCTION("""COMPUTED_VALUE"""),"PAGO COMPLETO")</f>
        <v>PAGO COMPLETO</v>
      </c>
      <c r="AZ544" s="5">
        <f>IFERROR(__xludf.DUMMYFUNCTION("""COMPUTED_VALUE"""),45715.0)</f>
        <v>45715</v>
      </c>
      <c r="BA544" s="1">
        <f>IFERROR(__xludf.DUMMYFUNCTION("""COMPUTED_VALUE"""),0.0)</f>
        <v>0</v>
      </c>
      <c r="BB544" s="1">
        <f>IFERROR(__xludf.DUMMYFUNCTION("""COMPUTED_VALUE"""),0.0)</f>
        <v>0</v>
      </c>
      <c r="BC544" s="4">
        <f>IFERROR(__xludf.DUMMYFUNCTION("""COMPUTED_VALUE"""),0.0)</f>
        <v>0</v>
      </c>
      <c r="BD544" s="4">
        <f>IFERROR(__xludf.DUMMYFUNCTION("""COMPUTED_VALUE"""),0.0)</f>
        <v>0</v>
      </c>
      <c r="BE544" s="1">
        <f>IFERROR(__xludf.DUMMYFUNCTION("""COMPUTED_VALUE"""),2.0)</f>
        <v>2</v>
      </c>
      <c r="BF544" s="6">
        <f>IFERROR(__xludf.DUMMYFUNCTION("""COMPUTED_VALUE"""),1.0)</f>
        <v>1</v>
      </c>
      <c r="BG544" s="1">
        <f>IFERROR(__xludf.DUMMYFUNCTION("""COMPUTED_VALUE"""),1.0)</f>
        <v>1</v>
      </c>
      <c r="BH544" s="1" t="str">
        <f>IFERROR(__xludf.DUMMYFUNCTION("""COMPUTED_VALUE"""),"1")</f>
        <v>1</v>
      </c>
      <c r="BI544" s="4">
        <f>IFERROR(__xludf.DUMMYFUNCTION("""COMPUTED_VALUE"""),0.0)</f>
        <v>0</v>
      </c>
      <c r="BJ544" s="1">
        <f>IFERROR(__xludf.DUMMYFUNCTION("""COMPUTED_VALUE"""),0.0)</f>
        <v>0</v>
      </c>
      <c r="BK544" s="4">
        <f>IFERROR(__xludf.DUMMYFUNCTION("""COMPUTED_VALUE"""),0.0)</f>
        <v>0</v>
      </c>
      <c r="BL544" s="1">
        <f>IFERROR(__xludf.DUMMYFUNCTION("""COMPUTED_VALUE"""),750.0)</f>
        <v>750</v>
      </c>
      <c r="BM544" s="1">
        <f>IFERROR(__xludf.DUMMYFUNCTION("""COMPUTED_VALUE"""),9.0)</f>
        <v>9</v>
      </c>
      <c r="BN544" s="2">
        <f>IFERROR(__xludf.DUMMYFUNCTION("""COMPUTED_VALUE"""),45712.0)</f>
        <v>45712</v>
      </c>
      <c r="BO544" s="1">
        <f>IFERROR(__xludf.DUMMYFUNCTION("""COMPUTED_VALUE"""),2.0)</f>
        <v>2</v>
      </c>
      <c r="BP544" s="1">
        <f>IFERROR(__xludf.DUMMYFUNCTION("""COMPUTED_VALUE"""),2025.0)</f>
        <v>2025</v>
      </c>
    </row>
    <row r="545">
      <c r="A545" s="1">
        <f>IFERROR(__xludf.DUMMYFUNCTION("""COMPUTED_VALUE"""),544.0)</f>
        <v>544</v>
      </c>
      <c r="B545" s="1">
        <f>IFERROR(__xludf.DUMMYFUNCTION("""COMPUTED_VALUE"""),4415605.0)</f>
        <v>4415605</v>
      </c>
      <c r="C545" s="1" t="str">
        <f>IFERROR(__xludf.DUMMYFUNCTION("""COMPUTED_VALUE"""),"2025-1")</f>
        <v>2025-1</v>
      </c>
      <c r="D545" s="1" t="str">
        <f>IFERROR(__xludf.DUMMYFUNCTION("""COMPUTED_VALUE"""),"Admisión de Alto Rendimiento")</f>
        <v>Admisión de Alto Rendimiento</v>
      </c>
      <c r="E545" s="2">
        <f>IFERROR(__xludf.DUMMYFUNCTION("""COMPUTED_VALUE"""),45715.0)</f>
        <v>45715</v>
      </c>
      <c r="F545" s="1" t="str">
        <f>IFERROR(__xludf.DUMMYFUNCTION("""COMPUTED_VALUE"""),"LUKA RENÉ")</f>
        <v>LUKA RENÉ</v>
      </c>
      <c r="G545" s="1" t="str">
        <f>IFERROR(__xludf.DUMMYFUNCTION("""COMPUTED_VALUE"""),"RODRIGUEZ VERA")</f>
        <v>RODRIGUEZ VERA</v>
      </c>
      <c r="H545" s="1" t="str">
        <f>IFERROR(__xludf.DUMMYFUNCTION("""COMPUTED_VALUE"""),"Comunicación Audiovisual y Cine")</f>
        <v>Comunicación Audiovisual y Cine</v>
      </c>
      <c r="I545" s="1" t="str">
        <f>IFERROR(__xludf.DUMMYFUNCTION("""COMPUTED_VALUE"""),"CARGO")</f>
        <v>CARGO</v>
      </c>
      <c r="J545" s="1" t="str">
        <f>IFERROR(__xludf.DUMMYFUNCTION("""COMPUTED_VALUE"""),"Diurno")</f>
        <v>Diurno</v>
      </c>
      <c r="K545" s="1" t="str">
        <f>IFERROR(__xludf.DUMMYFUNCTION("""COMPUTED_VALUE"""),"NUEVO")</f>
        <v>NUEVO</v>
      </c>
      <c r="L545" s="1">
        <f>IFERROR(__xludf.DUMMYFUNCTION("""COMPUTED_VALUE"""),0.0)</f>
        <v>0</v>
      </c>
      <c r="M545" s="1">
        <f>IFERROR(__xludf.DUMMYFUNCTION("""COMPUTED_VALUE"""),0.0)</f>
        <v>0</v>
      </c>
      <c r="N545" s="1" t="str">
        <f>IFERROR(__xludf.DUMMYFUNCTION("""COMPUTED_VALUE"""),"RECA-BECA")</f>
        <v>RECA-BECA</v>
      </c>
      <c r="O545" s="1" t="str">
        <f>IFERROR(__xludf.DUMMYFUNCTION("""COMPUTED_VALUE"""),"BECA CONGELADA DE 2 AÑOS")</f>
        <v>BECA CONGELADA DE 2 AÑOS</v>
      </c>
      <c r="P545" s="4">
        <f>IFERROR(__xludf.DUMMYFUNCTION("""COMPUTED_VALUE"""),0.0)</f>
        <v>0</v>
      </c>
      <c r="Q545" s="4">
        <f>IFERROR(__xludf.DUMMYFUNCTION("""COMPUTED_VALUE"""),0.0)</f>
        <v>0</v>
      </c>
      <c r="R545" s="4">
        <f>IFERROR(__xludf.DUMMYFUNCTION("""COMPUTED_VALUE"""),1450.0)</f>
        <v>1450</v>
      </c>
      <c r="S545" s="4">
        <f>IFERROR(__xludf.DUMMYFUNCTION("""COMPUTED_VALUE"""),1200.0)</f>
        <v>1200</v>
      </c>
      <c r="T545" s="1" t="str">
        <f>IFERROR(__xludf.DUMMYFUNCTION("""COMPUTED_VALUE"""),"PALANCA 500")</f>
        <v>PALANCA 500</v>
      </c>
      <c r="U545" s="1"/>
      <c r="V545" s="1" t="str">
        <f>IFERROR(__xludf.DUMMYFUNCTION("""COMPUTED_VALUE"""),"Ninguno")</f>
        <v>Ninguno</v>
      </c>
      <c r="W545" s="1" t="str">
        <f>IFERROR(__xludf.DUMMYFUNCTION("""COMPUTED_VALUE"""),"Metodología de enseñanza")</f>
        <v>Metodología de enseñanza</v>
      </c>
      <c r="X545" s="1"/>
      <c r="Y545" s="1" t="str">
        <f>IFERROR(__xludf.DUMMYFUNCTION("""COMPUTED_VALUE"""),"PAGO COMPLETO")</f>
        <v>PAGO COMPLETO</v>
      </c>
      <c r="Z545" s="1"/>
      <c r="AA545" s="1"/>
      <c r="AB545" s="1">
        <f>IFERROR(__xludf.DUMMYFUNCTION("""COMPUTED_VALUE"""),0.0)</f>
        <v>0</v>
      </c>
      <c r="AC545" s="1">
        <f>IFERROR(__xludf.DUMMYFUNCTION("""COMPUTED_VALUE"""),0.0)</f>
        <v>0</v>
      </c>
      <c r="AD545" s="1" t="str">
        <f>IFERROR(__xludf.DUMMYFUNCTION("""COMPUTED_VALUE"""),"Ingrid Guillermo Rivera")</f>
        <v>Ingrid Guillermo Rivera</v>
      </c>
      <c r="AE545" s="1" t="str">
        <f>IFERROR(__xludf.DUMMYFUNCTION("""COMPUTED_VALUE"""),"0")</f>
        <v>0</v>
      </c>
      <c r="AF545" s="1">
        <f>IFERROR(__xludf.DUMMYFUNCTION("""COMPUTED_VALUE"""),2024.0)</f>
        <v>2024</v>
      </c>
      <c r="AG545" s="1">
        <f>IFERROR(__xludf.DUMMYFUNCTION("""COMPUTED_VALUE"""),500363.0)</f>
        <v>500363</v>
      </c>
      <c r="AH545" s="1">
        <f>IFERROR(__xludf.DUMMYFUNCTION("""COMPUTED_VALUE"""),18.0)</f>
        <v>18</v>
      </c>
      <c r="AI545" s="1" t="str">
        <f>IFERROR(__xludf.DUMMYFUNCTION("""COMPUTED_VALUE"""),"0000416807")</f>
        <v>0000416807</v>
      </c>
      <c r="AJ545" s="1">
        <f>IFERROR(__xludf.DUMMYFUNCTION("""COMPUTED_VALUE"""),7.0648282E7)</f>
        <v>70648282</v>
      </c>
      <c r="AK545" s="1">
        <f>IFERROR(__xludf.DUMMYFUNCTION("""COMPUTED_VALUE"""),9.69518947E8)</f>
        <v>969518947</v>
      </c>
      <c r="AL545" s="1" t="str">
        <f>IFERROR(__xludf.DUMMYFUNCTION("""COMPUTED_VALUE"""),"lukarodriguez3007@gmail.com")</f>
        <v>lukarodriguez3007@gmail.com</v>
      </c>
      <c r="AM545" s="1" t="str">
        <f>IFERROR(__xludf.DUMMYFUNCTION("""COMPUTED_VALUE"""),"MASCULINO")</f>
        <v>MASCULINO</v>
      </c>
      <c r="AN545" s="1">
        <f>IFERROR(__xludf.DUMMYFUNCTION("""COMPUTED_VALUE"""),2200.0)</f>
        <v>2200</v>
      </c>
      <c r="AO545" s="1">
        <f>IFERROR(__xludf.DUMMYFUNCTION("""COMPUTED_VALUE"""),880.0)</f>
        <v>880</v>
      </c>
      <c r="AP545" s="1" t="str">
        <f>IFERROR(__xludf.DUMMYFUNCTION("""COMPUTED_VALUE"""),"COLEGIOS")</f>
        <v>COLEGIOS</v>
      </c>
      <c r="AQ545" s="1" t="str">
        <f>IFERROR(__xludf.DUMMYFUNCTION("""COMPUTED_VALUE"""),"COLEGIOS")</f>
        <v>COLEGIOS</v>
      </c>
      <c r="AR545" s="1" t="str">
        <f>IFERROR(__xludf.DUMMYFUNCTION("""COMPUTED_VALUE"""),"NUEVO")</f>
        <v>NUEVO</v>
      </c>
      <c r="AS545" s="1"/>
      <c r="AT545" s="2">
        <f>IFERROR(__xludf.DUMMYFUNCTION("""COMPUTED_VALUE"""),45411.0)</f>
        <v>45411</v>
      </c>
      <c r="AU545" s="1">
        <f>IFERROR(__xludf.DUMMYFUNCTION("""COMPUTED_VALUE"""),1.0)</f>
        <v>1</v>
      </c>
      <c r="AV545" s="1" t="str">
        <f>IFERROR(__xludf.DUMMYFUNCTION("""COMPUTED_VALUE"""),"NUEVO")</f>
        <v>NUEVO</v>
      </c>
      <c r="AW545" s="1" t="str">
        <f>IFERROR(__xludf.DUMMYFUNCTION("""COMPUTED_VALUE"""),"SI")</f>
        <v>SI</v>
      </c>
      <c r="AX545" s="1"/>
      <c r="AY545" s="1" t="str">
        <f>IFERROR(__xludf.DUMMYFUNCTION("""COMPUTED_VALUE"""),"PAGO COMPLETO")</f>
        <v>PAGO COMPLETO</v>
      </c>
      <c r="AZ545" s="5">
        <f>IFERROR(__xludf.DUMMYFUNCTION("""COMPUTED_VALUE"""),45715.0)</f>
        <v>45715</v>
      </c>
      <c r="BA545" s="1">
        <f>IFERROR(__xludf.DUMMYFUNCTION("""COMPUTED_VALUE"""),0.0)</f>
        <v>0</v>
      </c>
      <c r="BB545" s="1">
        <f>IFERROR(__xludf.DUMMYFUNCTION("""COMPUTED_VALUE"""),0.0)</f>
        <v>0</v>
      </c>
      <c r="BC545" s="4">
        <f>IFERROR(__xludf.DUMMYFUNCTION("""COMPUTED_VALUE"""),0.0)</f>
        <v>0</v>
      </c>
      <c r="BD545" s="4">
        <f>IFERROR(__xludf.DUMMYFUNCTION("""COMPUTED_VALUE"""),700.0)</f>
        <v>700</v>
      </c>
      <c r="BE545" s="1">
        <f>IFERROR(__xludf.DUMMYFUNCTION("""COMPUTED_VALUE"""),2.0)</f>
        <v>2</v>
      </c>
      <c r="BF545" s="6">
        <f>IFERROR(__xludf.DUMMYFUNCTION("""COMPUTED_VALUE"""),1.0)</f>
        <v>1</v>
      </c>
      <c r="BG545" s="1">
        <f>IFERROR(__xludf.DUMMYFUNCTION("""COMPUTED_VALUE"""),1.0)</f>
        <v>1</v>
      </c>
      <c r="BH545" s="1" t="str">
        <f>IFERROR(__xludf.DUMMYFUNCTION("""COMPUTED_VALUE"""),"0")</f>
        <v>0</v>
      </c>
      <c r="BI545" s="4">
        <f>IFERROR(__xludf.DUMMYFUNCTION("""COMPUTED_VALUE"""),700.0)</f>
        <v>700</v>
      </c>
      <c r="BJ545" s="1">
        <f>IFERROR(__xludf.DUMMYFUNCTION("""COMPUTED_VALUE"""),0.0)</f>
        <v>0</v>
      </c>
      <c r="BK545" s="4">
        <f>IFERROR(__xludf.DUMMYFUNCTION("""COMPUTED_VALUE"""),700.0)</f>
        <v>700</v>
      </c>
      <c r="BL545" s="1">
        <f>IFERROR(__xludf.DUMMYFUNCTION("""COMPUTED_VALUE"""),1060.0)</f>
        <v>1060</v>
      </c>
      <c r="BM545" s="1">
        <f>IFERROR(__xludf.DUMMYFUNCTION("""COMPUTED_VALUE"""),9.0)</f>
        <v>9</v>
      </c>
      <c r="BN545" s="2">
        <f>IFERROR(__xludf.DUMMYFUNCTION("""COMPUTED_VALUE"""),45712.0)</f>
        <v>45712</v>
      </c>
      <c r="BO545" s="1">
        <f>IFERROR(__xludf.DUMMYFUNCTION("""COMPUTED_VALUE"""),2.0)</f>
        <v>2</v>
      </c>
      <c r="BP545" s="1">
        <f>IFERROR(__xludf.DUMMYFUNCTION("""COMPUTED_VALUE"""),2025.0)</f>
        <v>2025</v>
      </c>
    </row>
    <row r="546">
      <c r="A546" s="1">
        <f>IFERROR(__xludf.DUMMYFUNCTION("""COMPUTED_VALUE"""),545.0)</f>
        <v>545</v>
      </c>
      <c r="B546" s="1">
        <f>IFERROR(__xludf.DUMMYFUNCTION("""COMPUTED_VALUE"""),1192487.0)</f>
        <v>1192487</v>
      </c>
      <c r="C546" s="1" t="str">
        <f>IFERROR(__xludf.DUMMYFUNCTION("""COMPUTED_VALUE"""),"2025-1")</f>
        <v>2025-1</v>
      </c>
      <c r="D546" s="1" t="str">
        <f>IFERROR(__xludf.DUMMYFUNCTION("""COMPUTED_VALUE"""),"Admisión Ordinaria")</f>
        <v>Admisión Ordinaria</v>
      </c>
      <c r="E546" s="2">
        <f>IFERROR(__xludf.DUMMYFUNCTION("""COMPUTED_VALUE"""),45715.0)</f>
        <v>45715</v>
      </c>
      <c r="F546" s="1" t="str">
        <f>IFERROR(__xludf.DUMMYFUNCTION("""COMPUTED_VALUE"""),"MARIAJESUS ARIANA ")</f>
        <v>MARIAJESUS ARIANA </v>
      </c>
      <c r="G546" s="1" t="str">
        <f>IFERROR(__xludf.DUMMYFUNCTION("""COMPUTED_VALUE"""),"CARRASCO NIETO")</f>
        <v>CARRASCO NIETO</v>
      </c>
      <c r="H546" s="1" t="str">
        <f>IFERROR(__xludf.DUMMYFUNCTION("""COMPUTED_VALUE"""),"Diseño Gráfico Publicitario")</f>
        <v>Diseño Gráfico Publicitario</v>
      </c>
      <c r="I546" s="1" t="str">
        <f>IFERROR(__xludf.DUMMYFUNCTION("""COMPUTED_VALUE"""),"CARGO")</f>
        <v>CARGO</v>
      </c>
      <c r="J546" s="1" t="str">
        <f>IFERROR(__xludf.DUMMYFUNCTION("""COMPUTED_VALUE"""),"Diurno")</f>
        <v>Diurno</v>
      </c>
      <c r="K546" s="1" t="str">
        <f>IFERROR(__xludf.DUMMYFUNCTION("""COMPUTED_VALUE"""),"NUEVO")</f>
        <v>NUEVO</v>
      </c>
      <c r="L546" s="1">
        <f>IFERROR(__xludf.DUMMYFUNCTION("""COMPUTED_VALUE"""),0.0)</f>
        <v>0</v>
      </c>
      <c r="M546" s="1">
        <f>IFERROR(__xludf.DUMMYFUNCTION("""COMPUTED_VALUE"""),1.0)</f>
        <v>1</v>
      </c>
      <c r="N546" s="1" t="str">
        <f>IFERROR(__xludf.DUMMYFUNCTION("""COMPUTED_VALUE"""),"BECA")</f>
        <v>BECA</v>
      </c>
      <c r="O546" s="1" t="str">
        <f>IFERROR(__xludf.DUMMYFUNCTION("""COMPUTED_VALUE"""),"BECA CONGELADA DE 2 AÑOS")</f>
        <v>BECA CONGELADA DE 2 AÑOS</v>
      </c>
      <c r="P546" s="4">
        <f>IFERROR(__xludf.DUMMYFUNCTION("""COMPUTED_VALUE"""),125.0)</f>
        <v>125</v>
      </c>
      <c r="Q546" s="4">
        <f>IFERROR(__xludf.DUMMYFUNCTION("""COMPUTED_VALUE"""),237.5)</f>
        <v>237.5</v>
      </c>
      <c r="R546" s="4">
        <f>IFERROR(__xludf.DUMMYFUNCTION("""COMPUTED_VALUE"""),1650.0)</f>
        <v>1650</v>
      </c>
      <c r="S546" s="4">
        <f>IFERROR(__xludf.DUMMYFUNCTION("""COMPUTED_VALUE"""),1330.0)</f>
        <v>1330</v>
      </c>
      <c r="T546" s="1" t="str">
        <f>IFERROR(__xludf.DUMMYFUNCTION("""COMPUTED_VALUE"""),"PALANCA 500")</f>
        <v>PALANCA 500</v>
      </c>
      <c r="U546" s="1" t="str">
        <f>IFERROR(__xludf.DUMMYFUNCTION("""COMPUTED_VALUE"""),"RODRIGO")</f>
        <v>RODRIGO</v>
      </c>
      <c r="V546" s="1" t="str">
        <f>IFERROR(__xludf.DUMMYFUNCTION("""COMPUTED_VALUE"""),"Ninguno")</f>
        <v>Ninguno</v>
      </c>
      <c r="W546" s="1" t="str">
        <f>IFERROR(__xludf.DUMMYFUNCTION("""COMPUTED_VALUE"""),"Metodología de enseñanza")</f>
        <v>Metodología de enseñanza</v>
      </c>
      <c r="X546" s="1"/>
      <c r="Y546" s="1" t="str">
        <f>IFERROR(__xludf.DUMMYFUNCTION("""COMPUTED_VALUE"""),"PAGO COMPLETO")</f>
        <v>PAGO COMPLETO</v>
      </c>
      <c r="Z546" s="1"/>
      <c r="AA546" s="1"/>
      <c r="AB546" s="1">
        <f>IFERROR(__xludf.DUMMYFUNCTION("""COMPUTED_VALUE"""),0.0)</f>
        <v>0</v>
      </c>
      <c r="AC546" s="1">
        <f>IFERROR(__xludf.DUMMYFUNCTION("""COMPUTED_VALUE"""),0.0)</f>
        <v>0</v>
      </c>
      <c r="AD546" s="1" t="str">
        <f>IFERROR(__xludf.DUMMYFUNCTION("""COMPUTED_VALUE"""),"Ingrid Guillermo Rivera")</f>
        <v>Ingrid Guillermo Rivera</v>
      </c>
      <c r="AE546" s="1" t="str">
        <f>IFERROR(__xludf.DUMMYFUNCTION("""COMPUTED_VALUE"""),"0")</f>
        <v>0</v>
      </c>
      <c r="AF546" s="1">
        <f>IFERROR(__xludf.DUMMYFUNCTION("""COMPUTED_VALUE"""),2020.0)</f>
        <v>2020</v>
      </c>
      <c r="AG546" s="1">
        <f>IFERROR(__xludf.DUMMYFUNCTION("""COMPUTED_VALUE"""),1763101.0)</f>
        <v>1763101</v>
      </c>
      <c r="AH546" s="1">
        <f>IFERROR(__xludf.DUMMYFUNCTION("""COMPUTED_VALUE"""),21.0)</f>
        <v>21</v>
      </c>
      <c r="AI546" s="1" t="str">
        <f>IFERROR(__xludf.DUMMYFUNCTION("""COMPUTED_VALUE"""),"0000416872")</f>
        <v>0000416872</v>
      </c>
      <c r="AJ546" s="1">
        <f>IFERROR(__xludf.DUMMYFUNCTION("""COMPUTED_VALUE"""),7.3061767E7)</f>
        <v>73061767</v>
      </c>
      <c r="AK546" s="1">
        <f>IFERROR(__xludf.DUMMYFUNCTION("""COMPUTED_VALUE"""),9.23032745E8)</f>
        <v>923032745</v>
      </c>
      <c r="AL546" s="1" t="str">
        <f>IFERROR(__xludf.DUMMYFUNCTION("""COMPUTED_VALUE"""),"mjcn1804@gmail.com")</f>
        <v>mjcn1804@gmail.com</v>
      </c>
      <c r="AM546" s="1" t="str">
        <f>IFERROR(__xludf.DUMMYFUNCTION("""COMPUTED_VALUE"""),"FEMENINO")</f>
        <v>FEMENINO</v>
      </c>
      <c r="AN546" s="1">
        <f>IFERROR(__xludf.DUMMYFUNCTION("""COMPUTED_VALUE"""),1775.0)</f>
        <v>1775</v>
      </c>
      <c r="AO546" s="1">
        <f>IFERROR(__xludf.DUMMYFUNCTION("""COMPUTED_VALUE"""),480.0)</f>
        <v>480</v>
      </c>
      <c r="AP546" s="1" t="str">
        <f>IFERROR(__xludf.DUMMYFUNCTION("""COMPUTED_VALUE"""),"VISITA")</f>
        <v>VISITA</v>
      </c>
      <c r="AQ546" s="1" t="str">
        <f>IFERROR(__xludf.DUMMYFUNCTION("""COMPUTED_VALUE"""),"VISITA")</f>
        <v>VISITA</v>
      </c>
      <c r="AR546" s="1" t="str">
        <f>IFERROR(__xludf.DUMMYFUNCTION("""COMPUTED_VALUE"""),"HEREDADO")</f>
        <v>HEREDADO</v>
      </c>
      <c r="AS546" s="1"/>
      <c r="AT546" s="2">
        <f>IFERROR(__xludf.DUMMYFUNCTION("""COMPUTED_VALUE"""),45714.0)</f>
        <v>45714</v>
      </c>
      <c r="AU546" s="1">
        <f>IFERROR(__xludf.DUMMYFUNCTION("""COMPUTED_VALUE"""),1.0)</f>
        <v>1</v>
      </c>
      <c r="AV546" s="1" t="str">
        <f>IFERROR(__xludf.DUMMYFUNCTION("""COMPUTED_VALUE"""),"NUEVO")</f>
        <v>NUEVO</v>
      </c>
      <c r="AW546" s="1" t="str">
        <f>IFERROR(__xludf.DUMMYFUNCTION("""COMPUTED_VALUE"""),"SI")</f>
        <v>SI</v>
      </c>
      <c r="AX546" s="1"/>
      <c r="AY546" s="1" t="str">
        <f>IFERROR(__xludf.DUMMYFUNCTION("""COMPUTED_VALUE"""),"PAGO COMPLETO")</f>
        <v>PAGO COMPLETO</v>
      </c>
      <c r="AZ546" s="5">
        <f>IFERROR(__xludf.DUMMYFUNCTION("""COMPUTED_VALUE"""),45715.0)</f>
        <v>45715</v>
      </c>
      <c r="BA546" s="1">
        <f>IFERROR(__xludf.DUMMYFUNCTION("""COMPUTED_VALUE"""),0.0)</f>
        <v>0</v>
      </c>
      <c r="BB546" s="1">
        <f>IFERROR(__xludf.DUMMYFUNCTION("""COMPUTED_VALUE"""),0.0)</f>
        <v>0</v>
      </c>
      <c r="BC546" s="4">
        <f>IFERROR(__xludf.DUMMYFUNCTION("""COMPUTED_VALUE"""),0.0)</f>
        <v>0</v>
      </c>
      <c r="BD546" s="4">
        <f>IFERROR(__xludf.DUMMYFUNCTION("""COMPUTED_VALUE"""),830.0)</f>
        <v>830</v>
      </c>
      <c r="BE546" s="1">
        <f>IFERROR(__xludf.DUMMYFUNCTION("""COMPUTED_VALUE"""),2.0)</f>
        <v>2</v>
      </c>
      <c r="BF546" s="6">
        <f>IFERROR(__xludf.DUMMYFUNCTION("""COMPUTED_VALUE"""),1.0)</f>
        <v>1</v>
      </c>
      <c r="BG546" s="1">
        <f>IFERROR(__xludf.DUMMYFUNCTION("""COMPUTED_VALUE"""),1.0)</f>
        <v>1</v>
      </c>
      <c r="BH546" s="1" t="str">
        <f>IFERROR(__xludf.DUMMYFUNCTION("""COMPUTED_VALUE"""),"0")</f>
        <v>0</v>
      </c>
      <c r="BI546" s="4">
        <f>IFERROR(__xludf.DUMMYFUNCTION("""COMPUTED_VALUE"""),830.0)</f>
        <v>830</v>
      </c>
      <c r="BJ546" s="1">
        <f>IFERROR(__xludf.DUMMYFUNCTION("""COMPUTED_VALUE"""),0.0)</f>
        <v>0</v>
      </c>
      <c r="BK546" s="4">
        <f>IFERROR(__xludf.DUMMYFUNCTION("""COMPUTED_VALUE"""),830.0)</f>
        <v>830</v>
      </c>
      <c r="BL546" s="1">
        <f>IFERROR(__xludf.DUMMYFUNCTION("""COMPUTED_VALUE"""),1164.0)</f>
        <v>1164</v>
      </c>
      <c r="BM546" s="1">
        <f>IFERROR(__xludf.DUMMYFUNCTION("""COMPUTED_VALUE"""),9.0)</f>
        <v>9</v>
      </c>
      <c r="BN546" s="2">
        <f>IFERROR(__xludf.DUMMYFUNCTION("""COMPUTED_VALUE"""),45712.0)</f>
        <v>45712</v>
      </c>
      <c r="BO546" s="1">
        <f>IFERROR(__xludf.DUMMYFUNCTION("""COMPUTED_VALUE"""),2.0)</f>
        <v>2</v>
      </c>
      <c r="BP546" s="1">
        <f>IFERROR(__xludf.DUMMYFUNCTION("""COMPUTED_VALUE"""),2025.0)</f>
        <v>2025</v>
      </c>
    </row>
    <row r="547">
      <c r="A547" s="1">
        <f>IFERROR(__xludf.DUMMYFUNCTION("""COMPUTED_VALUE"""),546.0)</f>
        <v>546</v>
      </c>
      <c r="B547" s="1">
        <f>IFERROR(__xludf.DUMMYFUNCTION("""COMPUTED_VALUE"""),645783.0)</f>
        <v>645783</v>
      </c>
      <c r="C547" s="1" t="str">
        <f>IFERROR(__xludf.DUMMYFUNCTION("""COMPUTED_VALUE"""),"2025-1")</f>
        <v>2025-1</v>
      </c>
      <c r="D547" s="1" t="str">
        <f>IFERROR(__xludf.DUMMYFUNCTION("""COMPUTED_VALUE"""),"Admisión Extraordinaria (Traslados)")</f>
        <v>Admisión Extraordinaria (Traslados)</v>
      </c>
      <c r="E547" s="2">
        <f>IFERROR(__xludf.DUMMYFUNCTION("""COMPUTED_VALUE"""),45715.0)</f>
        <v>45715</v>
      </c>
      <c r="F547" s="1" t="str">
        <f>IFERROR(__xludf.DUMMYFUNCTION("""COMPUTED_VALUE"""),"ASTRID CELESTE ")</f>
        <v>ASTRID CELESTE </v>
      </c>
      <c r="G547" s="1" t="str">
        <f>IFERROR(__xludf.DUMMYFUNCTION("""COMPUTED_VALUE"""),"MANRIQUEZ ROJAS")</f>
        <v>MANRIQUEZ ROJAS</v>
      </c>
      <c r="H547" s="1" t="str">
        <f>IFERROR(__xludf.DUMMYFUNCTION("""COMPUTED_VALUE"""),"Arquitectura")</f>
        <v>Arquitectura</v>
      </c>
      <c r="I547" s="1" t="str">
        <f>IFERROR(__xludf.DUMMYFUNCTION("""COMPUTED_VALUE"""),"CARGO")</f>
        <v>CARGO</v>
      </c>
      <c r="J547" s="1" t="str">
        <f>IFERROR(__xludf.DUMMYFUNCTION("""COMPUTED_VALUE"""),"Diurno")</f>
        <v>Diurno</v>
      </c>
      <c r="K547" s="1" t="str">
        <f>IFERROR(__xludf.DUMMYFUNCTION("""COMPUTED_VALUE"""),"TRASLADO")</f>
        <v>TRASLADO</v>
      </c>
      <c r="L547" s="1">
        <f>IFERROR(__xludf.DUMMYFUNCTION("""COMPUTED_VALUE"""),1.0)</f>
        <v>1</v>
      </c>
      <c r="M547" s="1">
        <f>IFERROR(__xludf.DUMMYFUNCTION("""COMPUTED_VALUE"""),0.0)</f>
        <v>0</v>
      </c>
      <c r="N547" s="1" t="str">
        <f>IFERROR(__xludf.DUMMYFUNCTION("""COMPUTED_VALUE"""),"RECA")</f>
        <v>RECA</v>
      </c>
      <c r="O547" s="1" t="str">
        <f>IFERROR(__xludf.DUMMYFUNCTION("""COMPUTED_VALUE"""),"RECA TRASLADO CON CONVA")</f>
        <v>RECA TRASLADO CON CONVA</v>
      </c>
      <c r="P547" s="4">
        <f>IFERROR(__xludf.DUMMYFUNCTION("""COMPUTED_VALUE"""),0.0)</f>
        <v>0</v>
      </c>
      <c r="Q547" s="4">
        <f>IFERROR(__xludf.DUMMYFUNCTION("""COMPUTED_VALUE"""),0.0)</f>
        <v>0</v>
      </c>
      <c r="R547" s="4">
        <f>IFERROR(__xludf.DUMMYFUNCTION("""COMPUTED_VALUE"""),1300.0)</f>
        <v>1300</v>
      </c>
      <c r="S547" s="4">
        <f>IFERROR(__xludf.DUMMYFUNCTION("""COMPUTED_VALUE"""),1000.0)</f>
        <v>1000</v>
      </c>
      <c r="T547" s="1" t="str">
        <f>IFERROR(__xludf.DUMMYFUNCTION("""COMPUTED_VALUE"""),"PALANCA 500 - Referido")</f>
        <v>PALANCA 500 - Referido</v>
      </c>
      <c r="U547" s="1" t="str">
        <f>IFERROR(__xludf.DUMMYFUNCTION("""COMPUTED_VALUE"""),"RODRIGO")</f>
        <v>RODRIGO</v>
      </c>
      <c r="V547" s="1" t="str">
        <f>IFERROR(__xludf.DUMMYFUNCTION("""COMPUTED_VALUE"""),"Ninguno")</f>
        <v>Ninguno</v>
      </c>
      <c r="W547" s="1" t="str">
        <f>IFERROR(__xludf.DUMMYFUNCTION("""COMPUTED_VALUE"""),"Beca")</f>
        <v>Beca</v>
      </c>
      <c r="X547" s="1"/>
      <c r="Y547" s="1" t="str">
        <f>IFERROR(__xludf.DUMMYFUNCTION("""COMPUTED_VALUE"""),"PAGO COMPLETO")</f>
        <v>PAGO COMPLETO</v>
      </c>
      <c r="Z547" s="1"/>
      <c r="AA547" s="1"/>
      <c r="AB547" s="1">
        <f>IFERROR(__xludf.DUMMYFUNCTION("""COMPUTED_VALUE"""),0.0)</f>
        <v>0</v>
      </c>
      <c r="AC547" s="1">
        <f>IFERROR(__xludf.DUMMYFUNCTION("""COMPUTED_VALUE"""),0.0)</f>
        <v>0</v>
      </c>
      <c r="AD547" s="1" t="str">
        <f>IFERROR(__xludf.DUMMYFUNCTION("""COMPUTED_VALUE"""),"Erwyn Terie Vital Avila")</f>
        <v>Erwyn Terie Vital Avila</v>
      </c>
      <c r="AE547" s="1" t="str">
        <f>IFERROR(__xludf.DUMMYFUNCTION("""COMPUTED_VALUE"""),"0")</f>
        <v>0</v>
      </c>
      <c r="AF547" s="1">
        <f>IFERROR(__xludf.DUMMYFUNCTION("""COMPUTED_VALUE"""),2019.0)</f>
        <v>2019</v>
      </c>
      <c r="AG547" s="1">
        <f>IFERROR(__xludf.DUMMYFUNCTION("""COMPUTED_VALUE"""),0.0)</f>
        <v>0</v>
      </c>
      <c r="AH547" s="1">
        <f>IFERROR(__xludf.DUMMYFUNCTION("""COMPUTED_VALUE"""),26.0)</f>
        <v>26</v>
      </c>
      <c r="AI547" s="1" t="str">
        <f>IFERROR(__xludf.DUMMYFUNCTION("""COMPUTED_VALUE"""),"0000416791")</f>
        <v>0000416791</v>
      </c>
      <c r="AJ547" s="1">
        <f>IFERROR(__xludf.DUMMYFUNCTION("""COMPUTED_VALUE"""),7.6544576E7)</f>
        <v>76544576</v>
      </c>
      <c r="AK547" s="1">
        <f>IFERROR(__xludf.DUMMYFUNCTION("""COMPUTED_VALUE"""),9.55572254E8)</f>
        <v>955572254</v>
      </c>
      <c r="AL547" s="1" t="str">
        <f>IFERROR(__xludf.DUMMYFUNCTION("""COMPUTED_VALUE"""),"Celeste.astrid2420@gmail.com")</f>
        <v>Celeste.astrid2420@gmail.com</v>
      </c>
      <c r="AM547" s="1" t="str">
        <f>IFERROR(__xludf.DUMMYFUNCTION("""COMPUTED_VALUE"""),"FEMENINO")</f>
        <v>FEMENINO</v>
      </c>
      <c r="AN547" s="1">
        <f>IFERROR(__xludf.DUMMYFUNCTION("""COMPUTED_VALUE"""),1350.0)</f>
        <v>1350</v>
      </c>
      <c r="AO547" s="1">
        <f>IFERROR(__xludf.DUMMYFUNCTION("""COMPUTED_VALUE"""),0.0)</f>
        <v>0</v>
      </c>
      <c r="AP547" s="1" t="str">
        <f>IFERROR(__xludf.DUMMYFUNCTION("""COMPUTED_VALUE"""),"OUTBOUND")</f>
        <v>OUTBOUND</v>
      </c>
      <c r="AQ547" s="1" t="str">
        <f>IFERROR(__xludf.DUMMYFUNCTION("""COMPUTED_VALUE"""),"OUTBOUND")</f>
        <v>OUTBOUND</v>
      </c>
      <c r="AR547" s="1" t="str">
        <f>IFERROR(__xludf.DUMMYFUNCTION("""COMPUTED_VALUE"""),"HEREDADO")</f>
        <v>HEREDADO</v>
      </c>
      <c r="AS547" s="1"/>
      <c r="AT547" s="2">
        <f>IFERROR(__xludf.DUMMYFUNCTION("""COMPUTED_VALUE"""),45705.0)</f>
        <v>45705</v>
      </c>
      <c r="AU547" s="1">
        <f>IFERROR(__xludf.DUMMYFUNCTION("""COMPUTED_VALUE"""),1.0)</f>
        <v>1</v>
      </c>
      <c r="AV547" s="1" t="str">
        <f>IFERROR(__xludf.DUMMYFUNCTION("""COMPUTED_VALUE"""),"TRASLADO")</f>
        <v>TRASLADO</v>
      </c>
      <c r="AW547" s="1" t="str">
        <f>IFERROR(__xludf.DUMMYFUNCTION("""COMPUTED_VALUE"""),"SI")</f>
        <v>SI</v>
      </c>
      <c r="AX547" s="1"/>
      <c r="AY547" s="1" t="str">
        <f>IFERROR(__xludf.DUMMYFUNCTION("""COMPUTED_VALUE"""),"PAGO COMPLETO")</f>
        <v>PAGO COMPLETO</v>
      </c>
      <c r="AZ547" s="5">
        <f>IFERROR(__xludf.DUMMYFUNCTION("""COMPUTED_VALUE"""),45715.0)</f>
        <v>45715</v>
      </c>
      <c r="BA547" s="1">
        <f>IFERROR(__xludf.DUMMYFUNCTION("""COMPUTED_VALUE"""),0.0)</f>
        <v>0</v>
      </c>
      <c r="BB547" s="1">
        <f>IFERROR(__xludf.DUMMYFUNCTION("""COMPUTED_VALUE"""),0.0)</f>
        <v>0</v>
      </c>
      <c r="BC547" s="4">
        <f>IFERROR(__xludf.DUMMYFUNCTION("""COMPUTED_VALUE"""),0.0)</f>
        <v>0</v>
      </c>
      <c r="BD547" s="4">
        <f>IFERROR(__xludf.DUMMYFUNCTION("""COMPUTED_VALUE"""),500.0)</f>
        <v>500</v>
      </c>
      <c r="BE547" s="1">
        <f>IFERROR(__xludf.DUMMYFUNCTION("""COMPUTED_VALUE"""),2.0)</f>
        <v>2</v>
      </c>
      <c r="BF547" s="6">
        <f>IFERROR(__xludf.DUMMYFUNCTION("""COMPUTED_VALUE"""),1.0)</f>
        <v>1</v>
      </c>
      <c r="BG547" s="1">
        <f>IFERROR(__xludf.DUMMYFUNCTION("""COMPUTED_VALUE"""),1.0)</f>
        <v>1</v>
      </c>
      <c r="BH547" s="1" t="str">
        <f>IFERROR(__xludf.DUMMYFUNCTION("""COMPUTED_VALUE"""),"1")</f>
        <v>1</v>
      </c>
      <c r="BI547" s="4">
        <f>IFERROR(__xludf.DUMMYFUNCTION("""COMPUTED_VALUE"""),500.0)</f>
        <v>500</v>
      </c>
      <c r="BJ547" s="1">
        <f>IFERROR(__xludf.DUMMYFUNCTION("""COMPUTED_VALUE"""),0.0)</f>
        <v>0</v>
      </c>
      <c r="BK547" s="4">
        <f>IFERROR(__xludf.DUMMYFUNCTION("""COMPUTED_VALUE"""),1000.0)</f>
        <v>1000</v>
      </c>
      <c r="BL547" s="1">
        <f>IFERROR(__xludf.DUMMYFUNCTION("""COMPUTED_VALUE"""),800.0)</f>
        <v>800</v>
      </c>
      <c r="BM547" s="1">
        <f>IFERROR(__xludf.DUMMYFUNCTION("""COMPUTED_VALUE"""),9.0)</f>
        <v>9</v>
      </c>
      <c r="BN547" s="2">
        <f>IFERROR(__xludf.DUMMYFUNCTION("""COMPUTED_VALUE"""),45712.0)</f>
        <v>45712</v>
      </c>
      <c r="BO547" s="1">
        <f>IFERROR(__xludf.DUMMYFUNCTION("""COMPUTED_VALUE"""),2.0)</f>
        <v>2</v>
      </c>
      <c r="BP547" s="1">
        <f>IFERROR(__xludf.DUMMYFUNCTION("""COMPUTED_VALUE"""),2025.0)</f>
        <v>2025</v>
      </c>
    </row>
    <row r="548">
      <c r="A548" s="1">
        <f>IFERROR(__xludf.DUMMYFUNCTION("""COMPUTED_VALUE"""),547.0)</f>
        <v>547</v>
      </c>
      <c r="B548" s="1">
        <f>IFERROR(__xludf.DUMMYFUNCTION("""COMPUTED_VALUE"""),3402906.0)</f>
        <v>3402906</v>
      </c>
      <c r="C548" s="1" t="str">
        <f>IFERROR(__xludf.DUMMYFUNCTION("""COMPUTED_VALUE"""),"2025-1")</f>
        <v>2025-1</v>
      </c>
      <c r="D548" s="1" t="str">
        <f>IFERROR(__xludf.DUMMYFUNCTION("""COMPUTED_VALUE"""),"Admisión de Alto Rendimiento")</f>
        <v>Admisión de Alto Rendimiento</v>
      </c>
      <c r="E548" s="2">
        <f>IFERROR(__xludf.DUMMYFUNCTION("""COMPUTED_VALUE"""),45716.0)</f>
        <v>45716</v>
      </c>
      <c r="F548" s="1" t="str">
        <f>IFERROR(__xludf.DUMMYFUNCTION("""COMPUTED_VALUE"""),"BRIANNA VALENTINA")</f>
        <v>BRIANNA VALENTINA</v>
      </c>
      <c r="G548" s="1" t="str">
        <f>IFERROR(__xludf.DUMMYFUNCTION("""COMPUTED_VALUE"""),"SOTA ELUGO")</f>
        <v>SOTA ELUGO</v>
      </c>
      <c r="H548" s="1" t="str">
        <f>IFERROR(__xludf.DUMMYFUNCTION("""COMPUTED_VALUE"""),"Psicología")</f>
        <v>Psicología</v>
      </c>
      <c r="I548" s="1" t="str">
        <f>IFERROR(__xludf.DUMMYFUNCTION("""COMPUTED_VALUE"""),"CARGO")</f>
        <v>CARGO</v>
      </c>
      <c r="J548" s="1" t="str">
        <f>IFERROR(__xludf.DUMMYFUNCTION("""COMPUTED_VALUE"""),"Diurno")</f>
        <v>Diurno</v>
      </c>
      <c r="K548" s="1" t="str">
        <f>IFERROR(__xludf.DUMMYFUNCTION("""COMPUTED_VALUE"""),"NUEVO")</f>
        <v>NUEVO</v>
      </c>
      <c r="L548" s="1">
        <f>IFERROR(__xludf.DUMMYFUNCTION("""COMPUTED_VALUE"""),0.0)</f>
        <v>0</v>
      </c>
      <c r="M548" s="1">
        <f>IFERROR(__xludf.DUMMYFUNCTION("""COMPUTED_VALUE"""),0.0)</f>
        <v>0</v>
      </c>
      <c r="N548" s="1" t="str">
        <f>IFERROR(__xludf.DUMMYFUNCTION("""COMPUTED_VALUE"""),"BECA")</f>
        <v>BECA</v>
      </c>
      <c r="O548" s="1" t="str">
        <f>IFERROR(__xludf.DUMMYFUNCTION("""COMPUTED_VALUE"""),"BECA CONGELADA DE 2 AÑOS")</f>
        <v>BECA CONGELADA DE 2 AÑOS</v>
      </c>
      <c r="P548" s="4">
        <f>IFERROR(__xludf.DUMMYFUNCTION("""COMPUTED_VALUE"""),0.0)</f>
        <v>0</v>
      </c>
      <c r="Q548" s="4">
        <f>IFERROR(__xludf.DUMMYFUNCTION("""COMPUTED_VALUE"""),0.0)</f>
        <v>0</v>
      </c>
      <c r="R548" s="4">
        <f>IFERROR(__xludf.DUMMYFUNCTION("""COMPUTED_VALUE"""),1200.0)</f>
        <v>1200</v>
      </c>
      <c r="S548" s="4">
        <f>IFERROR(__xludf.DUMMYFUNCTION("""COMPUTED_VALUE"""),1000.0)</f>
        <v>1000</v>
      </c>
      <c r="T548" s="1" t="str">
        <f>IFERROR(__xludf.DUMMYFUNCTION("""COMPUTED_VALUE"""),"PALANCA 500")</f>
        <v>PALANCA 500</v>
      </c>
      <c r="U548" s="1" t="str">
        <f>IFERROR(__xludf.DUMMYFUNCTION("""COMPUTED_VALUE"""),"FABIOLA")</f>
        <v>FABIOLA</v>
      </c>
      <c r="V548" s="1" t="str">
        <f>IFERROR(__xludf.DUMMYFUNCTION("""COMPUTED_VALUE"""),"Ninguno")</f>
        <v>Ninguno</v>
      </c>
      <c r="W548" s="1" t="str">
        <f>IFERROR(__xludf.DUMMYFUNCTION("""COMPUTED_VALUE"""),"Metodología de enseñanza")</f>
        <v>Metodología de enseñanza</v>
      </c>
      <c r="X548" s="1"/>
      <c r="Y548" s="1" t="str">
        <f>IFERROR(__xludf.DUMMYFUNCTION("""COMPUTED_VALUE"""),"PAGO COMPLETO")</f>
        <v>PAGO COMPLETO</v>
      </c>
      <c r="Z548" s="1"/>
      <c r="AA548" s="1"/>
      <c r="AB548" s="1">
        <f>IFERROR(__xludf.DUMMYFUNCTION("""COMPUTED_VALUE"""),0.0)</f>
        <v>0</v>
      </c>
      <c r="AC548" s="1">
        <f>IFERROR(__xludf.DUMMYFUNCTION("""COMPUTED_VALUE"""),0.0)</f>
        <v>0</v>
      </c>
      <c r="AD548" s="1" t="str">
        <f>IFERROR(__xludf.DUMMYFUNCTION("""COMPUTED_VALUE"""),"Angelica Iparraguirre")</f>
        <v>Angelica Iparraguirre</v>
      </c>
      <c r="AE548" s="1" t="str">
        <f>IFERROR(__xludf.DUMMYFUNCTION("""COMPUTED_VALUE"""),"0")</f>
        <v>0</v>
      </c>
      <c r="AF548" s="1">
        <f>IFERROR(__xludf.DUMMYFUNCTION("""COMPUTED_VALUE"""),2024.0)</f>
        <v>2024</v>
      </c>
      <c r="AG548" s="1">
        <f>IFERROR(__xludf.DUMMYFUNCTION("""COMPUTED_VALUE"""),1500826.0)</f>
        <v>1500826</v>
      </c>
      <c r="AH548" s="1">
        <f>IFERROR(__xludf.DUMMYFUNCTION("""COMPUTED_VALUE"""),18.0)</f>
        <v>18</v>
      </c>
      <c r="AI548" s="1" t="str">
        <f>IFERROR(__xludf.DUMMYFUNCTION("""COMPUTED_VALUE"""),"0000417038")</f>
        <v>0000417038</v>
      </c>
      <c r="AJ548" s="1">
        <f>IFERROR(__xludf.DUMMYFUNCTION("""COMPUTED_VALUE"""),6.1877045E7)</f>
        <v>61877045</v>
      </c>
      <c r="AK548" s="1">
        <f>IFERROR(__xludf.DUMMYFUNCTION("""COMPUTED_VALUE"""),9.16546852E8)</f>
        <v>916546852</v>
      </c>
      <c r="AL548" s="1" t="str">
        <f>IFERROR(__xludf.DUMMYFUNCTION("""COMPUTED_VALUE"""),"sotabrianna@gmail.com")</f>
        <v>sotabrianna@gmail.com</v>
      </c>
      <c r="AM548" s="1" t="str">
        <f>IFERROR(__xludf.DUMMYFUNCTION("""COMPUTED_VALUE"""),"FEMENINO")</f>
        <v>FEMENINO</v>
      </c>
      <c r="AN548" s="1">
        <f>IFERROR(__xludf.DUMMYFUNCTION("""COMPUTED_VALUE"""),1775.0)</f>
        <v>1775</v>
      </c>
      <c r="AO548" s="1">
        <f>IFERROR(__xludf.DUMMYFUNCTION("""COMPUTED_VALUE"""),380.0)</f>
        <v>380</v>
      </c>
      <c r="AP548" s="1" t="str">
        <f>IFERROR(__xludf.DUMMYFUNCTION("""COMPUTED_VALUE"""),"COLEGIOS")</f>
        <v>COLEGIOS</v>
      </c>
      <c r="AQ548" s="1" t="str">
        <f>IFERROR(__xludf.DUMMYFUNCTION("""COMPUTED_VALUE"""),"COLEGIOS")</f>
        <v>COLEGIOS</v>
      </c>
      <c r="AR548" s="1" t="str">
        <f>IFERROR(__xludf.DUMMYFUNCTION("""COMPUTED_VALUE"""),"NUEVO")</f>
        <v>NUEVO</v>
      </c>
      <c r="AS548" s="1"/>
      <c r="AT548" s="2">
        <f>IFERROR(__xludf.DUMMYFUNCTION("""COMPUTED_VALUE"""),45482.0)</f>
        <v>45482</v>
      </c>
      <c r="AU548" s="1">
        <f>IFERROR(__xludf.DUMMYFUNCTION("""COMPUTED_VALUE"""),1.0)</f>
        <v>1</v>
      </c>
      <c r="AV548" s="1" t="str">
        <f>IFERROR(__xludf.DUMMYFUNCTION("""COMPUTED_VALUE"""),"NUEVO")</f>
        <v>NUEVO</v>
      </c>
      <c r="AW548" s="1" t="str">
        <f>IFERROR(__xludf.DUMMYFUNCTION("""COMPUTED_VALUE"""),"SI")</f>
        <v>SI</v>
      </c>
      <c r="AX548" s="1"/>
      <c r="AY548" s="1" t="str">
        <f>IFERROR(__xludf.DUMMYFUNCTION("""COMPUTED_VALUE"""),"PAGO COMPLETO")</f>
        <v>PAGO COMPLETO</v>
      </c>
      <c r="AZ548" s="5">
        <f>IFERROR(__xludf.DUMMYFUNCTION("""COMPUTED_VALUE"""),45716.0)</f>
        <v>45716</v>
      </c>
      <c r="BA548" s="1">
        <f>IFERROR(__xludf.DUMMYFUNCTION("""COMPUTED_VALUE"""),0.0)</f>
        <v>0</v>
      </c>
      <c r="BB548" s="1">
        <f>IFERROR(__xludf.DUMMYFUNCTION("""COMPUTED_VALUE"""),0.0)</f>
        <v>0</v>
      </c>
      <c r="BC548" s="4">
        <f>IFERROR(__xludf.DUMMYFUNCTION("""COMPUTED_VALUE"""),0.0)</f>
        <v>0</v>
      </c>
      <c r="BD548" s="4">
        <f>IFERROR(__xludf.DUMMYFUNCTION("""COMPUTED_VALUE"""),500.0)</f>
        <v>500</v>
      </c>
      <c r="BE548" s="1">
        <f>IFERROR(__xludf.DUMMYFUNCTION("""COMPUTED_VALUE"""),2.0)</f>
        <v>2</v>
      </c>
      <c r="BF548" s="6">
        <f>IFERROR(__xludf.DUMMYFUNCTION("""COMPUTED_VALUE"""),1.0)</f>
        <v>1</v>
      </c>
      <c r="BG548" s="1">
        <f>IFERROR(__xludf.DUMMYFUNCTION("""COMPUTED_VALUE"""),1.0)</f>
        <v>1</v>
      </c>
      <c r="BH548" s="1" t="str">
        <f>IFERROR(__xludf.DUMMYFUNCTION("""COMPUTED_VALUE"""),"0")</f>
        <v>0</v>
      </c>
      <c r="BI548" s="4">
        <f>IFERROR(__xludf.DUMMYFUNCTION("""COMPUTED_VALUE"""),500.0)</f>
        <v>500</v>
      </c>
      <c r="BJ548" s="1">
        <f>IFERROR(__xludf.DUMMYFUNCTION("""COMPUTED_VALUE"""),0.0)</f>
        <v>0</v>
      </c>
      <c r="BK548" s="4">
        <f>IFERROR(__xludf.DUMMYFUNCTION("""COMPUTED_VALUE"""),500.0)</f>
        <v>500</v>
      </c>
      <c r="BL548" s="1">
        <f>IFERROR(__xludf.DUMMYFUNCTION("""COMPUTED_VALUE"""),900.0)</f>
        <v>900</v>
      </c>
      <c r="BM548" s="1">
        <f>IFERROR(__xludf.DUMMYFUNCTION("""COMPUTED_VALUE"""),9.0)</f>
        <v>9</v>
      </c>
      <c r="BN548" s="2">
        <f>IFERROR(__xludf.DUMMYFUNCTION("""COMPUTED_VALUE"""),45712.0)</f>
        <v>45712</v>
      </c>
      <c r="BO548" s="1">
        <f>IFERROR(__xludf.DUMMYFUNCTION("""COMPUTED_VALUE"""),2.0)</f>
        <v>2</v>
      </c>
      <c r="BP548" s="1">
        <f>IFERROR(__xludf.DUMMYFUNCTION("""COMPUTED_VALUE"""),2025.0)</f>
        <v>2025</v>
      </c>
    </row>
    <row r="549">
      <c r="A549" s="1">
        <f>IFERROR(__xludf.DUMMYFUNCTION("""COMPUTED_VALUE"""),548.0)</f>
        <v>548</v>
      </c>
      <c r="B549" s="1">
        <f>IFERROR(__xludf.DUMMYFUNCTION("""COMPUTED_VALUE"""),4781154.0)</f>
        <v>4781154</v>
      </c>
      <c r="C549" s="1" t="str">
        <f>IFERROR(__xludf.DUMMYFUNCTION("""COMPUTED_VALUE"""),"2025-1")</f>
        <v>2025-1</v>
      </c>
      <c r="D549" s="1" t="str">
        <f>IFERROR(__xludf.DUMMYFUNCTION("""COMPUTED_VALUE"""),"Admisión Extraordinaria (Traslados)")</f>
        <v>Admisión Extraordinaria (Traslados)</v>
      </c>
      <c r="E549" s="2">
        <f>IFERROR(__xludf.DUMMYFUNCTION("""COMPUTED_VALUE"""),45716.0)</f>
        <v>45716</v>
      </c>
      <c r="F549" s="1" t="str">
        <f>IFERROR(__xludf.DUMMYFUNCTION("""COMPUTED_VALUE"""),"LILIANA ")</f>
        <v>LILIANA </v>
      </c>
      <c r="G549" s="1" t="str">
        <f>IFERROR(__xludf.DUMMYFUNCTION("""COMPUTED_VALUE"""),"CAYO MUNOZ")</f>
        <v>CAYO MUNOZ</v>
      </c>
      <c r="H549" s="1" t="str">
        <f>IFERROR(__xludf.DUMMYFUNCTION("""COMPUTED_VALUE"""),"Comunicación Audiovisual y Cine")</f>
        <v>Comunicación Audiovisual y Cine</v>
      </c>
      <c r="I549" s="1" t="str">
        <f>IFERROR(__xludf.DUMMYFUNCTION("""COMPUTED_VALUE"""),"CARGO")</f>
        <v>CARGO</v>
      </c>
      <c r="J549" s="1" t="str">
        <f>IFERROR(__xludf.DUMMYFUNCTION("""COMPUTED_VALUE"""),"Diurno")</f>
        <v>Diurno</v>
      </c>
      <c r="K549" s="1" t="str">
        <f>IFERROR(__xludf.DUMMYFUNCTION("""COMPUTED_VALUE"""),"TRASLADO")</f>
        <v>TRASLADO</v>
      </c>
      <c r="L549" s="1">
        <f>IFERROR(__xludf.DUMMYFUNCTION("""COMPUTED_VALUE"""),1.0)</f>
        <v>1</v>
      </c>
      <c r="M549" s="1">
        <f>IFERROR(__xludf.DUMMYFUNCTION("""COMPUTED_VALUE"""),0.0)</f>
        <v>0</v>
      </c>
      <c r="N549" s="1" t="str">
        <f>IFERROR(__xludf.DUMMYFUNCTION("""COMPUTED_VALUE"""),"RECA")</f>
        <v>RECA</v>
      </c>
      <c r="O549" s="1" t="str">
        <f>IFERROR(__xludf.DUMMYFUNCTION("""COMPUTED_VALUE"""),"RECA TRASLADO CON CONVA")</f>
        <v>RECA TRASLADO CON CONVA</v>
      </c>
      <c r="P549" s="4">
        <f>IFERROR(__xludf.DUMMYFUNCTION("""COMPUTED_VALUE"""),0.0)</f>
        <v>0</v>
      </c>
      <c r="Q549" s="4">
        <f>IFERROR(__xludf.DUMMYFUNCTION("""COMPUTED_VALUE"""),0.0)</f>
        <v>0</v>
      </c>
      <c r="R549" s="4">
        <f>IFERROR(__xludf.DUMMYFUNCTION("""COMPUTED_VALUE"""),750.0)</f>
        <v>750</v>
      </c>
      <c r="S549" s="4">
        <f>IFERROR(__xludf.DUMMYFUNCTION("""COMPUTED_VALUE"""),750.0)</f>
        <v>750</v>
      </c>
      <c r="T549" s="1" t="str">
        <f>IFERROR(__xludf.DUMMYFUNCTION("""COMPUTED_VALUE"""),"NINGUNO")</f>
        <v>NINGUNO</v>
      </c>
      <c r="U549" s="1" t="str">
        <f>IFERROR(__xludf.DUMMYFUNCTION("""COMPUTED_VALUE"""),"RODRIGO")</f>
        <v>RODRIGO</v>
      </c>
      <c r="V549" s="1" t="str">
        <f>IFERROR(__xludf.DUMMYFUNCTION("""COMPUTED_VALUE"""),"Fiorella Lanegra")</f>
        <v>Fiorella Lanegra</v>
      </c>
      <c r="W549" s="1" t="str">
        <f>IFERROR(__xludf.DUMMYFUNCTION("""COMPUTED_VALUE"""),"Egresados")</f>
        <v>Egresados</v>
      </c>
      <c r="X549" s="1" t="str">
        <f>IFERROR(__xludf.DUMMYFUNCTION("""COMPUTED_VALUE"""),"0")</f>
        <v>0</v>
      </c>
      <c r="Y549" s="1" t="str">
        <f>IFERROR(__xludf.DUMMYFUNCTION("""COMPUTED_VALUE"""),"PAGO COMPLETO")</f>
        <v>PAGO COMPLETO</v>
      </c>
      <c r="Z549" s="1"/>
      <c r="AA549" s="1"/>
      <c r="AB549" s="1">
        <f>IFERROR(__xludf.DUMMYFUNCTION("""COMPUTED_VALUE"""),0.0)</f>
        <v>0</v>
      </c>
      <c r="AC549" s="1">
        <f>IFERROR(__xludf.DUMMYFUNCTION("""COMPUTED_VALUE"""),0.0)</f>
        <v>0</v>
      </c>
      <c r="AD549" s="1" t="str">
        <f>IFERROR(__xludf.DUMMYFUNCTION("""COMPUTED_VALUE"""),"Andrea Araujo Antara")</f>
        <v>Andrea Araujo Antara</v>
      </c>
      <c r="AE549" s="1" t="str">
        <f>IFERROR(__xludf.DUMMYFUNCTION("""COMPUTED_VALUE"""),"Instituto de Educación Superior Tecnológico Privado Toulouse Lautrec")</f>
        <v>Instituto de Educación Superior Tecnológico Privado Toulouse Lautrec</v>
      </c>
      <c r="AF549" s="1">
        <f>IFERROR(__xludf.DUMMYFUNCTION("""COMPUTED_VALUE"""),2020.0)</f>
        <v>2020</v>
      </c>
      <c r="AG549" s="1">
        <f>IFERROR(__xludf.DUMMYFUNCTION("""COMPUTED_VALUE"""),0.0)</f>
        <v>0</v>
      </c>
      <c r="AH549" s="1">
        <f>IFERROR(__xludf.DUMMYFUNCTION("""COMPUTED_VALUE"""),33.0)</f>
        <v>33</v>
      </c>
      <c r="AI549" s="1" t="str">
        <f>IFERROR(__xludf.DUMMYFUNCTION("""COMPUTED_VALUE"""),"2020001708")</f>
        <v>2020001708</v>
      </c>
      <c r="AJ549" s="1">
        <f>IFERROR(__xludf.DUMMYFUNCTION("""COMPUTED_VALUE"""),7.0585E7)</f>
        <v>70585000</v>
      </c>
      <c r="AK549" s="1">
        <f>IFERROR(__xludf.DUMMYFUNCTION("""COMPUTED_VALUE"""),9.7226138E8)</f>
        <v>972261380</v>
      </c>
      <c r="AL549" s="1" t="str">
        <f>IFERROR(__xludf.DUMMYFUNCTION("""COMPUTED_VALUE"""),"lilianacayo92@gmail.com")</f>
        <v>lilianacayo92@gmail.com</v>
      </c>
      <c r="AM549" s="1" t="str">
        <f>IFERROR(__xludf.DUMMYFUNCTION("""COMPUTED_VALUE"""),"FEMENINO")</f>
        <v>FEMENINO</v>
      </c>
      <c r="AN549" s="1">
        <f>IFERROR(__xludf.DUMMYFUNCTION("""COMPUTED_VALUE"""),1350.0)</f>
        <v>1350</v>
      </c>
      <c r="AO549" s="1">
        <f>IFERROR(__xludf.DUMMYFUNCTION("""COMPUTED_VALUE"""),0.0)</f>
        <v>0</v>
      </c>
      <c r="AP549" s="1" t="str">
        <f>IFERROR(__xludf.DUMMYFUNCTION("""COMPUTED_VALUE"""),"FORMULARIO")</f>
        <v>FORMULARIO</v>
      </c>
      <c r="AQ549" s="1" t="str">
        <f>IFERROR(__xludf.DUMMYFUNCTION("""COMPUTED_VALUE"""),"SEARCH MARCA")</f>
        <v>SEARCH MARCA</v>
      </c>
      <c r="AR549" s="1" t="str">
        <f>IFERROR(__xludf.DUMMYFUNCTION("""COMPUTED_VALUE"""),"NUEVO")</f>
        <v>NUEVO</v>
      </c>
      <c r="AS549" s="1" t="str">
        <f>IFERROR(__xludf.DUMMYFUNCTION("""COMPUTED_VALUE"""),"ucal-pg-performance-sedes-abierta-cpl-search_conversion_marca-20240401")</f>
        <v>ucal-pg-performance-sedes-abierta-cpl-search_conversion_marca-20240401</v>
      </c>
      <c r="AT549" s="2">
        <f>IFERROR(__xludf.DUMMYFUNCTION("""COMPUTED_VALUE"""),45623.0)</f>
        <v>45623</v>
      </c>
      <c r="AU549" s="1">
        <f>IFERROR(__xludf.DUMMYFUNCTION("""COMPUTED_VALUE"""),1.0)</f>
        <v>1</v>
      </c>
      <c r="AV549" s="1" t="str">
        <f>IFERROR(__xludf.DUMMYFUNCTION("""COMPUTED_VALUE"""),"TRASLADO")</f>
        <v>TRASLADO</v>
      </c>
      <c r="AW549" s="1" t="str">
        <f>IFERROR(__xludf.DUMMYFUNCTION("""COMPUTED_VALUE"""),"SI")</f>
        <v>SI</v>
      </c>
      <c r="AX549" s="1"/>
      <c r="AY549" s="1" t="str">
        <f>IFERROR(__xludf.DUMMYFUNCTION("""COMPUTED_VALUE"""),"PAGO COMPLETO")</f>
        <v>PAGO COMPLETO</v>
      </c>
      <c r="AZ549" s="5">
        <f>IFERROR(__xludf.DUMMYFUNCTION("""COMPUTED_VALUE"""),45716.0)</f>
        <v>45716</v>
      </c>
      <c r="BA549" s="1">
        <f>IFERROR(__xludf.DUMMYFUNCTION("""COMPUTED_VALUE"""),0.0)</f>
        <v>0</v>
      </c>
      <c r="BB549" s="1">
        <f>IFERROR(__xludf.DUMMYFUNCTION("""COMPUTED_VALUE"""),0.0)</f>
        <v>0</v>
      </c>
      <c r="BC549" s="4">
        <f>IFERROR(__xludf.DUMMYFUNCTION("""COMPUTED_VALUE"""),0.0)</f>
        <v>0</v>
      </c>
      <c r="BD549" s="4">
        <f>IFERROR(__xludf.DUMMYFUNCTION("""COMPUTED_VALUE"""),0.0)</f>
        <v>0</v>
      </c>
      <c r="BE549" s="1">
        <f>IFERROR(__xludf.DUMMYFUNCTION("""COMPUTED_VALUE"""),2.0)</f>
        <v>2</v>
      </c>
      <c r="BF549" s="6">
        <f>IFERROR(__xludf.DUMMYFUNCTION("""COMPUTED_VALUE"""),1.0)</f>
        <v>1</v>
      </c>
      <c r="BG549" s="1">
        <f>IFERROR(__xludf.DUMMYFUNCTION("""COMPUTED_VALUE"""),1.0)</f>
        <v>1</v>
      </c>
      <c r="BH549" s="1" t="str">
        <f>IFERROR(__xludf.DUMMYFUNCTION("""COMPUTED_VALUE"""),"1")</f>
        <v>1</v>
      </c>
      <c r="BI549" s="4">
        <f>IFERROR(__xludf.DUMMYFUNCTION("""COMPUTED_VALUE"""),0.0)</f>
        <v>0</v>
      </c>
      <c r="BJ549" s="1">
        <f>IFERROR(__xludf.DUMMYFUNCTION("""COMPUTED_VALUE"""),0.0)</f>
        <v>0</v>
      </c>
      <c r="BK549" s="4">
        <f>IFERROR(__xludf.DUMMYFUNCTION("""COMPUTED_VALUE"""),0.0)</f>
        <v>0</v>
      </c>
      <c r="BL549" s="1">
        <f>IFERROR(__xludf.DUMMYFUNCTION("""COMPUTED_VALUE"""),750.0)</f>
        <v>750</v>
      </c>
      <c r="BM549" s="1">
        <f>IFERROR(__xludf.DUMMYFUNCTION("""COMPUTED_VALUE"""),9.0)</f>
        <v>9</v>
      </c>
      <c r="BN549" s="2">
        <f>IFERROR(__xludf.DUMMYFUNCTION("""COMPUTED_VALUE"""),45712.0)</f>
        <v>45712</v>
      </c>
      <c r="BO549" s="1">
        <f>IFERROR(__xludf.DUMMYFUNCTION("""COMPUTED_VALUE"""),2.0)</f>
        <v>2</v>
      </c>
      <c r="BP549" s="1">
        <f>IFERROR(__xludf.DUMMYFUNCTION("""COMPUTED_VALUE"""),2025.0)</f>
        <v>2025</v>
      </c>
    </row>
    <row r="550">
      <c r="A550" s="1">
        <f>IFERROR(__xludf.DUMMYFUNCTION("""COMPUTED_VALUE"""),549.0)</f>
        <v>549</v>
      </c>
      <c r="B550" s="1">
        <f>IFERROR(__xludf.DUMMYFUNCTION("""COMPUTED_VALUE"""),4422402.0)</f>
        <v>4422402</v>
      </c>
      <c r="C550" s="1" t="str">
        <f>IFERROR(__xludf.DUMMYFUNCTION("""COMPUTED_VALUE"""),"2025-1")</f>
        <v>2025-1</v>
      </c>
      <c r="D550" s="1" t="str">
        <f>IFERROR(__xludf.DUMMYFUNCTION("""COMPUTED_VALUE"""),"Admisión Ordinaria")</f>
        <v>Admisión Ordinaria</v>
      </c>
      <c r="E550" s="2">
        <f>IFERROR(__xludf.DUMMYFUNCTION("""COMPUTED_VALUE"""),45716.0)</f>
        <v>45716</v>
      </c>
      <c r="F550" s="1" t="str">
        <f>IFERROR(__xludf.DUMMYFUNCTION("""COMPUTED_VALUE"""),"VICTOR ANDRES SANTIAGO ")</f>
        <v>VICTOR ANDRES SANTIAGO </v>
      </c>
      <c r="G550" s="1" t="str">
        <f>IFERROR(__xludf.DUMMYFUNCTION("""COMPUTED_VALUE"""),"LOPEZ GARCIA")</f>
        <v>LOPEZ GARCIA</v>
      </c>
      <c r="H550" s="1" t="str">
        <f>IFERROR(__xludf.DUMMYFUNCTION("""COMPUTED_VALUE"""),"Arquitectura")</f>
        <v>Arquitectura</v>
      </c>
      <c r="I550" s="1" t="str">
        <f>IFERROR(__xludf.DUMMYFUNCTION("""COMPUTED_VALUE"""),"CARGO")</f>
        <v>CARGO</v>
      </c>
      <c r="J550" s="1" t="str">
        <f>IFERROR(__xludf.DUMMYFUNCTION("""COMPUTED_VALUE"""),"Diurno")</f>
        <v>Diurno</v>
      </c>
      <c r="K550" s="1" t="str">
        <f>IFERROR(__xludf.DUMMYFUNCTION("""COMPUTED_VALUE"""),"NUEVO")</f>
        <v>NUEVO</v>
      </c>
      <c r="L550" s="1">
        <f>IFERROR(__xludf.DUMMYFUNCTION("""COMPUTED_VALUE"""),0.0)</f>
        <v>0</v>
      </c>
      <c r="M550" s="1">
        <f>IFERROR(__xludf.DUMMYFUNCTION("""COMPUTED_VALUE"""),0.0)</f>
        <v>0</v>
      </c>
      <c r="N550" s="1" t="str">
        <f>IFERROR(__xludf.DUMMYFUNCTION("""COMPUTED_VALUE"""),"ESCALA REGULAR")</f>
        <v>ESCALA REGULAR</v>
      </c>
      <c r="O550" s="1" t="str">
        <f>IFERROR(__xludf.DUMMYFUNCTION("""COMPUTED_VALUE"""),"NINGUNO")</f>
        <v>NINGUNO</v>
      </c>
      <c r="P550" s="4">
        <f>IFERROR(__xludf.DUMMYFUNCTION("""COMPUTED_VALUE"""),0.0)</f>
        <v>0</v>
      </c>
      <c r="Q550" s="4">
        <f>IFERROR(__xludf.DUMMYFUNCTION("""COMPUTED_VALUE"""),0.0)</f>
        <v>0</v>
      </c>
      <c r="R550" s="4">
        <f>IFERROR(__xludf.DUMMYFUNCTION("""COMPUTED_VALUE"""),1300.0)</f>
        <v>1300</v>
      </c>
      <c r="S550" s="4">
        <f>IFERROR(__xludf.DUMMYFUNCTION("""COMPUTED_VALUE"""),1300.0)</f>
        <v>1300</v>
      </c>
      <c r="T550" s="1" t="str">
        <f>IFERROR(__xludf.DUMMYFUNCTION("""COMPUTED_VALUE"""),"PALANCA 500")</f>
        <v>PALANCA 500</v>
      </c>
      <c r="U550" s="1"/>
      <c r="V550" s="1" t="str">
        <f>IFERROR(__xludf.DUMMYFUNCTION("""COMPUTED_VALUE"""),"Ninguno")</f>
        <v>Ninguno</v>
      </c>
      <c r="W550" s="1" t="str">
        <f>IFERROR(__xludf.DUMMYFUNCTION("""COMPUTED_VALUE"""),"Metodología de enseñanza")</f>
        <v>Metodología de enseñanza</v>
      </c>
      <c r="X550" s="1" t="str">
        <f>IFERROR(__xludf.DUMMYFUNCTION("""COMPUTED_VALUE"""),"Le gusta la carrera en Ucal")</f>
        <v>Le gusta la carrera en Ucal</v>
      </c>
      <c r="Y550" s="1" t="str">
        <f>IFERROR(__xludf.DUMMYFUNCTION("""COMPUTED_VALUE"""),"PAGO COMPLETO")</f>
        <v>PAGO COMPLETO</v>
      </c>
      <c r="Z550" s="1"/>
      <c r="AA550" s="1"/>
      <c r="AB550" s="1">
        <f>IFERROR(__xludf.DUMMYFUNCTION("""COMPUTED_VALUE"""),0.0)</f>
        <v>0</v>
      </c>
      <c r="AC550" s="1">
        <f>IFERROR(__xludf.DUMMYFUNCTION("""COMPUTED_VALUE"""),0.0)</f>
        <v>0</v>
      </c>
      <c r="AD550" s="1" t="str">
        <f>IFERROR(__xludf.DUMMYFUNCTION("""COMPUTED_VALUE"""),"Daniel Zapata")</f>
        <v>Daniel Zapata</v>
      </c>
      <c r="AE550" s="1" t="str">
        <f>IFERROR(__xludf.DUMMYFUNCTION("""COMPUTED_VALUE"""),"0")</f>
        <v>0</v>
      </c>
      <c r="AF550" s="1">
        <f>IFERROR(__xludf.DUMMYFUNCTION("""COMPUTED_VALUE"""),2021.0)</f>
        <v>2021</v>
      </c>
      <c r="AG550" s="1">
        <f>IFERROR(__xludf.DUMMYFUNCTION("""COMPUTED_VALUE"""),1730803.0)</f>
        <v>1730803</v>
      </c>
      <c r="AH550" s="1">
        <f>IFERROR(__xludf.DUMMYFUNCTION("""COMPUTED_VALUE"""),23.0)</f>
        <v>23</v>
      </c>
      <c r="AI550" s="1" t="str">
        <f>IFERROR(__xludf.DUMMYFUNCTION("""COMPUTED_VALUE"""),"0000416936")</f>
        <v>0000416936</v>
      </c>
      <c r="AJ550" s="1">
        <f>IFERROR(__xludf.DUMMYFUNCTION("""COMPUTED_VALUE"""),7.5325679E7)</f>
        <v>75325679</v>
      </c>
      <c r="AK550" s="1">
        <f>IFERROR(__xludf.DUMMYFUNCTION("""COMPUTED_VALUE"""),9.41233294E8)</f>
        <v>941233294</v>
      </c>
      <c r="AL550" s="1" t="str">
        <f>IFERROR(__xludf.DUMMYFUNCTION("""COMPUTED_VALUE"""),"shanty.lg.31@gmail.com")</f>
        <v>shanty.lg.31@gmail.com</v>
      </c>
      <c r="AM550" s="1" t="str">
        <f>IFERROR(__xludf.DUMMYFUNCTION("""COMPUTED_VALUE"""),"MASCULINO")</f>
        <v>MASCULINO</v>
      </c>
      <c r="AN550" s="1">
        <f>IFERROR(__xludf.DUMMYFUNCTION("""COMPUTED_VALUE"""),1600.0)</f>
        <v>1600</v>
      </c>
      <c r="AO550" s="1">
        <f>IFERROR(__xludf.DUMMYFUNCTION("""COMPUTED_VALUE"""),230.0)</f>
        <v>230</v>
      </c>
      <c r="AP550" s="1" t="str">
        <f>IFERROR(__xludf.DUMMYFUNCTION("""COMPUTED_VALUE"""),"BIDIRECCIONAL")</f>
        <v>BIDIRECCIONAL</v>
      </c>
      <c r="AQ550" s="1" t="str">
        <f>IFERROR(__xludf.DUMMYFUNCTION("""COMPUTED_VALUE"""),"ORGANICO")</f>
        <v>ORGANICO</v>
      </c>
      <c r="AR550" s="1" t="str">
        <f>IFERROR(__xludf.DUMMYFUNCTION("""COMPUTED_VALUE"""),"NUEVO")</f>
        <v>NUEVO</v>
      </c>
      <c r="AS550" s="1"/>
      <c r="AT550" s="2">
        <f>IFERROR(__xludf.DUMMYFUNCTION("""COMPUTED_VALUE"""),45715.0)</f>
        <v>45715</v>
      </c>
      <c r="AU550" s="1">
        <f>IFERROR(__xludf.DUMMYFUNCTION("""COMPUTED_VALUE"""),1.0)</f>
        <v>1</v>
      </c>
      <c r="AV550" s="1" t="str">
        <f>IFERROR(__xludf.DUMMYFUNCTION("""COMPUTED_VALUE"""),"NUEVO")</f>
        <v>NUEVO</v>
      </c>
      <c r="AW550" s="1" t="str">
        <f>IFERROR(__xludf.DUMMYFUNCTION("""COMPUTED_VALUE"""),"SI")</f>
        <v>SI</v>
      </c>
      <c r="AX550" s="1"/>
      <c r="AY550" s="1" t="str">
        <f>IFERROR(__xludf.DUMMYFUNCTION("""COMPUTED_VALUE"""),"PAGO COMPLETO")</f>
        <v>PAGO COMPLETO</v>
      </c>
      <c r="AZ550" s="5">
        <f>IFERROR(__xludf.DUMMYFUNCTION("""COMPUTED_VALUE"""),45716.0)</f>
        <v>45716</v>
      </c>
      <c r="BA550" s="1">
        <f>IFERROR(__xludf.DUMMYFUNCTION("""COMPUTED_VALUE"""),0.0)</f>
        <v>0</v>
      </c>
      <c r="BB550" s="1">
        <f>IFERROR(__xludf.DUMMYFUNCTION("""COMPUTED_VALUE"""),0.0)</f>
        <v>0</v>
      </c>
      <c r="BC550" s="4">
        <f>IFERROR(__xludf.DUMMYFUNCTION("""COMPUTED_VALUE"""),0.0)</f>
        <v>0</v>
      </c>
      <c r="BD550" s="4">
        <f>IFERROR(__xludf.DUMMYFUNCTION("""COMPUTED_VALUE"""),800.0)</f>
        <v>800</v>
      </c>
      <c r="BE550" s="1">
        <f>IFERROR(__xludf.DUMMYFUNCTION("""COMPUTED_VALUE"""),2.0)</f>
        <v>2</v>
      </c>
      <c r="BF550" s="6">
        <f>IFERROR(__xludf.DUMMYFUNCTION("""COMPUTED_VALUE"""),1.0)</f>
        <v>1</v>
      </c>
      <c r="BG550" s="1">
        <f>IFERROR(__xludf.DUMMYFUNCTION("""COMPUTED_VALUE"""),1.0)</f>
        <v>1</v>
      </c>
      <c r="BH550" s="1" t="str">
        <f>IFERROR(__xludf.DUMMYFUNCTION("""COMPUTED_VALUE"""),"0")</f>
        <v>0</v>
      </c>
      <c r="BI550" s="4">
        <f>IFERROR(__xludf.DUMMYFUNCTION("""COMPUTED_VALUE"""),800.0)</f>
        <v>800</v>
      </c>
      <c r="BJ550" s="1">
        <f>IFERROR(__xludf.DUMMYFUNCTION("""COMPUTED_VALUE"""),0.0)</f>
        <v>0</v>
      </c>
      <c r="BK550" s="4">
        <f>IFERROR(__xludf.DUMMYFUNCTION("""COMPUTED_VALUE"""),800.0)</f>
        <v>800</v>
      </c>
      <c r="BL550" s="1">
        <f>IFERROR(__xludf.DUMMYFUNCTION("""COMPUTED_VALUE"""),1140.0)</f>
        <v>1140</v>
      </c>
      <c r="BM550" s="1">
        <f>IFERROR(__xludf.DUMMYFUNCTION("""COMPUTED_VALUE"""),9.0)</f>
        <v>9</v>
      </c>
      <c r="BN550" s="2">
        <f>IFERROR(__xludf.DUMMYFUNCTION("""COMPUTED_VALUE"""),45712.0)</f>
        <v>45712</v>
      </c>
      <c r="BO550" s="1">
        <f>IFERROR(__xludf.DUMMYFUNCTION("""COMPUTED_VALUE"""),2.0)</f>
        <v>2</v>
      </c>
      <c r="BP550" s="1">
        <f>IFERROR(__xludf.DUMMYFUNCTION("""COMPUTED_VALUE"""),2025.0)</f>
        <v>2025</v>
      </c>
    </row>
    <row r="551">
      <c r="A551" s="1">
        <f>IFERROR(__xludf.DUMMYFUNCTION("""COMPUTED_VALUE"""),550.0)</f>
        <v>550</v>
      </c>
      <c r="B551" s="1">
        <f>IFERROR(__xludf.DUMMYFUNCTION("""COMPUTED_VALUE"""),2654502.0)</f>
        <v>2654502</v>
      </c>
      <c r="C551" s="1" t="str">
        <f>IFERROR(__xludf.DUMMYFUNCTION("""COMPUTED_VALUE"""),"2025-1")</f>
        <v>2025-1</v>
      </c>
      <c r="D551" s="1" t="str">
        <f>IFERROR(__xludf.DUMMYFUNCTION("""COMPUTED_VALUE"""),"Admisión de Alto Rendimiento")</f>
        <v>Admisión de Alto Rendimiento</v>
      </c>
      <c r="E551" s="2">
        <f>IFERROR(__xludf.DUMMYFUNCTION("""COMPUTED_VALUE"""),45716.0)</f>
        <v>45716</v>
      </c>
      <c r="F551" s="1" t="str">
        <f>IFERROR(__xludf.DUMMYFUNCTION("""COMPUTED_VALUE"""),"JUNIOR MATIAS ")</f>
        <v>JUNIOR MATIAS </v>
      </c>
      <c r="G551" s="1" t="str">
        <f>IFERROR(__xludf.DUMMYFUNCTION("""COMPUTED_VALUE"""),"BANDENAY RIVERA")</f>
        <v>BANDENAY RIVERA</v>
      </c>
      <c r="H551" s="1" t="str">
        <f>IFERROR(__xludf.DUMMYFUNCTION("""COMPUTED_VALUE"""),"Diseño Gráfico Publicitario")</f>
        <v>Diseño Gráfico Publicitario</v>
      </c>
      <c r="I551" s="1" t="str">
        <f>IFERROR(__xludf.DUMMYFUNCTION("""COMPUTED_VALUE"""),"Pago Link")</f>
        <v>Pago Link</v>
      </c>
      <c r="J551" s="1" t="str">
        <f>IFERROR(__xludf.DUMMYFUNCTION("""COMPUTED_VALUE"""),"Diurno")</f>
        <v>Diurno</v>
      </c>
      <c r="K551" s="1" t="str">
        <f>IFERROR(__xludf.DUMMYFUNCTION("""COMPUTED_VALUE"""),"NUEVO")</f>
        <v>NUEVO</v>
      </c>
      <c r="L551" s="1">
        <f>IFERROR(__xludf.DUMMYFUNCTION("""COMPUTED_VALUE"""),0.0)</f>
        <v>0</v>
      </c>
      <c r="M551" s="1">
        <f>IFERROR(__xludf.DUMMYFUNCTION("""COMPUTED_VALUE"""),1.0)</f>
        <v>1</v>
      </c>
      <c r="N551" s="1" t="str">
        <f>IFERROR(__xludf.DUMMYFUNCTION("""COMPUTED_VALUE"""),"RECA")</f>
        <v>RECA</v>
      </c>
      <c r="O551" s="1" t="str">
        <f>IFERROR(__xludf.DUMMYFUNCTION("""COMPUTED_VALUE"""),"RECATEGORIZACIÓN")</f>
        <v>RECATEGORIZACIÓN</v>
      </c>
      <c r="P551" s="4">
        <f>IFERROR(__xludf.DUMMYFUNCTION("""COMPUTED_VALUE"""),100.0)</f>
        <v>100</v>
      </c>
      <c r="Q551" s="4">
        <f>IFERROR(__xludf.DUMMYFUNCTION("""COMPUTED_VALUE"""),250.0)</f>
        <v>250</v>
      </c>
      <c r="R551" s="4">
        <f>IFERROR(__xludf.DUMMYFUNCTION("""COMPUTED_VALUE"""),1050.0)</f>
        <v>1050</v>
      </c>
      <c r="S551" s="4">
        <f>IFERROR(__xludf.DUMMYFUNCTION("""COMPUTED_VALUE"""),750.0)</f>
        <v>750</v>
      </c>
      <c r="T551" s="1" t="str">
        <f>IFERROR(__xludf.DUMMYFUNCTION("""COMPUTED_VALUE"""),"Reconocemos tu primera boleta")</f>
        <v>Reconocemos tu primera boleta</v>
      </c>
      <c r="U551" s="1" t="str">
        <f>IFERROR(__xludf.DUMMYFUNCTION("""COMPUTED_VALUE"""),"RODRIGO")</f>
        <v>RODRIGO</v>
      </c>
      <c r="V551" s="1" t="str">
        <f>IFERROR(__xludf.DUMMYFUNCTION("""COMPUTED_VALUE"""),"Ninguno")</f>
        <v>Ninguno</v>
      </c>
      <c r="W551" s="1" t="str">
        <f>IFERROR(__xludf.DUMMYFUNCTION("""COMPUTED_VALUE"""),"Precio accesible")</f>
        <v>Precio accesible</v>
      </c>
      <c r="X551" s="1" t="str">
        <f>IFERROR(__xludf.DUMMYFUNCTION("""COMPUTED_VALUE"""),"paga 350  ")</f>
        <v>paga 350  </v>
      </c>
      <c r="Y551" s="1" t="str">
        <f>IFERROR(__xludf.DUMMYFUNCTION("""COMPUTED_VALUE"""),"PAGO COMPLETO")</f>
        <v>PAGO COMPLETO</v>
      </c>
      <c r="Z551" s="1"/>
      <c r="AA551" s="1"/>
      <c r="AB551" s="1">
        <f>IFERROR(__xludf.DUMMYFUNCTION("""COMPUTED_VALUE"""),0.0)</f>
        <v>0</v>
      </c>
      <c r="AC551" s="1">
        <f>IFERROR(__xludf.DUMMYFUNCTION("""COMPUTED_VALUE"""),0.0)</f>
        <v>0</v>
      </c>
      <c r="AD551" s="1" t="str">
        <f>IFERROR(__xludf.DUMMYFUNCTION("""COMPUTED_VALUE"""),"Rosa Ugarte")</f>
        <v>Rosa Ugarte</v>
      </c>
      <c r="AE551" s="1" t="str">
        <f>IFERROR(__xludf.DUMMYFUNCTION("""COMPUTED_VALUE"""),"0")</f>
        <v>0</v>
      </c>
      <c r="AF551" s="1">
        <f>IFERROR(__xludf.DUMMYFUNCTION("""COMPUTED_VALUE"""),2021.0)</f>
        <v>2021</v>
      </c>
      <c r="AG551" s="1">
        <f>IFERROR(__xludf.DUMMYFUNCTION("""COMPUTED_VALUE"""),324772.0)</f>
        <v>324772</v>
      </c>
      <c r="AH551" s="1">
        <f>IFERROR(__xludf.DUMMYFUNCTION("""COMPUTED_VALUE"""),21.0)</f>
        <v>21</v>
      </c>
      <c r="AI551" s="1" t="str">
        <f>IFERROR(__xludf.DUMMYFUNCTION("""COMPUTED_VALUE"""),"0000072087")</f>
        <v>0000072087</v>
      </c>
      <c r="AJ551" s="1">
        <f>IFERROR(__xludf.DUMMYFUNCTION("""COMPUTED_VALUE"""),7.3791126E7)</f>
        <v>73791126</v>
      </c>
      <c r="AK551" s="1">
        <f>IFERROR(__xludf.DUMMYFUNCTION("""COMPUTED_VALUE"""),9.59947427E8)</f>
        <v>959947427</v>
      </c>
      <c r="AL551" s="1" t="str">
        <f>IFERROR(__xludf.DUMMYFUNCTION("""COMPUTED_VALUE"""),"bandenaymatias@gmail.com")</f>
        <v>bandenaymatias@gmail.com</v>
      </c>
      <c r="AM551" s="1" t="str">
        <f>IFERROR(__xludf.DUMMYFUNCTION("""COMPUTED_VALUE"""),"MASCULINO")</f>
        <v>MASCULINO</v>
      </c>
      <c r="AN551" s="1">
        <f>IFERROR(__xludf.DUMMYFUNCTION("""COMPUTED_VALUE"""),3200.0)</f>
        <v>3200</v>
      </c>
      <c r="AO551" s="1">
        <f>IFERROR(__xludf.DUMMYFUNCTION("""COMPUTED_VALUE"""),0.0)</f>
        <v>0</v>
      </c>
      <c r="AP551" s="1" t="str">
        <f>IFERROR(__xludf.DUMMYFUNCTION("""COMPUTED_VALUE"""),"FORMULARIO")</f>
        <v>FORMULARIO</v>
      </c>
      <c r="AQ551" s="1" t="str">
        <f>IFERROR(__xludf.DUMMYFUNCTION("""COMPUTED_VALUE"""),"ORGANICO")</f>
        <v>ORGANICO</v>
      </c>
      <c r="AR551" s="1" t="str">
        <f>IFERROR(__xludf.DUMMYFUNCTION("""COMPUTED_VALUE"""),"NUEVO")</f>
        <v>NUEVO</v>
      </c>
      <c r="AS551" s="1"/>
      <c r="AT551" s="2">
        <f>IFERROR(__xludf.DUMMYFUNCTION("""COMPUTED_VALUE"""),45708.0)</f>
        <v>45708</v>
      </c>
      <c r="AU551" s="1">
        <f>IFERROR(__xludf.DUMMYFUNCTION("""COMPUTED_VALUE"""),1.0)</f>
        <v>1</v>
      </c>
      <c r="AV551" s="1" t="str">
        <f>IFERROR(__xludf.DUMMYFUNCTION("""COMPUTED_VALUE"""),"NUEVO")</f>
        <v>NUEVO</v>
      </c>
      <c r="AW551" s="1" t="str">
        <f>IFERROR(__xludf.DUMMYFUNCTION("""COMPUTED_VALUE"""),"SI")</f>
        <v>SI</v>
      </c>
      <c r="AX551" s="1"/>
      <c r="AY551" s="1" t="str">
        <f>IFERROR(__xludf.DUMMYFUNCTION("""COMPUTED_VALUE"""),"PAGO COMPLETO")</f>
        <v>PAGO COMPLETO</v>
      </c>
      <c r="AZ551" s="5">
        <f>IFERROR(__xludf.DUMMYFUNCTION("""COMPUTED_VALUE"""),45716.0)</f>
        <v>45716</v>
      </c>
      <c r="BA551" s="1">
        <f>IFERROR(__xludf.DUMMYFUNCTION("""COMPUTED_VALUE"""),0.0)</f>
        <v>0</v>
      </c>
      <c r="BB551" s="1">
        <f>IFERROR(__xludf.DUMMYFUNCTION("""COMPUTED_VALUE"""),0.0)</f>
        <v>0</v>
      </c>
      <c r="BC551" s="4">
        <f>IFERROR(__xludf.DUMMYFUNCTION("""COMPUTED_VALUE"""),0.0)</f>
        <v>0</v>
      </c>
      <c r="BD551" s="4">
        <f>IFERROR(__xludf.DUMMYFUNCTION("""COMPUTED_VALUE"""),750.0)</f>
        <v>750</v>
      </c>
      <c r="BE551" s="1">
        <f>IFERROR(__xludf.DUMMYFUNCTION("""COMPUTED_VALUE"""),2.0)</f>
        <v>2</v>
      </c>
      <c r="BF551" s="6">
        <f>IFERROR(__xludf.DUMMYFUNCTION("""COMPUTED_VALUE"""),1.0)</f>
        <v>1</v>
      </c>
      <c r="BG551" s="1"/>
      <c r="BH551" s="1" t="str">
        <f>IFERROR(__xludf.DUMMYFUNCTION("""COMPUTED_VALUE"""),"0")</f>
        <v>0</v>
      </c>
      <c r="BI551" s="4">
        <f>IFERROR(__xludf.DUMMYFUNCTION("""COMPUTED_VALUE"""),750.0)</f>
        <v>750</v>
      </c>
      <c r="BJ551" s="1">
        <f>IFERROR(__xludf.DUMMYFUNCTION("""COMPUTED_VALUE"""),0.0)</f>
        <v>0</v>
      </c>
      <c r="BK551" s="4">
        <f>IFERROR(__xludf.DUMMYFUNCTION("""COMPUTED_VALUE"""),750.0)</f>
        <v>750</v>
      </c>
      <c r="BL551" s="1">
        <f>IFERROR(__xludf.DUMMYFUNCTION("""COMPUTED_VALUE"""),600.0)</f>
        <v>600</v>
      </c>
      <c r="BM551" s="1">
        <f>IFERROR(__xludf.DUMMYFUNCTION("""COMPUTED_VALUE"""),9.0)</f>
        <v>9</v>
      </c>
      <c r="BN551" s="2">
        <f>IFERROR(__xludf.DUMMYFUNCTION("""COMPUTED_VALUE"""),45712.0)</f>
        <v>45712</v>
      </c>
      <c r="BO551" s="1">
        <f>IFERROR(__xludf.DUMMYFUNCTION("""COMPUTED_VALUE"""),2.0)</f>
        <v>2</v>
      </c>
      <c r="BP551" s="1">
        <f>IFERROR(__xludf.DUMMYFUNCTION("""COMPUTED_VALUE"""),2025.0)</f>
        <v>2025</v>
      </c>
    </row>
    <row r="552">
      <c r="A552" s="1">
        <f>IFERROR(__xludf.DUMMYFUNCTION("""COMPUTED_VALUE"""),551.0)</f>
        <v>551</v>
      </c>
      <c r="B552" s="1">
        <f>IFERROR(__xludf.DUMMYFUNCTION("""COMPUTED_VALUE"""),2455275.0)</f>
        <v>2455275</v>
      </c>
      <c r="C552" s="1" t="str">
        <f>IFERROR(__xludf.DUMMYFUNCTION("""COMPUTED_VALUE"""),"2025-1")</f>
        <v>2025-1</v>
      </c>
      <c r="D552" s="1" t="str">
        <f>IFERROR(__xludf.DUMMYFUNCTION("""COMPUTED_VALUE"""),"Admisión Extraordinaria (Traslados)")</f>
        <v>Admisión Extraordinaria (Traslados)</v>
      </c>
      <c r="E552" s="2">
        <f>IFERROR(__xludf.DUMMYFUNCTION("""COMPUTED_VALUE"""),45716.0)</f>
        <v>45716</v>
      </c>
      <c r="F552" s="1" t="str">
        <f>IFERROR(__xludf.DUMMYFUNCTION("""COMPUTED_VALUE"""),"ROSA MARIA ")</f>
        <v>ROSA MARIA </v>
      </c>
      <c r="G552" s="1" t="str">
        <f>IFERROR(__xludf.DUMMYFUNCTION("""COMPUTED_VALUE"""),"OROSCO GAVINO")</f>
        <v>OROSCO GAVINO</v>
      </c>
      <c r="H552" s="1" t="str">
        <f>IFERROR(__xludf.DUMMYFUNCTION("""COMPUTED_VALUE"""),"Arquitectura de Interiores")</f>
        <v>Arquitectura de Interiores</v>
      </c>
      <c r="I552" s="1" t="str">
        <f>IFERROR(__xludf.DUMMYFUNCTION("""COMPUTED_VALUE"""),"Pago Link")</f>
        <v>Pago Link</v>
      </c>
      <c r="J552" s="1" t="str">
        <f>IFERROR(__xludf.DUMMYFUNCTION("""COMPUTED_VALUE"""),"Diurno")</f>
        <v>Diurno</v>
      </c>
      <c r="K552" s="1" t="str">
        <f>IFERROR(__xludf.DUMMYFUNCTION("""COMPUTED_VALUE"""),"TRASLADO")</f>
        <v>TRASLADO</v>
      </c>
      <c r="L552" s="1">
        <f>IFERROR(__xludf.DUMMYFUNCTION("""COMPUTED_VALUE"""),1.0)</f>
        <v>1</v>
      </c>
      <c r="M552" s="1">
        <f>IFERROR(__xludf.DUMMYFUNCTION("""COMPUTED_VALUE"""),0.0)</f>
        <v>0</v>
      </c>
      <c r="N552" s="1" t="str">
        <f>IFERROR(__xludf.DUMMYFUNCTION("""COMPUTED_VALUE"""),"RECA")</f>
        <v>RECA</v>
      </c>
      <c r="O552" s="1" t="str">
        <f>IFERROR(__xludf.DUMMYFUNCTION("""COMPUTED_VALUE"""),"RECA TRASLADO CON CONVA")</f>
        <v>RECA TRASLADO CON CONVA</v>
      </c>
      <c r="P552" s="4">
        <f>IFERROR(__xludf.DUMMYFUNCTION("""COMPUTED_VALUE"""),0.0)</f>
        <v>0</v>
      </c>
      <c r="Q552" s="4">
        <f>IFERROR(__xludf.DUMMYFUNCTION("""COMPUTED_VALUE"""),0.0)</f>
        <v>0</v>
      </c>
      <c r="R552" s="4">
        <f>IFERROR(__xludf.DUMMYFUNCTION("""COMPUTED_VALUE"""),1300.0)</f>
        <v>1300</v>
      </c>
      <c r="S552" s="4">
        <f>IFERROR(__xludf.DUMMYFUNCTION("""COMPUTED_VALUE"""),750.0)</f>
        <v>750</v>
      </c>
      <c r="T552" s="1" t="str">
        <f>IFERROR(__xludf.DUMMYFUNCTION("""COMPUTED_VALUE"""),"NINGUNO")</f>
        <v>NINGUNO</v>
      </c>
      <c r="U552" s="1" t="str">
        <f>IFERROR(__xludf.DUMMYFUNCTION("""COMPUTED_VALUE"""),"RODRIGO")</f>
        <v>RODRIGO</v>
      </c>
      <c r="V552" s="1" t="str">
        <f>IFERROR(__xludf.DUMMYFUNCTION("""COMPUTED_VALUE"""),"Ninguno")</f>
        <v>Ninguno</v>
      </c>
      <c r="W552" s="1" t="str">
        <f>IFERROR(__xludf.DUMMYFUNCTION("""COMPUTED_VALUE"""),"Precio accesible")</f>
        <v>Precio accesible</v>
      </c>
      <c r="X552" s="1"/>
      <c r="Y552" s="1" t="str">
        <f>IFERROR(__xludf.DUMMYFUNCTION("""COMPUTED_VALUE"""),"PAGO COMPLETO")</f>
        <v>PAGO COMPLETO</v>
      </c>
      <c r="Z552" s="1"/>
      <c r="AA552" s="1"/>
      <c r="AB552" s="1">
        <f>IFERROR(__xludf.DUMMYFUNCTION("""COMPUTED_VALUE"""),0.0)</f>
        <v>0</v>
      </c>
      <c r="AC552" s="1">
        <f>IFERROR(__xludf.DUMMYFUNCTION("""COMPUTED_VALUE"""),0.0)</f>
        <v>0</v>
      </c>
      <c r="AD552" s="1" t="str">
        <f>IFERROR(__xludf.DUMMYFUNCTION("""COMPUTED_VALUE"""),"Rosa Ugarte")</f>
        <v>Rosa Ugarte</v>
      </c>
      <c r="AE552" s="1" t="str">
        <f>IFERROR(__xludf.DUMMYFUNCTION("""COMPUTED_VALUE"""),"Universidad San Martin de Porres")</f>
        <v>Universidad San Martin de Porres</v>
      </c>
      <c r="AF552" s="1">
        <f>IFERROR(__xludf.DUMMYFUNCTION("""COMPUTED_VALUE"""),2020.0)</f>
        <v>2020</v>
      </c>
      <c r="AG552" s="1">
        <f>IFERROR(__xludf.DUMMYFUNCTION("""COMPUTED_VALUE"""),0.0)</f>
        <v>0</v>
      </c>
      <c r="AH552" s="1">
        <f>IFERROR(__xludf.DUMMYFUNCTION("""COMPUTED_VALUE"""),31.0)</f>
        <v>31</v>
      </c>
      <c r="AI552" s="1" t="str">
        <f>IFERROR(__xludf.DUMMYFUNCTION("""COMPUTED_VALUE"""),"0000065494")</f>
        <v>0000065494</v>
      </c>
      <c r="AJ552" s="1">
        <f>IFERROR(__xludf.DUMMYFUNCTION("""COMPUTED_VALUE"""),4.8674788E7)</f>
        <v>48674788</v>
      </c>
      <c r="AK552" s="1">
        <f>IFERROR(__xludf.DUMMYFUNCTION("""COMPUTED_VALUE"""),9.44017874E8)</f>
        <v>944017874</v>
      </c>
      <c r="AL552" s="1" t="str">
        <f>IFERROR(__xludf.DUMMYFUNCTION("""COMPUTED_VALUE"""),"rog311294@hotmail.com")</f>
        <v>rog311294@hotmail.com</v>
      </c>
      <c r="AM552" s="1" t="str">
        <f>IFERROR(__xludf.DUMMYFUNCTION("""COMPUTED_VALUE"""),"FEMENINO")</f>
        <v>FEMENINO</v>
      </c>
      <c r="AN552" s="1">
        <f>IFERROR(__xludf.DUMMYFUNCTION("""COMPUTED_VALUE"""),1350.0)</f>
        <v>1350</v>
      </c>
      <c r="AO552" s="1">
        <f>IFERROR(__xludf.DUMMYFUNCTION("""COMPUTED_VALUE"""),0.0)</f>
        <v>0</v>
      </c>
      <c r="AP552" s="1" t="str">
        <f>IFERROR(__xludf.DUMMYFUNCTION("""COMPUTED_VALUE"""),"FORMULARIO")</f>
        <v>FORMULARIO</v>
      </c>
      <c r="AQ552" s="1" t="str">
        <f>IFERROR(__xludf.DUMMYFUNCTION("""COMPUTED_VALUE"""),"SEARCH MARCA")</f>
        <v>SEARCH MARCA</v>
      </c>
      <c r="AR552" s="1" t="str">
        <f>IFERROR(__xludf.DUMMYFUNCTION("""COMPUTED_VALUE"""),"HEREDADO")</f>
        <v>HEREDADO</v>
      </c>
      <c r="AS552" s="1" t="str">
        <f>IFERROR(__xludf.DUMMYFUNCTION("""COMPUTED_VALUE"""),"ucal-pg-performance-sedes-abierta-cpl-extensiones_boleta_500_marca-20250210")</f>
        <v>ucal-pg-performance-sedes-abierta-cpl-extensiones_boleta_500_marca-20250210</v>
      </c>
      <c r="AT552" s="2">
        <f>IFERROR(__xludf.DUMMYFUNCTION("""COMPUTED_VALUE"""),45713.0)</f>
        <v>45713</v>
      </c>
      <c r="AU552" s="1">
        <f>IFERROR(__xludf.DUMMYFUNCTION("""COMPUTED_VALUE"""),1.0)</f>
        <v>1</v>
      </c>
      <c r="AV552" s="1" t="str">
        <f>IFERROR(__xludf.DUMMYFUNCTION("""COMPUTED_VALUE"""),"TRASLADO")</f>
        <v>TRASLADO</v>
      </c>
      <c r="AW552" s="1" t="str">
        <f>IFERROR(__xludf.DUMMYFUNCTION("""COMPUTED_VALUE"""),"SI")</f>
        <v>SI</v>
      </c>
      <c r="AX552" s="1"/>
      <c r="AY552" s="1" t="str">
        <f>IFERROR(__xludf.DUMMYFUNCTION("""COMPUTED_VALUE"""),"PAGO COMPLETO")</f>
        <v>PAGO COMPLETO</v>
      </c>
      <c r="AZ552" s="5">
        <f>IFERROR(__xludf.DUMMYFUNCTION("""COMPUTED_VALUE"""),45716.0)</f>
        <v>45716</v>
      </c>
      <c r="BA552" s="1">
        <f>IFERROR(__xludf.DUMMYFUNCTION("""COMPUTED_VALUE"""),0.0)</f>
        <v>0</v>
      </c>
      <c r="BB552" s="1">
        <f>IFERROR(__xludf.DUMMYFUNCTION("""COMPUTED_VALUE"""),0.0)</f>
        <v>0</v>
      </c>
      <c r="BC552" s="4">
        <f>IFERROR(__xludf.DUMMYFUNCTION("""COMPUTED_VALUE"""),0.0)</f>
        <v>0</v>
      </c>
      <c r="BD552" s="4">
        <f>IFERROR(__xludf.DUMMYFUNCTION("""COMPUTED_VALUE"""),0.0)</f>
        <v>0</v>
      </c>
      <c r="BE552" s="1">
        <f>IFERROR(__xludf.DUMMYFUNCTION("""COMPUTED_VALUE"""),2.0)</f>
        <v>2</v>
      </c>
      <c r="BF552" s="6">
        <f>IFERROR(__xludf.DUMMYFUNCTION("""COMPUTED_VALUE"""),1.0)</f>
        <v>1</v>
      </c>
      <c r="BG552" s="1">
        <f>IFERROR(__xludf.DUMMYFUNCTION("""COMPUTED_VALUE"""),1.0)</f>
        <v>1</v>
      </c>
      <c r="BH552" s="1" t="str">
        <f>IFERROR(__xludf.DUMMYFUNCTION("""COMPUTED_VALUE"""),"1")</f>
        <v>1</v>
      </c>
      <c r="BI552" s="4">
        <f>IFERROR(__xludf.DUMMYFUNCTION("""COMPUTED_VALUE"""),0.0)</f>
        <v>0</v>
      </c>
      <c r="BJ552" s="1">
        <f>IFERROR(__xludf.DUMMYFUNCTION("""COMPUTED_VALUE"""),0.0)</f>
        <v>0</v>
      </c>
      <c r="BK552" s="4">
        <f>IFERROR(__xludf.DUMMYFUNCTION("""COMPUTED_VALUE"""),0.0)</f>
        <v>0</v>
      </c>
      <c r="BL552" s="1">
        <f>IFERROR(__xludf.DUMMYFUNCTION("""COMPUTED_VALUE"""),750.0)</f>
        <v>750</v>
      </c>
      <c r="BM552" s="1">
        <f>IFERROR(__xludf.DUMMYFUNCTION("""COMPUTED_VALUE"""),9.0)</f>
        <v>9</v>
      </c>
      <c r="BN552" s="2">
        <f>IFERROR(__xludf.DUMMYFUNCTION("""COMPUTED_VALUE"""),45712.0)</f>
        <v>45712</v>
      </c>
      <c r="BO552" s="1">
        <f>IFERROR(__xludf.DUMMYFUNCTION("""COMPUTED_VALUE"""),2.0)</f>
        <v>2</v>
      </c>
      <c r="BP552" s="1">
        <f>IFERROR(__xludf.DUMMYFUNCTION("""COMPUTED_VALUE"""),2025.0)</f>
        <v>2025</v>
      </c>
    </row>
    <row r="553">
      <c r="A553" s="1">
        <f>IFERROR(__xludf.DUMMYFUNCTION("""COMPUTED_VALUE"""),552.0)</f>
        <v>552</v>
      </c>
      <c r="B553" s="1">
        <f>IFERROR(__xludf.DUMMYFUNCTION("""COMPUTED_VALUE"""),5051680.0)</f>
        <v>5051680</v>
      </c>
      <c r="C553" s="1" t="str">
        <f>IFERROR(__xludf.DUMMYFUNCTION("""COMPUTED_VALUE"""),"2025-1")</f>
        <v>2025-1</v>
      </c>
      <c r="D553" s="1" t="str">
        <f>IFERROR(__xludf.DUMMYFUNCTION("""COMPUTED_VALUE"""),"Admisión Extraordinaria (Traslados)")</f>
        <v>Admisión Extraordinaria (Traslados)</v>
      </c>
      <c r="E553" s="2">
        <f>IFERROR(__xludf.DUMMYFUNCTION("""COMPUTED_VALUE"""),45716.0)</f>
        <v>45716</v>
      </c>
      <c r="F553" s="1" t="str">
        <f>IFERROR(__xludf.DUMMYFUNCTION("""COMPUTED_VALUE"""),"GYANELLA YESSICA ")</f>
        <v>GYANELLA YESSICA </v>
      </c>
      <c r="G553" s="1" t="str">
        <f>IFERROR(__xludf.DUMMYFUNCTION("""COMPUTED_VALUE"""),"ROMERO TORIBIO")</f>
        <v>ROMERO TORIBIO</v>
      </c>
      <c r="H553" s="1" t="str">
        <f>IFERROR(__xludf.DUMMYFUNCTION("""COMPUTED_VALUE"""),"Arquitectura")</f>
        <v>Arquitectura</v>
      </c>
      <c r="I553" s="1" t="str">
        <f>IFERROR(__xludf.DUMMYFUNCTION("""COMPUTED_VALUE"""),"CARGO")</f>
        <v>CARGO</v>
      </c>
      <c r="J553" s="1" t="str">
        <f>IFERROR(__xludf.DUMMYFUNCTION("""COMPUTED_VALUE"""),"Diurno")</f>
        <v>Diurno</v>
      </c>
      <c r="K553" s="1" t="str">
        <f>IFERROR(__xludf.DUMMYFUNCTION("""COMPUTED_VALUE"""),"TRASLADO")</f>
        <v>TRASLADO</v>
      </c>
      <c r="L553" s="1">
        <f>IFERROR(__xludf.DUMMYFUNCTION("""COMPUTED_VALUE"""),1.0)</f>
        <v>1</v>
      </c>
      <c r="M553" s="1">
        <f>IFERROR(__xludf.DUMMYFUNCTION("""COMPUTED_VALUE"""),0.0)</f>
        <v>0</v>
      </c>
      <c r="N553" s="1" t="str">
        <f>IFERROR(__xludf.DUMMYFUNCTION("""COMPUTED_VALUE"""),"RECA")</f>
        <v>RECA</v>
      </c>
      <c r="O553" s="1" t="str">
        <f>IFERROR(__xludf.DUMMYFUNCTION("""COMPUTED_VALUE"""),"RECA TRASLADO CON CONVA")</f>
        <v>RECA TRASLADO CON CONVA</v>
      </c>
      <c r="P553" s="4">
        <f>IFERROR(__xludf.DUMMYFUNCTION("""COMPUTED_VALUE"""),0.0)</f>
        <v>0</v>
      </c>
      <c r="Q553" s="4">
        <f>IFERROR(__xludf.DUMMYFUNCTION("""COMPUTED_VALUE"""),0.0)</f>
        <v>0</v>
      </c>
      <c r="R553" s="4">
        <f>IFERROR(__xludf.DUMMYFUNCTION("""COMPUTED_VALUE"""),1100.0)</f>
        <v>1100</v>
      </c>
      <c r="S553" s="4">
        <f>IFERROR(__xludf.DUMMYFUNCTION("""COMPUTED_VALUE"""),1200.0)</f>
        <v>1200</v>
      </c>
      <c r="T553" s="1" t="str">
        <f>IFERROR(__xludf.DUMMYFUNCTION("""COMPUTED_VALUE"""),"Referido")</f>
        <v>Referido</v>
      </c>
      <c r="U553" s="1" t="str">
        <f>IFERROR(__xludf.DUMMYFUNCTION("""COMPUTED_VALUE"""),"RODRIGO")</f>
        <v>RODRIGO</v>
      </c>
      <c r="V553" s="1" t="str">
        <f>IFERROR(__xludf.DUMMYFUNCTION("""COMPUTED_VALUE"""),"Ninguno")</f>
        <v>Ninguno</v>
      </c>
      <c r="W553" s="1" t="str">
        <f>IFERROR(__xludf.DUMMYFUNCTION("""COMPUTED_VALUE"""),"Metodología de enseñanza")</f>
        <v>Metodología de enseñanza</v>
      </c>
      <c r="X553" s="1" t="str">
        <f>IFERROR(__xludf.DUMMYFUNCTION("""COMPUTED_VALUE"""),"es referida de MIA STEFANIA CARRION SALAZAR")</f>
        <v>es referida de MIA STEFANIA CARRION SALAZAR</v>
      </c>
      <c r="Y553" s="1" t="str">
        <f>IFERROR(__xludf.DUMMYFUNCTION("""COMPUTED_VALUE"""),"PAGO COMPLETO")</f>
        <v>PAGO COMPLETO</v>
      </c>
      <c r="Z553" s="1"/>
      <c r="AA553" s="1"/>
      <c r="AB553" s="1">
        <f>IFERROR(__xludf.DUMMYFUNCTION("""COMPUTED_VALUE"""),0.0)</f>
        <v>0</v>
      </c>
      <c r="AC553" s="1">
        <f>IFERROR(__xludf.DUMMYFUNCTION("""COMPUTED_VALUE"""),0.0)</f>
        <v>0</v>
      </c>
      <c r="AD553" s="1" t="str">
        <f>IFERROR(__xludf.DUMMYFUNCTION("""COMPUTED_VALUE"""),"Rosa Ugarte")</f>
        <v>Rosa Ugarte</v>
      </c>
      <c r="AE553" s="1" t="str">
        <f>IFERROR(__xludf.DUMMYFUNCTION("""COMPUTED_VALUE"""),"Universidad San Martin de Porres")</f>
        <v>Universidad San Martin de Porres</v>
      </c>
      <c r="AF553" s="1">
        <f>IFERROR(__xludf.DUMMYFUNCTION("""COMPUTED_VALUE"""),2020.0)</f>
        <v>2020</v>
      </c>
      <c r="AG553" s="1">
        <f>IFERROR(__xludf.DUMMYFUNCTION("""COMPUTED_VALUE"""),340380.0)</f>
        <v>340380</v>
      </c>
      <c r="AH553" s="1">
        <f>IFERROR(__xludf.DUMMYFUNCTION("""COMPUTED_VALUE"""),29.0)</f>
        <v>29</v>
      </c>
      <c r="AI553" s="1" t="str">
        <f>IFERROR(__xludf.DUMMYFUNCTION("""COMPUTED_VALUE"""),"0000417093")</f>
        <v>0000417093</v>
      </c>
      <c r="AJ553" s="1">
        <f>IFERROR(__xludf.DUMMYFUNCTION("""COMPUTED_VALUE"""),7.0889345E7)</f>
        <v>70889345</v>
      </c>
      <c r="AK553" s="1">
        <f>IFERROR(__xludf.DUMMYFUNCTION("""COMPUTED_VALUE"""),9.91177729E8)</f>
        <v>991177729</v>
      </c>
      <c r="AL553" s="1" t="str">
        <f>IFERROR(__xludf.DUMMYFUNCTION("""COMPUTED_VALUE"""),"gyanellaromero@gmail.com")</f>
        <v>gyanellaromero@gmail.com</v>
      </c>
      <c r="AM553" s="1" t="str">
        <f>IFERROR(__xludf.DUMMYFUNCTION("""COMPUTED_VALUE"""),"FEMENINO")</f>
        <v>FEMENINO</v>
      </c>
      <c r="AN553" s="1">
        <f>IFERROR(__xludf.DUMMYFUNCTION("""COMPUTED_VALUE"""),1350.0)</f>
        <v>1350</v>
      </c>
      <c r="AO553" s="1">
        <f>IFERROR(__xludf.DUMMYFUNCTION("""COMPUTED_VALUE"""),0.0)</f>
        <v>0</v>
      </c>
      <c r="AP553" s="1" t="str">
        <f>IFERROR(__xludf.DUMMYFUNCTION("""COMPUTED_VALUE"""),"OUTBOUND")</f>
        <v>OUTBOUND</v>
      </c>
      <c r="AQ553" s="1" t="str">
        <f>IFERROR(__xludf.DUMMYFUNCTION("""COMPUTED_VALUE"""),"OUTBOUND")</f>
        <v>OUTBOUND</v>
      </c>
      <c r="AR553" s="1" t="str">
        <f>IFERROR(__xludf.DUMMYFUNCTION("""COMPUTED_VALUE"""),"NUEVO")</f>
        <v>NUEVO</v>
      </c>
      <c r="AS553" s="1"/>
      <c r="AT553" s="2">
        <f>IFERROR(__xludf.DUMMYFUNCTION("""COMPUTED_VALUE"""),45716.0)</f>
        <v>45716</v>
      </c>
      <c r="AU553" s="1">
        <f>IFERROR(__xludf.DUMMYFUNCTION("""COMPUTED_VALUE"""),1.0)</f>
        <v>1</v>
      </c>
      <c r="AV553" s="1" t="str">
        <f>IFERROR(__xludf.DUMMYFUNCTION("""COMPUTED_VALUE"""),"TRASLADO")</f>
        <v>TRASLADO</v>
      </c>
      <c r="AW553" s="1" t="str">
        <f>IFERROR(__xludf.DUMMYFUNCTION("""COMPUTED_VALUE"""),"SI")</f>
        <v>SI</v>
      </c>
      <c r="AX553" s="1"/>
      <c r="AY553" s="1" t="str">
        <f>IFERROR(__xludf.DUMMYFUNCTION("""COMPUTED_VALUE"""),"PAGO COMPLETO")</f>
        <v>PAGO COMPLETO</v>
      </c>
      <c r="AZ553" s="5">
        <f>IFERROR(__xludf.DUMMYFUNCTION("""COMPUTED_VALUE"""),45716.0)</f>
        <v>45716</v>
      </c>
      <c r="BA553" s="1">
        <f>IFERROR(__xludf.DUMMYFUNCTION("""COMPUTED_VALUE"""),0.0)</f>
        <v>0</v>
      </c>
      <c r="BB553" s="1">
        <f>IFERROR(__xludf.DUMMYFUNCTION("""COMPUTED_VALUE"""),0.0)</f>
        <v>0</v>
      </c>
      <c r="BC553" s="4">
        <f>IFERROR(__xludf.DUMMYFUNCTION("""COMPUTED_VALUE"""),0.0)</f>
        <v>0</v>
      </c>
      <c r="BD553" s="4">
        <f>IFERROR(__xludf.DUMMYFUNCTION("""COMPUTED_VALUE"""),0.0)</f>
        <v>0</v>
      </c>
      <c r="BE553" s="1">
        <f>IFERROR(__xludf.DUMMYFUNCTION("""COMPUTED_VALUE"""),2.0)</f>
        <v>2</v>
      </c>
      <c r="BF553" s="6">
        <f>IFERROR(__xludf.DUMMYFUNCTION("""COMPUTED_VALUE"""),1.0)</f>
        <v>1</v>
      </c>
      <c r="BG553" s="1">
        <f>IFERROR(__xludf.DUMMYFUNCTION("""COMPUTED_VALUE"""),1.0)</f>
        <v>1</v>
      </c>
      <c r="BH553" s="1" t="str">
        <f>IFERROR(__xludf.DUMMYFUNCTION("""COMPUTED_VALUE"""),"1")</f>
        <v>1</v>
      </c>
      <c r="BI553" s="4">
        <f>IFERROR(__xludf.DUMMYFUNCTION("""COMPUTED_VALUE"""),0.0)</f>
        <v>0</v>
      </c>
      <c r="BJ553" s="1">
        <f>IFERROR(__xludf.DUMMYFUNCTION("""COMPUTED_VALUE"""),0.0)</f>
        <v>0</v>
      </c>
      <c r="BK553" s="4">
        <f>IFERROR(__xludf.DUMMYFUNCTION("""COMPUTED_VALUE"""),600.0)</f>
        <v>600</v>
      </c>
      <c r="BL553" s="1">
        <f>IFERROR(__xludf.DUMMYFUNCTION("""COMPUTED_VALUE"""),1080.0)</f>
        <v>1080</v>
      </c>
      <c r="BM553" s="1">
        <f>IFERROR(__xludf.DUMMYFUNCTION("""COMPUTED_VALUE"""),9.0)</f>
        <v>9</v>
      </c>
      <c r="BN553" s="2">
        <f>IFERROR(__xludf.DUMMYFUNCTION("""COMPUTED_VALUE"""),45712.0)</f>
        <v>45712</v>
      </c>
      <c r="BO553" s="1">
        <f>IFERROR(__xludf.DUMMYFUNCTION("""COMPUTED_VALUE"""),2.0)</f>
        <v>2</v>
      </c>
      <c r="BP553" s="1">
        <f>IFERROR(__xludf.DUMMYFUNCTION("""COMPUTED_VALUE"""),2025.0)</f>
        <v>2025</v>
      </c>
    </row>
    <row r="554">
      <c r="A554" s="1">
        <f>IFERROR(__xludf.DUMMYFUNCTION("""COMPUTED_VALUE"""),553.0)</f>
        <v>553</v>
      </c>
      <c r="B554" s="1">
        <f>IFERROR(__xludf.DUMMYFUNCTION("""COMPUTED_VALUE"""),5037426.0)</f>
        <v>5037426</v>
      </c>
      <c r="C554" s="1" t="str">
        <f>IFERROR(__xludf.DUMMYFUNCTION("""COMPUTED_VALUE"""),"2025-1")</f>
        <v>2025-1</v>
      </c>
      <c r="D554" s="1" t="str">
        <f>IFERROR(__xludf.DUMMYFUNCTION("""COMPUTED_VALUE"""),"Admisión Ordinaria")</f>
        <v>Admisión Ordinaria</v>
      </c>
      <c r="E554" s="2">
        <f>IFERROR(__xludf.DUMMYFUNCTION("""COMPUTED_VALUE"""),45717.0)</f>
        <v>45717</v>
      </c>
      <c r="F554" s="1" t="str">
        <f>IFERROR(__xludf.DUMMYFUNCTION("""COMPUTED_VALUE"""),"AMBAR ANDREA ")</f>
        <v>AMBAR ANDREA </v>
      </c>
      <c r="G554" s="1" t="str">
        <f>IFERROR(__xludf.DUMMYFUNCTION("""COMPUTED_VALUE"""),"MONTALVO QUIROZ")</f>
        <v>MONTALVO QUIROZ</v>
      </c>
      <c r="H554" s="1" t="str">
        <f>IFERROR(__xludf.DUMMYFUNCTION("""COMPUTED_VALUE"""),"Arquitectura")</f>
        <v>Arquitectura</v>
      </c>
      <c r="I554" s="1" t="str">
        <f>IFERROR(__xludf.DUMMYFUNCTION("""COMPUTED_VALUE"""),"CARGO")</f>
        <v>CARGO</v>
      </c>
      <c r="J554" s="1" t="str">
        <f>IFERROR(__xludf.DUMMYFUNCTION("""COMPUTED_VALUE"""),"Diurno")</f>
        <v>Diurno</v>
      </c>
      <c r="K554" s="1" t="str">
        <f>IFERROR(__xludf.DUMMYFUNCTION("""COMPUTED_VALUE"""),"NUEVO")</f>
        <v>NUEVO</v>
      </c>
      <c r="L554" s="1">
        <f>IFERROR(__xludf.DUMMYFUNCTION("""COMPUTED_VALUE"""),0.0)</f>
        <v>0</v>
      </c>
      <c r="M554" s="1">
        <f>IFERROR(__xludf.DUMMYFUNCTION("""COMPUTED_VALUE"""),0.0)</f>
        <v>0</v>
      </c>
      <c r="N554" s="1" t="str">
        <f>IFERROR(__xludf.DUMMYFUNCTION("""COMPUTED_VALUE"""),"ESCALA REGULAR")</f>
        <v>ESCALA REGULAR</v>
      </c>
      <c r="O554" s="1" t="str">
        <f>IFERROR(__xludf.DUMMYFUNCTION("""COMPUTED_VALUE"""),"NINGUNO")</f>
        <v>NINGUNO</v>
      </c>
      <c r="P554" s="4">
        <f>IFERROR(__xludf.DUMMYFUNCTION("""COMPUTED_VALUE"""),0.0)</f>
        <v>0</v>
      </c>
      <c r="Q554" s="4">
        <f>IFERROR(__xludf.DUMMYFUNCTION("""COMPUTED_VALUE"""),0.0)</f>
        <v>0</v>
      </c>
      <c r="R554" s="4">
        <f>IFERROR(__xludf.DUMMYFUNCTION("""COMPUTED_VALUE"""),1100.0)</f>
        <v>1100</v>
      </c>
      <c r="S554" s="4">
        <f>IFERROR(__xludf.DUMMYFUNCTION("""COMPUTED_VALUE"""),1100.0)</f>
        <v>1100</v>
      </c>
      <c r="T554" s="1" t="str">
        <f>IFERROR(__xludf.DUMMYFUNCTION("""COMPUTED_VALUE"""),"PALANCA 500")</f>
        <v>PALANCA 500</v>
      </c>
      <c r="U554" s="1" t="str">
        <f>IFERROR(__xludf.DUMMYFUNCTION("""COMPUTED_VALUE"""),"FABIOLA")</f>
        <v>FABIOLA</v>
      </c>
      <c r="V554" s="1" t="str">
        <f>IFERROR(__xludf.DUMMYFUNCTION("""COMPUTED_VALUE"""),"Ninguno")</f>
        <v>Ninguno</v>
      </c>
      <c r="W554" s="1" t="str">
        <f>IFERROR(__xludf.DUMMYFUNCTION("""COMPUTED_VALUE"""),"Malla curricular")</f>
        <v>Malla curricular</v>
      </c>
      <c r="X554" s="1" t="str">
        <f>IFERROR(__xludf.DUMMYFUNCTION("""COMPUTED_VALUE"""),"malla curricular")</f>
        <v>malla curricular</v>
      </c>
      <c r="Y554" s="1" t="str">
        <f>IFERROR(__xludf.DUMMYFUNCTION("""COMPUTED_VALUE"""),"PAGO COMPLETO")</f>
        <v>PAGO COMPLETO</v>
      </c>
      <c r="Z554" s="1"/>
      <c r="AA554" s="1"/>
      <c r="AB554" s="1">
        <f>IFERROR(__xludf.DUMMYFUNCTION("""COMPUTED_VALUE"""),0.0)</f>
        <v>0</v>
      </c>
      <c r="AC554" s="1">
        <f>IFERROR(__xludf.DUMMYFUNCTION("""COMPUTED_VALUE"""),0.0)</f>
        <v>0</v>
      </c>
      <c r="AD554" s="1" t="str">
        <f>IFERROR(__xludf.DUMMYFUNCTION("""COMPUTED_VALUE"""),"Cinthia Mariella Orosco")</f>
        <v>Cinthia Mariella Orosco</v>
      </c>
      <c r="AE554" s="1" t="str">
        <f>IFERROR(__xludf.DUMMYFUNCTION("""COMPUTED_VALUE"""),"0")</f>
        <v>0</v>
      </c>
      <c r="AF554" s="1">
        <f>IFERROR(__xludf.DUMMYFUNCTION("""COMPUTED_VALUE"""),2022.0)</f>
        <v>2022</v>
      </c>
      <c r="AG554" s="1">
        <f>IFERROR(__xludf.DUMMYFUNCTION("""COMPUTED_VALUE"""),1008440.0)</f>
        <v>1008440</v>
      </c>
      <c r="AH554" s="1">
        <f>IFERROR(__xludf.DUMMYFUNCTION("""COMPUTED_VALUE"""),22.0)</f>
        <v>22</v>
      </c>
      <c r="AI554" s="1" t="str">
        <f>IFERROR(__xludf.DUMMYFUNCTION("""COMPUTED_VALUE"""),"0000417154")</f>
        <v>0000417154</v>
      </c>
      <c r="AJ554" s="1">
        <f>IFERROR(__xludf.DUMMYFUNCTION("""COMPUTED_VALUE"""),7.5973558E7)</f>
        <v>75973558</v>
      </c>
      <c r="AK554" s="1">
        <f>IFERROR(__xludf.DUMMYFUNCTION("""COMPUTED_VALUE"""),9.03328776E8)</f>
        <v>903328776</v>
      </c>
      <c r="AL554" s="1" t="str">
        <f>IFERROR(__xludf.DUMMYFUNCTION("""COMPUTED_VALUE"""),"montalvoamber@hotmail.com")</f>
        <v>montalvoamber@hotmail.com</v>
      </c>
      <c r="AM554" s="1" t="str">
        <f>IFERROR(__xludf.DUMMYFUNCTION("""COMPUTED_VALUE"""),"FEMENINO")</f>
        <v>FEMENINO</v>
      </c>
      <c r="AN554" s="1">
        <f>IFERROR(__xludf.DUMMYFUNCTION("""COMPUTED_VALUE"""),1350.0)</f>
        <v>1350</v>
      </c>
      <c r="AO554" s="1">
        <f>IFERROR(__xludf.DUMMYFUNCTION("""COMPUTED_VALUE"""),0.0)</f>
        <v>0</v>
      </c>
      <c r="AP554" s="1" t="str">
        <f>IFERROR(__xludf.DUMMYFUNCTION("""COMPUTED_VALUE"""),"FORMULARIO")</f>
        <v>FORMULARIO</v>
      </c>
      <c r="AQ554" s="1" t="str">
        <f>IFERROR(__xludf.DUMMYFUNCTION("""COMPUTED_VALUE"""),"ORGANICO")</f>
        <v>ORGANICO</v>
      </c>
      <c r="AR554" s="1" t="str">
        <f>IFERROR(__xludf.DUMMYFUNCTION("""COMPUTED_VALUE"""),"NUEVO")</f>
        <v>NUEVO</v>
      </c>
      <c r="AS554" s="1"/>
      <c r="AT554" s="2">
        <f>IFERROR(__xludf.DUMMYFUNCTION("""COMPUTED_VALUE"""),45710.0)</f>
        <v>45710</v>
      </c>
      <c r="AU554" s="1">
        <f>IFERROR(__xludf.DUMMYFUNCTION("""COMPUTED_VALUE"""),1.0)</f>
        <v>1</v>
      </c>
      <c r="AV554" s="1" t="str">
        <f>IFERROR(__xludf.DUMMYFUNCTION("""COMPUTED_VALUE"""),"NUEVO")</f>
        <v>NUEVO</v>
      </c>
      <c r="AW554" s="1" t="str">
        <f>IFERROR(__xludf.DUMMYFUNCTION("""COMPUTED_VALUE"""),"SI")</f>
        <v>SI</v>
      </c>
      <c r="AX554" s="1"/>
      <c r="AY554" s="1" t="str">
        <f>IFERROR(__xludf.DUMMYFUNCTION("""COMPUTED_VALUE"""),"PAGO COMPLETO")</f>
        <v>PAGO COMPLETO</v>
      </c>
      <c r="AZ554" s="5">
        <f>IFERROR(__xludf.DUMMYFUNCTION("""COMPUTED_VALUE"""),45717.0)</f>
        <v>45717</v>
      </c>
      <c r="BA554" s="1">
        <f>IFERROR(__xludf.DUMMYFUNCTION("""COMPUTED_VALUE"""),0.0)</f>
        <v>0</v>
      </c>
      <c r="BB554" s="1">
        <f>IFERROR(__xludf.DUMMYFUNCTION("""COMPUTED_VALUE"""),0.0)</f>
        <v>0</v>
      </c>
      <c r="BC554" s="4">
        <f>IFERROR(__xludf.DUMMYFUNCTION("""COMPUTED_VALUE"""),0.0)</f>
        <v>0</v>
      </c>
      <c r="BD554" s="4">
        <f>IFERROR(__xludf.DUMMYFUNCTION("""COMPUTED_VALUE"""),600.0)</f>
        <v>600</v>
      </c>
      <c r="BE554" s="1">
        <f>IFERROR(__xludf.DUMMYFUNCTION("""COMPUTED_VALUE"""),3.0)</f>
        <v>3</v>
      </c>
      <c r="BF554" s="6">
        <f>IFERROR(__xludf.DUMMYFUNCTION("""COMPUTED_VALUE"""),1.0)</f>
        <v>1</v>
      </c>
      <c r="BG554" s="1">
        <f>IFERROR(__xludf.DUMMYFUNCTION("""COMPUTED_VALUE"""),1.0)</f>
        <v>1</v>
      </c>
      <c r="BH554" s="1" t="str">
        <f>IFERROR(__xludf.DUMMYFUNCTION("""COMPUTED_VALUE"""),"0")</f>
        <v>0</v>
      </c>
      <c r="BI554" s="4">
        <f>IFERROR(__xludf.DUMMYFUNCTION("""COMPUTED_VALUE"""),600.0)</f>
        <v>600</v>
      </c>
      <c r="BJ554" s="1">
        <f>IFERROR(__xludf.DUMMYFUNCTION("""COMPUTED_VALUE"""),0.0)</f>
        <v>0</v>
      </c>
      <c r="BK554" s="4">
        <f>IFERROR(__xludf.DUMMYFUNCTION("""COMPUTED_VALUE"""),600.0)</f>
        <v>600</v>
      </c>
      <c r="BL554" s="1">
        <f>IFERROR(__xludf.DUMMYFUNCTION("""COMPUTED_VALUE"""),980.0)</f>
        <v>980</v>
      </c>
      <c r="BM554" s="1">
        <f>IFERROR(__xludf.DUMMYFUNCTION("""COMPUTED_VALUE"""),9.0)</f>
        <v>9</v>
      </c>
      <c r="BN554" s="2">
        <f>IFERROR(__xludf.DUMMYFUNCTION("""COMPUTED_VALUE"""),45712.0)</f>
        <v>45712</v>
      </c>
      <c r="BO554" s="1">
        <f>IFERROR(__xludf.DUMMYFUNCTION("""COMPUTED_VALUE"""),3.0)</f>
        <v>3</v>
      </c>
      <c r="BP554" s="1">
        <f>IFERROR(__xludf.DUMMYFUNCTION("""COMPUTED_VALUE"""),2025.0)</f>
        <v>2025</v>
      </c>
    </row>
    <row r="555">
      <c r="A555" s="1">
        <f>IFERROR(__xludf.DUMMYFUNCTION("""COMPUTED_VALUE"""),554.0)</f>
        <v>554</v>
      </c>
      <c r="B555" s="1">
        <f>IFERROR(__xludf.DUMMYFUNCTION("""COMPUTED_VALUE"""),2041991.0)</f>
        <v>2041991</v>
      </c>
      <c r="C555" s="1" t="str">
        <f>IFERROR(__xludf.DUMMYFUNCTION("""COMPUTED_VALUE"""),"2025-1")</f>
        <v>2025-1</v>
      </c>
      <c r="D555" s="1" t="str">
        <f>IFERROR(__xludf.DUMMYFUNCTION("""COMPUTED_VALUE"""),"Admisión Ordinaria")</f>
        <v>Admisión Ordinaria</v>
      </c>
      <c r="E555" s="2">
        <f>IFERROR(__xludf.DUMMYFUNCTION("""COMPUTED_VALUE"""),45719.0)</f>
        <v>45719</v>
      </c>
      <c r="F555" s="1" t="str">
        <f>IFERROR(__xludf.DUMMYFUNCTION("""COMPUTED_VALUE"""),"SEBASTIAN ALEXIS")</f>
        <v>SEBASTIAN ALEXIS</v>
      </c>
      <c r="G555" s="1" t="str">
        <f>IFERROR(__xludf.DUMMYFUNCTION("""COMPUTED_VALUE"""),"MEDINA GOMEZ")</f>
        <v>MEDINA GOMEZ</v>
      </c>
      <c r="H555" s="1" t="str">
        <f>IFERROR(__xludf.DUMMYFUNCTION("""COMPUTED_VALUE"""),"Diseño Gráfico Publicitario")</f>
        <v>Diseño Gráfico Publicitario</v>
      </c>
      <c r="I555" s="1" t="str">
        <f>IFERROR(__xludf.DUMMYFUNCTION("""COMPUTED_VALUE"""),"POS")</f>
        <v>POS</v>
      </c>
      <c r="J555" s="1" t="str">
        <f>IFERROR(__xludf.DUMMYFUNCTION("""COMPUTED_VALUE"""),"Diurno")</f>
        <v>Diurno</v>
      </c>
      <c r="K555" s="1" t="str">
        <f>IFERROR(__xludf.DUMMYFUNCTION("""COMPUTED_VALUE"""),"NUEVO")</f>
        <v>NUEVO</v>
      </c>
      <c r="L555" s="1">
        <f>IFERROR(__xludf.DUMMYFUNCTION("""COMPUTED_VALUE"""),0.0)</f>
        <v>0</v>
      </c>
      <c r="M555" s="1">
        <f>IFERROR(__xludf.DUMMYFUNCTION("""COMPUTED_VALUE"""),0.0)</f>
        <v>0</v>
      </c>
      <c r="N555" s="1" t="str">
        <f>IFERROR(__xludf.DUMMYFUNCTION("""COMPUTED_VALUE"""),"BECA")</f>
        <v>BECA</v>
      </c>
      <c r="O555" s="1" t="str">
        <f>IFERROR(__xludf.DUMMYFUNCTION("""COMPUTED_VALUE"""),"BECA CARRERAS CORE")</f>
        <v>BECA CARRERAS CORE</v>
      </c>
      <c r="P555" s="4">
        <f>IFERROR(__xludf.DUMMYFUNCTION("""COMPUTED_VALUE"""),125.0)</f>
        <v>125</v>
      </c>
      <c r="Q555" s="4">
        <f>IFERROR(__xludf.DUMMYFUNCTION("""COMPUTED_VALUE"""),237.5)</f>
        <v>237.5</v>
      </c>
      <c r="R555" s="4">
        <f>IFERROR(__xludf.DUMMYFUNCTION("""COMPUTED_VALUE"""),1250.0)</f>
        <v>1250</v>
      </c>
      <c r="S555" s="4">
        <f>IFERROR(__xludf.DUMMYFUNCTION("""COMPUTED_VALUE"""),1050.0)</f>
        <v>1050</v>
      </c>
      <c r="T555" s="1" t="str">
        <f>IFERROR(__xludf.DUMMYFUNCTION("""COMPUTED_VALUE"""),"PALANCA 500")</f>
        <v>PALANCA 500</v>
      </c>
      <c r="U555" s="1" t="str">
        <f>IFERROR(__xludf.DUMMYFUNCTION("""COMPUTED_VALUE"""),"FABIOLA")</f>
        <v>FABIOLA</v>
      </c>
      <c r="V555" s="1" t="str">
        <f>IFERROR(__xludf.DUMMYFUNCTION("""COMPUTED_VALUE"""),"Ninguno")</f>
        <v>Ninguno</v>
      </c>
      <c r="W555" s="1" t="str">
        <f>IFERROR(__xludf.DUMMYFUNCTION("""COMPUTED_VALUE"""),"Metodología de enseñanza")</f>
        <v>Metodología de enseñanza</v>
      </c>
      <c r="X555" s="1"/>
      <c r="Y555" s="1" t="str">
        <f>IFERROR(__xludf.DUMMYFUNCTION("""COMPUTED_VALUE"""),"PAGO COMPLETO")</f>
        <v>PAGO COMPLETO</v>
      </c>
      <c r="Z555" s="1"/>
      <c r="AA555" s="1"/>
      <c r="AB555" s="1">
        <f>IFERROR(__xludf.DUMMYFUNCTION("""COMPUTED_VALUE"""),0.0)</f>
        <v>0</v>
      </c>
      <c r="AC555" s="1">
        <f>IFERROR(__xludf.DUMMYFUNCTION("""COMPUTED_VALUE"""),0.0)</f>
        <v>0</v>
      </c>
      <c r="AD555" s="1" t="str">
        <f>IFERROR(__xludf.DUMMYFUNCTION("""COMPUTED_VALUE"""),"Angelica Iparraguirre")</f>
        <v>Angelica Iparraguirre</v>
      </c>
      <c r="AE555" s="1" t="str">
        <f>IFERROR(__xludf.DUMMYFUNCTION("""COMPUTED_VALUE"""),"0")</f>
        <v>0</v>
      </c>
      <c r="AF555" s="1">
        <f>IFERROR(__xludf.DUMMYFUNCTION("""COMPUTED_VALUE"""),2020.0)</f>
        <v>2020</v>
      </c>
      <c r="AG555" s="1">
        <f>IFERROR(__xludf.DUMMYFUNCTION("""COMPUTED_VALUE"""),1475300.0)</f>
        <v>1475300</v>
      </c>
      <c r="AH555" s="1">
        <f>IFERROR(__xludf.DUMMYFUNCTION("""COMPUTED_VALUE"""),21.0)</f>
        <v>21</v>
      </c>
      <c r="AI555" s="1" t="str">
        <f>IFERROR(__xludf.DUMMYFUNCTION("""COMPUTED_VALUE"""),"0000051914")</f>
        <v>0000051914</v>
      </c>
      <c r="AJ555" s="1">
        <f>IFERROR(__xludf.DUMMYFUNCTION("""COMPUTED_VALUE"""),7.5308019E7)</f>
        <v>75308019</v>
      </c>
      <c r="AK555" s="1">
        <f>IFERROR(__xludf.DUMMYFUNCTION("""COMPUTED_VALUE"""),9.49632845E8)</f>
        <v>949632845</v>
      </c>
      <c r="AL555" s="1" t="str">
        <f>IFERROR(__xludf.DUMMYFUNCTION("""COMPUTED_VALUE"""),"winisebas1234@gmail.com")</f>
        <v>winisebas1234@gmail.com</v>
      </c>
      <c r="AM555" s="1" t="str">
        <f>IFERROR(__xludf.DUMMYFUNCTION("""COMPUTED_VALUE"""),"MASCULINO")</f>
        <v>MASCULINO</v>
      </c>
      <c r="AN555" s="1">
        <f>IFERROR(__xludf.DUMMYFUNCTION("""COMPUTED_VALUE"""),1600.0)</f>
        <v>1600</v>
      </c>
      <c r="AO555" s="1">
        <f>IFERROR(__xludf.DUMMYFUNCTION("""COMPUTED_VALUE"""),205.0)</f>
        <v>205</v>
      </c>
      <c r="AP555" s="1" t="str">
        <f>IFERROR(__xludf.DUMMYFUNCTION("""COMPUTED_VALUE"""),"BIDIRECCIONAL")</f>
        <v>BIDIRECCIONAL</v>
      </c>
      <c r="AQ555" s="1" t="str">
        <f>IFERROR(__xludf.DUMMYFUNCTION("""COMPUTED_VALUE"""),"SEARCH MARCA")</f>
        <v>SEARCH MARCA</v>
      </c>
      <c r="AR555" s="1" t="str">
        <f>IFERROR(__xludf.DUMMYFUNCTION("""COMPUTED_VALUE"""),"NUEVO")</f>
        <v>NUEVO</v>
      </c>
      <c r="AS555" s="1" t="str">
        <f>IFERROR(__xludf.DUMMYFUNCTION("""COMPUTED_VALUE"""),"ucal-pg-performance-sedes-abierta-cpl-extensiones_boleta_500_marca-20250210")</f>
        <v>ucal-pg-performance-sedes-abierta-cpl-extensiones_boleta_500_marca-20250210</v>
      </c>
      <c r="AT555" s="2">
        <f>IFERROR(__xludf.DUMMYFUNCTION("""COMPUTED_VALUE"""),45718.0)</f>
        <v>45718</v>
      </c>
      <c r="AU555" s="1">
        <f>IFERROR(__xludf.DUMMYFUNCTION("""COMPUTED_VALUE"""),1.0)</f>
        <v>1</v>
      </c>
      <c r="AV555" s="1" t="str">
        <f>IFERROR(__xludf.DUMMYFUNCTION("""COMPUTED_VALUE"""),"NUEVO")</f>
        <v>NUEVO</v>
      </c>
      <c r="AW555" s="1" t="str">
        <f>IFERROR(__xludf.DUMMYFUNCTION("""COMPUTED_VALUE"""),"SI")</f>
        <v>SI</v>
      </c>
      <c r="AX555" s="1"/>
      <c r="AY555" s="1" t="str">
        <f>IFERROR(__xludf.DUMMYFUNCTION("""COMPUTED_VALUE"""),"PAGO COMPLETO")</f>
        <v>PAGO COMPLETO</v>
      </c>
      <c r="AZ555" s="5">
        <f>IFERROR(__xludf.DUMMYFUNCTION("""COMPUTED_VALUE"""),45719.0)</f>
        <v>45719</v>
      </c>
      <c r="BA555" s="1">
        <f>IFERROR(__xludf.DUMMYFUNCTION("""COMPUTED_VALUE"""),0.0)</f>
        <v>0</v>
      </c>
      <c r="BB555" s="1">
        <f>IFERROR(__xludf.DUMMYFUNCTION("""COMPUTED_VALUE"""),0.0)</f>
        <v>0</v>
      </c>
      <c r="BC555" s="4">
        <f>IFERROR(__xludf.DUMMYFUNCTION("""COMPUTED_VALUE"""),0.0)</f>
        <v>0</v>
      </c>
      <c r="BD555" s="4">
        <f>IFERROR(__xludf.DUMMYFUNCTION("""COMPUTED_VALUE"""),550.0)</f>
        <v>550</v>
      </c>
      <c r="BE555" s="1">
        <f>IFERROR(__xludf.DUMMYFUNCTION("""COMPUTED_VALUE"""),3.0)</f>
        <v>3</v>
      </c>
      <c r="BF555" s="6">
        <f>IFERROR(__xludf.DUMMYFUNCTION("""COMPUTED_VALUE"""),1.0)</f>
        <v>1</v>
      </c>
      <c r="BG555" s="1">
        <f>IFERROR(__xludf.DUMMYFUNCTION("""COMPUTED_VALUE"""),1.0)</f>
        <v>1</v>
      </c>
      <c r="BH555" s="1" t="str">
        <f>IFERROR(__xludf.DUMMYFUNCTION("""COMPUTED_VALUE"""),"0")</f>
        <v>0</v>
      </c>
      <c r="BI555" s="4">
        <f>IFERROR(__xludf.DUMMYFUNCTION("""COMPUTED_VALUE"""),550.0)</f>
        <v>550</v>
      </c>
      <c r="BJ555" s="1">
        <f>IFERROR(__xludf.DUMMYFUNCTION("""COMPUTED_VALUE"""),0.0)</f>
        <v>0</v>
      </c>
      <c r="BK555" s="4">
        <f>IFERROR(__xludf.DUMMYFUNCTION("""COMPUTED_VALUE"""),550.0)</f>
        <v>550</v>
      </c>
      <c r="BL555" s="1">
        <f>IFERROR(__xludf.DUMMYFUNCTION("""COMPUTED_VALUE"""),940.0)</f>
        <v>940</v>
      </c>
      <c r="BM555" s="1">
        <f>IFERROR(__xludf.DUMMYFUNCTION("""COMPUTED_VALUE"""),10.0)</f>
        <v>10</v>
      </c>
      <c r="BN555" s="2">
        <f>IFERROR(__xludf.DUMMYFUNCTION("""COMPUTED_VALUE"""),45719.0)</f>
        <v>45719</v>
      </c>
      <c r="BO555" s="1">
        <f>IFERROR(__xludf.DUMMYFUNCTION("""COMPUTED_VALUE"""),3.0)</f>
        <v>3</v>
      </c>
      <c r="BP555" s="1">
        <f>IFERROR(__xludf.DUMMYFUNCTION("""COMPUTED_VALUE"""),2025.0)</f>
        <v>2025</v>
      </c>
    </row>
    <row r="556">
      <c r="A556" s="1">
        <f>IFERROR(__xludf.DUMMYFUNCTION("""COMPUTED_VALUE"""),555.0)</f>
        <v>555</v>
      </c>
      <c r="B556" s="1">
        <f>IFERROR(__xludf.DUMMYFUNCTION("""COMPUTED_VALUE"""),4942079.0)</f>
        <v>4942079</v>
      </c>
      <c r="C556" s="1" t="str">
        <f>IFERROR(__xludf.DUMMYFUNCTION("""COMPUTED_VALUE"""),"2025-1")</f>
        <v>2025-1</v>
      </c>
      <c r="D556" s="1" t="str">
        <f>IFERROR(__xludf.DUMMYFUNCTION("""COMPUTED_VALUE"""),"Admisión de Alto Rendimiento")</f>
        <v>Admisión de Alto Rendimiento</v>
      </c>
      <c r="E556" s="2">
        <f>IFERROR(__xludf.DUMMYFUNCTION("""COMPUTED_VALUE"""),45719.0)</f>
        <v>45719</v>
      </c>
      <c r="F556" s="1" t="str">
        <f>IFERROR(__xludf.DUMMYFUNCTION("""COMPUTED_VALUE"""),"KAREN XIMENA ")</f>
        <v>KAREN XIMENA </v>
      </c>
      <c r="G556" s="1" t="str">
        <f>IFERROR(__xludf.DUMMYFUNCTION("""COMPUTED_VALUE"""),"TENORIO DE LA CRUZ")</f>
        <v>TENORIO DE LA CRUZ</v>
      </c>
      <c r="H556" s="1" t="str">
        <f>IFERROR(__xludf.DUMMYFUNCTION("""COMPUTED_VALUE"""),"Comunicación")</f>
        <v>Comunicación</v>
      </c>
      <c r="I556" s="1" t="str">
        <f>IFERROR(__xludf.DUMMYFUNCTION("""COMPUTED_VALUE"""),"POS")</f>
        <v>POS</v>
      </c>
      <c r="J556" s="1" t="str">
        <f>IFERROR(__xludf.DUMMYFUNCTION("""COMPUTED_VALUE"""),"Diurno")</f>
        <v>Diurno</v>
      </c>
      <c r="K556" s="1" t="str">
        <f>IFERROR(__xludf.DUMMYFUNCTION("""COMPUTED_VALUE"""),"NUEVO")</f>
        <v>NUEVO</v>
      </c>
      <c r="L556" s="1">
        <f>IFERROR(__xludf.DUMMYFUNCTION("""COMPUTED_VALUE"""),0.0)</f>
        <v>0</v>
      </c>
      <c r="M556" s="1">
        <f>IFERROR(__xludf.DUMMYFUNCTION("""COMPUTED_VALUE"""),0.0)</f>
        <v>0</v>
      </c>
      <c r="N556" s="1" t="str">
        <f>IFERROR(__xludf.DUMMYFUNCTION("""COMPUTED_VALUE"""),"BECA")</f>
        <v>BECA</v>
      </c>
      <c r="O556" s="1" t="str">
        <f>IFERROR(__xludf.DUMMYFUNCTION("""COMPUTED_VALUE"""),"BECA CARRERAS CORE")</f>
        <v>BECA CARRERAS CORE</v>
      </c>
      <c r="P556" s="4">
        <f>IFERROR(__xludf.DUMMYFUNCTION("""COMPUTED_VALUE"""),0.0)</f>
        <v>0</v>
      </c>
      <c r="Q556" s="4">
        <f>IFERROR(__xludf.DUMMYFUNCTION("""COMPUTED_VALUE"""),0.0)</f>
        <v>0</v>
      </c>
      <c r="R556" s="4">
        <f>IFERROR(__xludf.DUMMYFUNCTION("""COMPUTED_VALUE"""),1100.0)</f>
        <v>1100</v>
      </c>
      <c r="S556" s="4">
        <f>IFERROR(__xludf.DUMMYFUNCTION("""COMPUTED_VALUE"""),1000.0)</f>
        <v>1000</v>
      </c>
      <c r="T556" s="1" t="str">
        <f>IFERROR(__xludf.DUMMYFUNCTION("""COMPUTED_VALUE"""),"PALANCA 500")</f>
        <v>PALANCA 500</v>
      </c>
      <c r="U556" s="1" t="str">
        <f>IFERROR(__xludf.DUMMYFUNCTION("""COMPUTED_VALUE"""),"RODRIGO")</f>
        <v>RODRIGO</v>
      </c>
      <c r="V556" s="1" t="str">
        <f>IFERROR(__xludf.DUMMYFUNCTION("""COMPUTED_VALUE"""),"Ninguno")</f>
        <v>Ninguno</v>
      </c>
      <c r="W556" s="1" t="str">
        <f>IFERROR(__xludf.DUMMYFUNCTION("""COMPUTED_VALUE"""),"Metodología de enseñanza")</f>
        <v>Metodología de enseñanza</v>
      </c>
      <c r="X556" s="1" t="str">
        <f>IFERROR(__xludf.DUMMYFUNCTION("""COMPUTED_VALUE"""),"ninguno")</f>
        <v>ninguno</v>
      </c>
      <c r="Y556" s="1" t="str">
        <f>IFERROR(__xludf.DUMMYFUNCTION("""COMPUTED_VALUE"""),"PAGO COMPLETO")</f>
        <v>PAGO COMPLETO</v>
      </c>
      <c r="Z556" s="1"/>
      <c r="AA556" s="1"/>
      <c r="AB556" s="1">
        <f>IFERROR(__xludf.DUMMYFUNCTION("""COMPUTED_VALUE"""),0.0)</f>
        <v>0</v>
      </c>
      <c r="AC556" s="1">
        <f>IFERROR(__xludf.DUMMYFUNCTION("""COMPUTED_VALUE"""),0.0)</f>
        <v>0</v>
      </c>
      <c r="AD556" s="1" t="str">
        <f>IFERROR(__xludf.DUMMYFUNCTION("""COMPUTED_VALUE"""),"Rosa Ugarte")</f>
        <v>Rosa Ugarte</v>
      </c>
      <c r="AE556" s="1" t="str">
        <f>IFERROR(__xludf.DUMMYFUNCTION("""COMPUTED_VALUE"""),"0")</f>
        <v>0</v>
      </c>
      <c r="AF556" s="1">
        <f>IFERROR(__xludf.DUMMYFUNCTION("""COMPUTED_VALUE"""),2023.0)</f>
        <v>2023</v>
      </c>
      <c r="AG556" s="1">
        <f>IFERROR(__xludf.DUMMYFUNCTION("""COMPUTED_VALUE"""),424507.0)</f>
        <v>424507</v>
      </c>
      <c r="AH556" s="1">
        <f>IFERROR(__xludf.DUMMYFUNCTION("""COMPUTED_VALUE"""),20.0)</f>
        <v>20</v>
      </c>
      <c r="AI556" s="1" t="str">
        <f>IFERROR(__xludf.DUMMYFUNCTION("""COMPUTED_VALUE"""),"0000412595")</f>
        <v>0000412595</v>
      </c>
      <c r="AJ556" s="1">
        <f>IFERROR(__xludf.DUMMYFUNCTION("""COMPUTED_VALUE"""),7.1261381E7)</f>
        <v>71261381</v>
      </c>
      <c r="AK556" s="1">
        <f>IFERROR(__xludf.DUMMYFUNCTION("""COMPUTED_VALUE"""),9.14359664E8)</f>
        <v>914359664</v>
      </c>
      <c r="AL556" s="1" t="str">
        <f>IFERROR(__xludf.DUMMYFUNCTION("""COMPUTED_VALUE"""),"tenoriodelacruzkaren@gmail.com")</f>
        <v>tenoriodelacruzkaren@gmail.com</v>
      </c>
      <c r="AM556" s="1" t="str">
        <f>IFERROR(__xludf.DUMMYFUNCTION("""COMPUTED_VALUE"""),"FEMENINO")</f>
        <v>FEMENINO</v>
      </c>
      <c r="AN556" s="1">
        <f>IFERROR(__xludf.DUMMYFUNCTION("""COMPUTED_VALUE"""),1350.0)</f>
        <v>1350</v>
      </c>
      <c r="AO556" s="1">
        <f>IFERROR(__xludf.DUMMYFUNCTION("""COMPUTED_VALUE"""),0.0)</f>
        <v>0</v>
      </c>
      <c r="AP556" s="1" t="str">
        <f>IFERROR(__xludf.DUMMYFUNCTION("""COMPUTED_VALUE"""),"OUTBOUND")</f>
        <v>OUTBOUND</v>
      </c>
      <c r="AQ556" s="1" t="str">
        <f>IFERROR(__xludf.DUMMYFUNCTION("""COMPUTED_VALUE"""),"OUTBOUND")</f>
        <v>OUTBOUND</v>
      </c>
      <c r="AR556" s="1" t="str">
        <f>IFERROR(__xludf.DUMMYFUNCTION("""COMPUTED_VALUE"""),"NUEVO")</f>
        <v>NUEVO</v>
      </c>
      <c r="AS556" s="1"/>
      <c r="AT556" s="2">
        <f>IFERROR(__xludf.DUMMYFUNCTION("""COMPUTED_VALUE"""),45709.0)</f>
        <v>45709</v>
      </c>
      <c r="AU556" s="1">
        <f>IFERROR(__xludf.DUMMYFUNCTION("""COMPUTED_VALUE"""),1.0)</f>
        <v>1</v>
      </c>
      <c r="AV556" s="1" t="str">
        <f>IFERROR(__xludf.DUMMYFUNCTION("""COMPUTED_VALUE"""),"NUEVO")</f>
        <v>NUEVO</v>
      </c>
      <c r="AW556" s="1" t="str">
        <f>IFERROR(__xludf.DUMMYFUNCTION("""COMPUTED_VALUE"""),"SI")</f>
        <v>SI</v>
      </c>
      <c r="AX556" s="1"/>
      <c r="AY556" s="1" t="str">
        <f>IFERROR(__xludf.DUMMYFUNCTION("""COMPUTED_VALUE"""),"PAGO COMPLETO")</f>
        <v>PAGO COMPLETO</v>
      </c>
      <c r="AZ556" s="5">
        <f>IFERROR(__xludf.DUMMYFUNCTION("""COMPUTED_VALUE"""),45719.0)</f>
        <v>45719</v>
      </c>
      <c r="BA556" s="1">
        <f>IFERROR(__xludf.DUMMYFUNCTION("""COMPUTED_VALUE"""),0.0)</f>
        <v>0</v>
      </c>
      <c r="BB556" s="1">
        <f>IFERROR(__xludf.DUMMYFUNCTION("""COMPUTED_VALUE"""),0.0)</f>
        <v>0</v>
      </c>
      <c r="BC556" s="4">
        <f>IFERROR(__xludf.DUMMYFUNCTION("""COMPUTED_VALUE"""),0.0)</f>
        <v>0</v>
      </c>
      <c r="BD556" s="4">
        <f>IFERROR(__xludf.DUMMYFUNCTION("""COMPUTED_VALUE"""),500.0)</f>
        <v>500</v>
      </c>
      <c r="BE556" s="1">
        <f>IFERROR(__xludf.DUMMYFUNCTION("""COMPUTED_VALUE"""),3.0)</f>
        <v>3</v>
      </c>
      <c r="BF556" s="6">
        <f>IFERROR(__xludf.DUMMYFUNCTION("""COMPUTED_VALUE"""),1.0)</f>
        <v>1</v>
      </c>
      <c r="BG556" s="1">
        <f>IFERROR(__xludf.DUMMYFUNCTION("""COMPUTED_VALUE"""),1.0)</f>
        <v>1</v>
      </c>
      <c r="BH556" s="1" t="str">
        <f>IFERROR(__xludf.DUMMYFUNCTION("""COMPUTED_VALUE"""),"0")</f>
        <v>0</v>
      </c>
      <c r="BI556" s="4">
        <f>IFERROR(__xludf.DUMMYFUNCTION("""COMPUTED_VALUE"""),500.0)</f>
        <v>500</v>
      </c>
      <c r="BJ556" s="1">
        <f>IFERROR(__xludf.DUMMYFUNCTION("""COMPUTED_VALUE"""),0.0)</f>
        <v>0</v>
      </c>
      <c r="BK556" s="4">
        <f>IFERROR(__xludf.DUMMYFUNCTION("""COMPUTED_VALUE"""),500.0)</f>
        <v>500</v>
      </c>
      <c r="BL556" s="1">
        <f>IFERROR(__xludf.DUMMYFUNCTION("""COMPUTED_VALUE"""),900.0)</f>
        <v>900</v>
      </c>
      <c r="BM556" s="1">
        <f>IFERROR(__xludf.DUMMYFUNCTION("""COMPUTED_VALUE"""),10.0)</f>
        <v>10</v>
      </c>
      <c r="BN556" s="2">
        <f>IFERROR(__xludf.DUMMYFUNCTION("""COMPUTED_VALUE"""),45719.0)</f>
        <v>45719</v>
      </c>
      <c r="BO556" s="1">
        <f>IFERROR(__xludf.DUMMYFUNCTION("""COMPUTED_VALUE"""),3.0)</f>
        <v>3</v>
      </c>
      <c r="BP556" s="1">
        <f>IFERROR(__xludf.DUMMYFUNCTION("""COMPUTED_VALUE"""),2025.0)</f>
        <v>2025</v>
      </c>
    </row>
    <row r="557">
      <c r="A557" s="1">
        <f>IFERROR(__xludf.DUMMYFUNCTION("""COMPUTED_VALUE"""),556.0)</f>
        <v>556</v>
      </c>
      <c r="B557" s="1">
        <f>IFERROR(__xludf.DUMMYFUNCTION("""COMPUTED_VALUE"""),4586853.0)</f>
        <v>4586853</v>
      </c>
      <c r="C557" s="1" t="str">
        <f>IFERROR(__xludf.DUMMYFUNCTION("""COMPUTED_VALUE"""),"2025-1")</f>
        <v>2025-1</v>
      </c>
      <c r="D557" s="1" t="str">
        <f>IFERROR(__xludf.DUMMYFUNCTION("""COMPUTED_VALUE"""),"Admisión Ordinaria")</f>
        <v>Admisión Ordinaria</v>
      </c>
      <c r="E557" s="2">
        <f>IFERROR(__xludf.DUMMYFUNCTION("""COMPUTED_VALUE"""),45719.0)</f>
        <v>45719</v>
      </c>
      <c r="F557" s="1" t="str">
        <f>IFERROR(__xludf.DUMMYFUNCTION("""COMPUTED_VALUE"""),"DAVID OMAR ")</f>
        <v>DAVID OMAR </v>
      </c>
      <c r="G557" s="1" t="str">
        <f>IFERROR(__xludf.DUMMYFUNCTION("""COMPUTED_VALUE"""),"PEREZ RIOS")</f>
        <v>PEREZ RIOS</v>
      </c>
      <c r="H557" s="1" t="str">
        <f>IFERROR(__xludf.DUMMYFUNCTION("""COMPUTED_VALUE"""),"Diseño Gráfico Publicitario")</f>
        <v>Diseño Gráfico Publicitario</v>
      </c>
      <c r="I557" s="1" t="str">
        <f>IFERROR(__xludf.DUMMYFUNCTION("""COMPUTED_VALUE"""),"CARGO")</f>
        <v>CARGO</v>
      </c>
      <c r="J557" s="1" t="str">
        <f>IFERROR(__xludf.DUMMYFUNCTION("""COMPUTED_VALUE"""),"Diurno")</f>
        <v>Diurno</v>
      </c>
      <c r="K557" s="1" t="str">
        <f>IFERROR(__xludf.DUMMYFUNCTION("""COMPUTED_VALUE"""),"NUEVO")</f>
        <v>NUEVO</v>
      </c>
      <c r="L557" s="1">
        <f>IFERROR(__xludf.DUMMYFUNCTION("""COMPUTED_VALUE"""),0.0)</f>
        <v>0</v>
      </c>
      <c r="M557" s="1">
        <f>IFERROR(__xludf.DUMMYFUNCTION("""COMPUTED_VALUE"""),0.0)</f>
        <v>0</v>
      </c>
      <c r="N557" s="1" t="str">
        <f>IFERROR(__xludf.DUMMYFUNCTION("""COMPUTED_VALUE"""),"ESCALA REGULAR")</f>
        <v>ESCALA REGULAR</v>
      </c>
      <c r="O557" s="1" t="str">
        <f>IFERROR(__xludf.DUMMYFUNCTION("""COMPUTED_VALUE"""),"NINGUNO")</f>
        <v>NINGUNO</v>
      </c>
      <c r="P557" s="4">
        <f>IFERROR(__xludf.DUMMYFUNCTION("""COMPUTED_VALUE"""),250.0)</f>
        <v>250</v>
      </c>
      <c r="Q557" s="4">
        <f>IFERROR(__xludf.DUMMYFUNCTION("""COMPUTED_VALUE"""),475.0)</f>
        <v>475</v>
      </c>
      <c r="R557" s="4">
        <f>IFERROR(__xludf.DUMMYFUNCTION("""COMPUTED_VALUE"""),1400.0)</f>
        <v>1400</v>
      </c>
      <c r="S557" s="4">
        <f>IFERROR(__xludf.DUMMYFUNCTION("""COMPUTED_VALUE"""),1400.0)</f>
        <v>1400</v>
      </c>
      <c r="T557" s="1" t="str">
        <f>IFERROR(__xludf.DUMMYFUNCTION("""COMPUTED_VALUE"""),"PALANCA 500")</f>
        <v>PALANCA 500</v>
      </c>
      <c r="U557" s="1" t="str">
        <f>IFERROR(__xludf.DUMMYFUNCTION("""COMPUTED_VALUE"""),"FABIOLA")</f>
        <v>FABIOLA</v>
      </c>
      <c r="V557" s="1" t="str">
        <f>IFERROR(__xludf.DUMMYFUNCTION("""COMPUTED_VALUE"""),"Ninguno")</f>
        <v>Ninguno</v>
      </c>
      <c r="W557" s="1" t="str">
        <f>IFERROR(__xludf.DUMMYFUNCTION("""COMPUTED_VALUE"""),"Metodología de enseñanza")</f>
        <v>Metodología de enseñanza</v>
      </c>
      <c r="X557" s="1" t="str">
        <f>IFERROR(__xludf.DUMMYFUNCTION("""COMPUTED_VALUE"""),"metodologia")</f>
        <v>metodologia</v>
      </c>
      <c r="Y557" s="1" t="str">
        <f>IFERROR(__xludf.DUMMYFUNCTION("""COMPUTED_VALUE"""),"PAGO COMPLETO")</f>
        <v>PAGO COMPLETO</v>
      </c>
      <c r="Z557" s="1"/>
      <c r="AA557" s="1"/>
      <c r="AB557" s="1">
        <f>IFERROR(__xludf.DUMMYFUNCTION("""COMPUTED_VALUE"""),0.0)</f>
        <v>0</v>
      </c>
      <c r="AC557" s="1">
        <f>IFERROR(__xludf.DUMMYFUNCTION("""COMPUTED_VALUE"""),0.0)</f>
        <v>0</v>
      </c>
      <c r="AD557" s="1" t="str">
        <f>IFERROR(__xludf.DUMMYFUNCTION("""COMPUTED_VALUE"""),"Cinthia Mariella Orosco")</f>
        <v>Cinthia Mariella Orosco</v>
      </c>
      <c r="AE557" s="1" t="str">
        <f>IFERROR(__xludf.DUMMYFUNCTION("""COMPUTED_VALUE"""),"0")</f>
        <v>0</v>
      </c>
      <c r="AF557" s="1">
        <f>IFERROR(__xludf.DUMMYFUNCTION("""COMPUTED_VALUE"""),2023.0)</f>
        <v>2023</v>
      </c>
      <c r="AG557" s="1">
        <f>IFERROR(__xludf.DUMMYFUNCTION("""COMPUTED_VALUE"""),511295.0)</f>
        <v>511295</v>
      </c>
      <c r="AH557" s="1">
        <f>IFERROR(__xludf.DUMMYFUNCTION("""COMPUTED_VALUE"""),19.0)</f>
        <v>19</v>
      </c>
      <c r="AI557" s="1" t="str">
        <f>IFERROR(__xludf.DUMMYFUNCTION("""COMPUTED_VALUE"""),"0000417532")</f>
        <v>0000417532</v>
      </c>
      <c r="AJ557" s="1">
        <f>IFERROR(__xludf.DUMMYFUNCTION("""COMPUTED_VALUE"""),7.5431465E7)</f>
        <v>75431465</v>
      </c>
      <c r="AK557" s="1">
        <f>IFERROR(__xludf.DUMMYFUNCTION("""COMPUTED_VALUE"""),9.94197312E8)</f>
        <v>994197312</v>
      </c>
      <c r="AL557" s="1" t="str">
        <f>IFERROR(__xludf.DUMMYFUNCTION("""COMPUTED_VALUE"""),"d.omarperez2006@gmail.com")</f>
        <v>d.omarperez2006@gmail.com</v>
      </c>
      <c r="AM557" s="1" t="str">
        <f>IFERROR(__xludf.DUMMYFUNCTION("""COMPUTED_VALUE"""),"MASCULINO")</f>
        <v>MASCULINO</v>
      </c>
      <c r="AN557" s="1">
        <f>IFERROR(__xludf.DUMMYFUNCTION("""COMPUTED_VALUE"""),1775.0)</f>
        <v>1775</v>
      </c>
      <c r="AO557" s="1">
        <f>IFERROR(__xludf.DUMMYFUNCTION("""COMPUTED_VALUE"""),465.0)</f>
        <v>465</v>
      </c>
      <c r="AP557" s="1" t="str">
        <f>IFERROR(__xludf.DUMMYFUNCTION("""COMPUTED_VALUE"""),"BIDIRECCIONAL")</f>
        <v>BIDIRECCIONAL</v>
      </c>
      <c r="AQ557" s="1" t="str">
        <f>IFERROR(__xludf.DUMMYFUNCTION("""COMPUTED_VALUE"""),"ORGANICO")</f>
        <v>ORGANICO</v>
      </c>
      <c r="AR557" s="1" t="str">
        <f>IFERROR(__xludf.DUMMYFUNCTION("""COMPUTED_VALUE"""),"NUEVO")</f>
        <v>NUEVO</v>
      </c>
      <c r="AS557" s="1"/>
      <c r="AT557" s="2">
        <f>IFERROR(__xludf.DUMMYFUNCTION("""COMPUTED_VALUE"""),45547.0)</f>
        <v>45547</v>
      </c>
      <c r="AU557" s="1">
        <f>IFERROR(__xludf.DUMMYFUNCTION("""COMPUTED_VALUE"""),1.0)</f>
        <v>1</v>
      </c>
      <c r="AV557" s="1" t="str">
        <f>IFERROR(__xludf.DUMMYFUNCTION("""COMPUTED_VALUE"""),"NUEVO")</f>
        <v>NUEVO</v>
      </c>
      <c r="AW557" s="1" t="str">
        <f>IFERROR(__xludf.DUMMYFUNCTION("""COMPUTED_VALUE"""),"SI")</f>
        <v>SI</v>
      </c>
      <c r="AX557" s="1"/>
      <c r="AY557" s="1" t="str">
        <f>IFERROR(__xludf.DUMMYFUNCTION("""COMPUTED_VALUE"""),"PAGO COMPLETO")</f>
        <v>PAGO COMPLETO</v>
      </c>
      <c r="AZ557" s="5">
        <f>IFERROR(__xludf.DUMMYFUNCTION("""COMPUTED_VALUE"""),45719.0)</f>
        <v>45719</v>
      </c>
      <c r="BA557" s="1">
        <f>IFERROR(__xludf.DUMMYFUNCTION("""COMPUTED_VALUE"""),0.0)</f>
        <v>0</v>
      </c>
      <c r="BB557" s="1">
        <f>IFERROR(__xludf.DUMMYFUNCTION("""COMPUTED_VALUE"""),0.0)</f>
        <v>0</v>
      </c>
      <c r="BC557" s="4">
        <f>IFERROR(__xludf.DUMMYFUNCTION("""COMPUTED_VALUE"""),0.0)</f>
        <v>0</v>
      </c>
      <c r="BD557" s="4">
        <f>IFERROR(__xludf.DUMMYFUNCTION("""COMPUTED_VALUE"""),900.0)</f>
        <v>900</v>
      </c>
      <c r="BE557" s="1">
        <f>IFERROR(__xludf.DUMMYFUNCTION("""COMPUTED_VALUE"""),3.0)</f>
        <v>3</v>
      </c>
      <c r="BF557" s="6">
        <f>IFERROR(__xludf.DUMMYFUNCTION("""COMPUTED_VALUE"""),1.0)</f>
        <v>1</v>
      </c>
      <c r="BG557" s="1">
        <f>IFERROR(__xludf.DUMMYFUNCTION("""COMPUTED_VALUE"""),1.0)</f>
        <v>1</v>
      </c>
      <c r="BH557" s="1" t="str">
        <f>IFERROR(__xludf.DUMMYFUNCTION("""COMPUTED_VALUE"""),"0")</f>
        <v>0</v>
      </c>
      <c r="BI557" s="4">
        <f>IFERROR(__xludf.DUMMYFUNCTION("""COMPUTED_VALUE"""),900.0)</f>
        <v>900</v>
      </c>
      <c r="BJ557" s="1">
        <f>IFERROR(__xludf.DUMMYFUNCTION("""COMPUTED_VALUE"""),0.0)</f>
        <v>0</v>
      </c>
      <c r="BK557" s="4">
        <f>IFERROR(__xludf.DUMMYFUNCTION("""COMPUTED_VALUE"""),900.0)</f>
        <v>900</v>
      </c>
      <c r="BL557" s="1">
        <f>IFERROR(__xludf.DUMMYFUNCTION("""COMPUTED_VALUE"""),1220.0)</f>
        <v>1220</v>
      </c>
      <c r="BM557" s="1">
        <f>IFERROR(__xludf.DUMMYFUNCTION("""COMPUTED_VALUE"""),10.0)</f>
        <v>10</v>
      </c>
      <c r="BN557" s="2">
        <f>IFERROR(__xludf.DUMMYFUNCTION("""COMPUTED_VALUE"""),45719.0)</f>
        <v>45719</v>
      </c>
      <c r="BO557" s="1">
        <f>IFERROR(__xludf.DUMMYFUNCTION("""COMPUTED_VALUE"""),3.0)</f>
        <v>3</v>
      </c>
      <c r="BP557" s="1">
        <f>IFERROR(__xludf.DUMMYFUNCTION("""COMPUTED_VALUE"""),2025.0)</f>
        <v>2025</v>
      </c>
    </row>
    <row r="558">
      <c r="A558" s="1">
        <f>IFERROR(__xludf.DUMMYFUNCTION("""COMPUTED_VALUE"""),557.0)</f>
        <v>557</v>
      </c>
      <c r="B558" s="1">
        <f>IFERROR(__xludf.DUMMYFUNCTION("""COMPUTED_VALUE"""),4601183.0)</f>
        <v>4601183</v>
      </c>
      <c r="C558" s="1" t="str">
        <f>IFERROR(__xludf.DUMMYFUNCTION("""COMPUTED_VALUE"""),"2025-1")</f>
        <v>2025-1</v>
      </c>
      <c r="D558" s="1" t="str">
        <f>IFERROR(__xludf.DUMMYFUNCTION("""COMPUTED_VALUE"""),"Admisión Ordinaria")</f>
        <v>Admisión Ordinaria</v>
      </c>
      <c r="E558" s="2">
        <f>IFERROR(__xludf.DUMMYFUNCTION("""COMPUTED_VALUE"""),45719.0)</f>
        <v>45719</v>
      </c>
      <c r="F558" s="1" t="str">
        <f>IFERROR(__xludf.DUMMYFUNCTION("""COMPUTED_VALUE"""),"ADRIAN ALBERTO ")</f>
        <v>ADRIAN ALBERTO </v>
      </c>
      <c r="G558" s="1" t="str">
        <f>IFERROR(__xludf.DUMMYFUNCTION("""COMPUTED_VALUE"""),"ALFARO VERAMENDI")</f>
        <v>ALFARO VERAMENDI</v>
      </c>
      <c r="H558" s="1" t="str">
        <f>IFERROR(__xludf.DUMMYFUNCTION("""COMPUTED_VALUE"""),"Comunicación Audiovisual y Cine")</f>
        <v>Comunicación Audiovisual y Cine</v>
      </c>
      <c r="I558" s="1" t="str">
        <f>IFERROR(__xludf.DUMMYFUNCTION("""COMPUTED_VALUE"""),"CARGO")</f>
        <v>CARGO</v>
      </c>
      <c r="J558" s="1" t="str">
        <f>IFERROR(__xludf.DUMMYFUNCTION("""COMPUTED_VALUE"""),"Diurno")</f>
        <v>Diurno</v>
      </c>
      <c r="K558" s="1" t="str">
        <f>IFERROR(__xludf.DUMMYFUNCTION("""COMPUTED_VALUE"""),"NUEVO")</f>
        <v>NUEVO</v>
      </c>
      <c r="L558" s="1">
        <f>IFERROR(__xludf.DUMMYFUNCTION("""COMPUTED_VALUE"""),0.0)</f>
        <v>0</v>
      </c>
      <c r="M558" s="1">
        <f>IFERROR(__xludf.DUMMYFUNCTION("""COMPUTED_VALUE"""),0.0)</f>
        <v>0</v>
      </c>
      <c r="N558" s="1" t="str">
        <f>IFERROR(__xludf.DUMMYFUNCTION("""COMPUTED_VALUE"""),"BECA")</f>
        <v>BECA</v>
      </c>
      <c r="O558" s="1" t="str">
        <f>IFERROR(__xludf.DUMMYFUNCTION("""COMPUTED_VALUE"""),"BECA CARRERAS CORE")</f>
        <v>BECA CARRERAS CORE</v>
      </c>
      <c r="P558" s="4">
        <f>IFERROR(__xludf.DUMMYFUNCTION("""COMPUTED_VALUE"""),125.0)</f>
        <v>125</v>
      </c>
      <c r="Q558" s="4">
        <f>IFERROR(__xludf.DUMMYFUNCTION("""COMPUTED_VALUE"""),237.5)</f>
        <v>237.5</v>
      </c>
      <c r="R558" s="4">
        <f>IFERROR(__xludf.DUMMYFUNCTION("""COMPUTED_VALUE"""),1350.0)</f>
        <v>1350</v>
      </c>
      <c r="S558" s="4">
        <f>IFERROR(__xludf.DUMMYFUNCTION("""COMPUTED_VALUE"""),1150.0)</f>
        <v>1150</v>
      </c>
      <c r="T558" s="1" t="str">
        <f>IFERROR(__xludf.DUMMYFUNCTION("""COMPUTED_VALUE"""),"PALANCA 500")</f>
        <v>PALANCA 500</v>
      </c>
      <c r="U558" s="1"/>
      <c r="V558" s="1" t="str">
        <f>IFERROR(__xludf.DUMMYFUNCTION("""COMPUTED_VALUE"""),"Ninguno")</f>
        <v>Ninguno</v>
      </c>
      <c r="W558" s="1" t="str">
        <f>IFERROR(__xludf.DUMMYFUNCTION("""COMPUTED_VALUE"""),"Metodología de enseñanza")</f>
        <v>Metodología de enseñanza</v>
      </c>
      <c r="X558" s="1"/>
      <c r="Y558" s="1" t="str">
        <f>IFERROR(__xludf.DUMMYFUNCTION("""COMPUTED_VALUE"""),"PAGO COMPLETO")</f>
        <v>PAGO COMPLETO</v>
      </c>
      <c r="Z558" s="1"/>
      <c r="AA558" s="1"/>
      <c r="AB558" s="1">
        <f>IFERROR(__xludf.DUMMYFUNCTION("""COMPUTED_VALUE"""),0.0)</f>
        <v>0</v>
      </c>
      <c r="AC558" s="1">
        <f>IFERROR(__xludf.DUMMYFUNCTION("""COMPUTED_VALUE"""),0.0)</f>
        <v>0</v>
      </c>
      <c r="AD558" s="1" t="str">
        <f>IFERROR(__xludf.DUMMYFUNCTION("""COMPUTED_VALUE"""),"Ingrid Guillermo Rivera")</f>
        <v>Ingrid Guillermo Rivera</v>
      </c>
      <c r="AE558" s="1" t="str">
        <f>IFERROR(__xludf.DUMMYFUNCTION("""COMPUTED_VALUE"""),"0")</f>
        <v>0</v>
      </c>
      <c r="AF558" s="1">
        <f>IFERROR(__xludf.DUMMYFUNCTION("""COMPUTED_VALUE"""),2022.0)</f>
        <v>2022</v>
      </c>
      <c r="AG558" s="1">
        <f>IFERROR(__xludf.DUMMYFUNCTION("""COMPUTED_VALUE"""),1470772.0)</f>
        <v>1470772</v>
      </c>
      <c r="AH558" s="1">
        <f>IFERROR(__xludf.DUMMYFUNCTION("""COMPUTED_VALUE"""),19.0)</f>
        <v>19</v>
      </c>
      <c r="AI558" s="1" t="str">
        <f>IFERROR(__xludf.DUMMYFUNCTION("""COMPUTED_VALUE"""),"0000395279")</f>
        <v>0000395279</v>
      </c>
      <c r="AJ558" s="1">
        <f>IFERROR(__xludf.DUMMYFUNCTION("""COMPUTED_VALUE"""),7.138091E7)</f>
        <v>71380910</v>
      </c>
      <c r="AK558" s="1">
        <f>IFERROR(__xludf.DUMMYFUNCTION("""COMPUTED_VALUE"""),9.10571178E8)</f>
        <v>910571178</v>
      </c>
      <c r="AL558" s="1" t="str">
        <f>IFERROR(__xludf.DUMMYFUNCTION("""COMPUTED_VALUE"""),"adrianalfaroveramendi@gmail.com")</f>
        <v>adrianalfaroveramendi@gmail.com</v>
      </c>
      <c r="AM558" s="1" t="str">
        <f>IFERROR(__xludf.DUMMYFUNCTION("""COMPUTED_VALUE"""),"MASCULINO")</f>
        <v>MASCULINO</v>
      </c>
      <c r="AN558" s="1">
        <f>IFERROR(__xludf.DUMMYFUNCTION("""COMPUTED_VALUE"""),1600.0)</f>
        <v>1600</v>
      </c>
      <c r="AO558" s="1">
        <f>IFERROR(__xludf.DUMMYFUNCTION("""COMPUTED_VALUE"""),230.0)</f>
        <v>230</v>
      </c>
      <c r="AP558" s="1" t="str">
        <f>IFERROR(__xludf.DUMMYFUNCTION("""COMPUTED_VALUE"""),"FORMULARIO")</f>
        <v>FORMULARIO</v>
      </c>
      <c r="AQ558" s="1" t="str">
        <f>IFERROR(__xludf.DUMMYFUNCTION("""COMPUTED_VALUE"""),"SEARCH CARRERA")</f>
        <v>SEARCH CARRERA</v>
      </c>
      <c r="AR558" s="1" t="str">
        <f>IFERROR(__xludf.DUMMYFUNCTION("""COMPUTED_VALUE"""),"NUEVO")</f>
        <v>NUEVO</v>
      </c>
      <c r="AS558" s="1" t="str">
        <f>IFERROR(__xludf.DUMMYFUNCTION("""COMPUTED_VALUE"""),"ucal-pg-performance-sedes-abierta-cpl-search_conversion_carrera_comunicacion_audiovisual_y_cine-20250220")</f>
        <v>ucal-pg-performance-sedes-abierta-cpl-search_conversion_carrera_comunicacion_audiovisual_y_cine-20250220</v>
      </c>
      <c r="AT558" s="2">
        <f>IFERROR(__xludf.DUMMYFUNCTION("""COMPUTED_VALUE"""),45717.0)</f>
        <v>45717</v>
      </c>
      <c r="AU558" s="1">
        <f>IFERROR(__xludf.DUMMYFUNCTION("""COMPUTED_VALUE"""),1.0)</f>
        <v>1</v>
      </c>
      <c r="AV558" s="1" t="str">
        <f>IFERROR(__xludf.DUMMYFUNCTION("""COMPUTED_VALUE"""),"NUEVO")</f>
        <v>NUEVO</v>
      </c>
      <c r="AW558" s="1" t="str">
        <f>IFERROR(__xludf.DUMMYFUNCTION("""COMPUTED_VALUE"""),"SI")</f>
        <v>SI</v>
      </c>
      <c r="AX558" s="1"/>
      <c r="AY558" s="1" t="str">
        <f>IFERROR(__xludf.DUMMYFUNCTION("""COMPUTED_VALUE"""),"PAGO COMPLETO")</f>
        <v>PAGO COMPLETO</v>
      </c>
      <c r="AZ558" s="5">
        <f>IFERROR(__xludf.DUMMYFUNCTION("""COMPUTED_VALUE"""),45719.0)</f>
        <v>45719</v>
      </c>
      <c r="BA558" s="1">
        <f>IFERROR(__xludf.DUMMYFUNCTION("""COMPUTED_VALUE"""),0.0)</f>
        <v>0</v>
      </c>
      <c r="BB558" s="1">
        <f>IFERROR(__xludf.DUMMYFUNCTION("""COMPUTED_VALUE"""),0.0)</f>
        <v>0</v>
      </c>
      <c r="BC558" s="4">
        <f>IFERROR(__xludf.DUMMYFUNCTION("""COMPUTED_VALUE"""),0.0)</f>
        <v>0</v>
      </c>
      <c r="BD558" s="4">
        <f>IFERROR(__xludf.DUMMYFUNCTION("""COMPUTED_VALUE"""),650.0)</f>
        <v>650</v>
      </c>
      <c r="BE558" s="1">
        <f>IFERROR(__xludf.DUMMYFUNCTION("""COMPUTED_VALUE"""),3.0)</f>
        <v>3</v>
      </c>
      <c r="BF558" s="6">
        <f>IFERROR(__xludf.DUMMYFUNCTION("""COMPUTED_VALUE"""),1.0)</f>
        <v>1</v>
      </c>
      <c r="BG558" s="1">
        <f>IFERROR(__xludf.DUMMYFUNCTION("""COMPUTED_VALUE"""),1.0)</f>
        <v>1</v>
      </c>
      <c r="BH558" s="1" t="str">
        <f>IFERROR(__xludf.DUMMYFUNCTION("""COMPUTED_VALUE"""),"0")</f>
        <v>0</v>
      </c>
      <c r="BI558" s="4">
        <f>IFERROR(__xludf.DUMMYFUNCTION("""COMPUTED_VALUE"""),650.0)</f>
        <v>650</v>
      </c>
      <c r="BJ558" s="1">
        <f>IFERROR(__xludf.DUMMYFUNCTION("""COMPUTED_VALUE"""),0.0)</f>
        <v>0</v>
      </c>
      <c r="BK558" s="4">
        <f>IFERROR(__xludf.DUMMYFUNCTION("""COMPUTED_VALUE"""),650.0)</f>
        <v>650</v>
      </c>
      <c r="BL558" s="1">
        <f>IFERROR(__xludf.DUMMYFUNCTION("""COMPUTED_VALUE"""),1020.0)</f>
        <v>1020</v>
      </c>
      <c r="BM558" s="1">
        <f>IFERROR(__xludf.DUMMYFUNCTION("""COMPUTED_VALUE"""),10.0)</f>
        <v>10</v>
      </c>
      <c r="BN558" s="2">
        <f>IFERROR(__xludf.DUMMYFUNCTION("""COMPUTED_VALUE"""),45719.0)</f>
        <v>45719</v>
      </c>
      <c r="BO558" s="1">
        <f>IFERROR(__xludf.DUMMYFUNCTION("""COMPUTED_VALUE"""),3.0)</f>
        <v>3</v>
      </c>
      <c r="BP558" s="1">
        <f>IFERROR(__xludf.DUMMYFUNCTION("""COMPUTED_VALUE"""),2025.0)</f>
        <v>2025</v>
      </c>
    </row>
    <row r="559">
      <c r="A559" s="1">
        <f>IFERROR(__xludf.DUMMYFUNCTION("""COMPUTED_VALUE"""),558.0)</f>
        <v>558</v>
      </c>
      <c r="B559" s="1">
        <f>IFERROR(__xludf.DUMMYFUNCTION("""COMPUTED_VALUE"""),5025541.0)</f>
        <v>5025541</v>
      </c>
      <c r="C559" s="1" t="str">
        <f>IFERROR(__xludf.DUMMYFUNCTION("""COMPUTED_VALUE"""),"2025-1")</f>
        <v>2025-1</v>
      </c>
      <c r="D559" s="1" t="str">
        <f>IFERROR(__xludf.DUMMYFUNCTION("""COMPUTED_VALUE"""),"Admisión Ordinaria")</f>
        <v>Admisión Ordinaria</v>
      </c>
      <c r="E559" s="2">
        <f>IFERROR(__xludf.DUMMYFUNCTION("""COMPUTED_VALUE"""),45720.0)</f>
        <v>45720</v>
      </c>
      <c r="F559" s="1" t="str">
        <f>IFERROR(__xludf.DUMMYFUNCTION("""COMPUTED_VALUE"""),"JENYFER VICTORIA ")</f>
        <v>JENYFER VICTORIA </v>
      </c>
      <c r="G559" s="1" t="str">
        <f>IFERROR(__xludf.DUMMYFUNCTION("""COMPUTED_VALUE"""),"TITO MENDOZA")</f>
        <v>TITO MENDOZA</v>
      </c>
      <c r="H559" s="1" t="str">
        <f>IFERROR(__xludf.DUMMYFUNCTION("""COMPUTED_VALUE"""),"Administración y Marketing")</f>
        <v>Administración y Marketing</v>
      </c>
      <c r="I559" s="1" t="str">
        <f>IFERROR(__xludf.DUMMYFUNCTION("""COMPUTED_VALUE"""),"Pago Link")</f>
        <v>Pago Link</v>
      </c>
      <c r="J559" s="1" t="str">
        <f>IFERROR(__xludf.DUMMYFUNCTION("""COMPUTED_VALUE"""),"Diurno")</f>
        <v>Diurno</v>
      </c>
      <c r="K559" s="1" t="str">
        <f>IFERROR(__xludf.DUMMYFUNCTION("""COMPUTED_VALUE"""),"NUEVO")</f>
        <v>NUEVO</v>
      </c>
      <c r="L559" s="1">
        <f>IFERROR(__xludf.DUMMYFUNCTION("""COMPUTED_VALUE"""),0.0)</f>
        <v>0</v>
      </c>
      <c r="M559" s="1">
        <f>IFERROR(__xludf.DUMMYFUNCTION("""COMPUTED_VALUE"""),0.0)</f>
        <v>0</v>
      </c>
      <c r="N559" s="1" t="str">
        <f>IFERROR(__xludf.DUMMYFUNCTION("""COMPUTED_VALUE"""),"BECA")</f>
        <v>BECA</v>
      </c>
      <c r="O559" s="1" t="str">
        <f>IFERROR(__xludf.DUMMYFUNCTION("""COMPUTED_VALUE"""),"BECA CONGELADA DE 2 AÑOS")</f>
        <v>BECA CONGELADA DE 2 AÑOS</v>
      </c>
      <c r="P559" s="4">
        <f>IFERROR(__xludf.DUMMYFUNCTION("""COMPUTED_VALUE"""),125.0)</f>
        <v>125</v>
      </c>
      <c r="Q559" s="4">
        <f>IFERROR(__xludf.DUMMYFUNCTION("""COMPUTED_VALUE"""),237.5)</f>
        <v>237.5</v>
      </c>
      <c r="R559" s="4">
        <f>IFERROR(__xludf.DUMMYFUNCTION("""COMPUTED_VALUE"""),1300.0)</f>
        <v>1300</v>
      </c>
      <c r="S559" s="4">
        <f>IFERROR(__xludf.DUMMYFUNCTION("""COMPUTED_VALUE"""),1050.0)</f>
        <v>1050</v>
      </c>
      <c r="T559" s="1" t="str">
        <f>IFERROR(__xludf.DUMMYFUNCTION("""COMPUTED_VALUE"""),"NINGUNO")</f>
        <v>NINGUNO</v>
      </c>
      <c r="U559" s="1" t="str">
        <f>IFERROR(__xludf.DUMMYFUNCTION("""COMPUTED_VALUE"""),"FABIOLA")</f>
        <v>FABIOLA</v>
      </c>
      <c r="V559" s="1" t="str">
        <f>IFERROR(__xludf.DUMMYFUNCTION("""COMPUTED_VALUE"""),"Ninguno")</f>
        <v>Ninguno</v>
      </c>
      <c r="W559" s="1" t="str">
        <f>IFERROR(__xludf.DUMMYFUNCTION("""COMPUTED_VALUE"""),"Metodología de enseñanza")</f>
        <v>Metodología de enseñanza</v>
      </c>
      <c r="X559" s="1"/>
      <c r="Y559" s="1" t="str">
        <f>IFERROR(__xludf.DUMMYFUNCTION("""COMPUTED_VALUE"""),"PAGO FRACCIONADO")</f>
        <v>PAGO FRACCIONADO</v>
      </c>
      <c r="Z559" s="1">
        <f>IFERROR(__xludf.DUMMYFUNCTION("""COMPUTED_VALUE"""),706.5)</f>
        <v>706.5</v>
      </c>
      <c r="AA559" s="1" t="str">
        <f>IFERROR(__xludf.DUMMYFUNCTION("""COMPUTED_VALUE"""),"04/03/2025")</f>
        <v>04/03/2025</v>
      </c>
      <c r="AB559" s="1">
        <f>IFERROR(__xludf.DUMMYFUNCTION("""COMPUTED_VALUE"""),1.0)</f>
        <v>1</v>
      </c>
      <c r="AC559" s="1">
        <f>IFERROR(__xludf.DUMMYFUNCTION("""COMPUTED_VALUE"""),0.0)</f>
        <v>0</v>
      </c>
      <c r="AD559" s="1" t="str">
        <f>IFERROR(__xludf.DUMMYFUNCTION("""COMPUTED_VALUE"""),"Fiorella Lanegra")</f>
        <v>Fiorella Lanegra</v>
      </c>
      <c r="AE559" s="1" t="str">
        <f>IFERROR(__xludf.DUMMYFUNCTION("""COMPUTED_VALUE"""),"0")</f>
        <v>0</v>
      </c>
      <c r="AF559" s="1">
        <f>IFERROR(__xludf.DUMMYFUNCTION("""COMPUTED_VALUE"""),2021.0)</f>
        <v>2021</v>
      </c>
      <c r="AG559" s="1">
        <f>IFERROR(__xludf.DUMMYFUNCTION("""COMPUTED_VALUE"""),1749795.0)</f>
        <v>1749795</v>
      </c>
      <c r="AH559" s="1">
        <f>IFERROR(__xludf.DUMMYFUNCTION("""COMPUTED_VALUE"""),21.0)</f>
        <v>21</v>
      </c>
      <c r="AI559" s="1" t="str">
        <f>IFERROR(__xludf.DUMMYFUNCTION("""COMPUTED_VALUE"""),"0000091591")</f>
        <v>0000091591</v>
      </c>
      <c r="AJ559" s="1">
        <f>IFERROR(__xludf.DUMMYFUNCTION("""COMPUTED_VALUE"""),7.6526223E7)</f>
        <v>76526223</v>
      </c>
      <c r="AK559" s="1">
        <f>IFERROR(__xludf.DUMMYFUNCTION("""COMPUTED_VALUE"""),9.04325277E8)</f>
        <v>904325277</v>
      </c>
      <c r="AL559" s="1" t="str">
        <f>IFERROR(__xludf.DUMMYFUNCTION("""COMPUTED_VALUE"""),"jenyfertito04@gmail.com")</f>
        <v>jenyfertito04@gmail.com</v>
      </c>
      <c r="AM559" s="1" t="str">
        <f>IFERROR(__xludf.DUMMYFUNCTION("""COMPUTED_VALUE"""),"FEMENINO")</f>
        <v>FEMENINO</v>
      </c>
      <c r="AN559" s="1">
        <f>IFERROR(__xludf.DUMMYFUNCTION("""COMPUTED_VALUE"""),1775.0)</f>
        <v>1775</v>
      </c>
      <c r="AO559" s="1">
        <f>IFERROR(__xludf.DUMMYFUNCTION("""COMPUTED_VALUE"""),525.0)</f>
        <v>525</v>
      </c>
      <c r="AP559" s="1" t="str">
        <f>IFERROR(__xludf.DUMMYFUNCTION("""COMPUTED_VALUE"""),"FORMULARIO")</f>
        <v>FORMULARIO</v>
      </c>
      <c r="AQ559" s="1" t="str">
        <f>IFERROR(__xludf.DUMMYFUNCTION("""COMPUTED_VALUE"""),"SEARCH CARRERA")</f>
        <v>SEARCH CARRERA</v>
      </c>
      <c r="AR559" s="1" t="str">
        <f>IFERROR(__xludf.DUMMYFUNCTION("""COMPUTED_VALUE"""),"NUEVO")</f>
        <v>NUEVO</v>
      </c>
      <c r="AS559" s="1" t="str">
        <f>IFERROR(__xludf.DUMMYFUNCTION("""COMPUTED_VALUE"""),"ucal-pg-performance-sedes-abierta-cpl-search_conversion_mundo_negocios_reactivacion-20241105")</f>
        <v>ucal-pg-performance-sedes-abierta-cpl-search_conversion_mundo_negocios_reactivacion-20241105</v>
      </c>
      <c r="AT559" s="2">
        <f>IFERROR(__xludf.DUMMYFUNCTION("""COMPUTED_VALUE"""),45705.0)</f>
        <v>45705</v>
      </c>
      <c r="AU559" s="1">
        <f>IFERROR(__xludf.DUMMYFUNCTION("""COMPUTED_VALUE"""),1.0)</f>
        <v>1</v>
      </c>
      <c r="AV559" s="1" t="str">
        <f>IFERROR(__xludf.DUMMYFUNCTION("""COMPUTED_VALUE"""),"NUEVO")</f>
        <v>NUEVO</v>
      </c>
      <c r="AW559" s="1" t="str">
        <f>IFERROR(__xludf.DUMMYFUNCTION("""COMPUTED_VALUE"""),"SI")</f>
        <v>SI</v>
      </c>
      <c r="AX559" s="1"/>
      <c r="AY559" s="1" t="str">
        <f>IFERROR(__xludf.DUMMYFUNCTION("""COMPUTED_VALUE"""),"PAGO COMPLETO")</f>
        <v>PAGO COMPLETO</v>
      </c>
      <c r="AZ559" s="5">
        <f>IFERROR(__xludf.DUMMYFUNCTION("""COMPUTED_VALUE"""),45720.0)</f>
        <v>45720</v>
      </c>
      <c r="BA559" s="1">
        <f>IFERROR(__xludf.DUMMYFUNCTION("""COMPUTED_VALUE"""),706.0)</f>
        <v>706</v>
      </c>
      <c r="BB559" s="1">
        <f>IFERROR(__xludf.DUMMYFUNCTION("""COMPUTED_VALUE"""),0.0)</f>
        <v>0</v>
      </c>
      <c r="BC559" s="4">
        <f>IFERROR(__xludf.DUMMYFUNCTION("""COMPUTED_VALUE"""),0.0)</f>
        <v>0</v>
      </c>
      <c r="BD559" s="4">
        <f>IFERROR(__xludf.DUMMYFUNCTION("""COMPUTED_VALUE"""),0.0)</f>
        <v>0</v>
      </c>
      <c r="BE559" s="1">
        <f>IFERROR(__xludf.DUMMYFUNCTION("""COMPUTED_VALUE"""),3.0)</f>
        <v>3</v>
      </c>
      <c r="BF559" s="6">
        <f>IFERROR(__xludf.DUMMYFUNCTION("""COMPUTED_VALUE"""),1.0)</f>
        <v>1</v>
      </c>
      <c r="BG559" s="1">
        <f>IFERROR(__xludf.DUMMYFUNCTION("""COMPUTED_VALUE"""),1.0)</f>
        <v>1</v>
      </c>
      <c r="BH559" s="1" t="str">
        <f>IFERROR(__xludf.DUMMYFUNCTION("""COMPUTED_VALUE"""),"0")</f>
        <v>0</v>
      </c>
      <c r="BI559" s="4">
        <f>IFERROR(__xludf.DUMMYFUNCTION("""COMPUTED_VALUE"""),1412.5)</f>
        <v>1412.5</v>
      </c>
      <c r="BJ559" s="1">
        <f>IFERROR(__xludf.DUMMYFUNCTION("""COMPUTED_VALUE"""),0.0)</f>
        <v>0</v>
      </c>
      <c r="BK559" s="4">
        <f>IFERROR(__xludf.DUMMYFUNCTION("""COMPUTED_VALUE"""),0.0)</f>
        <v>0</v>
      </c>
      <c r="BL559" s="1">
        <f>IFERROR(__xludf.DUMMYFUNCTION("""COMPUTED_VALUE"""),1050.0)</f>
        <v>1050</v>
      </c>
      <c r="BM559" s="1">
        <f>IFERROR(__xludf.DUMMYFUNCTION("""COMPUTED_VALUE"""),10.0)</f>
        <v>10</v>
      </c>
      <c r="BN559" s="2">
        <f>IFERROR(__xludf.DUMMYFUNCTION("""COMPUTED_VALUE"""),45719.0)</f>
        <v>45719</v>
      </c>
      <c r="BO559" s="1">
        <f>IFERROR(__xludf.DUMMYFUNCTION("""COMPUTED_VALUE"""),3.0)</f>
        <v>3</v>
      </c>
      <c r="BP559" s="1">
        <f>IFERROR(__xludf.DUMMYFUNCTION("""COMPUTED_VALUE"""),2025.0)</f>
        <v>2025</v>
      </c>
    </row>
    <row r="560">
      <c r="A560" s="1">
        <f>IFERROR(__xludf.DUMMYFUNCTION("""COMPUTED_VALUE"""),559.0)</f>
        <v>559</v>
      </c>
      <c r="B560" s="1">
        <f>IFERROR(__xludf.DUMMYFUNCTION("""COMPUTED_VALUE"""),2182865.0)</f>
        <v>2182865</v>
      </c>
      <c r="C560" s="1" t="str">
        <f>IFERROR(__xludf.DUMMYFUNCTION("""COMPUTED_VALUE"""),"2025-1")</f>
        <v>2025-1</v>
      </c>
      <c r="D560" s="1" t="str">
        <f>IFERROR(__xludf.DUMMYFUNCTION("""COMPUTED_VALUE"""),"Admisión Ordinaria")</f>
        <v>Admisión Ordinaria</v>
      </c>
      <c r="E560" s="2">
        <f>IFERROR(__xludf.DUMMYFUNCTION("""COMPUTED_VALUE"""),45720.0)</f>
        <v>45720</v>
      </c>
      <c r="F560" s="1" t="str">
        <f>IFERROR(__xludf.DUMMYFUNCTION("""COMPUTED_VALUE"""),"PRISCILA DAMARIS ")</f>
        <v>PRISCILA DAMARIS </v>
      </c>
      <c r="G560" s="1" t="str">
        <f>IFERROR(__xludf.DUMMYFUNCTION("""COMPUTED_VALUE"""),"MORALES RUPAY")</f>
        <v>MORALES RUPAY</v>
      </c>
      <c r="H560" s="1" t="str">
        <f>IFERROR(__xludf.DUMMYFUNCTION("""COMPUTED_VALUE"""),"Marketing e Innovación")</f>
        <v>Marketing e Innovación</v>
      </c>
      <c r="I560" s="1" t="str">
        <f>IFERROR(__xludf.DUMMYFUNCTION("""COMPUTED_VALUE"""),"CARGO")</f>
        <v>CARGO</v>
      </c>
      <c r="J560" s="1" t="str">
        <f>IFERROR(__xludf.DUMMYFUNCTION("""COMPUTED_VALUE"""),"Diurno")</f>
        <v>Diurno</v>
      </c>
      <c r="K560" s="1" t="str">
        <f>IFERROR(__xludf.DUMMYFUNCTION("""COMPUTED_VALUE"""),"NUEVO")</f>
        <v>NUEVO</v>
      </c>
      <c r="L560" s="1">
        <f>IFERROR(__xludf.DUMMYFUNCTION("""COMPUTED_VALUE"""),0.0)</f>
        <v>0</v>
      </c>
      <c r="M560" s="1">
        <f>IFERROR(__xludf.DUMMYFUNCTION("""COMPUTED_VALUE"""),0.0)</f>
        <v>0</v>
      </c>
      <c r="N560" s="1" t="str">
        <f>IFERROR(__xludf.DUMMYFUNCTION("""COMPUTED_VALUE"""),"BECA")</f>
        <v>BECA</v>
      </c>
      <c r="O560" s="1" t="str">
        <f>IFERROR(__xludf.DUMMYFUNCTION("""COMPUTED_VALUE"""),"BECA CARRERAS NUEVAS")</f>
        <v>BECA CARRERAS NUEVAS</v>
      </c>
      <c r="P560" s="4">
        <f>IFERROR(__xludf.DUMMYFUNCTION("""COMPUTED_VALUE"""),0.0)</f>
        <v>0</v>
      </c>
      <c r="Q560" s="4">
        <f>IFERROR(__xludf.DUMMYFUNCTION("""COMPUTED_VALUE"""),0.0)</f>
        <v>0</v>
      </c>
      <c r="R560" s="4">
        <f>IFERROR(__xludf.DUMMYFUNCTION("""COMPUTED_VALUE"""),1050.0)</f>
        <v>1050</v>
      </c>
      <c r="S560" s="4">
        <f>IFERROR(__xludf.DUMMYFUNCTION("""COMPUTED_VALUE"""),900.0)</f>
        <v>900</v>
      </c>
      <c r="T560" s="1" t="str">
        <f>IFERROR(__xludf.DUMMYFUNCTION("""COMPUTED_VALUE"""),"PALANCA 500")</f>
        <v>PALANCA 500</v>
      </c>
      <c r="U560" s="1" t="str">
        <f>IFERROR(__xludf.DUMMYFUNCTION("""COMPUTED_VALUE"""),"FABIOLA")</f>
        <v>FABIOLA</v>
      </c>
      <c r="V560" s="1" t="str">
        <f>IFERROR(__xludf.DUMMYFUNCTION("""COMPUTED_VALUE"""),"Ninguno")</f>
        <v>Ninguno</v>
      </c>
      <c r="W560" s="1" t="str">
        <f>IFERROR(__xludf.DUMMYFUNCTION("""COMPUTED_VALUE"""),"Metodología de enseñanza")</f>
        <v>Metodología de enseñanza</v>
      </c>
      <c r="X560" s="1" t="str">
        <f>IFERROR(__xludf.DUMMYFUNCTION("""COMPUTED_VALUE"""),"metodologia")</f>
        <v>metodologia</v>
      </c>
      <c r="Y560" s="1" t="str">
        <f>IFERROR(__xludf.DUMMYFUNCTION("""COMPUTED_VALUE"""),"PAGO COMPLETO")</f>
        <v>PAGO COMPLETO</v>
      </c>
      <c r="Z560" s="1"/>
      <c r="AA560" s="1"/>
      <c r="AB560" s="1">
        <f>IFERROR(__xludf.DUMMYFUNCTION("""COMPUTED_VALUE"""),0.0)</f>
        <v>0</v>
      </c>
      <c r="AC560" s="1">
        <f>IFERROR(__xludf.DUMMYFUNCTION("""COMPUTED_VALUE"""),0.0)</f>
        <v>0</v>
      </c>
      <c r="AD560" s="1" t="str">
        <f>IFERROR(__xludf.DUMMYFUNCTION("""COMPUTED_VALUE"""),"Cinthia Mariella Orosco")</f>
        <v>Cinthia Mariella Orosco</v>
      </c>
      <c r="AE560" s="1" t="str">
        <f>IFERROR(__xludf.DUMMYFUNCTION("""COMPUTED_VALUE"""),"0")</f>
        <v>0</v>
      </c>
      <c r="AF560" s="1">
        <f>IFERROR(__xludf.DUMMYFUNCTION("""COMPUTED_VALUE"""),2022.0)</f>
        <v>2022</v>
      </c>
      <c r="AG560" s="1">
        <f>IFERROR(__xludf.DUMMYFUNCTION("""COMPUTED_VALUE"""),1512789.0)</f>
        <v>1512789</v>
      </c>
      <c r="AH560" s="1">
        <f>IFERROR(__xludf.DUMMYFUNCTION("""COMPUTED_VALUE"""),19.0)</f>
        <v>19</v>
      </c>
      <c r="AI560" s="1" t="str">
        <f>IFERROR(__xludf.DUMMYFUNCTION("""COMPUTED_VALUE"""),"0000070204")</f>
        <v>0000070204</v>
      </c>
      <c r="AJ560" s="1">
        <f>IFERROR(__xludf.DUMMYFUNCTION("""COMPUTED_VALUE"""),7.8659951E7)</f>
        <v>78659951</v>
      </c>
      <c r="AK560" s="1">
        <f>IFERROR(__xludf.DUMMYFUNCTION("""COMPUTED_VALUE"""),9.5178391E8)</f>
        <v>951783910</v>
      </c>
      <c r="AL560" s="1" t="str">
        <f>IFERROR(__xludf.DUMMYFUNCTION("""COMPUTED_VALUE"""),"moralesdamaris911@gmail.com")</f>
        <v>moralesdamaris911@gmail.com</v>
      </c>
      <c r="AM560" s="1" t="str">
        <f>IFERROR(__xludf.DUMMYFUNCTION("""COMPUTED_VALUE"""),"FEMENINO")</f>
        <v>FEMENINO</v>
      </c>
      <c r="AN560" s="1">
        <f>IFERROR(__xludf.DUMMYFUNCTION("""COMPUTED_VALUE"""),1350.0)</f>
        <v>1350</v>
      </c>
      <c r="AO560" s="1">
        <f>IFERROR(__xludf.DUMMYFUNCTION("""COMPUTED_VALUE"""),0.0)</f>
        <v>0</v>
      </c>
      <c r="AP560" s="1" t="str">
        <f>IFERROR(__xludf.DUMMYFUNCTION("""COMPUTED_VALUE"""),"FORMULARIO")</f>
        <v>FORMULARIO</v>
      </c>
      <c r="AQ560" s="1" t="str">
        <f>IFERROR(__xludf.DUMMYFUNCTION("""COMPUTED_VALUE"""),"SEARCH MARCA")</f>
        <v>SEARCH MARCA</v>
      </c>
      <c r="AR560" s="1" t="str">
        <f>IFERROR(__xludf.DUMMYFUNCTION("""COMPUTED_VALUE"""),"HEREDADO")</f>
        <v>HEREDADO</v>
      </c>
      <c r="AS560" s="1" t="str">
        <f>IFERROR(__xludf.DUMMYFUNCTION("""COMPUTED_VALUE"""),"ucal-pg-performance-sedes-abierta-cpl-search_conversion_marca-20240401")</f>
        <v>ucal-pg-performance-sedes-abierta-cpl-search_conversion_marca-20240401</v>
      </c>
      <c r="AT560" s="2">
        <f>IFERROR(__xludf.DUMMYFUNCTION("""COMPUTED_VALUE"""),45689.0)</f>
        <v>45689</v>
      </c>
      <c r="AU560" s="1">
        <f>IFERROR(__xludf.DUMMYFUNCTION("""COMPUTED_VALUE"""),1.0)</f>
        <v>1</v>
      </c>
      <c r="AV560" s="1" t="str">
        <f>IFERROR(__xludf.DUMMYFUNCTION("""COMPUTED_VALUE"""),"NUEVO")</f>
        <v>NUEVO</v>
      </c>
      <c r="AW560" s="1" t="str">
        <f>IFERROR(__xludf.DUMMYFUNCTION("""COMPUTED_VALUE"""),"SI")</f>
        <v>SI</v>
      </c>
      <c r="AX560" s="1"/>
      <c r="AY560" s="1" t="str">
        <f>IFERROR(__xludf.DUMMYFUNCTION("""COMPUTED_VALUE"""),"PAGO COMPLETO")</f>
        <v>PAGO COMPLETO</v>
      </c>
      <c r="AZ560" s="5">
        <f>IFERROR(__xludf.DUMMYFUNCTION("""COMPUTED_VALUE"""),45720.0)</f>
        <v>45720</v>
      </c>
      <c r="BA560" s="1">
        <f>IFERROR(__xludf.DUMMYFUNCTION("""COMPUTED_VALUE"""),0.0)</f>
        <v>0</v>
      </c>
      <c r="BB560" s="1">
        <f>IFERROR(__xludf.DUMMYFUNCTION("""COMPUTED_VALUE"""),0.0)</f>
        <v>0</v>
      </c>
      <c r="BC560" s="4">
        <f>IFERROR(__xludf.DUMMYFUNCTION("""COMPUTED_VALUE"""),0.0)</f>
        <v>0</v>
      </c>
      <c r="BD560" s="4">
        <f>IFERROR(__xludf.DUMMYFUNCTION("""COMPUTED_VALUE"""),400.0)</f>
        <v>400</v>
      </c>
      <c r="BE560" s="1">
        <f>IFERROR(__xludf.DUMMYFUNCTION("""COMPUTED_VALUE"""),3.0)</f>
        <v>3</v>
      </c>
      <c r="BF560" s="6">
        <f>IFERROR(__xludf.DUMMYFUNCTION("""COMPUTED_VALUE"""),1.0)</f>
        <v>1</v>
      </c>
      <c r="BG560" s="1">
        <f>IFERROR(__xludf.DUMMYFUNCTION("""COMPUTED_VALUE"""),1.0)</f>
        <v>1</v>
      </c>
      <c r="BH560" s="1" t="str">
        <f>IFERROR(__xludf.DUMMYFUNCTION("""COMPUTED_VALUE"""),"0")</f>
        <v>0</v>
      </c>
      <c r="BI560" s="4">
        <f>IFERROR(__xludf.DUMMYFUNCTION("""COMPUTED_VALUE"""),400.0)</f>
        <v>400</v>
      </c>
      <c r="BJ560" s="1">
        <f>IFERROR(__xludf.DUMMYFUNCTION("""COMPUTED_VALUE"""),0.0)</f>
        <v>0</v>
      </c>
      <c r="BK560" s="4">
        <f>IFERROR(__xludf.DUMMYFUNCTION("""COMPUTED_VALUE"""),400.0)</f>
        <v>400</v>
      </c>
      <c r="BL560" s="1">
        <f>IFERROR(__xludf.DUMMYFUNCTION("""COMPUTED_VALUE"""),820.0)</f>
        <v>820</v>
      </c>
      <c r="BM560" s="1">
        <f>IFERROR(__xludf.DUMMYFUNCTION("""COMPUTED_VALUE"""),10.0)</f>
        <v>10</v>
      </c>
      <c r="BN560" s="2">
        <f>IFERROR(__xludf.DUMMYFUNCTION("""COMPUTED_VALUE"""),45719.0)</f>
        <v>45719</v>
      </c>
      <c r="BO560" s="1">
        <f>IFERROR(__xludf.DUMMYFUNCTION("""COMPUTED_VALUE"""),3.0)</f>
        <v>3</v>
      </c>
      <c r="BP560" s="1">
        <f>IFERROR(__xludf.DUMMYFUNCTION("""COMPUTED_VALUE"""),2025.0)</f>
        <v>2025</v>
      </c>
    </row>
    <row r="561">
      <c r="A561" s="1">
        <f>IFERROR(__xludf.DUMMYFUNCTION("""COMPUTED_VALUE"""),560.0)</f>
        <v>560</v>
      </c>
      <c r="B561" s="1">
        <f>IFERROR(__xludf.DUMMYFUNCTION("""COMPUTED_VALUE"""),1165428.0)</f>
        <v>1165428</v>
      </c>
      <c r="C561" s="1" t="str">
        <f>IFERROR(__xludf.DUMMYFUNCTION("""COMPUTED_VALUE"""),"2025-1")</f>
        <v>2025-1</v>
      </c>
      <c r="D561" s="1" t="str">
        <f>IFERROR(__xludf.DUMMYFUNCTION("""COMPUTED_VALUE"""),"Admisión Extraordinaria (Traslados)")</f>
        <v>Admisión Extraordinaria (Traslados)</v>
      </c>
      <c r="E561" s="2">
        <f>IFERROR(__xludf.DUMMYFUNCTION("""COMPUTED_VALUE"""),45720.0)</f>
        <v>45720</v>
      </c>
      <c r="F561" s="1" t="str">
        <f>IFERROR(__xludf.DUMMYFUNCTION("""COMPUTED_VALUE"""),"FRANCIS BELEN ")</f>
        <v>FRANCIS BELEN </v>
      </c>
      <c r="G561" s="1" t="str">
        <f>IFERROR(__xludf.DUMMYFUNCTION("""COMPUTED_VALUE"""),"BENITES LEON")</f>
        <v>BENITES LEON</v>
      </c>
      <c r="H561" s="1" t="str">
        <f>IFERROR(__xludf.DUMMYFUNCTION("""COMPUTED_VALUE"""),"Arquitectura de Interiores")</f>
        <v>Arquitectura de Interiores</v>
      </c>
      <c r="I561" s="1" t="str">
        <f>IFERROR(__xludf.DUMMYFUNCTION("""COMPUTED_VALUE"""),"CARGO")</f>
        <v>CARGO</v>
      </c>
      <c r="J561" s="1" t="str">
        <f>IFERROR(__xludf.DUMMYFUNCTION("""COMPUTED_VALUE"""),"Diurno")</f>
        <v>Diurno</v>
      </c>
      <c r="K561" s="1" t="str">
        <f>IFERROR(__xludf.DUMMYFUNCTION("""COMPUTED_VALUE"""),"TRASLADO")</f>
        <v>TRASLADO</v>
      </c>
      <c r="L561" s="1">
        <f>IFERROR(__xludf.DUMMYFUNCTION("""COMPUTED_VALUE"""),0.0)</f>
        <v>0</v>
      </c>
      <c r="M561" s="1">
        <f>IFERROR(__xludf.DUMMYFUNCTION("""COMPUTED_VALUE"""),1.0)</f>
        <v>1</v>
      </c>
      <c r="N561" s="1" t="str">
        <f>IFERROR(__xludf.DUMMYFUNCTION("""COMPUTED_VALUE"""),"BECA")</f>
        <v>BECA</v>
      </c>
      <c r="O561" s="1" t="str">
        <f>IFERROR(__xludf.DUMMYFUNCTION("""COMPUTED_VALUE"""),"BECA CARRERAS CORE")</f>
        <v>BECA CARRERAS CORE</v>
      </c>
      <c r="P561" s="4">
        <f>IFERROR(__xludf.DUMMYFUNCTION("""COMPUTED_VALUE"""),0.0)</f>
        <v>0</v>
      </c>
      <c r="Q561" s="4">
        <f>IFERROR(__xludf.DUMMYFUNCTION("""COMPUTED_VALUE"""),0.0)</f>
        <v>0</v>
      </c>
      <c r="R561" s="4">
        <f>IFERROR(__xludf.DUMMYFUNCTION("""COMPUTED_VALUE"""),1050.0)</f>
        <v>1050</v>
      </c>
      <c r="S561" s="4">
        <f>IFERROR(__xludf.DUMMYFUNCTION("""COMPUTED_VALUE"""),950.0)</f>
        <v>950</v>
      </c>
      <c r="T561" s="1" t="str">
        <f>IFERROR(__xludf.DUMMYFUNCTION("""COMPUTED_VALUE"""),"NINGUNO")</f>
        <v>NINGUNO</v>
      </c>
      <c r="U561" s="1"/>
      <c r="V561" s="1" t="str">
        <f>IFERROR(__xludf.DUMMYFUNCTION("""COMPUTED_VALUE"""),"Ninguno")</f>
        <v>Ninguno</v>
      </c>
      <c r="W561" s="1" t="str">
        <f>IFERROR(__xludf.DUMMYFUNCTION("""COMPUTED_VALUE"""),"Metodología de enseñanza")</f>
        <v>Metodología de enseñanza</v>
      </c>
      <c r="X561" s="1"/>
      <c r="Y561" s="1" t="str">
        <f>IFERROR(__xludf.DUMMYFUNCTION("""COMPUTED_VALUE"""),"PAGO COMPLETO")</f>
        <v>PAGO COMPLETO</v>
      </c>
      <c r="Z561" s="1"/>
      <c r="AA561" s="1"/>
      <c r="AB561" s="1">
        <f>IFERROR(__xludf.DUMMYFUNCTION("""COMPUTED_VALUE"""),0.0)</f>
        <v>0</v>
      </c>
      <c r="AC561" s="1">
        <f>IFERROR(__xludf.DUMMYFUNCTION("""COMPUTED_VALUE"""),0.0)</f>
        <v>0</v>
      </c>
      <c r="AD561" s="1" t="str">
        <f>IFERROR(__xludf.DUMMYFUNCTION("""COMPUTED_VALUE"""),"Ingrid Guillermo Rivera")</f>
        <v>Ingrid Guillermo Rivera</v>
      </c>
      <c r="AE561" s="1" t="str">
        <f>IFERROR(__xludf.DUMMYFUNCTION("""COMPUTED_VALUE"""),"Universidad Cesar Vallejo - Lima")</f>
        <v>Universidad Cesar Vallejo - Lima</v>
      </c>
      <c r="AF561" s="1">
        <f>IFERROR(__xludf.DUMMYFUNCTION("""COMPUTED_VALUE"""),2021.0)</f>
        <v>2021</v>
      </c>
      <c r="AG561" s="1">
        <f>IFERROR(__xludf.DUMMYFUNCTION("""COMPUTED_VALUE"""),1473511.0)</f>
        <v>1473511</v>
      </c>
      <c r="AH561" s="1">
        <f>IFERROR(__xludf.DUMMYFUNCTION("""COMPUTED_VALUE"""),20.0)</f>
        <v>20</v>
      </c>
      <c r="AI561" s="1" t="str">
        <f>IFERROR(__xludf.DUMMYFUNCTION("""COMPUTED_VALUE"""),"0000417692")</f>
        <v>0000417692</v>
      </c>
      <c r="AJ561" s="1">
        <f>IFERROR(__xludf.DUMMYFUNCTION("""COMPUTED_VALUE"""),7.4956316E7)</f>
        <v>74956316</v>
      </c>
      <c r="AK561" s="1">
        <f>IFERROR(__xludf.DUMMYFUNCTION("""COMPUTED_VALUE"""),9.72513965E8)</f>
        <v>972513965</v>
      </c>
      <c r="AL561" s="1" t="str">
        <f>IFERROR(__xludf.DUMMYFUNCTION("""COMPUTED_VALUE"""),"blnbenites@gmail.com")</f>
        <v>blnbenites@gmail.com</v>
      </c>
      <c r="AM561" s="1" t="str">
        <f>IFERROR(__xludf.DUMMYFUNCTION("""COMPUTED_VALUE"""),"FEMENINO")</f>
        <v>FEMENINO</v>
      </c>
      <c r="AN561" s="1">
        <f>IFERROR(__xludf.DUMMYFUNCTION("""COMPUTED_VALUE"""),1350.0)</f>
        <v>1350</v>
      </c>
      <c r="AO561" s="1">
        <f>IFERROR(__xludf.DUMMYFUNCTION("""COMPUTED_VALUE"""),0.0)</f>
        <v>0</v>
      </c>
      <c r="AP561" s="1" t="str">
        <f>IFERROR(__xludf.DUMMYFUNCTION("""COMPUTED_VALUE"""),"OUTBOUND")</f>
        <v>OUTBOUND</v>
      </c>
      <c r="AQ561" s="1" t="str">
        <f>IFERROR(__xludf.DUMMYFUNCTION("""COMPUTED_VALUE"""),"OUTBOUND")</f>
        <v>OUTBOUND</v>
      </c>
      <c r="AR561" s="1" t="str">
        <f>IFERROR(__xludf.DUMMYFUNCTION("""COMPUTED_VALUE"""),"HEREDADO")</f>
        <v>HEREDADO</v>
      </c>
      <c r="AS561" s="1"/>
      <c r="AT561" s="2">
        <f>IFERROR(__xludf.DUMMYFUNCTION("""COMPUTED_VALUE"""),45719.0)</f>
        <v>45719</v>
      </c>
      <c r="AU561" s="1">
        <f>IFERROR(__xludf.DUMMYFUNCTION("""COMPUTED_VALUE"""),1.0)</f>
        <v>1</v>
      </c>
      <c r="AV561" s="1" t="str">
        <f>IFERROR(__xludf.DUMMYFUNCTION("""COMPUTED_VALUE"""),"NUEVO")</f>
        <v>NUEVO</v>
      </c>
      <c r="AW561" s="1" t="str">
        <f>IFERROR(__xludf.DUMMYFUNCTION("""COMPUTED_VALUE"""),"SI")</f>
        <v>SI</v>
      </c>
      <c r="AX561" s="1"/>
      <c r="AY561" s="1" t="str">
        <f>IFERROR(__xludf.DUMMYFUNCTION("""COMPUTED_VALUE"""),"PAGO COMPLETO")</f>
        <v>PAGO COMPLETO</v>
      </c>
      <c r="AZ561" s="5">
        <f>IFERROR(__xludf.DUMMYFUNCTION("""COMPUTED_VALUE"""),45720.0)</f>
        <v>45720</v>
      </c>
      <c r="BA561" s="1">
        <f>IFERROR(__xludf.DUMMYFUNCTION("""COMPUTED_VALUE"""),0.0)</f>
        <v>0</v>
      </c>
      <c r="BB561" s="1">
        <f>IFERROR(__xludf.DUMMYFUNCTION("""COMPUTED_VALUE"""),0.0)</f>
        <v>0</v>
      </c>
      <c r="BC561" s="4">
        <f>IFERROR(__xludf.DUMMYFUNCTION("""COMPUTED_VALUE"""),0.0)</f>
        <v>0</v>
      </c>
      <c r="BD561" s="4">
        <f>IFERROR(__xludf.DUMMYFUNCTION("""COMPUTED_VALUE"""),0.0)</f>
        <v>0</v>
      </c>
      <c r="BE561" s="1">
        <f>IFERROR(__xludf.DUMMYFUNCTION("""COMPUTED_VALUE"""),3.0)</f>
        <v>3</v>
      </c>
      <c r="BF561" s="6">
        <f>IFERROR(__xludf.DUMMYFUNCTION("""COMPUTED_VALUE"""),1.0)</f>
        <v>1</v>
      </c>
      <c r="BG561" s="1">
        <f>IFERROR(__xludf.DUMMYFUNCTION("""COMPUTED_VALUE"""),1.0)</f>
        <v>1</v>
      </c>
      <c r="BH561" s="1" t="str">
        <f>IFERROR(__xludf.DUMMYFUNCTION("""COMPUTED_VALUE"""),"0")</f>
        <v>0</v>
      </c>
      <c r="BI561" s="4">
        <f>IFERROR(__xludf.DUMMYFUNCTION("""COMPUTED_VALUE"""),0.0)</f>
        <v>0</v>
      </c>
      <c r="BJ561" s="1">
        <f>IFERROR(__xludf.DUMMYFUNCTION("""COMPUTED_VALUE"""),0.0)</f>
        <v>0</v>
      </c>
      <c r="BK561" s="4">
        <f>IFERROR(__xludf.DUMMYFUNCTION("""COMPUTED_VALUE"""),0.0)</f>
        <v>0</v>
      </c>
      <c r="BL561" s="1">
        <f>IFERROR(__xludf.DUMMYFUNCTION("""COMPUTED_VALUE"""),950.0)</f>
        <v>950</v>
      </c>
      <c r="BM561" s="1">
        <f>IFERROR(__xludf.DUMMYFUNCTION("""COMPUTED_VALUE"""),10.0)</f>
        <v>10</v>
      </c>
      <c r="BN561" s="2">
        <f>IFERROR(__xludf.DUMMYFUNCTION("""COMPUTED_VALUE"""),45719.0)</f>
        <v>45719</v>
      </c>
      <c r="BO561" s="1">
        <f>IFERROR(__xludf.DUMMYFUNCTION("""COMPUTED_VALUE"""),3.0)</f>
        <v>3</v>
      </c>
      <c r="BP561" s="1">
        <f>IFERROR(__xludf.DUMMYFUNCTION("""COMPUTED_VALUE"""),2025.0)</f>
        <v>2025</v>
      </c>
    </row>
    <row r="562">
      <c r="A562" s="1">
        <f>IFERROR(__xludf.DUMMYFUNCTION("""COMPUTED_VALUE"""),561.0)</f>
        <v>561</v>
      </c>
      <c r="B562" s="1">
        <f>IFERROR(__xludf.DUMMYFUNCTION("""COMPUTED_VALUE"""),5040862.0)</f>
        <v>5040862</v>
      </c>
      <c r="C562" s="1" t="str">
        <f>IFERROR(__xludf.DUMMYFUNCTION("""COMPUTED_VALUE"""),"2025-1")</f>
        <v>2025-1</v>
      </c>
      <c r="D562" s="1" t="str">
        <f>IFERROR(__xludf.DUMMYFUNCTION("""COMPUTED_VALUE"""),"Admisión Ordinaria")</f>
        <v>Admisión Ordinaria</v>
      </c>
      <c r="E562" s="2">
        <f>IFERROR(__xludf.DUMMYFUNCTION("""COMPUTED_VALUE"""),45720.0)</f>
        <v>45720</v>
      </c>
      <c r="F562" s="1" t="str">
        <f>IFERROR(__xludf.DUMMYFUNCTION("""COMPUTED_VALUE"""),"NADIA VALERIA")</f>
        <v>NADIA VALERIA</v>
      </c>
      <c r="G562" s="1" t="str">
        <f>IFERROR(__xludf.DUMMYFUNCTION("""COMPUTED_VALUE"""),"BELLIDO RODRIGUEZ")</f>
        <v>BELLIDO RODRIGUEZ</v>
      </c>
      <c r="H562" s="1" t="str">
        <f>IFERROR(__xludf.DUMMYFUNCTION("""COMPUTED_VALUE"""),"Administración y Marketing")</f>
        <v>Administración y Marketing</v>
      </c>
      <c r="I562" s="1" t="str">
        <f>IFERROR(__xludf.DUMMYFUNCTION("""COMPUTED_VALUE"""),"CARGO")</f>
        <v>CARGO</v>
      </c>
      <c r="J562" s="1" t="str">
        <f>IFERROR(__xludf.DUMMYFUNCTION("""COMPUTED_VALUE"""),"Nocturno - A distancia")</f>
        <v>Nocturno - A distancia</v>
      </c>
      <c r="K562" s="1" t="str">
        <f>IFERROR(__xludf.DUMMYFUNCTION("""COMPUTED_VALUE"""),"NUEVO")</f>
        <v>NUEVO</v>
      </c>
      <c r="L562" s="1">
        <f>IFERROR(__xludf.DUMMYFUNCTION("""COMPUTED_VALUE"""),0.0)</f>
        <v>0</v>
      </c>
      <c r="M562" s="1">
        <f>IFERROR(__xludf.DUMMYFUNCTION("""COMPUTED_VALUE"""),0.0)</f>
        <v>0</v>
      </c>
      <c r="N562" s="1" t="str">
        <f>IFERROR(__xludf.DUMMYFUNCTION("""COMPUTED_VALUE"""),"ESCALA REGULAR")</f>
        <v>ESCALA REGULAR</v>
      </c>
      <c r="O562" s="1" t="str">
        <f>IFERROR(__xludf.DUMMYFUNCTION("""COMPUTED_VALUE"""),"ESCALA  REG. CONGELADA 2 AÑOS")</f>
        <v>ESCALA  REG. CONGELADA 2 AÑOS</v>
      </c>
      <c r="P562" s="4">
        <f>IFERROR(__xludf.DUMMYFUNCTION("""COMPUTED_VALUE"""),0.0)</f>
        <v>0</v>
      </c>
      <c r="Q562" s="4">
        <f>IFERROR(__xludf.DUMMYFUNCTION("""COMPUTED_VALUE"""),0.0)</f>
        <v>0</v>
      </c>
      <c r="R562" s="4">
        <f>IFERROR(__xludf.DUMMYFUNCTION("""COMPUTED_VALUE"""),750.0)</f>
        <v>750</v>
      </c>
      <c r="S562" s="4">
        <f>IFERROR(__xludf.DUMMYFUNCTION("""COMPUTED_VALUE"""),750.0)</f>
        <v>750</v>
      </c>
      <c r="T562" s="1" t="str">
        <f>IFERROR(__xludf.DUMMYFUNCTION("""COMPUTED_VALUE"""),"NINGUNO")</f>
        <v>NINGUNO</v>
      </c>
      <c r="U562" s="1" t="str">
        <f>IFERROR(__xludf.DUMMYFUNCTION("""COMPUTED_VALUE"""),"FABIOLA")</f>
        <v>FABIOLA</v>
      </c>
      <c r="V562" s="1" t="str">
        <f>IFERROR(__xludf.DUMMYFUNCTION("""COMPUTED_VALUE"""),"Ninguno")</f>
        <v>Ninguno</v>
      </c>
      <c r="W562" s="1" t="str">
        <f>IFERROR(__xludf.DUMMYFUNCTION("""COMPUTED_VALUE"""),"Flexibilidad de horarios")</f>
        <v>Flexibilidad de horarios</v>
      </c>
      <c r="X562" s="1" t="str">
        <f>IFERROR(__xludf.DUMMYFUNCTION("""COMPUTED_VALUE"""),"VIRTUAL")</f>
        <v>VIRTUAL</v>
      </c>
      <c r="Y562" s="1" t="str">
        <f>IFERROR(__xludf.DUMMYFUNCTION("""COMPUTED_VALUE"""),"PAGO COMPLETO")</f>
        <v>PAGO COMPLETO</v>
      </c>
      <c r="Z562" s="1"/>
      <c r="AA562" s="1"/>
      <c r="AB562" s="1">
        <f>IFERROR(__xludf.DUMMYFUNCTION("""COMPUTED_VALUE"""),0.0)</f>
        <v>0</v>
      </c>
      <c r="AC562" s="1">
        <f>IFERROR(__xludf.DUMMYFUNCTION("""COMPUTED_VALUE"""),0.0)</f>
        <v>0</v>
      </c>
      <c r="AD562" s="1" t="str">
        <f>IFERROR(__xludf.DUMMYFUNCTION("""COMPUTED_VALUE"""),"Sergio Valderrama Rodriguez")</f>
        <v>Sergio Valderrama Rodriguez</v>
      </c>
      <c r="AE562" s="1" t="str">
        <f>IFERROR(__xludf.DUMMYFUNCTION("""COMPUTED_VALUE"""),"0")</f>
        <v>0</v>
      </c>
      <c r="AF562" s="1">
        <f>IFERROR(__xludf.DUMMYFUNCTION("""COMPUTED_VALUE"""),2014.0)</f>
        <v>2014</v>
      </c>
      <c r="AG562" s="1">
        <f>IFERROR(__xludf.DUMMYFUNCTION("""COMPUTED_VALUE"""),1485317.0)</f>
        <v>1485317</v>
      </c>
      <c r="AH562" s="1">
        <f>IFERROR(__xludf.DUMMYFUNCTION("""COMPUTED_VALUE"""),28.0)</f>
        <v>28</v>
      </c>
      <c r="AI562" s="1" t="str">
        <f>IFERROR(__xludf.DUMMYFUNCTION("""COMPUTED_VALUE"""),"0000417845")</f>
        <v>0000417845</v>
      </c>
      <c r="AJ562" s="1">
        <f>IFERROR(__xludf.DUMMYFUNCTION("""COMPUTED_VALUE"""),7.1225709E7)</f>
        <v>71225709</v>
      </c>
      <c r="AK562" s="1">
        <f>IFERROR(__xludf.DUMMYFUNCTION("""COMPUTED_VALUE"""),9.13763851E8)</f>
        <v>913763851</v>
      </c>
      <c r="AL562" s="1" t="str">
        <f>IFERROR(__xludf.DUMMYFUNCTION("""COMPUTED_VALUE"""),"nadiavaleria.br@outlook.com")</f>
        <v>nadiavaleria.br@outlook.com</v>
      </c>
      <c r="AM562" s="1" t="str">
        <f>IFERROR(__xludf.DUMMYFUNCTION("""COMPUTED_VALUE"""),"FEMENINO")</f>
        <v>FEMENINO</v>
      </c>
      <c r="AN562" s="1">
        <f>IFERROR(__xludf.DUMMYFUNCTION("""COMPUTED_VALUE"""),1775.0)</f>
        <v>1775</v>
      </c>
      <c r="AO562" s="1">
        <f>IFERROR(__xludf.DUMMYFUNCTION("""COMPUTED_VALUE"""),510.0)</f>
        <v>510</v>
      </c>
      <c r="AP562" s="1" t="str">
        <f>IFERROR(__xludf.DUMMYFUNCTION("""COMPUTED_VALUE"""),"BIDIRECCIONAL")</f>
        <v>BIDIRECCIONAL</v>
      </c>
      <c r="AQ562" s="1" t="str">
        <f>IFERROR(__xludf.DUMMYFUNCTION("""COMPUTED_VALUE"""),"SEARCH CARRERA")</f>
        <v>SEARCH CARRERA</v>
      </c>
      <c r="AR562" s="1" t="str">
        <f>IFERROR(__xludf.DUMMYFUNCTION("""COMPUTED_VALUE"""),"NUEVO")</f>
        <v>NUEVO</v>
      </c>
      <c r="AS562" s="1" t="str">
        <f>IFERROR(__xludf.DUMMYFUNCTION("""COMPUTED_VALUE"""),"ucal-pg-performance-sedes-abierta-cpl-search_conversion_mundo_negocios-20240401")</f>
        <v>ucal-pg-performance-sedes-abierta-cpl-search_conversion_mundo_negocios-20240401</v>
      </c>
      <c r="AT562" s="2">
        <f>IFERROR(__xludf.DUMMYFUNCTION("""COMPUTED_VALUE"""),45712.0)</f>
        <v>45712</v>
      </c>
      <c r="AU562" s="1">
        <f>IFERROR(__xludf.DUMMYFUNCTION("""COMPUTED_VALUE"""),1.0)</f>
        <v>1</v>
      </c>
      <c r="AV562" s="1" t="str">
        <f>IFERROR(__xludf.DUMMYFUNCTION("""COMPUTED_VALUE"""),"NUEVO")</f>
        <v>NUEVO</v>
      </c>
      <c r="AW562" s="1" t="str">
        <f>IFERROR(__xludf.DUMMYFUNCTION("""COMPUTED_VALUE"""),"SI")</f>
        <v>SI</v>
      </c>
      <c r="AX562" s="1"/>
      <c r="AY562" s="1" t="str">
        <f>IFERROR(__xludf.DUMMYFUNCTION("""COMPUTED_VALUE"""),"PAGO COMPLETO")</f>
        <v>PAGO COMPLETO</v>
      </c>
      <c r="AZ562" s="5">
        <f>IFERROR(__xludf.DUMMYFUNCTION("""COMPUTED_VALUE"""),45720.0)</f>
        <v>45720</v>
      </c>
      <c r="BA562" s="1">
        <f>IFERROR(__xludf.DUMMYFUNCTION("""COMPUTED_VALUE"""),0.0)</f>
        <v>0</v>
      </c>
      <c r="BB562" s="1">
        <f>IFERROR(__xludf.DUMMYFUNCTION("""COMPUTED_VALUE"""),0.0)</f>
        <v>0</v>
      </c>
      <c r="BC562" s="4">
        <f>IFERROR(__xludf.DUMMYFUNCTION("""COMPUTED_VALUE"""),0.0)</f>
        <v>0</v>
      </c>
      <c r="BD562" s="4">
        <f>IFERROR(__xludf.DUMMYFUNCTION("""COMPUTED_VALUE"""),0.0)</f>
        <v>0</v>
      </c>
      <c r="BE562" s="1">
        <f>IFERROR(__xludf.DUMMYFUNCTION("""COMPUTED_VALUE"""),3.0)</f>
        <v>3</v>
      </c>
      <c r="BF562" s="6">
        <f>IFERROR(__xludf.DUMMYFUNCTION("""COMPUTED_VALUE"""),1.0)</f>
        <v>1</v>
      </c>
      <c r="BG562" s="1">
        <f>IFERROR(__xludf.DUMMYFUNCTION("""COMPUTED_VALUE"""),1.0)</f>
        <v>1</v>
      </c>
      <c r="BH562" s="1" t="str">
        <f>IFERROR(__xludf.DUMMYFUNCTION("""COMPUTED_VALUE"""),"0")</f>
        <v>0</v>
      </c>
      <c r="BI562" s="4">
        <f>IFERROR(__xludf.DUMMYFUNCTION("""COMPUTED_VALUE"""),0.0)</f>
        <v>0</v>
      </c>
      <c r="BJ562" s="1">
        <f>IFERROR(__xludf.DUMMYFUNCTION("""COMPUTED_VALUE"""),0.0)</f>
        <v>0</v>
      </c>
      <c r="BK562" s="4">
        <f>IFERROR(__xludf.DUMMYFUNCTION("""COMPUTED_VALUE"""),0.0)</f>
        <v>0</v>
      </c>
      <c r="BL562" s="1">
        <f>IFERROR(__xludf.DUMMYFUNCTION("""COMPUTED_VALUE"""),750.0)</f>
        <v>750</v>
      </c>
      <c r="BM562" s="1">
        <f>IFERROR(__xludf.DUMMYFUNCTION("""COMPUTED_VALUE"""),10.0)</f>
        <v>10</v>
      </c>
      <c r="BN562" s="2">
        <f>IFERROR(__xludf.DUMMYFUNCTION("""COMPUTED_VALUE"""),45719.0)</f>
        <v>45719</v>
      </c>
      <c r="BO562" s="1">
        <f>IFERROR(__xludf.DUMMYFUNCTION("""COMPUTED_VALUE"""),3.0)</f>
        <v>3</v>
      </c>
      <c r="BP562" s="1">
        <f>IFERROR(__xludf.DUMMYFUNCTION("""COMPUTED_VALUE"""),2025.0)</f>
        <v>2025</v>
      </c>
    </row>
    <row r="563">
      <c r="A563" s="1">
        <f>IFERROR(__xludf.DUMMYFUNCTION("""COMPUTED_VALUE"""),562.0)</f>
        <v>562</v>
      </c>
      <c r="B563" s="1">
        <f>IFERROR(__xludf.DUMMYFUNCTION("""COMPUTED_VALUE"""),2159565.0)</f>
        <v>2159565</v>
      </c>
      <c r="C563" s="1" t="str">
        <f>IFERROR(__xludf.DUMMYFUNCTION("""COMPUTED_VALUE"""),"2025-1")</f>
        <v>2025-1</v>
      </c>
      <c r="D563" s="1" t="str">
        <f>IFERROR(__xludf.DUMMYFUNCTION("""COMPUTED_VALUE"""),"Admisión de Alto Rendimiento")</f>
        <v>Admisión de Alto Rendimiento</v>
      </c>
      <c r="E563" s="2">
        <f>IFERROR(__xludf.DUMMYFUNCTION("""COMPUTED_VALUE"""),45720.0)</f>
        <v>45720</v>
      </c>
      <c r="F563" s="1" t="str">
        <f>IFERROR(__xludf.DUMMYFUNCTION("""COMPUTED_VALUE"""),"AXEL EDMUNDO ")</f>
        <v>AXEL EDMUNDO </v>
      </c>
      <c r="G563" s="1" t="str">
        <f>IFERROR(__xludf.DUMMYFUNCTION("""COMPUTED_VALUE"""),"FLAVIO ROSADO")</f>
        <v>FLAVIO ROSADO</v>
      </c>
      <c r="H563" s="1" t="str">
        <f>IFERROR(__xludf.DUMMYFUNCTION("""COMPUTED_VALUE"""),"Marketing e Innovación")</f>
        <v>Marketing e Innovación</v>
      </c>
      <c r="I563" s="1" t="str">
        <f>IFERROR(__xludf.DUMMYFUNCTION("""COMPUTED_VALUE"""),"Pago Link")</f>
        <v>Pago Link</v>
      </c>
      <c r="J563" s="1" t="str">
        <f>IFERROR(__xludf.DUMMYFUNCTION("""COMPUTED_VALUE"""),"Diurno")</f>
        <v>Diurno</v>
      </c>
      <c r="K563" s="1" t="str">
        <f>IFERROR(__xludf.DUMMYFUNCTION("""COMPUTED_VALUE"""),"NUEVO")</f>
        <v>NUEVO</v>
      </c>
      <c r="L563" s="1">
        <f>IFERROR(__xludf.DUMMYFUNCTION("""COMPUTED_VALUE"""),0.0)</f>
        <v>0</v>
      </c>
      <c r="M563" s="1">
        <f>IFERROR(__xludf.DUMMYFUNCTION("""COMPUTED_VALUE"""),0.0)</f>
        <v>0</v>
      </c>
      <c r="N563" s="1" t="str">
        <f>IFERROR(__xludf.DUMMYFUNCTION("""COMPUTED_VALUE"""),"ESCALA REGULAR")</f>
        <v>ESCALA REGULAR</v>
      </c>
      <c r="O563" s="1" t="str">
        <f>IFERROR(__xludf.DUMMYFUNCTION("""COMPUTED_VALUE"""),"NINGUNO")</f>
        <v>NINGUNO</v>
      </c>
      <c r="P563" s="4">
        <f>IFERROR(__xludf.DUMMYFUNCTION("""COMPUTED_VALUE"""),237.5)</f>
        <v>237.5</v>
      </c>
      <c r="Q563" s="4">
        <f>IFERROR(__xludf.DUMMYFUNCTION("""COMPUTED_VALUE"""),100.0)</f>
        <v>100</v>
      </c>
      <c r="R563" s="4">
        <f>IFERROR(__xludf.DUMMYFUNCTION("""COMPUTED_VALUE"""),1250.0)</f>
        <v>1250</v>
      </c>
      <c r="S563" s="4">
        <f>IFERROR(__xludf.DUMMYFUNCTION("""COMPUTED_VALUE"""),1250.0)</f>
        <v>1250</v>
      </c>
      <c r="T563" s="1" t="str">
        <f>IFERROR(__xludf.DUMMYFUNCTION("""COMPUTED_VALUE"""),"PALANCA 500")</f>
        <v>PALANCA 500</v>
      </c>
      <c r="U563" s="1"/>
      <c r="V563" s="1" t="str">
        <f>IFERROR(__xludf.DUMMYFUNCTION("""COMPUTED_VALUE"""),"Ninguno")</f>
        <v>Ninguno</v>
      </c>
      <c r="W563" s="1" t="str">
        <f>IFERROR(__xludf.DUMMYFUNCTION("""COMPUTED_VALUE"""),"Ubicación de sede")</f>
        <v>Ubicación de sede</v>
      </c>
      <c r="X563" s="1" t="str">
        <f>IFERROR(__xludf.DUMMYFUNCTION("""COMPUTED_VALUE"""),"Le gusta Ucal ")</f>
        <v>Le gusta Ucal </v>
      </c>
      <c r="Y563" s="1" t="str">
        <f>IFERROR(__xludf.DUMMYFUNCTION("""COMPUTED_VALUE"""),"PAGO COMPLETO")</f>
        <v>PAGO COMPLETO</v>
      </c>
      <c r="Z563" s="1"/>
      <c r="AA563" s="1"/>
      <c r="AB563" s="1">
        <f>IFERROR(__xludf.DUMMYFUNCTION("""COMPUTED_VALUE"""),0.0)</f>
        <v>0</v>
      </c>
      <c r="AC563" s="1">
        <f>IFERROR(__xludf.DUMMYFUNCTION("""COMPUTED_VALUE"""),0.0)</f>
        <v>0</v>
      </c>
      <c r="AD563" s="1" t="str">
        <f>IFERROR(__xludf.DUMMYFUNCTION("""COMPUTED_VALUE"""),"Daniel Zapata")</f>
        <v>Daniel Zapata</v>
      </c>
      <c r="AE563" s="1" t="str">
        <f>IFERROR(__xludf.DUMMYFUNCTION("""COMPUTED_VALUE"""),"0")</f>
        <v>0</v>
      </c>
      <c r="AF563" s="1">
        <f>IFERROR(__xludf.DUMMYFUNCTION("""COMPUTED_VALUE"""),2024.0)</f>
        <v>2024</v>
      </c>
      <c r="AG563" s="1">
        <f>IFERROR(__xludf.DUMMYFUNCTION("""COMPUTED_VALUE"""),0.0)</f>
        <v>0</v>
      </c>
      <c r="AH563" s="1">
        <f>IFERROR(__xludf.DUMMYFUNCTION("""COMPUTED_VALUE"""),19.0)</f>
        <v>19</v>
      </c>
      <c r="AI563" s="1" t="str">
        <f>IFERROR(__xludf.DUMMYFUNCTION("""COMPUTED_VALUE"""),"0000417872")</f>
        <v>0000417872</v>
      </c>
      <c r="AJ563" s="1">
        <f>IFERROR(__xludf.DUMMYFUNCTION("""COMPUTED_VALUE"""),7.3098793E7)</f>
        <v>73098793</v>
      </c>
      <c r="AK563" s="1">
        <f>IFERROR(__xludf.DUMMYFUNCTION("""COMPUTED_VALUE"""),9.44567445E8)</f>
        <v>944567445</v>
      </c>
      <c r="AL563" s="1" t="str">
        <f>IFERROR(__xludf.DUMMYFUNCTION("""COMPUTED_VALUE"""),"njuaxel21@gmail.com")</f>
        <v>njuaxel21@gmail.com</v>
      </c>
      <c r="AM563" s="1" t="str">
        <f>IFERROR(__xludf.DUMMYFUNCTION("""COMPUTED_VALUE"""),"MASCULINO")</f>
        <v>MASCULINO</v>
      </c>
      <c r="AN563" s="1">
        <f>IFERROR(__xludf.DUMMYFUNCTION("""COMPUTED_VALUE"""),1350.0)</f>
        <v>1350</v>
      </c>
      <c r="AO563" s="1">
        <f>IFERROR(__xludf.DUMMYFUNCTION("""COMPUTED_VALUE"""),0.0)</f>
        <v>0</v>
      </c>
      <c r="AP563" s="1" t="str">
        <f>IFERROR(__xludf.DUMMYFUNCTION("""COMPUTED_VALUE"""),"FORMULARIO")</f>
        <v>FORMULARIO</v>
      </c>
      <c r="AQ563" s="1" t="str">
        <f>IFERROR(__xludf.DUMMYFUNCTION("""COMPUTED_VALUE"""),"SEARCH MARCA")</f>
        <v>SEARCH MARCA</v>
      </c>
      <c r="AR563" s="1" t="str">
        <f>IFERROR(__xludf.DUMMYFUNCTION("""COMPUTED_VALUE"""),"HEREDADO")</f>
        <v>HEREDADO</v>
      </c>
      <c r="AS563" s="1" t="str">
        <f>IFERROR(__xludf.DUMMYFUNCTION("""COMPUTED_VALUE"""),"ucal-pg-performance-sedes-abierta-cpl-search_conversion_marca-20240401")</f>
        <v>ucal-pg-performance-sedes-abierta-cpl-search_conversion_marca-20240401</v>
      </c>
      <c r="AT563" s="2">
        <f>IFERROR(__xludf.DUMMYFUNCTION("""COMPUTED_VALUE"""),45717.0)</f>
        <v>45717</v>
      </c>
      <c r="AU563" s="1">
        <f>IFERROR(__xludf.DUMMYFUNCTION("""COMPUTED_VALUE"""),1.0)</f>
        <v>1</v>
      </c>
      <c r="AV563" s="1" t="str">
        <f>IFERROR(__xludf.DUMMYFUNCTION("""COMPUTED_VALUE"""),"NUEVO")</f>
        <v>NUEVO</v>
      </c>
      <c r="AW563" s="1" t="str">
        <f>IFERROR(__xludf.DUMMYFUNCTION("""COMPUTED_VALUE"""),"SI")</f>
        <v>SI</v>
      </c>
      <c r="AX563" s="1"/>
      <c r="AY563" s="1" t="str">
        <f>IFERROR(__xludf.DUMMYFUNCTION("""COMPUTED_VALUE"""),"PAGO COMPLETO")</f>
        <v>PAGO COMPLETO</v>
      </c>
      <c r="AZ563" s="5">
        <f>IFERROR(__xludf.DUMMYFUNCTION("""COMPUTED_VALUE"""),45720.0)</f>
        <v>45720</v>
      </c>
      <c r="BA563" s="1">
        <f>IFERROR(__xludf.DUMMYFUNCTION("""COMPUTED_VALUE"""),0.0)</f>
        <v>0</v>
      </c>
      <c r="BB563" s="1">
        <f>IFERROR(__xludf.DUMMYFUNCTION("""COMPUTED_VALUE"""),0.0)</f>
        <v>0</v>
      </c>
      <c r="BC563" s="4">
        <f>IFERROR(__xludf.DUMMYFUNCTION("""COMPUTED_VALUE"""),0.0)</f>
        <v>0</v>
      </c>
      <c r="BD563" s="4">
        <f>IFERROR(__xludf.DUMMYFUNCTION("""COMPUTED_VALUE"""),750.0)</f>
        <v>750</v>
      </c>
      <c r="BE563" s="1">
        <f>IFERROR(__xludf.DUMMYFUNCTION("""COMPUTED_VALUE"""),3.0)</f>
        <v>3</v>
      </c>
      <c r="BF563" s="6">
        <f>IFERROR(__xludf.DUMMYFUNCTION("""COMPUTED_VALUE"""),1.0)</f>
        <v>1</v>
      </c>
      <c r="BG563" s="1">
        <f>IFERROR(__xludf.DUMMYFUNCTION("""COMPUTED_VALUE"""),1.0)</f>
        <v>1</v>
      </c>
      <c r="BH563" s="1" t="str">
        <f>IFERROR(__xludf.DUMMYFUNCTION("""COMPUTED_VALUE"""),"0")</f>
        <v>0</v>
      </c>
      <c r="BI563" s="4">
        <f>IFERROR(__xludf.DUMMYFUNCTION("""COMPUTED_VALUE"""),750.0)</f>
        <v>750</v>
      </c>
      <c r="BJ563" s="1">
        <f>IFERROR(__xludf.DUMMYFUNCTION("""COMPUTED_VALUE"""),0.0)</f>
        <v>0</v>
      </c>
      <c r="BK563" s="4">
        <f>IFERROR(__xludf.DUMMYFUNCTION("""COMPUTED_VALUE"""),750.0)</f>
        <v>750</v>
      </c>
      <c r="BL563" s="1">
        <f>IFERROR(__xludf.DUMMYFUNCTION("""COMPUTED_VALUE"""),1100.0)</f>
        <v>1100</v>
      </c>
      <c r="BM563" s="1">
        <f>IFERROR(__xludf.DUMMYFUNCTION("""COMPUTED_VALUE"""),10.0)</f>
        <v>10</v>
      </c>
      <c r="BN563" s="2">
        <f>IFERROR(__xludf.DUMMYFUNCTION("""COMPUTED_VALUE"""),45719.0)</f>
        <v>45719</v>
      </c>
      <c r="BO563" s="1">
        <f>IFERROR(__xludf.DUMMYFUNCTION("""COMPUTED_VALUE"""),3.0)</f>
        <v>3</v>
      </c>
      <c r="BP563" s="1">
        <f>IFERROR(__xludf.DUMMYFUNCTION("""COMPUTED_VALUE"""),2025.0)</f>
        <v>2025</v>
      </c>
    </row>
    <row r="564">
      <c r="A564" s="1">
        <f>IFERROR(__xludf.DUMMYFUNCTION("""COMPUTED_VALUE"""),563.0)</f>
        <v>563</v>
      </c>
      <c r="B564" s="1">
        <f>IFERROR(__xludf.DUMMYFUNCTION("""COMPUTED_VALUE"""),1753812.0)</f>
        <v>1753812</v>
      </c>
      <c r="C564" s="1" t="str">
        <f>IFERROR(__xludf.DUMMYFUNCTION("""COMPUTED_VALUE"""),"2025-1")</f>
        <v>2025-1</v>
      </c>
      <c r="D564" s="1" t="str">
        <f>IFERROR(__xludf.DUMMYFUNCTION("""COMPUTED_VALUE"""),"Admisión Extraordinaria (Traslados)")</f>
        <v>Admisión Extraordinaria (Traslados)</v>
      </c>
      <c r="E564" s="2">
        <f>IFERROR(__xludf.DUMMYFUNCTION("""COMPUTED_VALUE"""),45720.0)</f>
        <v>45720</v>
      </c>
      <c r="F564" s="1" t="str">
        <f>IFERROR(__xludf.DUMMYFUNCTION("""COMPUTED_VALUE"""),"MARGARITA STHEFANY ")</f>
        <v>MARGARITA STHEFANY </v>
      </c>
      <c r="G564" s="1" t="str">
        <f>IFERROR(__xludf.DUMMYFUNCTION("""COMPUTED_VALUE"""),"VEGA ANCAJIMA")</f>
        <v>VEGA ANCAJIMA</v>
      </c>
      <c r="H564" s="1" t="str">
        <f>IFERROR(__xludf.DUMMYFUNCTION("""COMPUTED_VALUE"""),"Comunicación Audiovisual y Cine")</f>
        <v>Comunicación Audiovisual y Cine</v>
      </c>
      <c r="I564" s="1" t="str">
        <f>IFERROR(__xludf.DUMMYFUNCTION("""COMPUTED_VALUE"""),"Pago Link")</f>
        <v>Pago Link</v>
      </c>
      <c r="J564" s="1" t="str">
        <f>IFERROR(__xludf.DUMMYFUNCTION("""COMPUTED_VALUE"""),"Diurno")</f>
        <v>Diurno</v>
      </c>
      <c r="K564" s="1" t="str">
        <f>IFERROR(__xludf.DUMMYFUNCTION("""COMPUTED_VALUE"""),"TRASLADO")</f>
        <v>TRASLADO</v>
      </c>
      <c r="L564" s="1">
        <f>IFERROR(__xludf.DUMMYFUNCTION("""COMPUTED_VALUE"""),0.0)</f>
        <v>0</v>
      </c>
      <c r="M564" s="1">
        <f>IFERROR(__xludf.DUMMYFUNCTION("""COMPUTED_VALUE"""),1.0)</f>
        <v>1</v>
      </c>
      <c r="N564" s="1" t="str">
        <f>IFERROR(__xludf.DUMMYFUNCTION("""COMPUTED_VALUE"""),"RECA")</f>
        <v>RECA</v>
      </c>
      <c r="O564" s="1" t="str">
        <f>IFERROR(__xludf.DUMMYFUNCTION("""COMPUTED_VALUE"""),"RECATEGORIZACIÓN")</f>
        <v>RECATEGORIZACIÓN</v>
      </c>
      <c r="P564" s="4">
        <f>IFERROR(__xludf.DUMMYFUNCTION("""COMPUTED_VALUE"""),0.0)</f>
        <v>0</v>
      </c>
      <c r="Q564" s="4">
        <f>IFERROR(__xludf.DUMMYFUNCTION("""COMPUTED_VALUE"""),0.0)</f>
        <v>0</v>
      </c>
      <c r="R564" s="4">
        <f>IFERROR(__xludf.DUMMYFUNCTION("""COMPUTED_VALUE"""),950.0)</f>
        <v>950</v>
      </c>
      <c r="S564" s="4">
        <f>IFERROR(__xludf.DUMMYFUNCTION("""COMPUTED_VALUE"""),950.0)</f>
        <v>950</v>
      </c>
      <c r="T564" s="1" t="str">
        <f>IFERROR(__xludf.DUMMYFUNCTION("""COMPUTED_VALUE"""),"NINGUNO")</f>
        <v>NINGUNO</v>
      </c>
      <c r="U564" s="1" t="str">
        <f>IFERROR(__xludf.DUMMYFUNCTION("""COMPUTED_VALUE"""),"RODRIGO")</f>
        <v>RODRIGO</v>
      </c>
      <c r="V564" s="1" t="str">
        <f>IFERROR(__xludf.DUMMYFUNCTION("""COMPUTED_VALUE"""),"Ninguno")</f>
        <v>Ninguno</v>
      </c>
      <c r="W564" s="1" t="str">
        <f>IFERROR(__xludf.DUMMYFUNCTION("""COMPUTED_VALUE"""),"Metodología de enseñanza")</f>
        <v>Metodología de enseñanza</v>
      </c>
      <c r="X564" s="1" t="str">
        <f>IFERROR(__xludf.DUMMYFUNCTION("""COMPUTED_VALUE"""),"es recategorizacion de 950 y es congelada por los dos años ")</f>
        <v>es recategorizacion de 950 y es congelada por los dos años </v>
      </c>
      <c r="Y564" s="1" t="str">
        <f>IFERROR(__xludf.DUMMYFUNCTION("""COMPUTED_VALUE"""),"PAGO FRACCIONADO")</f>
        <v>PAGO FRACCIONADO</v>
      </c>
      <c r="Z564" s="1">
        <f>IFERROR(__xludf.DUMMYFUNCTION("""COMPUTED_VALUE"""),500.0)</f>
        <v>500</v>
      </c>
      <c r="AA564" s="1" t="str">
        <f>IFERROR(__xludf.DUMMYFUNCTION("""COMPUTED_VALUE"""),"15/03/2025")</f>
        <v>15/03/2025</v>
      </c>
      <c r="AB564" s="1">
        <f>IFERROR(__xludf.DUMMYFUNCTION("""COMPUTED_VALUE"""),0.0)</f>
        <v>0</v>
      </c>
      <c r="AC564" s="1">
        <f>IFERROR(__xludf.DUMMYFUNCTION("""COMPUTED_VALUE"""),0.0)</f>
        <v>0</v>
      </c>
      <c r="AD564" s="1" t="str">
        <f>IFERROR(__xludf.DUMMYFUNCTION("""COMPUTED_VALUE"""),"Ingrid Guillermo Rivera")</f>
        <v>Ingrid Guillermo Rivera</v>
      </c>
      <c r="AE564" s="1" t="str">
        <f>IFERROR(__xludf.DUMMYFUNCTION("""COMPUTED_VALUE"""),"Instituto de Educación Superior Tecnológico Privado Toulouse Lautrec")</f>
        <v>Instituto de Educación Superior Tecnológico Privado Toulouse Lautrec</v>
      </c>
      <c r="AF564" s="1">
        <f>IFERROR(__xludf.DUMMYFUNCTION("""COMPUTED_VALUE"""),2023.0)</f>
        <v>2023</v>
      </c>
      <c r="AG564" s="1">
        <f>IFERROR(__xludf.DUMMYFUNCTION("""COMPUTED_VALUE"""),0.0)</f>
        <v>0</v>
      </c>
      <c r="AH564" s="1">
        <f>IFERROR(__xludf.DUMMYFUNCTION("""COMPUTED_VALUE"""),19.0)</f>
        <v>19</v>
      </c>
      <c r="AI564" s="1" t="str">
        <f>IFERROR(__xludf.DUMMYFUNCTION("""COMPUTED_VALUE"""),"0000042648")</f>
        <v>0000042648</v>
      </c>
      <c r="AJ564" s="1">
        <f>IFERROR(__xludf.DUMMYFUNCTION("""COMPUTED_VALUE"""),7.4749168E7)</f>
        <v>74749168</v>
      </c>
      <c r="AK564" s="1">
        <f>IFERROR(__xludf.DUMMYFUNCTION("""COMPUTED_VALUE"""),9.89654772E8)</f>
        <v>989654772</v>
      </c>
      <c r="AL564" s="1" t="str">
        <f>IFERROR(__xludf.DUMMYFUNCTION("""COMPUTED_VALUE"""),"vegamargarita.sthefany@gmail.com")</f>
        <v>vegamargarita.sthefany@gmail.com</v>
      </c>
      <c r="AM564" s="1" t="str">
        <f>IFERROR(__xludf.DUMMYFUNCTION("""COMPUTED_VALUE"""),"FEMENINO")</f>
        <v>FEMENINO</v>
      </c>
      <c r="AN564" s="1">
        <f>IFERROR(__xludf.DUMMYFUNCTION("""COMPUTED_VALUE"""),1350.0)</f>
        <v>1350</v>
      </c>
      <c r="AO564" s="1">
        <f>IFERROR(__xludf.DUMMYFUNCTION("""COMPUTED_VALUE"""),0.0)</f>
        <v>0</v>
      </c>
      <c r="AP564" s="1" t="str">
        <f>IFERROR(__xludf.DUMMYFUNCTION("""COMPUTED_VALUE"""),"BIDIRECCIONAL")</f>
        <v>BIDIRECCIONAL</v>
      </c>
      <c r="AQ564" s="1" t="str">
        <f>IFERROR(__xludf.DUMMYFUNCTION("""COMPUTED_VALUE"""),"ORGANICO")</f>
        <v>ORGANICO</v>
      </c>
      <c r="AR564" s="1" t="str">
        <f>IFERROR(__xludf.DUMMYFUNCTION("""COMPUTED_VALUE"""),"HEREDADO")</f>
        <v>HEREDADO</v>
      </c>
      <c r="AS564" s="1"/>
      <c r="AT564" s="2">
        <f>IFERROR(__xludf.DUMMYFUNCTION("""COMPUTED_VALUE"""),45717.0)</f>
        <v>45717</v>
      </c>
      <c r="AU564" s="1">
        <f>IFERROR(__xludf.DUMMYFUNCTION("""COMPUTED_VALUE"""),1.0)</f>
        <v>1</v>
      </c>
      <c r="AV564" s="1" t="str">
        <f>IFERROR(__xludf.DUMMYFUNCTION("""COMPUTED_VALUE"""),"NUEVO")</f>
        <v>NUEVO</v>
      </c>
      <c r="AW564" s="1" t="str">
        <f>IFERROR(__xludf.DUMMYFUNCTION("""COMPUTED_VALUE"""),"SI")</f>
        <v>SI</v>
      </c>
      <c r="AX564" s="1"/>
      <c r="AY564" s="1" t="str">
        <f>IFERROR(__xludf.DUMMYFUNCTION("""COMPUTED_VALUE"""),"PAGO COMPLETO")</f>
        <v>PAGO COMPLETO</v>
      </c>
      <c r="AZ564" s="5">
        <f>IFERROR(__xludf.DUMMYFUNCTION("""COMPUTED_VALUE"""),45730.0)</f>
        <v>45730</v>
      </c>
      <c r="BA564" s="1">
        <f>IFERROR(__xludf.DUMMYFUNCTION("""COMPUTED_VALUE"""),450.0)</f>
        <v>450</v>
      </c>
      <c r="BB564" s="1">
        <f>IFERROR(__xludf.DUMMYFUNCTION("""COMPUTED_VALUE"""),0.0)</f>
        <v>0</v>
      </c>
      <c r="BC564" s="4">
        <f>IFERROR(__xludf.DUMMYFUNCTION("""COMPUTED_VALUE"""),0.0)</f>
        <v>0</v>
      </c>
      <c r="BD564" s="4">
        <f>IFERROR(__xludf.DUMMYFUNCTION("""COMPUTED_VALUE"""),0.0)</f>
        <v>0</v>
      </c>
      <c r="BE564" s="1">
        <f>IFERROR(__xludf.DUMMYFUNCTION("""COMPUTED_VALUE"""),3.0)</f>
        <v>3</v>
      </c>
      <c r="BF564" s="6">
        <f>IFERROR(__xludf.DUMMYFUNCTION("""COMPUTED_VALUE"""),1.0)</f>
        <v>1</v>
      </c>
      <c r="BG564" s="1">
        <f>IFERROR(__xludf.DUMMYFUNCTION("""COMPUTED_VALUE"""),1.0)</f>
        <v>1</v>
      </c>
      <c r="BH564" s="1" t="str">
        <f>IFERROR(__xludf.DUMMYFUNCTION("""COMPUTED_VALUE"""),"0")</f>
        <v>0</v>
      </c>
      <c r="BI564" s="4">
        <f>IFERROR(__xludf.DUMMYFUNCTION("""COMPUTED_VALUE"""),950.0)</f>
        <v>950</v>
      </c>
      <c r="BJ564" s="1">
        <f>IFERROR(__xludf.DUMMYFUNCTION("""COMPUTED_VALUE"""),0.0)</f>
        <v>0</v>
      </c>
      <c r="BK564" s="4">
        <f>IFERROR(__xludf.DUMMYFUNCTION("""COMPUTED_VALUE"""),0.0)</f>
        <v>0</v>
      </c>
      <c r="BL564" s="1">
        <f>IFERROR(__xludf.DUMMYFUNCTION("""COMPUTED_VALUE"""),950.0)</f>
        <v>950</v>
      </c>
      <c r="BM564" s="1">
        <f>IFERROR(__xludf.DUMMYFUNCTION("""COMPUTED_VALUE"""),10.0)</f>
        <v>10</v>
      </c>
      <c r="BN564" s="2">
        <f>IFERROR(__xludf.DUMMYFUNCTION("""COMPUTED_VALUE"""),45719.0)</f>
        <v>45719</v>
      </c>
      <c r="BO564" s="1">
        <f>IFERROR(__xludf.DUMMYFUNCTION("""COMPUTED_VALUE"""),3.0)</f>
        <v>3</v>
      </c>
      <c r="BP564" s="1">
        <f>IFERROR(__xludf.DUMMYFUNCTION("""COMPUTED_VALUE"""),2025.0)</f>
        <v>2025</v>
      </c>
    </row>
    <row r="565">
      <c r="A565" s="1">
        <f>IFERROR(__xludf.DUMMYFUNCTION("""COMPUTED_VALUE"""),564.0)</f>
        <v>564</v>
      </c>
      <c r="B565" s="1">
        <f>IFERROR(__xludf.DUMMYFUNCTION("""COMPUTED_VALUE"""),2707239.0)</f>
        <v>2707239</v>
      </c>
      <c r="C565" s="1" t="str">
        <f>IFERROR(__xludf.DUMMYFUNCTION("""COMPUTED_VALUE"""),"2025-1")</f>
        <v>2025-1</v>
      </c>
      <c r="D565" s="1" t="str">
        <f>IFERROR(__xludf.DUMMYFUNCTION("""COMPUTED_VALUE"""),"Admisión Ordinaria")</f>
        <v>Admisión Ordinaria</v>
      </c>
      <c r="E565" s="2">
        <f>IFERROR(__xludf.DUMMYFUNCTION("""COMPUTED_VALUE"""),45721.0)</f>
        <v>45721</v>
      </c>
      <c r="F565" s="1" t="str">
        <f>IFERROR(__xludf.DUMMYFUNCTION("""COMPUTED_VALUE"""),"MILAGROS")</f>
        <v>MILAGROS</v>
      </c>
      <c r="G565" s="1" t="str">
        <f>IFERROR(__xludf.DUMMYFUNCTION("""COMPUTED_VALUE"""),"ALLCCAHUAMAN MOLINA")</f>
        <v>ALLCCAHUAMAN MOLINA</v>
      </c>
      <c r="H565" s="1" t="str">
        <f>IFERROR(__xludf.DUMMYFUNCTION("""COMPUTED_VALUE"""),"Psicología")</f>
        <v>Psicología</v>
      </c>
      <c r="I565" s="1" t="str">
        <f>IFERROR(__xludf.DUMMYFUNCTION("""COMPUTED_VALUE"""),"CARGO")</f>
        <v>CARGO</v>
      </c>
      <c r="J565" s="1" t="str">
        <f>IFERROR(__xludf.DUMMYFUNCTION("""COMPUTED_VALUE"""),"Diurno")</f>
        <v>Diurno</v>
      </c>
      <c r="K565" s="1" t="str">
        <f>IFERROR(__xludf.DUMMYFUNCTION("""COMPUTED_VALUE"""),"NUEVO")</f>
        <v>NUEVO</v>
      </c>
      <c r="L565" s="1">
        <f>IFERROR(__xludf.DUMMYFUNCTION("""COMPUTED_VALUE"""),0.0)</f>
        <v>0</v>
      </c>
      <c r="M565" s="1">
        <f>IFERROR(__xludf.DUMMYFUNCTION("""COMPUTED_VALUE"""),0.0)</f>
        <v>0</v>
      </c>
      <c r="N565" s="1" t="str">
        <f>IFERROR(__xludf.DUMMYFUNCTION("""COMPUTED_VALUE"""),"BECA")</f>
        <v>BECA</v>
      </c>
      <c r="O565" s="1" t="str">
        <f>IFERROR(__xludf.DUMMYFUNCTION("""COMPUTED_VALUE"""),"BECA RECUPERO")</f>
        <v>BECA RECUPERO</v>
      </c>
      <c r="P565" s="4">
        <f>IFERROR(__xludf.DUMMYFUNCTION("""COMPUTED_VALUE"""),0.0)</f>
        <v>0</v>
      </c>
      <c r="Q565" s="4">
        <f>IFERROR(__xludf.DUMMYFUNCTION("""COMPUTED_VALUE"""),0.0)</f>
        <v>0</v>
      </c>
      <c r="R565" s="4">
        <f>IFERROR(__xludf.DUMMYFUNCTION("""COMPUTED_VALUE"""),950.0)</f>
        <v>950</v>
      </c>
      <c r="S565" s="4">
        <f>IFERROR(__xludf.DUMMYFUNCTION("""COMPUTED_VALUE"""),800.0)</f>
        <v>800</v>
      </c>
      <c r="T565" s="1" t="str">
        <f>IFERROR(__xludf.DUMMYFUNCTION("""COMPUTED_VALUE"""),"PALANCA 500")</f>
        <v>PALANCA 500</v>
      </c>
      <c r="U565" s="1" t="str">
        <f>IFERROR(__xludf.DUMMYFUNCTION("""COMPUTED_VALUE"""),"FABIOLA")</f>
        <v>FABIOLA</v>
      </c>
      <c r="V565" s="1" t="str">
        <f>IFERROR(__xludf.DUMMYFUNCTION("""COMPUTED_VALUE"""),"Ninguno")</f>
        <v>Ninguno</v>
      </c>
      <c r="W565" s="1" t="str">
        <f>IFERROR(__xludf.DUMMYFUNCTION("""COMPUTED_VALUE"""),"Malla curricular")</f>
        <v>Malla curricular</v>
      </c>
      <c r="X565" s="1"/>
      <c r="Y565" s="1" t="str">
        <f>IFERROR(__xludf.DUMMYFUNCTION("""COMPUTED_VALUE"""),"PAGO COMPLETO")</f>
        <v>PAGO COMPLETO</v>
      </c>
      <c r="Z565" s="1"/>
      <c r="AA565" s="1"/>
      <c r="AB565" s="1">
        <f>IFERROR(__xludf.DUMMYFUNCTION("""COMPUTED_VALUE"""),0.0)</f>
        <v>0</v>
      </c>
      <c r="AC565" s="1">
        <f>IFERROR(__xludf.DUMMYFUNCTION("""COMPUTED_VALUE"""),0.0)</f>
        <v>0</v>
      </c>
      <c r="AD565" s="1" t="str">
        <f>IFERROR(__xludf.DUMMYFUNCTION("""COMPUTED_VALUE"""),"Angelica Iparraguirre")</f>
        <v>Angelica Iparraguirre</v>
      </c>
      <c r="AE565" s="1" t="str">
        <f>IFERROR(__xludf.DUMMYFUNCTION("""COMPUTED_VALUE"""),"0")</f>
        <v>0</v>
      </c>
      <c r="AF565" s="1">
        <f>IFERROR(__xludf.DUMMYFUNCTION("""COMPUTED_VALUE"""),2010.0)</f>
        <v>2010</v>
      </c>
      <c r="AG565" s="1">
        <f>IFERROR(__xludf.DUMMYFUNCTION("""COMPUTED_VALUE"""),424671.0)</f>
        <v>424671</v>
      </c>
      <c r="AH565" s="1">
        <f>IFERROR(__xludf.DUMMYFUNCTION("""COMPUTED_VALUE"""),32.0)</f>
        <v>32</v>
      </c>
      <c r="AI565" s="1" t="str">
        <f>IFERROR(__xludf.DUMMYFUNCTION("""COMPUTED_VALUE"""),"0000417975")</f>
        <v>0000417975</v>
      </c>
      <c r="AJ565" s="1">
        <f>IFERROR(__xludf.DUMMYFUNCTION("""COMPUTED_VALUE"""),7.0123683E7)</f>
        <v>70123683</v>
      </c>
      <c r="AK565" s="1">
        <f>IFERROR(__xludf.DUMMYFUNCTION("""COMPUTED_VALUE"""),9.64211401E8)</f>
        <v>964211401</v>
      </c>
      <c r="AL565" s="1" t="str">
        <f>IFERROR(__xludf.DUMMYFUNCTION("""COMPUTED_VALUE"""),"paolamolinasol95@gmail.com")</f>
        <v>paolamolinasol95@gmail.com</v>
      </c>
      <c r="AM565" s="1" t="str">
        <f>IFERROR(__xludf.DUMMYFUNCTION("""COMPUTED_VALUE"""),"FEMENINO")</f>
        <v>FEMENINO</v>
      </c>
      <c r="AN565" s="1">
        <f>IFERROR(__xludf.DUMMYFUNCTION("""COMPUTED_VALUE"""),0.0)</f>
        <v>0</v>
      </c>
      <c r="AO565" s="1">
        <f>IFERROR(__xludf.DUMMYFUNCTION("""COMPUTED_VALUE"""),0.0)</f>
        <v>0</v>
      </c>
      <c r="AP565" s="1" t="str">
        <f>IFERROR(__xludf.DUMMYFUNCTION("""COMPUTED_VALUE"""),"OUTBOUND")</f>
        <v>OUTBOUND</v>
      </c>
      <c r="AQ565" s="1" t="str">
        <f>IFERROR(__xludf.DUMMYFUNCTION("""COMPUTED_VALUE"""),"OUTBOUND")</f>
        <v>OUTBOUND</v>
      </c>
      <c r="AR565" s="1" t="str">
        <f>IFERROR(__xludf.DUMMYFUNCTION("""COMPUTED_VALUE"""),"NUEVO")</f>
        <v>NUEVO</v>
      </c>
      <c r="AS565" s="1"/>
      <c r="AT565" s="2">
        <f>IFERROR(__xludf.DUMMYFUNCTION("""COMPUTED_VALUE"""),45588.0)</f>
        <v>45588</v>
      </c>
      <c r="AU565" s="1">
        <f>IFERROR(__xludf.DUMMYFUNCTION("""COMPUTED_VALUE"""),1.0)</f>
        <v>1</v>
      </c>
      <c r="AV565" s="1" t="str">
        <f>IFERROR(__xludf.DUMMYFUNCTION("""COMPUTED_VALUE"""),"NUEVO")</f>
        <v>NUEVO</v>
      </c>
      <c r="AW565" s="1" t="str">
        <f>IFERROR(__xludf.DUMMYFUNCTION("""COMPUTED_VALUE"""),"SI")</f>
        <v>SI</v>
      </c>
      <c r="AX565" s="1"/>
      <c r="AY565" s="1" t="str">
        <f>IFERROR(__xludf.DUMMYFUNCTION("""COMPUTED_VALUE"""),"PAGO COMPLETO")</f>
        <v>PAGO COMPLETO</v>
      </c>
      <c r="AZ565" s="5">
        <f>IFERROR(__xludf.DUMMYFUNCTION("""COMPUTED_VALUE"""),45721.0)</f>
        <v>45721</v>
      </c>
      <c r="BA565" s="1">
        <f>IFERROR(__xludf.DUMMYFUNCTION("""COMPUTED_VALUE"""),0.0)</f>
        <v>0</v>
      </c>
      <c r="BB565" s="1">
        <f>IFERROR(__xludf.DUMMYFUNCTION("""COMPUTED_VALUE"""),0.0)</f>
        <v>0</v>
      </c>
      <c r="BC565" s="4">
        <f>IFERROR(__xludf.DUMMYFUNCTION("""COMPUTED_VALUE"""),0.0)</f>
        <v>0</v>
      </c>
      <c r="BD565" s="4">
        <f>IFERROR(__xludf.DUMMYFUNCTION("""COMPUTED_VALUE"""),300.0)</f>
        <v>300</v>
      </c>
      <c r="BE565" s="1">
        <f>IFERROR(__xludf.DUMMYFUNCTION("""COMPUTED_VALUE"""),3.0)</f>
        <v>3</v>
      </c>
      <c r="BF565" s="6">
        <f>IFERROR(__xludf.DUMMYFUNCTION("""COMPUTED_VALUE"""),1.0)</f>
        <v>1</v>
      </c>
      <c r="BG565" s="1">
        <f>IFERROR(__xludf.DUMMYFUNCTION("""COMPUTED_VALUE"""),1.0)</f>
        <v>1</v>
      </c>
      <c r="BH565" s="1" t="str">
        <f>IFERROR(__xludf.DUMMYFUNCTION("""COMPUTED_VALUE"""),"0")</f>
        <v>0</v>
      </c>
      <c r="BI565" s="4">
        <f>IFERROR(__xludf.DUMMYFUNCTION("""COMPUTED_VALUE"""),300.0)</f>
        <v>300</v>
      </c>
      <c r="BJ565" s="1">
        <f>IFERROR(__xludf.DUMMYFUNCTION("""COMPUTED_VALUE"""),0.0)</f>
        <v>0</v>
      </c>
      <c r="BK565" s="4">
        <f>IFERROR(__xludf.DUMMYFUNCTION("""COMPUTED_VALUE"""),300.0)</f>
        <v>300</v>
      </c>
      <c r="BL565" s="1">
        <f>IFERROR(__xludf.DUMMYFUNCTION("""COMPUTED_VALUE"""),740.0)</f>
        <v>740</v>
      </c>
      <c r="BM565" s="1">
        <f>IFERROR(__xludf.DUMMYFUNCTION("""COMPUTED_VALUE"""),10.0)</f>
        <v>10</v>
      </c>
      <c r="BN565" s="2">
        <f>IFERROR(__xludf.DUMMYFUNCTION("""COMPUTED_VALUE"""),45719.0)</f>
        <v>45719</v>
      </c>
      <c r="BO565" s="1">
        <f>IFERROR(__xludf.DUMMYFUNCTION("""COMPUTED_VALUE"""),3.0)</f>
        <v>3</v>
      </c>
      <c r="BP565" s="1">
        <f>IFERROR(__xludf.DUMMYFUNCTION("""COMPUTED_VALUE"""),2025.0)</f>
        <v>2025</v>
      </c>
    </row>
    <row r="566">
      <c r="A566" s="1">
        <f>IFERROR(__xludf.DUMMYFUNCTION("""COMPUTED_VALUE"""),565.0)</f>
        <v>565</v>
      </c>
      <c r="B566" s="1">
        <f>IFERROR(__xludf.DUMMYFUNCTION("""COMPUTED_VALUE"""),4369623.0)</f>
        <v>4369623</v>
      </c>
      <c r="C566" s="1" t="str">
        <f>IFERROR(__xludf.DUMMYFUNCTION("""COMPUTED_VALUE"""),"2025-1")</f>
        <v>2025-1</v>
      </c>
      <c r="D566" s="1" t="str">
        <f>IFERROR(__xludf.DUMMYFUNCTION("""COMPUTED_VALUE"""),"Admisión Ordinaria")</f>
        <v>Admisión Ordinaria</v>
      </c>
      <c r="E566" s="2">
        <f>IFERROR(__xludf.DUMMYFUNCTION("""COMPUTED_VALUE"""),45721.0)</f>
        <v>45721</v>
      </c>
      <c r="F566" s="1" t="str">
        <f>IFERROR(__xludf.DUMMYFUNCTION("""COMPUTED_VALUE"""),"LEYDI DAYANA ")</f>
        <v>LEYDI DAYANA </v>
      </c>
      <c r="G566" s="1" t="str">
        <f>IFERROR(__xludf.DUMMYFUNCTION("""COMPUTED_VALUE"""),"ANTAYHUA CORTEZ")</f>
        <v>ANTAYHUA CORTEZ</v>
      </c>
      <c r="H566" s="1" t="str">
        <f>IFERROR(__xludf.DUMMYFUNCTION("""COMPUTED_VALUE"""),"Arquitectura de Interiores")</f>
        <v>Arquitectura de Interiores</v>
      </c>
      <c r="I566" s="1" t="str">
        <f>IFERROR(__xludf.DUMMYFUNCTION("""COMPUTED_VALUE"""),"CARGO")</f>
        <v>CARGO</v>
      </c>
      <c r="J566" s="1" t="str">
        <f>IFERROR(__xludf.DUMMYFUNCTION("""COMPUTED_VALUE"""),"Diurno")</f>
        <v>Diurno</v>
      </c>
      <c r="K566" s="1" t="str">
        <f>IFERROR(__xludf.DUMMYFUNCTION("""COMPUTED_VALUE"""),"TRASLADO")</f>
        <v>TRASLADO</v>
      </c>
      <c r="L566" s="1">
        <f>IFERROR(__xludf.DUMMYFUNCTION("""COMPUTED_VALUE"""),0.0)</f>
        <v>0</v>
      </c>
      <c r="M566" s="1">
        <f>IFERROR(__xludf.DUMMYFUNCTION("""COMPUTED_VALUE"""),1.0)</f>
        <v>1</v>
      </c>
      <c r="N566" s="1" t="str">
        <f>IFERROR(__xludf.DUMMYFUNCTION("""COMPUTED_VALUE"""),"RECA")</f>
        <v>RECA</v>
      </c>
      <c r="O566" s="1" t="str">
        <f>IFERROR(__xludf.DUMMYFUNCTION("""COMPUTED_VALUE"""),"RECA TRASLASDO SIN CONVA")</f>
        <v>RECA TRASLASDO SIN CONVA</v>
      </c>
      <c r="P566" s="4">
        <f>IFERROR(__xludf.DUMMYFUNCTION("""COMPUTED_VALUE"""),100.0)</f>
        <v>100</v>
      </c>
      <c r="Q566" s="4">
        <f>IFERROR(__xludf.DUMMYFUNCTION("""COMPUTED_VALUE"""),250.0)</f>
        <v>250</v>
      </c>
      <c r="R566" s="4">
        <f>IFERROR(__xludf.DUMMYFUNCTION("""COMPUTED_VALUE"""),950.0)</f>
        <v>950</v>
      </c>
      <c r="S566" s="4">
        <f>IFERROR(__xludf.DUMMYFUNCTION("""COMPUTED_VALUE"""),950.0)</f>
        <v>950</v>
      </c>
      <c r="T566" s="1" t="str">
        <f>IFERROR(__xludf.DUMMYFUNCTION("""COMPUTED_VALUE"""),"Reconocemos tu primera boleta - Referido")</f>
        <v>Reconocemos tu primera boleta - Referido</v>
      </c>
      <c r="U566" s="1" t="str">
        <f>IFERROR(__xludf.DUMMYFUNCTION("""COMPUTED_VALUE"""),"RODRIGO")</f>
        <v>RODRIGO</v>
      </c>
      <c r="V566" s="1" t="str">
        <f>IFERROR(__xludf.DUMMYFUNCTION("""COMPUTED_VALUE"""),"Ninguno")</f>
        <v>Ninguno</v>
      </c>
      <c r="W566" s="1" t="str">
        <f>IFERROR(__xludf.DUMMYFUNCTION("""COMPUTED_VALUE"""),"Metodología de enseñanza")</f>
        <v>Metodología de enseñanza</v>
      </c>
      <c r="X566" s="1"/>
      <c r="Y566" s="1" t="str">
        <f>IFERROR(__xludf.DUMMYFUNCTION("""COMPUTED_VALUE"""),"PAGO COMPLETO")</f>
        <v>PAGO COMPLETO</v>
      </c>
      <c r="Z566" s="1"/>
      <c r="AA566" s="1"/>
      <c r="AB566" s="1">
        <f>IFERROR(__xludf.DUMMYFUNCTION("""COMPUTED_VALUE"""),0.0)</f>
        <v>0</v>
      </c>
      <c r="AC566" s="1">
        <f>IFERROR(__xludf.DUMMYFUNCTION("""COMPUTED_VALUE"""),0.0)</f>
        <v>0</v>
      </c>
      <c r="AD566" s="1" t="str">
        <f>IFERROR(__xludf.DUMMYFUNCTION("""COMPUTED_VALUE"""),"Ingrid Guillermo Rivera")</f>
        <v>Ingrid Guillermo Rivera</v>
      </c>
      <c r="AE566" s="1" t="str">
        <f>IFERROR(__xludf.DUMMYFUNCTION("""COMPUTED_VALUE"""),"Instituto de Educación Superior Tecnológico Privado Toulouse Lautrec")</f>
        <v>Instituto de Educación Superior Tecnológico Privado Toulouse Lautrec</v>
      </c>
      <c r="AF566" s="1">
        <f>IFERROR(__xludf.DUMMYFUNCTION("""COMPUTED_VALUE"""),2019.0)</f>
        <v>2019</v>
      </c>
      <c r="AG566" s="1">
        <f>IFERROR(__xludf.DUMMYFUNCTION("""COMPUTED_VALUE"""),1475920.0)</f>
        <v>1475920</v>
      </c>
      <c r="AH566" s="1">
        <f>IFERROR(__xludf.DUMMYFUNCTION("""COMPUTED_VALUE"""),32.0)</f>
        <v>32</v>
      </c>
      <c r="AI566" s="1" t="str">
        <f>IFERROR(__xludf.DUMMYFUNCTION("""COMPUTED_VALUE"""),"0000389853")</f>
        <v>0000389853</v>
      </c>
      <c r="AJ566" s="1">
        <f>IFERROR(__xludf.DUMMYFUNCTION("""COMPUTED_VALUE"""),4.8222893E7)</f>
        <v>48222893</v>
      </c>
      <c r="AK566" s="1">
        <f>IFERROR(__xludf.DUMMYFUNCTION("""COMPUTED_VALUE"""),9.74896185E8)</f>
        <v>974896185</v>
      </c>
      <c r="AL566" s="1" t="str">
        <f>IFERROR(__xludf.DUMMYFUNCTION("""COMPUTED_VALUE"""),"leydi_16deabril@hotmail.com")</f>
        <v>leydi_16deabril@hotmail.com</v>
      </c>
      <c r="AM566" s="1" t="str">
        <f>IFERROR(__xludf.DUMMYFUNCTION("""COMPUTED_VALUE"""),"FEMENINO")</f>
        <v>FEMENINO</v>
      </c>
      <c r="AN566" s="1">
        <f>IFERROR(__xludf.DUMMYFUNCTION("""COMPUTED_VALUE"""),1775.0)</f>
        <v>1775</v>
      </c>
      <c r="AO566" s="1">
        <f>IFERROR(__xludf.DUMMYFUNCTION("""COMPUTED_VALUE"""),340.0)</f>
        <v>340</v>
      </c>
      <c r="AP566" s="1" t="str">
        <f>IFERROR(__xludf.DUMMYFUNCTION("""COMPUTED_VALUE"""),"INBOUND")</f>
        <v>INBOUND</v>
      </c>
      <c r="AQ566" s="1" t="str">
        <f>IFERROR(__xludf.DUMMYFUNCTION("""COMPUTED_VALUE"""),"INBOUND")</f>
        <v>INBOUND</v>
      </c>
      <c r="AR566" s="1" t="str">
        <f>IFERROR(__xludf.DUMMYFUNCTION("""COMPUTED_VALUE"""),"HEREDADO")</f>
        <v>HEREDADO</v>
      </c>
      <c r="AS566" s="1"/>
      <c r="AT566" s="2">
        <f>IFERROR(__xludf.DUMMYFUNCTION("""COMPUTED_VALUE"""),45600.0)</f>
        <v>45600</v>
      </c>
      <c r="AU566" s="1">
        <f>IFERROR(__xludf.DUMMYFUNCTION("""COMPUTED_VALUE"""),1.0)</f>
        <v>1</v>
      </c>
      <c r="AV566" s="1" t="str">
        <f>IFERROR(__xludf.DUMMYFUNCTION("""COMPUTED_VALUE"""),"NUEVO")</f>
        <v>NUEVO</v>
      </c>
      <c r="AW566" s="1" t="str">
        <f>IFERROR(__xludf.DUMMYFUNCTION("""COMPUTED_VALUE"""),"SI")</f>
        <v>SI</v>
      </c>
      <c r="AX566" s="1"/>
      <c r="AY566" s="1" t="str">
        <f>IFERROR(__xludf.DUMMYFUNCTION("""COMPUTED_VALUE"""),"PAGO COMPLETO")</f>
        <v>PAGO COMPLETO</v>
      </c>
      <c r="AZ566" s="5">
        <f>IFERROR(__xludf.DUMMYFUNCTION("""COMPUTED_VALUE"""),45721.0)</f>
        <v>45721</v>
      </c>
      <c r="BA566" s="1">
        <f>IFERROR(__xludf.DUMMYFUNCTION("""COMPUTED_VALUE"""),0.0)</f>
        <v>0</v>
      </c>
      <c r="BB566" s="1">
        <f>IFERROR(__xludf.DUMMYFUNCTION("""COMPUTED_VALUE"""),0.0)</f>
        <v>0</v>
      </c>
      <c r="BC566" s="4">
        <f>IFERROR(__xludf.DUMMYFUNCTION("""COMPUTED_VALUE"""),0.0)</f>
        <v>0</v>
      </c>
      <c r="BD566" s="4">
        <f>IFERROR(__xludf.DUMMYFUNCTION("""COMPUTED_VALUE"""),0.0)</f>
        <v>0</v>
      </c>
      <c r="BE566" s="1">
        <f>IFERROR(__xludf.DUMMYFUNCTION("""COMPUTED_VALUE"""),3.0)</f>
        <v>3</v>
      </c>
      <c r="BF566" s="6">
        <f>IFERROR(__xludf.DUMMYFUNCTION("""COMPUTED_VALUE"""),1.0)</f>
        <v>1</v>
      </c>
      <c r="BG566" s="1">
        <f>IFERROR(__xludf.DUMMYFUNCTION("""COMPUTED_VALUE"""),1.0)</f>
        <v>1</v>
      </c>
      <c r="BH566" s="1" t="str">
        <f>IFERROR(__xludf.DUMMYFUNCTION("""COMPUTED_VALUE"""),"0")</f>
        <v>0</v>
      </c>
      <c r="BI566" s="4">
        <f>IFERROR(__xludf.DUMMYFUNCTION("""COMPUTED_VALUE"""),0.0)</f>
        <v>0</v>
      </c>
      <c r="BJ566" s="1">
        <f>IFERROR(__xludf.DUMMYFUNCTION("""COMPUTED_VALUE"""),0.0)</f>
        <v>0</v>
      </c>
      <c r="BK566" s="4">
        <f>IFERROR(__xludf.DUMMYFUNCTION("""COMPUTED_VALUE"""),1425.0)</f>
        <v>1425</v>
      </c>
      <c r="BL566" s="1">
        <f>IFERROR(__xludf.DUMMYFUNCTION("""COMPUTED_VALUE"""),665.0)</f>
        <v>665</v>
      </c>
      <c r="BM566" s="1">
        <f>IFERROR(__xludf.DUMMYFUNCTION("""COMPUTED_VALUE"""),10.0)</f>
        <v>10</v>
      </c>
      <c r="BN566" s="2">
        <f>IFERROR(__xludf.DUMMYFUNCTION("""COMPUTED_VALUE"""),45719.0)</f>
        <v>45719</v>
      </c>
      <c r="BO566" s="1">
        <f>IFERROR(__xludf.DUMMYFUNCTION("""COMPUTED_VALUE"""),3.0)</f>
        <v>3</v>
      </c>
      <c r="BP566" s="1">
        <f>IFERROR(__xludf.DUMMYFUNCTION("""COMPUTED_VALUE"""),2025.0)</f>
        <v>2025</v>
      </c>
    </row>
    <row r="567">
      <c r="A567" s="1">
        <f>IFERROR(__xludf.DUMMYFUNCTION("""COMPUTED_VALUE"""),566.0)</f>
        <v>566</v>
      </c>
      <c r="B567" s="1">
        <f>IFERROR(__xludf.DUMMYFUNCTION("""COMPUTED_VALUE"""),5060034.0)</f>
        <v>5060034</v>
      </c>
      <c r="C567" s="1" t="str">
        <f>IFERROR(__xludf.DUMMYFUNCTION("""COMPUTED_VALUE"""),"2025-1")</f>
        <v>2025-1</v>
      </c>
      <c r="D567" s="1" t="str">
        <f>IFERROR(__xludf.DUMMYFUNCTION("""COMPUTED_VALUE"""),"Admisión de Alto Rendimiento")</f>
        <v>Admisión de Alto Rendimiento</v>
      </c>
      <c r="E567" s="2">
        <f>IFERROR(__xludf.DUMMYFUNCTION("""COMPUTED_VALUE"""),45721.0)</f>
        <v>45721</v>
      </c>
      <c r="F567" s="1" t="str">
        <f>IFERROR(__xludf.DUMMYFUNCTION("""COMPUTED_VALUE"""),"ALLÁN PAUL")</f>
        <v>ALLÁN PAUL</v>
      </c>
      <c r="G567" s="1" t="str">
        <f>IFERROR(__xludf.DUMMYFUNCTION("""COMPUTED_VALUE"""),"CRUZ APONTE")</f>
        <v>CRUZ APONTE</v>
      </c>
      <c r="H567" s="1" t="str">
        <f>IFERROR(__xludf.DUMMYFUNCTION("""COMPUTED_VALUE"""),"Diseño Gráfico Publicitario")</f>
        <v>Diseño Gráfico Publicitario</v>
      </c>
      <c r="I567" s="1" t="str">
        <f>IFERROR(__xludf.DUMMYFUNCTION("""COMPUTED_VALUE"""),"POS")</f>
        <v>POS</v>
      </c>
      <c r="J567" s="1" t="str">
        <f>IFERROR(__xludf.DUMMYFUNCTION("""COMPUTED_VALUE"""),"Diurno")</f>
        <v>Diurno</v>
      </c>
      <c r="K567" s="1" t="str">
        <f>IFERROR(__xludf.DUMMYFUNCTION("""COMPUTED_VALUE"""),"NUEVO")</f>
        <v>NUEVO</v>
      </c>
      <c r="L567" s="1">
        <f>IFERROR(__xludf.DUMMYFUNCTION("""COMPUTED_VALUE"""),0.0)</f>
        <v>0</v>
      </c>
      <c r="M567" s="1">
        <f>IFERROR(__xludf.DUMMYFUNCTION("""COMPUTED_VALUE"""),0.0)</f>
        <v>0</v>
      </c>
      <c r="N567" s="1" t="str">
        <f>IFERROR(__xludf.DUMMYFUNCTION("""COMPUTED_VALUE"""),"ESCALA REGULAR")</f>
        <v>ESCALA REGULAR</v>
      </c>
      <c r="O567" s="1" t="str">
        <f>IFERROR(__xludf.DUMMYFUNCTION("""COMPUTED_VALUE"""),"NINGUNO")</f>
        <v>NINGUNO</v>
      </c>
      <c r="P567" s="4">
        <f>IFERROR(__xludf.DUMMYFUNCTION("""COMPUTED_VALUE"""),100.0)</f>
        <v>100</v>
      </c>
      <c r="Q567" s="4">
        <f>IFERROR(__xludf.DUMMYFUNCTION("""COMPUTED_VALUE"""),237.5)</f>
        <v>237.5</v>
      </c>
      <c r="R567" s="4">
        <f>IFERROR(__xludf.DUMMYFUNCTION("""COMPUTED_VALUE"""),1250.0)</f>
        <v>1250</v>
      </c>
      <c r="S567" s="4">
        <f>IFERROR(__xludf.DUMMYFUNCTION("""COMPUTED_VALUE"""),1250.0)</f>
        <v>1250</v>
      </c>
      <c r="T567" s="1" t="str">
        <f>IFERROR(__xludf.DUMMYFUNCTION("""COMPUTED_VALUE"""),"PALANCA 500")</f>
        <v>PALANCA 500</v>
      </c>
      <c r="U567" s="1" t="str">
        <f>IFERROR(__xludf.DUMMYFUNCTION("""COMPUTED_VALUE"""),"RODRIGO")</f>
        <v>RODRIGO</v>
      </c>
      <c r="V567" s="1" t="str">
        <f>IFERROR(__xludf.DUMMYFUNCTION("""COMPUTED_VALUE"""),"Ninguno")</f>
        <v>Ninguno</v>
      </c>
      <c r="W567" s="1" t="str">
        <f>IFERROR(__xludf.DUMMYFUNCTION("""COMPUTED_VALUE"""),"Prestigio de la institución")</f>
        <v>Prestigio de la institución</v>
      </c>
      <c r="X567" s="1" t="str">
        <f>IFERROR(__xludf.DUMMYFUNCTION("""COMPUTED_VALUE"""),"paga cuota 1 de  500")</f>
        <v>paga cuota 1 de  500</v>
      </c>
      <c r="Y567" s="1" t="str">
        <f>IFERROR(__xludf.DUMMYFUNCTION("""COMPUTED_VALUE"""),"PAGO COMPLETO")</f>
        <v>PAGO COMPLETO</v>
      </c>
      <c r="Z567" s="1"/>
      <c r="AA567" s="1"/>
      <c r="AB567" s="1">
        <f>IFERROR(__xludf.DUMMYFUNCTION("""COMPUTED_VALUE"""),0.0)</f>
        <v>0</v>
      </c>
      <c r="AC567" s="1">
        <f>IFERROR(__xludf.DUMMYFUNCTION("""COMPUTED_VALUE"""),0.0)</f>
        <v>0</v>
      </c>
      <c r="AD567" s="1" t="str">
        <f>IFERROR(__xludf.DUMMYFUNCTION("""COMPUTED_VALUE"""),"Rosa Ugarte")</f>
        <v>Rosa Ugarte</v>
      </c>
      <c r="AE567" s="1" t="str">
        <f>IFERROR(__xludf.DUMMYFUNCTION("""COMPUTED_VALUE"""),"0")</f>
        <v>0</v>
      </c>
      <c r="AF567" s="1">
        <f>IFERROR(__xludf.DUMMYFUNCTION("""COMPUTED_VALUE"""),2024.0)</f>
        <v>2024</v>
      </c>
      <c r="AG567" s="1">
        <f>IFERROR(__xludf.DUMMYFUNCTION("""COMPUTED_VALUE"""),0.0)</f>
        <v>0</v>
      </c>
      <c r="AH567" s="1">
        <f>IFERROR(__xludf.DUMMYFUNCTION("""COMPUTED_VALUE"""),18.0)</f>
        <v>18</v>
      </c>
      <c r="AI567" s="1" t="str">
        <f>IFERROR(__xludf.DUMMYFUNCTION("""COMPUTED_VALUE"""),"0000418031")</f>
        <v>0000418031</v>
      </c>
      <c r="AJ567" s="1">
        <f>IFERROR(__xludf.DUMMYFUNCTION("""COMPUTED_VALUE"""),7.0716785E7)</f>
        <v>70716785</v>
      </c>
      <c r="AK567" s="1">
        <f>IFERROR(__xludf.DUMMYFUNCTION("""COMPUTED_VALUE"""),9.37680559E8)</f>
        <v>937680559</v>
      </c>
      <c r="AL567" s="1" t="str">
        <f>IFERROR(__xludf.DUMMYFUNCTION("""COMPUTED_VALUE"""),"alanpaulcruzaponte@gmail.com")</f>
        <v>alanpaulcruzaponte@gmail.com</v>
      </c>
      <c r="AM567" s="1" t="str">
        <f>IFERROR(__xludf.DUMMYFUNCTION("""COMPUTED_VALUE"""),"MASCULINO")</f>
        <v>MASCULINO</v>
      </c>
      <c r="AN567" s="1">
        <f>IFERROR(__xludf.DUMMYFUNCTION("""COMPUTED_VALUE"""),1525.0)</f>
        <v>1525</v>
      </c>
      <c r="AO567" s="1">
        <f>IFERROR(__xludf.DUMMYFUNCTION("""COMPUTED_VALUE"""),200.0)</f>
        <v>200</v>
      </c>
      <c r="AP567" s="1" t="str">
        <f>IFERROR(__xludf.DUMMYFUNCTION("""COMPUTED_VALUE"""),"FORMULARIO")</f>
        <v>FORMULARIO</v>
      </c>
      <c r="AQ567" s="1" t="str">
        <f>IFERROR(__xludf.DUMMYFUNCTION("""COMPUTED_VALUE"""),"SEARCH MARCA")</f>
        <v>SEARCH MARCA</v>
      </c>
      <c r="AR567" s="1" t="str">
        <f>IFERROR(__xludf.DUMMYFUNCTION("""COMPUTED_VALUE"""),"NUEVO")</f>
        <v>NUEVO</v>
      </c>
      <c r="AS567" s="1" t="str">
        <f>IFERROR(__xludf.DUMMYFUNCTION("""COMPUTED_VALUE"""),"ucal-pg-performance-sedes-abierta-cpl-extensiones_traslados_marca-20240401")</f>
        <v>ucal-pg-performance-sedes-abierta-cpl-extensiones_traslados_marca-20240401</v>
      </c>
      <c r="AT567" s="2">
        <f>IFERROR(__xludf.DUMMYFUNCTION("""COMPUTED_VALUE"""),45720.0)</f>
        <v>45720</v>
      </c>
      <c r="AU567" s="1">
        <f>IFERROR(__xludf.DUMMYFUNCTION("""COMPUTED_VALUE"""),1.0)</f>
        <v>1</v>
      </c>
      <c r="AV567" s="1" t="str">
        <f>IFERROR(__xludf.DUMMYFUNCTION("""COMPUTED_VALUE"""),"NUEVO")</f>
        <v>NUEVO</v>
      </c>
      <c r="AW567" s="1" t="str">
        <f>IFERROR(__xludf.DUMMYFUNCTION("""COMPUTED_VALUE"""),"SI")</f>
        <v>SI</v>
      </c>
      <c r="AX567" s="1"/>
      <c r="AY567" s="1" t="str">
        <f>IFERROR(__xludf.DUMMYFUNCTION("""COMPUTED_VALUE"""),"PAGO COMPLETO")</f>
        <v>PAGO COMPLETO</v>
      </c>
      <c r="AZ567" s="5">
        <f>IFERROR(__xludf.DUMMYFUNCTION("""COMPUTED_VALUE"""),45721.0)</f>
        <v>45721</v>
      </c>
      <c r="BA567" s="1">
        <f>IFERROR(__xludf.DUMMYFUNCTION("""COMPUTED_VALUE"""),0.0)</f>
        <v>0</v>
      </c>
      <c r="BB567" s="1">
        <f>IFERROR(__xludf.DUMMYFUNCTION("""COMPUTED_VALUE"""),0.0)</f>
        <v>0</v>
      </c>
      <c r="BC567" s="4">
        <f>IFERROR(__xludf.DUMMYFUNCTION("""COMPUTED_VALUE"""),0.0)</f>
        <v>0</v>
      </c>
      <c r="BD567" s="4">
        <f>IFERROR(__xludf.DUMMYFUNCTION("""COMPUTED_VALUE"""),750.0)</f>
        <v>750</v>
      </c>
      <c r="BE567" s="1">
        <f>IFERROR(__xludf.DUMMYFUNCTION("""COMPUTED_VALUE"""),3.0)</f>
        <v>3</v>
      </c>
      <c r="BF567" s="6">
        <f>IFERROR(__xludf.DUMMYFUNCTION("""COMPUTED_VALUE"""),1.0)</f>
        <v>1</v>
      </c>
      <c r="BG567" s="1">
        <f>IFERROR(__xludf.DUMMYFUNCTION("""COMPUTED_VALUE"""),1.0)</f>
        <v>1</v>
      </c>
      <c r="BH567" s="1" t="str">
        <f>IFERROR(__xludf.DUMMYFUNCTION("""COMPUTED_VALUE"""),"0")</f>
        <v>0</v>
      </c>
      <c r="BI567" s="4">
        <f>IFERROR(__xludf.DUMMYFUNCTION("""COMPUTED_VALUE"""),750.0)</f>
        <v>750</v>
      </c>
      <c r="BJ567" s="1">
        <f>IFERROR(__xludf.DUMMYFUNCTION("""COMPUTED_VALUE"""),0.0)</f>
        <v>0</v>
      </c>
      <c r="BK567" s="4">
        <f>IFERROR(__xludf.DUMMYFUNCTION("""COMPUTED_VALUE"""),750.0)</f>
        <v>750</v>
      </c>
      <c r="BL567" s="1">
        <f>IFERROR(__xludf.DUMMYFUNCTION("""COMPUTED_VALUE"""),1100.0)</f>
        <v>1100</v>
      </c>
      <c r="BM567" s="1">
        <f>IFERROR(__xludf.DUMMYFUNCTION("""COMPUTED_VALUE"""),10.0)</f>
        <v>10</v>
      </c>
      <c r="BN567" s="2">
        <f>IFERROR(__xludf.DUMMYFUNCTION("""COMPUTED_VALUE"""),45719.0)</f>
        <v>45719</v>
      </c>
      <c r="BO567" s="1">
        <f>IFERROR(__xludf.DUMMYFUNCTION("""COMPUTED_VALUE"""),3.0)</f>
        <v>3</v>
      </c>
      <c r="BP567" s="1">
        <f>IFERROR(__xludf.DUMMYFUNCTION("""COMPUTED_VALUE"""),2025.0)</f>
        <v>2025</v>
      </c>
    </row>
    <row r="568">
      <c r="A568" s="1">
        <f>IFERROR(__xludf.DUMMYFUNCTION("""COMPUTED_VALUE"""),567.0)</f>
        <v>567</v>
      </c>
      <c r="B568" s="1">
        <f>IFERROR(__xludf.DUMMYFUNCTION("""COMPUTED_VALUE"""),4416122.0)</f>
        <v>4416122</v>
      </c>
      <c r="C568" s="1" t="str">
        <f>IFERROR(__xludf.DUMMYFUNCTION("""COMPUTED_VALUE"""),"2025-1")</f>
        <v>2025-1</v>
      </c>
      <c r="D568" s="1" t="str">
        <f>IFERROR(__xludf.DUMMYFUNCTION("""COMPUTED_VALUE"""),"Admisión de Alto Rendimiento")</f>
        <v>Admisión de Alto Rendimiento</v>
      </c>
      <c r="E568" s="2">
        <f>IFERROR(__xludf.DUMMYFUNCTION("""COMPUTED_VALUE"""),45722.0)</f>
        <v>45722</v>
      </c>
      <c r="F568" s="1" t="str">
        <f>IFERROR(__xludf.DUMMYFUNCTION("""COMPUTED_VALUE"""),"ANGELA LUCIANA ")</f>
        <v>ANGELA LUCIANA </v>
      </c>
      <c r="G568" s="1" t="str">
        <f>IFERROR(__xludf.DUMMYFUNCTION("""COMPUTED_VALUE"""),"CARRASCO APAZA")</f>
        <v>CARRASCO APAZA</v>
      </c>
      <c r="H568" s="1" t="str">
        <f>IFERROR(__xludf.DUMMYFUNCTION("""COMPUTED_VALUE"""),"Diseño Gráfico Publicitario")</f>
        <v>Diseño Gráfico Publicitario</v>
      </c>
      <c r="I568" s="1" t="str">
        <f>IFERROR(__xludf.DUMMYFUNCTION("""COMPUTED_VALUE"""),"POS")</f>
        <v>POS</v>
      </c>
      <c r="J568" s="1" t="str">
        <f>IFERROR(__xludf.DUMMYFUNCTION("""COMPUTED_VALUE"""),"Diurno")</f>
        <v>Diurno</v>
      </c>
      <c r="K568" s="1" t="str">
        <f>IFERROR(__xludf.DUMMYFUNCTION("""COMPUTED_VALUE"""),"NUEVO")</f>
        <v>NUEVO</v>
      </c>
      <c r="L568" s="1">
        <f>IFERROR(__xludf.DUMMYFUNCTION("""COMPUTED_VALUE"""),0.0)</f>
        <v>0</v>
      </c>
      <c r="M568" s="1">
        <f>IFERROR(__xludf.DUMMYFUNCTION("""COMPUTED_VALUE"""),0.0)</f>
        <v>0</v>
      </c>
      <c r="N568" s="1" t="str">
        <f>IFERROR(__xludf.DUMMYFUNCTION("""COMPUTED_VALUE"""),"BECA")</f>
        <v>BECA</v>
      </c>
      <c r="O568" s="1" t="str">
        <f>IFERROR(__xludf.DUMMYFUNCTION("""COMPUTED_VALUE"""),"BECA DGP")</f>
        <v>BECA DGP</v>
      </c>
      <c r="P568" s="4">
        <f>IFERROR(__xludf.DUMMYFUNCTION("""COMPUTED_VALUE"""),350.0)</f>
        <v>350</v>
      </c>
      <c r="Q568" s="4">
        <f>IFERROR(__xludf.DUMMYFUNCTION("""COMPUTED_VALUE"""),0.0)</f>
        <v>0</v>
      </c>
      <c r="R568" s="4">
        <f>IFERROR(__xludf.DUMMYFUNCTION("""COMPUTED_VALUE"""),1400.0)</f>
        <v>1400</v>
      </c>
      <c r="S568" s="4">
        <f>IFERROR(__xludf.DUMMYFUNCTION("""COMPUTED_VALUE"""),1150.0)</f>
        <v>1150</v>
      </c>
      <c r="T568" s="1" t="str">
        <f>IFERROR(__xludf.DUMMYFUNCTION("""COMPUTED_VALUE"""),"Reconocemos tu primera boleta")</f>
        <v>Reconocemos tu primera boleta</v>
      </c>
      <c r="U568" s="1" t="str">
        <f>IFERROR(__xludf.DUMMYFUNCTION("""COMPUTED_VALUE"""),"FABIOLA")</f>
        <v>FABIOLA</v>
      </c>
      <c r="V568" s="1" t="str">
        <f>IFERROR(__xludf.DUMMYFUNCTION("""COMPUTED_VALUE"""),"Ninguno")</f>
        <v>Ninguno</v>
      </c>
      <c r="W568" s="1" t="str">
        <f>IFERROR(__xludf.DUMMYFUNCTION("""COMPUTED_VALUE"""),"Metodología de enseñanza")</f>
        <v>Metodología de enseñanza</v>
      </c>
      <c r="X568" s="1" t="str">
        <f>IFERROR(__xludf.DUMMYFUNCTION("""COMPUTED_VALUE"""),"metodologia")</f>
        <v>metodologia</v>
      </c>
      <c r="Y568" s="1" t="str">
        <f>IFERROR(__xludf.DUMMYFUNCTION("""COMPUTED_VALUE"""),"PAGO COMPLETO")</f>
        <v>PAGO COMPLETO</v>
      </c>
      <c r="Z568" s="1"/>
      <c r="AA568" s="1"/>
      <c r="AB568" s="1">
        <f>IFERROR(__xludf.DUMMYFUNCTION("""COMPUTED_VALUE"""),0.0)</f>
        <v>0</v>
      </c>
      <c r="AC568" s="1">
        <f>IFERROR(__xludf.DUMMYFUNCTION("""COMPUTED_VALUE"""),0.0)</f>
        <v>0</v>
      </c>
      <c r="AD568" s="1" t="str">
        <f>IFERROR(__xludf.DUMMYFUNCTION("""COMPUTED_VALUE"""),"Cinthia Mariella Orosco")</f>
        <v>Cinthia Mariella Orosco</v>
      </c>
      <c r="AE568" s="1" t="str">
        <f>IFERROR(__xludf.DUMMYFUNCTION("""COMPUTED_VALUE"""),"0")</f>
        <v>0</v>
      </c>
      <c r="AF568" s="1">
        <f>IFERROR(__xludf.DUMMYFUNCTION("""COMPUTED_VALUE"""),2024.0)</f>
        <v>2024</v>
      </c>
      <c r="AG568" s="1">
        <f>IFERROR(__xludf.DUMMYFUNCTION("""COMPUTED_VALUE"""),1223304.0)</f>
        <v>1223304</v>
      </c>
      <c r="AH568" s="1">
        <f>IFERROR(__xludf.DUMMYFUNCTION("""COMPUTED_VALUE"""),17.0)</f>
        <v>17</v>
      </c>
      <c r="AI568" s="1" t="str">
        <f>IFERROR(__xludf.DUMMYFUNCTION("""COMPUTED_VALUE"""),"0000391225")</f>
        <v>0000391225</v>
      </c>
      <c r="AJ568" s="1">
        <f>IFERROR(__xludf.DUMMYFUNCTION("""COMPUTED_VALUE"""),7.1154887E7)</f>
        <v>71154887</v>
      </c>
      <c r="AK568" s="1">
        <f>IFERROR(__xludf.DUMMYFUNCTION("""COMPUTED_VALUE"""),9.64073588E8)</f>
        <v>964073588</v>
      </c>
      <c r="AL568" s="1" t="str">
        <f>IFERROR(__xludf.DUMMYFUNCTION("""COMPUTED_VALUE"""),"angela.carrasco267@gmail.com")</f>
        <v>angela.carrasco267@gmail.com</v>
      </c>
      <c r="AM568" s="1" t="str">
        <f>IFERROR(__xludf.DUMMYFUNCTION("""COMPUTED_VALUE"""),"FEMENINO")</f>
        <v>FEMENINO</v>
      </c>
      <c r="AN568" s="1">
        <f>IFERROR(__xludf.DUMMYFUNCTION("""COMPUTED_VALUE"""),1775.0)</f>
        <v>1775</v>
      </c>
      <c r="AO568" s="1">
        <f>IFERROR(__xludf.DUMMYFUNCTION("""COMPUTED_VALUE"""),460.0)</f>
        <v>460</v>
      </c>
      <c r="AP568" s="1" t="str">
        <f>IFERROR(__xludf.DUMMYFUNCTION("""COMPUTED_VALUE"""),"FORMULARIO")</f>
        <v>FORMULARIO</v>
      </c>
      <c r="AQ568" s="1" t="str">
        <f>IFERROR(__xludf.DUMMYFUNCTION("""COMPUTED_VALUE"""),"SEARCH MARCA")</f>
        <v>SEARCH MARCA</v>
      </c>
      <c r="AR568" s="1" t="str">
        <f>IFERROR(__xludf.DUMMYFUNCTION("""COMPUTED_VALUE"""),"NUEVO")</f>
        <v>NUEVO</v>
      </c>
      <c r="AS568" s="1" t="str">
        <f>IFERROR(__xludf.DUMMYFUNCTION("""COMPUTED_VALUE"""),"ucal-pg-performance-sedes-abierta-cpl-search_conversion_marca-20240401")</f>
        <v>ucal-pg-performance-sedes-abierta-cpl-search_conversion_marca-20240401</v>
      </c>
      <c r="AT568" s="2">
        <f>IFERROR(__xludf.DUMMYFUNCTION("""COMPUTED_VALUE"""),45552.0)</f>
        <v>45552</v>
      </c>
      <c r="AU568" s="1">
        <f>IFERROR(__xludf.DUMMYFUNCTION("""COMPUTED_VALUE"""),1.0)</f>
        <v>1</v>
      </c>
      <c r="AV568" s="1" t="str">
        <f>IFERROR(__xludf.DUMMYFUNCTION("""COMPUTED_VALUE"""),"NUEVO")</f>
        <v>NUEVO</v>
      </c>
      <c r="AW568" s="1" t="str">
        <f>IFERROR(__xludf.DUMMYFUNCTION("""COMPUTED_VALUE"""),"SI")</f>
        <v>SI</v>
      </c>
      <c r="AX568" s="1"/>
      <c r="AY568" s="1" t="str">
        <f>IFERROR(__xludf.DUMMYFUNCTION("""COMPUTED_VALUE"""),"PAGO COMPLETO")</f>
        <v>PAGO COMPLETO</v>
      </c>
      <c r="AZ568" s="5">
        <f>IFERROR(__xludf.DUMMYFUNCTION("""COMPUTED_VALUE"""),45722.0)</f>
        <v>45722</v>
      </c>
      <c r="BA568" s="1">
        <f>IFERROR(__xludf.DUMMYFUNCTION("""COMPUTED_VALUE"""),0.0)</f>
        <v>0</v>
      </c>
      <c r="BB568" s="1">
        <f>IFERROR(__xludf.DUMMYFUNCTION("""COMPUTED_VALUE"""),0.0)</f>
        <v>0</v>
      </c>
      <c r="BC568" s="4">
        <f>IFERROR(__xludf.DUMMYFUNCTION("""COMPUTED_VALUE"""),0.0)</f>
        <v>0</v>
      </c>
      <c r="BD568" s="4">
        <f>IFERROR(__xludf.DUMMYFUNCTION("""COMPUTED_VALUE"""),1150.0)</f>
        <v>1150</v>
      </c>
      <c r="BE568" s="1">
        <f>IFERROR(__xludf.DUMMYFUNCTION("""COMPUTED_VALUE"""),3.0)</f>
        <v>3</v>
      </c>
      <c r="BF568" s="6">
        <f>IFERROR(__xludf.DUMMYFUNCTION("""COMPUTED_VALUE"""),1.0)</f>
        <v>1</v>
      </c>
      <c r="BG568" s="1"/>
      <c r="BH568" s="1" t="str">
        <f>IFERROR(__xludf.DUMMYFUNCTION("""COMPUTED_VALUE"""),"0")</f>
        <v>0</v>
      </c>
      <c r="BI568" s="4">
        <f>IFERROR(__xludf.DUMMYFUNCTION("""COMPUTED_VALUE"""),1150.0)</f>
        <v>1150</v>
      </c>
      <c r="BJ568" s="1">
        <f>IFERROR(__xludf.DUMMYFUNCTION("""COMPUTED_VALUE"""),0.0)</f>
        <v>0</v>
      </c>
      <c r="BK568" s="4">
        <f>IFERROR(__xludf.DUMMYFUNCTION("""COMPUTED_VALUE"""),1150.0)</f>
        <v>1150</v>
      </c>
      <c r="BL568" s="1">
        <f>IFERROR(__xludf.DUMMYFUNCTION("""COMPUTED_VALUE"""),920.0)</f>
        <v>920</v>
      </c>
      <c r="BM568" s="1">
        <f>IFERROR(__xludf.DUMMYFUNCTION("""COMPUTED_VALUE"""),10.0)</f>
        <v>10</v>
      </c>
      <c r="BN568" s="2">
        <f>IFERROR(__xludf.DUMMYFUNCTION("""COMPUTED_VALUE"""),45719.0)</f>
        <v>45719</v>
      </c>
      <c r="BO568" s="1">
        <f>IFERROR(__xludf.DUMMYFUNCTION("""COMPUTED_VALUE"""),3.0)</f>
        <v>3</v>
      </c>
      <c r="BP568" s="1">
        <f>IFERROR(__xludf.DUMMYFUNCTION("""COMPUTED_VALUE"""),2025.0)</f>
        <v>2025</v>
      </c>
    </row>
    <row r="569">
      <c r="A569" s="1">
        <f>IFERROR(__xludf.DUMMYFUNCTION("""COMPUTED_VALUE"""),568.0)</f>
        <v>568</v>
      </c>
      <c r="B569" s="1">
        <f>IFERROR(__xludf.DUMMYFUNCTION("""COMPUTED_VALUE"""),5059133.0)</f>
        <v>5059133</v>
      </c>
      <c r="C569" s="1" t="str">
        <f>IFERROR(__xludf.DUMMYFUNCTION("""COMPUTED_VALUE"""),"2025-1")</f>
        <v>2025-1</v>
      </c>
      <c r="D569" s="1" t="str">
        <f>IFERROR(__xludf.DUMMYFUNCTION("""COMPUTED_VALUE"""),"Admisión de Alto Rendimiento")</f>
        <v>Admisión de Alto Rendimiento</v>
      </c>
      <c r="E569" s="2">
        <f>IFERROR(__xludf.DUMMYFUNCTION("""COMPUTED_VALUE"""),45723.0)</f>
        <v>45723</v>
      </c>
      <c r="F569" s="1" t="str">
        <f>IFERROR(__xludf.DUMMYFUNCTION("""COMPUTED_VALUE"""),"LUISANA RUBÍ ")</f>
        <v>LUISANA RUBÍ </v>
      </c>
      <c r="G569" s="1" t="str">
        <f>IFERROR(__xludf.DUMMYFUNCTION("""COMPUTED_VALUE"""),"SUASNABAR RODRIGUEZ")</f>
        <v>SUASNABAR RODRIGUEZ</v>
      </c>
      <c r="H569" s="1" t="str">
        <f>IFERROR(__xludf.DUMMYFUNCTION("""COMPUTED_VALUE"""),"Comunicación Audiovisual y Cine")</f>
        <v>Comunicación Audiovisual y Cine</v>
      </c>
      <c r="I569" s="1" t="str">
        <f>IFERROR(__xludf.DUMMYFUNCTION("""COMPUTED_VALUE"""),"Pago Link")</f>
        <v>Pago Link</v>
      </c>
      <c r="J569" s="1" t="str">
        <f>IFERROR(__xludf.DUMMYFUNCTION("""COMPUTED_VALUE"""),"Diurno")</f>
        <v>Diurno</v>
      </c>
      <c r="K569" s="1" t="str">
        <f>IFERROR(__xludf.DUMMYFUNCTION("""COMPUTED_VALUE"""),"NUEVO")</f>
        <v>NUEVO</v>
      </c>
      <c r="L569" s="1">
        <f>IFERROR(__xludf.DUMMYFUNCTION("""COMPUTED_VALUE"""),0.0)</f>
        <v>0</v>
      </c>
      <c r="M569" s="1">
        <f>IFERROR(__xludf.DUMMYFUNCTION("""COMPUTED_VALUE"""),0.0)</f>
        <v>0</v>
      </c>
      <c r="N569" s="1" t="str">
        <f>IFERROR(__xludf.DUMMYFUNCTION("""COMPUTED_VALUE"""),"BECA")</f>
        <v>BECA</v>
      </c>
      <c r="O569" s="1" t="str">
        <f>IFERROR(__xludf.DUMMYFUNCTION("""COMPUTED_VALUE"""),"BECA CARRERAS CORE")</f>
        <v>BECA CARRERAS CORE</v>
      </c>
      <c r="P569" s="4">
        <f>IFERROR(__xludf.DUMMYFUNCTION("""COMPUTED_VALUE"""),100.0)</f>
        <v>100</v>
      </c>
      <c r="Q569" s="4">
        <f>IFERROR(__xludf.DUMMYFUNCTION("""COMPUTED_VALUE"""),237.5)</f>
        <v>237.5</v>
      </c>
      <c r="R569" s="4">
        <f>IFERROR(__xludf.DUMMYFUNCTION("""COMPUTED_VALUE"""),1200.0)</f>
        <v>1200</v>
      </c>
      <c r="S569" s="4">
        <f>IFERROR(__xludf.DUMMYFUNCTION("""COMPUTED_VALUE"""),1050.0)</f>
        <v>1050</v>
      </c>
      <c r="T569" s="1" t="str">
        <f>IFERROR(__xludf.DUMMYFUNCTION("""COMPUTED_VALUE"""),"PALANCA 500")</f>
        <v>PALANCA 500</v>
      </c>
      <c r="U569" s="1" t="str">
        <f>IFERROR(__xludf.DUMMYFUNCTION("""COMPUTED_VALUE"""),"RODRIGO")</f>
        <v>RODRIGO</v>
      </c>
      <c r="V569" s="1" t="str">
        <f>IFERROR(__xludf.DUMMYFUNCTION("""COMPUTED_VALUE"""),"Ninguno")</f>
        <v>Ninguno</v>
      </c>
      <c r="W569" s="1" t="str">
        <f>IFERROR(__xludf.DUMMYFUNCTION("""COMPUTED_VALUE"""),"Beca")</f>
        <v>Beca</v>
      </c>
      <c r="X569" s="1"/>
      <c r="Y569" s="1" t="str">
        <f>IFERROR(__xludf.DUMMYFUNCTION("""COMPUTED_VALUE"""),"PAGO COMPLETO")</f>
        <v>PAGO COMPLETO</v>
      </c>
      <c r="Z569" s="1"/>
      <c r="AA569" s="1"/>
      <c r="AB569" s="1">
        <f>IFERROR(__xludf.DUMMYFUNCTION("""COMPUTED_VALUE"""),0.0)</f>
        <v>0</v>
      </c>
      <c r="AC569" s="1">
        <f>IFERROR(__xludf.DUMMYFUNCTION("""COMPUTED_VALUE"""),0.0)</f>
        <v>0</v>
      </c>
      <c r="AD569" s="1" t="str">
        <f>IFERROR(__xludf.DUMMYFUNCTION("""COMPUTED_VALUE"""),"Erwyn Terie Vital Avila")</f>
        <v>Erwyn Terie Vital Avila</v>
      </c>
      <c r="AE569" s="1" t="str">
        <f>IFERROR(__xludf.DUMMYFUNCTION("""COMPUTED_VALUE"""),"0")</f>
        <v>0</v>
      </c>
      <c r="AF569" s="1">
        <f>IFERROR(__xludf.DUMMYFUNCTION("""COMPUTED_VALUE"""),2023.0)</f>
        <v>2023</v>
      </c>
      <c r="AG569" s="1">
        <f>IFERROR(__xludf.DUMMYFUNCTION("""COMPUTED_VALUE"""),1509835.0)</f>
        <v>1509835</v>
      </c>
      <c r="AH569" s="1">
        <f>IFERROR(__xludf.DUMMYFUNCTION("""COMPUTED_VALUE"""),19.0)</f>
        <v>19</v>
      </c>
      <c r="AI569" s="1" t="str">
        <f>IFERROR(__xludf.DUMMYFUNCTION("""COMPUTED_VALUE"""),"0000418261")</f>
        <v>0000418261</v>
      </c>
      <c r="AJ569" s="1">
        <f>IFERROR(__xludf.DUMMYFUNCTION("""COMPUTED_VALUE"""),6.0439026E7)</f>
        <v>60439026</v>
      </c>
      <c r="AK569" s="1">
        <f>IFERROR(__xludf.DUMMYFUNCTION("""COMPUTED_VALUE"""),9.22774465E8)</f>
        <v>922774465</v>
      </c>
      <c r="AL569" s="1" t="str">
        <f>IFERROR(__xludf.DUMMYFUNCTION("""COMPUTED_VALUE"""),"rubisuasnabar@gmail.com")</f>
        <v>rubisuasnabar@gmail.com</v>
      </c>
      <c r="AM569" s="1" t="str">
        <f>IFERROR(__xludf.DUMMYFUNCTION("""COMPUTED_VALUE"""),"FEMENINO")</f>
        <v>FEMENINO</v>
      </c>
      <c r="AN569" s="1">
        <f>IFERROR(__xludf.DUMMYFUNCTION("""COMPUTED_VALUE"""),1600.0)</f>
        <v>1600</v>
      </c>
      <c r="AO569" s="1">
        <f>IFERROR(__xludf.DUMMYFUNCTION("""COMPUTED_VALUE"""),250.0)</f>
        <v>250</v>
      </c>
      <c r="AP569" s="1" t="str">
        <f>IFERROR(__xludf.DUMMYFUNCTION("""COMPUTED_VALUE"""),"BIDIRECCIONAL")</f>
        <v>BIDIRECCIONAL</v>
      </c>
      <c r="AQ569" s="1" t="str">
        <f>IFERROR(__xludf.DUMMYFUNCTION("""COMPUTED_VALUE"""),"SEARCH MARCA")</f>
        <v>SEARCH MARCA</v>
      </c>
      <c r="AR569" s="1" t="str">
        <f>IFERROR(__xludf.DUMMYFUNCTION("""COMPUTED_VALUE"""),"NUEVO")</f>
        <v>NUEVO</v>
      </c>
      <c r="AS569" s="1" t="str">
        <f>IFERROR(__xludf.DUMMYFUNCTION("""COMPUTED_VALUE"""),"ucal-pg-performance-sedes-abierta-cpl-search_conversion_marca-20240401")</f>
        <v>ucal-pg-performance-sedes-abierta-cpl-search_conversion_marca-20240401</v>
      </c>
      <c r="AT569" s="2">
        <f>IFERROR(__xludf.DUMMYFUNCTION("""COMPUTED_VALUE"""),45647.0)</f>
        <v>45647</v>
      </c>
      <c r="AU569" s="1">
        <f>IFERROR(__xludf.DUMMYFUNCTION("""COMPUTED_VALUE"""),1.0)</f>
        <v>1</v>
      </c>
      <c r="AV569" s="1" t="str">
        <f>IFERROR(__xludf.DUMMYFUNCTION("""COMPUTED_VALUE"""),"NUEVO")</f>
        <v>NUEVO</v>
      </c>
      <c r="AW569" s="1" t="str">
        <f>IFERROR(__xludf.DUMMYFUNCTION("""COMPUTED_VALUE"""),"SI")</f>
        <v>SI</v>
      </c>
      <c r="AX569" s="1"/>
      <c r="AY569" s="1" t="str">
        <f>IFERROR(__xludf.DUMMYFUNCTION("""COMPUTED_VALUE"""),"PAGO COMPLETO")</f>
        <v>PAGO COMPLETO</v>
      </c>
      <c r="AZ569" s="5">
        <f>IFERROR(__xludf.DUMMYFUNCTION("""COMPUTED_VALUE"""),45723.0)</f>
        <v>45723</v>
      </c>
      <c r="BA569" s="1">
        <f>IFERROR(__xludf.DUMMYFUNCTION("""COMPUTED_VALUE"""),0.0)</f>
        <v>0</v>
      </c>
      <c r="BB569" s="1">
        <f>IFERROR(__xludf.DUMMYFUNCTION("""COMPUTED_VALUE"""),0.0)</f>
        <v>0</v>
      </c>
      <c r="BC569" s="4">
        <f>IFERROR(__xludf.DUMMYFUNCTION("""COMPUTED_VALUE"""),0.0)</f>
        <v>0</v>
      </c>
      <c r="BD569" s="4">
        <f>IFERROR(__xludf.DUMMYFUNCTION("""COMPUTED_VALUE"""),550.0)</f>
        <v>550</v>
      </c>
      <c r="BE569" s="1">
        <f>IFERROR(__xludf.DUMMYFUNCTION("""COMPUTED_VALUE"""),3.0)</f>
        <v>3</v>
      </c>
      <c r="BF569" s="6">
        <f>IFERROR(__xludf.DUMMYFUNCTION("""COMPUTED_VALUE"""),1.0)</f>
        <v>1</v>
      </c>
      <c r="BG569" s="1">
        <f>IFERROR(__xludf.DUMMYFUNCTION("""COMPUTED_VALUE"""),1.0)</f>
        <v>1</v>
      </c>
      <c r="BH569" s="1" t="str">
        <f>IFERROR(__xludf.DUMMYFUNCTION("""COMPUTED_VALUE"""),"0")</f>
        <v>0</v>
      </c>
      <c r="BI569" s="4">
        <f>IFERROR(__xludf.DUMMYFUNCTION("""COMPUTED_VALUE"""),550.0)</f>
        <v>550</v>
      </c>
      <c r="BJ569" s="1">
        <f>IFERROR(__xludf.DUMMYFUNCTION("""COMPUTED_VALUE"""),0.0)</f>
        <v>0</v>
      </c>
      <c r="BK569" s="4">
        <f>IFERROR(__xludf.DUMMYFUNCTION("""COMPUTED_VALUE"""),550.0)</f>
        <v>550</v>
      </c>
      <c r="BL569" s="1">
        <f>IFERROR(__xludf.DUMMYFUNCTION("""COMPUTED_VALUE"""),940.0)</f>
        <v>940</v>
      </c>
      <c r="BM569" s="1">
        <f>IFERROR(__xludf.DUMMYFUNCTION("""COMPUTED_VALUE"""),10.0)</f>
        <v>10</v>
      </c>
      <c r="BN569" s="2">
        <f>IFERROR(__xludf.DUMMYFUNCTION("""COMPUTED_VALUE"""),45719.0)</f>
        <v>45719</v>
      </c>
      <c r="BO569" s="1">
        <f>IFERROR(__xludf.DUMMYFUNCTION("""COMPUTED_VALUE"""),3.0)</f>
        <v>3</v>
      </c>
      <c r="BP569" s="1">
        <f>IFERROR(__xludf.DUMMYFUNCTION("""COMPUTED_VALUE"""),2025.0)</f>
        <v>2025</v>
      </c>
    </row>
    <row r="570">
      <c r="A570" s="1">
        <f>IFERROR(__xludf.DUMMYFUNCTION("""COMPUTED_VALUE"""),569.0)</f>
        <v>569</v>
      </c>
      <c r="B570" s="1">
        <f>IFERROR(__xludf.DUMMYFUNCTION("""COMPUTED_VALUE"""),1360741.0)</f>
        <v>1360741</v>
      </c>
      <c r="C570" s="1" t="str">
        <f>IFERROR(__xludf.DUMMYFUNCTION("""COMPUTED_VALUE"""),"2025-1")</f>
        <v>2025-1</v>
      </c>
      <c r="D570" s="1" t="str">
        <f>IFERROR(__xludf.DUMMYFUNCTION("""COMPUTED_VALUE"""),"Admisión Ordinaria")</f>
        <v>Admisión Ordinaria</v>
      </c>
      <c r="E570" s="2">
        <f>IFERROR(__xludf.DUMMYFUNCTION("""COMPUTED_VALUE"""),45723.0)</f>
        <v>45723</v>
      </c>
      <c r="F570" s="1" t="str">
        <f>IFERROR(__xludf.DUMMYFUNCTION("""COMPUTED_VALUE"""),"ANGIE EVELYN ")</f>
        <v>ANGIE EVELYN </v>
      </c>
      <c r="G570" s="1" t="str">
        <f>IFERROR(__xludf.DUMMYFUNCTION("""COMPUTED_VALUE"""),"ALLCCACO INCA")</f>
        <v>ALLCCACO INCA</v>
      </c>
      <c r="H570" s="1" t="str">
        <f>IFERROR(__xludf.DUMMYFUNCTION("""COMPUTED_VALUE"""),"Diseño Gráfico Publicitario")</f>
        <v>Diseño Gráfico Publicitario</v>
      </c>
      <c r="I570" s="1" t="str">
        <f>IFERROR(__xludf.DUMMYFUNCTION("""COMPUTED_VALUE"""),"Pago Link")</f>
        <v>Pago Link</v>
      </c>
      <c r="J570" s="1" t="str">
        <f>IFERROR(__xludf.DUMMYFUNCTION("""COMPUTED_VALUE"""),"Diurno")</f>
        <v>Diurno</v>
      </c>
      <c r="K570" s="1" t="str">
        <f>IFERROR(__xludf.DUMMYFUNCTION("""COMPUTED_VALUE"""),"NUEVO")</f>
        <v>NUEVO</v>
      </c>
      <c r="L570" s="1">
        <f>IFERROR(__xludf.DUMMYFUNCTION("""COMPUTED_VALUE"""),0.0)</f>
        <v>0</v>
      </c>
      <c r="M570" s="1">
        <f>IFERROR(__xludf.DUMMYFUNCTION("""COMPUTED_VALUE"""),0.0)</f>
        <v>0</v>
      </c>
      <c r="N570" s="1" t="str">
        <f>IFERROR(__xludf.DUMMYFUNCTION("""COMPUTED_VALUE"""),"BECA")</f>
        <v>BECA</v>
      </c>
      <c r="O570" s="1" t="str">
        <f>IFERROR(__xludf.DUMMYFUNCTION("""COMPUTED_VALUE"""),"BECA CARRERAS CORE")</f>
        <v>BECA CARRERAS CORE</v>
      </c>
      <c r="P570" s="4">
        <f>IFERROR(__xludf.DUMMYFUNCTION("""COMPUTED_VALUE"""),125.0)</f>
        <v>125</v>
      </c>
      <c r="Q570" s="4">
        <f>IFERROR(__xludf.DUMMYFUNCTION("""COMPUTED_VALUE"""),237.5)</f>
        <v>237.5</v>
      </c>
      <c r="R570" s="4">
        <f>IFERROR(__xludf.DUMMYFUNCTION("""COMPUTED_VALUE"""),1250.0)</f>
        <v>1250</v>
      </c>
      <c r="S570" s="4">
        <f>IFERROR(__xludf.DUMMYFUNCTION("""COMPUTED_VALUE"""),1050.0)</f>
        <v>1050</v>
      </c>
      <c r="T570" s="1" t="str">
        <f>IFERROR(__xludf.DUMMYFUNCTION("""COMPUTED_VALUE"""),"PALANCA 500")</f>
        <v>PALANCA 500</v>
      </c>
      <c r="U570" s="1" t="str">
        <f>IFERROR(__xludf.DUMMYFUNCTION("""COMPUTED_VALUE"""),"FABIOLA")</f>
        <v>FABIOLA</v>
      </c>
      <c r="V570" s="1" t="str">
        <f>IFERROR(__xludf.DUMMYFUNCTION("""COMPUTED_VALUE"""),"Ninguno")</f>
        <v>Ninguno</v>
      </c>
      <c r="W570" s="1" t="str">
        <f>IFERROR(__xludf.DUMMYFUNCTION("""COMPUTED_VALUE"""),"Prestigio de la institución")</f>
        <v>Prestigio de la institución</v>
      </c>
      <c r="X570" s="1" t="str">
        <f>IFERROR(__xludf.DUMMYFUNCTION("""COMPUTED_VALUE"""),"0")</f>
        <v>0</v>
      </c>
      <c r="Y570" s="1" t="str">
        <f>IFERROR(__xludf.DUMMYFUNCTION("""COMPUTED_VALUE"""),"PAGO COMPLETO")</f>
        <v>PAGO COMPLETO</v>
      </c>
      <c r="Z570" s="1"/>
      <c r="AA570" s="1"/>
      <c r="AB570" s="1">
        <f>IFERROR(__xludf.DUMMYFUNCTION("""COMPUTED_VALUE"""),0.0)</f>
        <v>0</v>
      </c>
      <c r="AC570" s="1">
        <f>IFERROR(__xludf.DUMMYFUNCTION("""COMPUTED_VALUE"""),0.0)</f>
        <v>0</v>
      </c>
      <c r="AD570" s="1" t="str">
        <f>IFERROR(__xludf.DUMMYFUNCTION("""COMPUTED_VALUE"""),"Andrea Araujo Antara")</f>
        <v>Andrea Araujo Antara</v>
      </c>
      <c r="AE570" s="1" t="str">
        <f>IFERROR(__xludf.DUMMYFUNCTION("""COMPUTED_VALUE"""),"0")</f>
        <v>0</v>
      </c>
      <c r="AF570" s="1">
        <f>IFERROR(__xludf.DUMMYFUNCTION("""COMPUTED_VALUE"""),2019.0)</f>
        <v>2019</v>
      </c>
      <c r="AG570" s="1">
        <f>IFERROR(__xludf.DUMMYFUNCTION("""COMPUTED_VALUE"""),901413.0)</f>
        <v>901413</v>
      </c>
      <c r="AH570" s="1">
        <f>IFERROR(__xludf.DUMMYFUNCTION("""COMPUTED_VALUE"""),23.0)</f>
        <v>23</v>
      </c>
      <c r="AI570" s="1" t="str">
        <f>IFERROR(__xludf.DUMMYFUNCTION("""COMPUTED_VALUE"""),"0000023646")</f>
        <v>0000023646</v>
      </c>
      <c r="AJ570" s="1">
        <f>IFERROR(__xludf.DUMMYFUNCTION("""COMPUTED_VALUE"""),7.2555621E7)</f>
        <v>72555621</v>
      </c>
      <c r="AK570" s="1">
        <f>IFERROR(__xludf.DUMMYFUNCTION("""COMPUTED_VALUE"""),9.77616281E8)</f>
        <v>977616281</v>
      </c>
      <c r="AL570" s="1" t="str">
        <f>IFERROR(__xludf.DUMMYFUNCTION("""COMPUTED_VALUE"""),"angieallccaco@gmail.com")</f>
        <v>angieallccaco@gmail.com</v>
      </c>
      <c r="AM570" s="1" t="str">
        <f>IFERROR(__xludf.DUMMYFUNCTION("""COMPUTED_VALUE"""),"FEMENINO")</f>
        <v>FEMENINO</v>
      </c>
      <c r="AN570" s="1">
        <f>IFERROR(__xludf.DUMMYFUNCTION("""COMPUTED_VALUE"""),1775.0)</f>
        <v>1775</v>
      </c>
      <c r="AO570" s="1">
        <f>IFERROR(__xludf.DUMMYFUNCTION("""COMPUTED_VALUE"""),510.0)</f>
        <v>510</v>
      </c>
      <c r="AP570" s="1" t="str">
        <f>IFERROR(__xludf.DUMMYFUNCTION("""COMPUTED_VALUE"""),"INBOUND")</f>
        <v>INBOUND</v>
      </c>
      <c r="AQ570" s="1" t="str">
        <f>IFERROR(__xludf.DUMMYFUNCTION("""COMPUTED_VALUE"""),"INBOUND")</f>
        <v>INBOUND</v>
      </c>
      <c r="AR570" s="1" t="str">
        <f>IFERROR(__xludf.DUMMYFUNCTION("""COMPUTED_VALUE"""),"HEREDADO")</f>
        <v>HEREDADO</v>
      </c>
      <c r="AS570" s="1"/>
      <c r="AT570" s="2">
        <f>IFERROR(__xludf.DUMMYFUNCTION("""COMPUTED_VALUE"""),45722.0)</f>
        <v>45722</v>
      </c>
      <c r="AU570" s="1">
        <f>IFERROR(__xludf.DUMMYFUNCTION("""COMPUTED_VALUE"""),1.0)</f>
        <v>1</v>
      </c>
      <c r="AV570" s="1" t="str">
        <f>IFERROR(__xludf.DUMMYFUNCTION("""COMPUTED_VALUE"""),"NUEVO")</f>
        <v>NUEVO</v>
      </c>
      <c r="AW570" s="1" t="str">
        <f>IFERROR(__xludf.DUMMYFUNCTION("""COMPUTED_VALUE"""),"SI")</f>
        <v>SI</v>
      </c>
      <c r="AX570" s="1"/>
      <c r="AY570" s="1" t="str">
        <f>IFERROR(__xludf.DUMMYFUNCTION("""COMPUTED_VALUE"""),"PAGO COMPLETO")</f>
        <v>PAGO COMPLETO</v>
      </c>
      <c r="AZ570" s="5">
        <f>IFERROR(__xludf.DUMMYFUNCTION("""COMPUTED_VALUE"""),45723.0)</f>
        <v>45723</v>
      </c>
      <c r="BA570" s="1">
        <f>IFERROR(__xludf.DUMMYFUNCTION("""COMPUTED_VALUE"""),0.0)</f>
        <v>0</v>
      </c>
      <c r="BB570" s="1">
        <f>IFERROR(__xludf.DUMMYFUNCTION("""COMPUTED_VALUE"""),0.0)</f>
        <v>0</v>
      </c>
      <c r="BC570" s="4">
        <f>IFERROR(__xludf.DUMMYFUNCTION("""COMPUTED_VALUE"""),0.0)</f>
        <v>0</v>
      </c>
      <c r="BD570" s="4">
        <f>IFERROR(__xludf.DUMMYFUNCTION("""COMPUTED_VALUE"""),550.0)</f>
        <v>550</v>
      </c>
      <c r="BE570" s="1">
        <f>IFERROR(__xludf.DUMMYFUNCTION("""COMPUTED_VALUE"""),3.0)</f>
        <v>3</v>
      </c>
      <c r="BF570" s="6">
        <f>IFERROR(__xludf.DUMMYFUNCTION("""COMPUTED_VALUE"""),1.0)</f>
        <v>1</v>
      </c>
      <c r="BG570" s="1">
        <f>IFERROR(__xludf.DUMMYFUNCTION("""COMPUTED_VALUE"""),1.0)</f>
        <v>1</v>
      </c>
      <c r="BH570" s="1" t="str">
        <f>IFERROR(__xludf.DUMMYFUNCTION("""COMPUTED_VALUE"""),"0")</f>
        <v>0</v>
      </c>
      <c r="BI570" s="4">
        <f>IFERROR(__xludf.DUMMYFUNCTION("""COMPUTED_VALUE"""),550.0)</f>
        <v>550</v>
      </c>
      <c r="BJ570" s="1">
        <f>IFERROR(__xludf.DUMMYFUNCTION("""COMPUTED_VALUE"""),0.0)</f>
        <v>0</v>
      </c>
      <c r="BK570" s="4">
        <f>IFERROR(__xludf.DUMMYFUNCTION("""COMPUTED_VALUE"""),550.0)</f>
        <v>550</v>
      </c>
      <c r="BL570" s="1">
        <f>IFERROR(__xludf.DUMMYFUNCTION("""COMPUTED_VALUE"""),940.0)</f>
        <v>940</v>
      </c>
      <c r="BM570" s="1">
        <f>IFERROR(__xludf.DUMMYFUNCTION("""COMPUTED_VALUE"""),10.0)</f>
        <v>10</v>
      </c>
      <c r="BN570" s="2">
        <f>IFERROR(__xludf.DUMMYFUNCTION("""COMPUTED_VALUE"""),45719.0)</f>
        <v>45719</v>
      </c>
      <c r="BO570" s="1">
        <f>IFERROR(__xludf.DUMMYFUNCTION("""COMPUTED_VALUE"""),3.0)</f>
        <v>3</v>
      </c>
      <c r="BP570" s="1">
        <f>IFERROR(__xludf.DUMMYFUNCTION("""COMPUTED_VALUE"""),2025.0)</f>
        <v>2025</v>
      </c>
    </row>
    <row r="571">
      <c r="A571" s="1">
        <f>IFERROR(__xludf.DUMMYFUNCTION("""COMPUTED_VALUE"""),570.0)</f>
        <v>570</v>
      </c>
      <c r="B571" s="1">
        <f>IFERROR(__xludf.DUMMYFUNCTION("""COMPUTED_VALUE"""),4577694.0)</f>
        <v>4577694</v>
      </c>
      <c r="C571" s="1" t="str">
        <f>IFERROR(__xludf.DUMMYFUNCTION("""COMPUTED_VALUE"""),"2025-1")</f>
        <v>2025-1</v>
      </c>
      <c r="D571" s="1" t="str">
        <f>IFERROR(__xludf.DUMMYFUNCTION("""COMPUTED_VALUE"""),"Admisión Ordinaria")</f>
        <v>Admisión Ordinaria</v>
      </c>
      <c r="E571" s="2">
        <f>IFERROR(__xludf.DUMMYFUNCTION("""COMPUTED_VALUE"""),45723.0)</f>
        <v>45723</v>
      </c>
      <c r="F571" s="1" t="str">
        <f>IFERROR(__xludf.DUMMYFUNCTION("""COMPUTED_VALUE"""),"ALEJANDRO RAFAEL")</f>
        <v>ALEJANDRO RAFAEL</v>
      </c>
      <c r="G571" s="1" t="str">
        <f>IFERROR(__xludf.DUMMYFUNCTION("""COMPUTED_VALUE"""),"JIMENEZ ALEJOS")</f>
        <v>JIMENEZ ALEJOS</v>
      </c>
      <c r="H571" s="1" t="str">
        <f>IFERROR(__xludf.DUMMYFUNCTION("""COMPUTED_VALUE"""),"Comunicación Audiovisual y Cine")</f>
        <v>Comunicación Audiovisual y Cine</v>
      </c>
      <c r="I571" s="1" t="str">
        <f>IFERROR(__xludf.DUMMYFUNCTION("""COMPUTED_VALUE"""),"POS")</f>
        <v>POS</v>
      </c>
      <c r="J571" s="1" t="str">
        <f>IFERROR(__xludf.DUMMYFUNCTION("""COMPUTED_VALUE"""),"Diurno")</f>
        <v>Diurno</v>
      </c>
      <c r="K571" s="1" t="str">
        <f>IFERROR(__xludf.DUMMYFUNCTION("""COMPUTED_VALUE"""),"NUEVO")</f>
        <v>NUEVO</v>
      </c>
      <c r="L571" s="1">
        <f>IFERROR(__xludf.DUMMYFUNCTION("""COMPUTED_VALUE"""),0.0)</f>
        <v>0</v>
      </c>
      <c r="M571" s="1">
        <f>IFERROR(__xludf.DUMMYFUNCTION("""COMPUTED_VALUE"""),0.0)</f>
        <v>0</v>
      </c>
      <c r="N571" s="1" t="str">
        <f>IFERROR(__xludf.DUMMYFUNCTION("""COMPUTED_VALUE"""),"ESCALA REGULAR")</f>
        <v>ESCALA REGULAR</v>
      </c>
      <c r="O571" s="1" t="str">
        <f>IFERROR(__xludf.DUMMYFUNCTION("""COMPUTED_VALUE"""),"ESCALA  REG. CONGELADA 2 AÑOS")</f>
        <v>ESCALA  REG. CONGELADA 2 AÑOS</v>
      </c>
      <c r="P571" s="4">
        <f>IFERROR(__xludf.DUMMYFUNCTION("""COMPUTED_VALUE"""),125.0)</f>
        <v>125</v>
      </c>
      <c r="Q571" s="4">
        <f>IFERROR(__xludf.DUMMYFUNCTION("""COMPUTED_VALUE"""),237.5)</f>
        <v>237.5</v>
      </c>
      <c r="R571" s="4">
        <f>IFERROR(__xludf.DUMMYFUNCTION("""COMPUTED_VALUE"""),1300.0)</f>
        <v>1300</v>
      </c>
      <c r="S571" s="4">
        <f>IFERROR(__xludf.DUMMYFUNCTION("""COMPUTED_VALUE"""),1300.0)</f>
        <v>1300</v>
      </c>
      <c r="T571" s="1" t="str">
        <f>IFERROR(__xludf.DUMMYFUNCTION("""COMPUTED_VALUE"""),"PALANCA 500")</f>
        <v>PALANCA 500</v>
      </c>
      <c r="U571" s="1" t="str">
        <f>IFERROR(__xludf.DUMMYFUNCTION("""COMPUTED_VALUE"""),"FABIOLA")</f>
        <v>FABIOLA</v>
      </c>
      <c r="V571" s="1" t="str">
        <f>IFERROR(__xludf.DUMMYFUNCTION("""COMPUTED_VALUE"""),"Ninguno")</f>
        <v>Ninguno</v>
      </c>
      <c r="W571" s="1" t="str">
        <f>IFERROR(__xludf.DUMMYFUNCTION("""COMPUTED_VALUE"""),"Metodología de enseñanza")</f>
        <v>Metodología de enseñanza</v>
      </c>
      <c r="X571" s="1"/>
      <c r="Y571" s="1" t="str">
        <f>IFERROR(__xludf.DUMMYFUNCTION("""COMPUTED_VALUE"""),"PAGO COMPLETO")</f>
        <v>PAGO COMPLETO</v>
      </c>
      <c r="Z571" s="1"/>
      <c r="AA571" s="1"/>
      <c r="AB571" s="1">
        <f>IFERROR(__xludf.DUMMYFUNCTION("""COMPUTED_VALUE"""),0.0)</f>
        <v>0</v>
      </c>
      <c r="AC571" s="1">
        <f>IFERROR(__xludf.DUMMYFUNCTION("""COMPUTED_VALUE"""),0.0)</f>
        <v>0</v>
      </c>
      <c r="AD571" s="1" t="str">
        <f>IFERROR(__xludf.DUMMYFUNCTION("""COMPUTED_VALUE"""),"Fiorella Lanegra")</f>
        <v>Fiorella Lanegra</v>
      </c>
      <c r="AE571" s="1" t="str">
        <f>IFERROR(__xludf.DUMMYFUNCTION("""COMPUTED_VALUE"""),"0")</f>
        <v>0</v>
      </c>
      <c r="AF571" s="1">
        <f>IFERROR(__xludf.DUMMYFUNCTION("""COMPUTED_VALUE"""),2024.0)</f>
        <v>2024</v>
      </c>
      <c r="AG571" s="1">
        <f>IFERROR(__xludf.DUMMYFUNCTION("""COMPUTED_VALUE"""),1082973.0)</f>
        <v>1082973</v>
      </c>
      <c r="AH571" s="1">
        <f>IFERROR(__xludf.DUMMYFUNCTION("""COMPUTED_VALUE"""),18.0)</f>
        <v>18</v>
      </c>
      <c r="AI571" s="1" t="str">
        <f>IFERROR(__xludf.DUMMYFUNCTION("""COMPUTED_VALUE"""),"0000418306")</f>
        <v>0000418306</v>
      </c>
      <c r="AJ571" s="1">
        <f>IFERROR(__xludf.DUMMYFUNCTION("""COMPUTED_VALUE"""),7.1146677E7)</f>
        <v>71146677</v>
      </c>
      <c r="AK571" s="1">
        <f>IFERROR(__xludf.DUMMYFUNCTION("""COMPUTED_VALUE"""),9.53119553E8)</f>
        <v>953119553</v>
      </c>
      <c r="AL571" s="1" t="str">
        <f>IFERROR(__xludf.DUMMYFUNCTION("""COMPUTED_VALUE"""),"alejandrojimenezalejos2712@gmail.com")</f>
        <v>alejandrojimenezalejos2712@gmail.com</v>
      </c>
      <c r="AM571" s="1" t="str">
        <f>IFERROR(__xludf.DUMMYFUNCTION("""COMPUTED_VALUE"""),"MASCULINO")</f>
        <v>MASCULINO</v>
      </c>
      <c r="AN571" s="1">
        <f>IFERROR(__xludf.DUMMYFUNCTION("""COMPUTED_VALUE"""),1350.0)</f>
        <v>1350</v>
      </c>
      <c r="AO571" s="1">
        <f>IFERROR(__xludf.DUMMYFUNCTION("""COMPUTED_VALUE"""),0.0)</f>
        <v>0</v>
      </c>
      <c r="AP571" s="1" t="str">
        <f>IFERROR(__xludf.DUMMYFUNCTION("""COMPUTED_VALUE"""),"COLEGIOS")</f>
        <v>COLEGIOS</v>
      </c>
      <c r="AQ571" s="1" t="str">
        <f>IFERROR(__xludf.DUMMYFUNCTION("""COMPUTED_VALUE"""),"COLEGIOS")</f>
        <v>COLEGIOS</v>
      </c>
      <c r="AR571" s="1" t="str">
        <f>IFERROR(__xludf.DUMMYFUNCTION("""COMPUTED_VALUE"""),"NUEVO")</f>
        <v>NUEVO</v>
      </c>
      <c r="AS571" s="1"/>
      <c r="AT571" s="2">
        <f>IFERROR(__xludf.DUMMYFUNCTION("""COMPUTED_VALUE"""),45545.0)</f>
        <v>45545</v>
      </c>
      <c r="AU571" s="1">
        <f>IFERROR(__xludf.DUMMYFUNCTION("""COMPUTED_VALUE"""),1.0)</f>
        <v>1</v>
      </c>
      <c r="AV571" s="1" t="str">
        <f>IFERROR(__xludf.DUMMYFUNCTION("""COMPUTED_VALUE"""),"NUEVO")</f>
        <v>NUEVO</v>
      </c>
      <c r="AW571" s="1" t="str">
        <f>IFERROR(__xludf.DUMMYFUNCTION("""COMPUTED_VALUE"""),"SI")</f>
        <v>SI</v>
      </c>
      <c r="AX571" s="1"/>
      <c r="AY571" s="1" t="str">
        <f>IFERROR(__xludf.DUMMYFUNCTION("""COMPUTED_VALUE"""),"PAGO COMPLETO")</f>
        <v>PAGO COMPLETO</v>
      </c>
      <c r="AZ571" s="5">
        <f>IFERROR(__xludf.DUMMYFUNCTION("""COMPUTED_VALUE"""),45723.0)</f>
        <v>45723</v>
      </c>
      <c r="BA571" s="1">
        <f>IFERROR(__xludf.DUMMYFUNCTION("""COMPUTED_VALUE"""),0.0)</f>
        <v>0</v>
      </c>
      <c r="BB571" s="1">
        <f>IFERROR(__xludf.DUMMYFUNCTION("""COMPUTED_VALUE"""),0.0)</f>
        <v>0</v>
      </c>
      <c r="BC571" s="4">
        <f>IFERROR(__xludf.DUMMYFUNCTION("""COMPUTED_VALUE"""),0.0)</f>
        <v>0</v>
      </c>
      <c r="BD571" s="4">
        <f>IFERROR(__xludf.DUMMYFUNCTION("""COMPUTED_VALUE"""),800.0)</f>
        <v>800</v>
      </c>
      <c r="BE571" s="1">
        <f>IFERROR(__xludf.DUMMYFUNCTION("""COMPUTED_VALUE"""),3.0)</f>
        <v>3</v>
      </c>
      <c r="BF571" s="6">
        <f>IFERROR(__xludf.DUMMYFUNCTION("""COMPUTED_VALUE"""),1.0)</f>
        <v>1</v>
      </c>
      <c r="BG571" s="1">
        <f>IFERROR(__xludf.DUMMYFUNCTION("""COMPUTED_VALUE"""),1.0)</f>
        <v>1</v>
      </c>
      <c r="BH571" s="1" t="str">
        <f>IFERROR(__xludf.DUMMYFUNCTION("""COMPUTED_VALUE"""),"0")</f>
        <v>0</v>
      </c>
      <c r="BI571" s="4">
        <f>IFERROR(__xludf.DUMMYFUNCTION("""COMPUTED_VALUE"""),800.0)</f>
        <v>800</v>
      </c>
      <c r="BJ571" s="1">
        <f>IFERROR(__xludf.DUMMYFUNCTION("""COMPUTED_VALUE"""),0.0)</f>
        <v>0</v>
      </c>
      <c r="BK571" s="4">
        <f>IFERROR(__xludf.DUMMYFUNCTION("""COMPUTED_VALUE"""),800.0)</f>
        <v>800</v>
      </c>
      <c r="BL571" s="1">
        <f>IFERROR(__xludf.DUMMYFUNCTION("""COMPUTED_VALUE"""),1140.0)</f>
        <v>1140</v>
      </c>
      <c r="BM571" s="1">
        <f>IFERROR(__xludf.DUMMYFUNCTION("""COMPUTED_VALUE"""),10.0)</f>
        <v>10</v>
      </c>
      <c r="BN571" s="2">
        <f>IFERROR(__xludf.DUMMYFUNCTION("""COMPUTED_VALUE"""),45719.0)</f>
        <v>45719</v>
      </c>
      <c r="BO571" s="1">
        <f>IFERROR(__xludf.DUMMYFUNCTION("""COMPUTED_VALUE"""),3.0)</f>
        <v>3</v>
      </c>
      <c r="BP571" s="1">
        <f>IFERROR(__xludf.DUMMYFUNCTION("""COMPUTED_VALUE"""),2025.0)</f>
        <v>2025</v>
      </c>
    </row>
    <row r="572">
      <c r="A572" s="1">
        <f>IFERROR(__xludf.DUMMYFUNCTION("""COMPUTED_VALUE"""),571.0)</f>
        <v>571</v>
      </c>
      <c r="B572" s="1">
        <f>IFERROR(__xludf.DUMMYFUNCTION("""COMPUTED_VALUE"""),1854703.0)</f>
        <v>1854703</v>
      </c>
      <c r="C572" s="1" t="str">
        <f>IFERROR(__xludf.DUMMYFUNCTION("""COMPUTED_VALUE"""),"2025-1")</f>
        <v>2025-1</v>
      </c>
      <c r="D572" s="1" t="str">
        <f>IFERROR(__xludf.DUMMYFUNCTION("""COMPUTED_VALUE"""),"Admisión Ordinaria")</f>
        <v>Admisión Ordinaria</v>
      </c>
      <c r="E572" s="2">
        <f>IFERROR(__xludf.DUMMYFUNCTION("""COMPUTED_VALUE"""),45723.0)</f>
        <v>45723</v>
      </c>
      <c r="F572" s="1" t="str">
        <f>IFERROR(__xludf.DUMMYFUNCTION("""COMPUTED_VALUE"""),"SABYEL STEPHANIE ")</f>
        <v>SABYEL STEPHANIE </v>
      </c>
      <c r="G572" s="1" t="str">
        <f>IFERROR(__xludf.DUMMYFUNCTION("""COMPUTED_VALUE"""),"MAQUERA CASTELLARES")</f>
        <v>MAQUERA CASTELLARES</v>
      </c>
      <c r="H572" s="1" t="str">
        <f>IFERROR(__xludf.DUMMYFUNCTION("""COMPUTED_VALUE"""),"Diseño Gráfico Publicitario")</f>
        <v>Diseño Gráfico Publicitario</v>
      </c>
      <c r="I572" s="1" t="str">
        <f>IFERROR(__xludf.DUMMYFUNCTION("""COMPUTED_VALUE"""),"CARGO")</f>
        <v>CARGO</v>
      </c>
      <c r="J572" s="1" t="str">
        <f>IFERROR(__xludf.DUMMYFUNCTION("""COMPUTED_VALUE"""),"Diurno")</f>
        <v>Diurno</v>
      </c>
      <c r="K572" s="1" t="str">
        <f>IFERROR(__xludf.DUMMYFUNCTION("""COMPUTED_VALUE"""),"NUEVO")</f>
        <v>NUEVO</v>
      </c>
      <c r="L572" s="1">
        <f>IFERROR(__xludf.DUMMYFUNCTION("""COMPUTED_VALUE"""),0.0)</f>
        <v>0</v>
      </c>
      <c r="M572" s="1">
        <f>IFERROR(__xludf.DUMMYFUNCTION("""COMPUTED_VALUE"""),0.0)</f>
        <v>0</v>
      </c>
      <c r="N572" s="1" t="str">
        <f>IFERROR(__xludf.DUMMYFUNCTION("""COMPUTED_VALUE"""),"BECA")</f>
        <v>BECA</v>
      </c>
      <c r="O572" s="1" t="str">
        <f>IFERROR(__xludf.DUMMYFUNCTION("""COMPUTED_VALUE"""),"BECA CARRERAS CORE")</f>
        <v>BECA CARRERAS CORE</v>
      </c>
      <c r="P572" s="4">
        <f>IFERROR(__xludf.DUMMYFUNCTION("""COMPUTED_VALUE"""),125.0)</f>
        <v>125</v>
      </c>
      <c r="Q572" s="4">
        <f>IFERROR(__xludf.DUMMYFUNCTION("""COMPUTED_VALUE"""),237.5)</f>
        <v>237.5</v>
      </c>
      <c r="R572" s="4">
        <f>IFERROR(__xludf.DUMMYFUNCTION("""COMPUTED_VALUE"""),1200.0)</f>
        <v>1200</v>
      </c>
      <c r="S572" s="4">
        <f>IFERROR(__xludf.DUMMYFUNCTION("""COMPUTED_VALUE"""),1050.0)</f>
        <v>1050</v>
      </c>
      <c r="T572" s="1" t="str">
        <f>IFERROR(__xludf.DUMMYFUNCTION("""COMPUTED_VALUE"""),"PALANCA 500")</f>
        <v>PALANCA 500</v>
      </c>
      <c r="U572" s="1" t="str">
        <f>IFERROR(__xludf.DUMMYFUNCTION("""COMPUTED_VALUE"""),"RODRIGO")</f>
        <v>RODRIGO</v>
      </c>
      <c r="V572" s="1" t="str">
        <f>IFERROR(__xludf.DUMMYFUNCTION("""COMPUTED_VALUE"""),"Ninguno")</f>
        <v>Ninguno</v>
      </c>
      <c r="W572" s="1" t="str">
        <f>IFERROR(__xludf.DUMMYFUNCTION("""COMPUTED_VALUE"""),"Ubicación de sede")</f>
        <v>Ubicación de sede</v>
      </c>
      <c r="X572" s="1" t="str">
        <f>IFERROR(__xludf.DUMMYFUNCTION("""COMPUTED_VALUE"""),"0")</f>
        <v>0</v>
      </c>
      <c r="Y572" s="1" t="str">
        <f>IFERROR(__xludf.DUMMYFUNCTION("""COMPUTED_VALUE"""),"PAGO COMPLETO")</f>
        <v>PAGO COMPLETO</v>
      </c>
      <c r="Z572" s="1"/>
      <c r="AA572" s="1"/>
      <c r="AB572" s="1">
        <f>IFERROR(__xludf.DUMMYFUNCTION("""COMPUTED_VALUE"""),0.0)</f>
        <v>0</v>
      </c>
      <c r="AC572" s="1">
        <f>IFERROR(__xludf.DUMMYFUNCTION("""COMPUTED_VALUE"""),0.0)</f>
        <v>0</v>
      </c>
      <c r="AD572" s="1" t="str">
        <f>IFERROR(__xludf.DUMMYFUNCTION("""COMPUTED_VALUE"""),"Andrea Araujo Antara")</f>
        <v>Andrea Araujo Antara</v>
      </c>
      <c r="AE572" s="1" t="str">
        <f>IFERROR(__xludf.DUMMYFUNCTION("""COMPUTED_VALUE"""),"0")</f>
        <v>0</v>
      </c>
      <c r="AF572" s="1">
        <f>IFERROR(__xludf.DUMMYFUNCTION("""COMPUTED_VALUE"""),2022.0)</f>
        <v>2022</v>
      </c>
      <c r="AG572" s="1">
        <f>IFERROR(__xludf.DUMMYFUNCTION("""COMPUTED_VALUE"""),1066513.0)</f>
        <v>1066513</v>
      </c>
      <c r="AH572" s="1">
        <f>IFERROR(__xludf.DUMMYFUNCTION("""COMPUTED_VALUE"""),20.0)</f>
        <v>20</v>
      </c>
      <c r="AI572" s="1" t="str">
        <f>IFERROR(__xludf.DUMMYFUNCTION("""COMPUTED_VALUE"""),"0000418254")</f>
        <v>0000418254</v>
      </c>
      <c r="AJ572" s="1">
        <f>IFERROR(__xludf.DUMMYFUNCTION("""COMPUTED_VALUE"""),7.6015873E7)</f>
        <v>76015873</v>
      </c>
      <c r="AK572" s="1">
        <f>IFERROR(__xludf.DUMMYFUNCTION("""COMPUTED_VALUE"""),9.43514258E8)</f>
        <v>943514258</v>
      </c>
      <c r="AL572" s="1" t="str">
        <f>IFERROR(__xludf.DUMMYFUNCTION("""COMPUTED_VALUE"""),"sabymcastellares@gmail.com")</f>
        <v>sabymcastellares@gmail.com</v>
      </c>
      <c r="AM572" s="1" t="str">
        <f>IFERROR(__xludf.DUMMYFUNCTION("""COMPUTED_VALUE"""),"FEMENINO")</f>
        <v>FEMENINO</v>
      </c>
      <c r="AN572" s="1">
        <f>IFERROR(__xludf.DUMMYFUNCTION("""COMPUTED_VALUE"""),1775.0)</f>
        <v>1775</v>
      </c>
      <c r="AO572" s="1">
        <f>IFERROR(__xludf.DUMMYFUNCTION("""COMPUTED_VALUE"""),500.0)</f>
        <v>500</v>
      </c>
      <c r="AP572" s="1" t="str">
        <f>IFERROR(__xludf.DUMMYFUNCTION("""COMPUTED_VALUE"""),"FORMULARIO")</f>
        <v>FORMULARIO</v>
      </c>
      <c r="AQ572" s="1" t="str">
        <f>IFERROR(__xludf.DUMMYFUNCTION("""COMPUTED_VALUE"""),"SEARCH MARCA")</f>
        <v>SEARCH MARCA</v>
      </c>
      <c r="AR572" s="1" t="str">
        <f>IFERROR(__xludf.DUMMYFUNCTION("""COMPUTED_VALUE"""),"HEREDADO")</f>
        <v>HEREDADO</v>
      </c>
      <c r="AS572" s="1" t="str">
        <f>IFERROR(__xludf.DUMMYFUNCTION("""COMPUTED_VALUE"""),"ucal-pg-performance-sedes-abierta-cpl-search_conversion_marca_carreras-20240702")</f>
        <v>ucal-pg-performance-sedes-abierta-cpl-search_conversion_marca_carreras-20240702</v>
      </c>
      <c r="AT572" s="2">
        <f>IFERROR(__xludf.DUMMYFUNCTION("""COMPUTED_VALUE"""),45722.0)</f>
        <v>45722</v>
      </c>
      <c r="AU572" s="1">
        <f>IFERROR(__xludf.DUMMYFUNCTION("""COMPUTED_VALUE"""),1.0)</f>
        <v>1</v>
      </c>
      <c r="AV572" s="1" t="str">
        <f>IFERROR(__xludf.DUMMYFUNCTION("""COMPUTED_VALUE"""),"NUEVO")</f>
        <v>NUEVO</v>
      </c>
      <c r="AW572" s="1" t="str">
        <f>IFERROR(__xludf.DUMMYFUNCTION("""COMPUTED_VALUE"""),"SI")</f>
        <v>SI</v>
      </c>
      <c r="AX572" s="1"/>
      <c r="AY572" s="1" t="str">
        <f>IFERROR(__xludf.DUMMYFUNCTION("""COMPUTED_VALUE"""),"PAGO COMPLETO")</f>
        <v>PAGO COMPLETO</v>
      </c>
      <c r="AZ572" s="5">
        <f>IFERROR(__xludf.DUMMYFUNCTION("""COMPUTED_VALUE"""),45723.0)</f>
        <v>45723</v>
      </c>
      <c r="BA572" s="1">
        <f>IFERROR(__xludf.DUMMYFUNCTION("""COMPUTED_VALUE"""),0.0)</f>
        <v>0</v>
      </c>
      <c r="BB572" s="1">
        <f>IFERROR(__xludf.DUMMYFUNCTION("""COMPUTED_VALUE"""),0.0)</f>
        <v>0</v>
      </c>
      <c r="BC572" s="4">
        <f>IFERROR(__xludf.DUMMYFUNCTION("""COMPUTED_VALUE"""),0.0)</f>
        <v>0</v>
      </c>
      <c r="BD572" s="4">
        <f>IFERROR(__xludf.DUMMYFUNCTION("""COMPUTED_VALUE"""),550.0)</f>
        <v>550</v>
      </c>
      <c r="BE572" s="1">
        <f>IFERROR(__xludf.DUMMYFUNCTION("""COMPUTED_VALUE"""),3.0)</f>
        <v>3</v>
      </c>
      <c r="BF572" s="6">
        <f>IFERROR(__xludf.DUMMYFUNCTION("""COMPUTED_VALUE"""),1.0)</f>
        <v>1</v>
      </c>
      <c r="BG572" s="1">
        <f>IFERROR(__xludf.DUMMYFUNCTION("""COMPUTED_VALUE"""),1.0)</f>
        <v>1</v>
      </c>
      <c r="BH572" s="1" t="str">
        <f>IFERROR(__xludf.DUMMYFUNCTION("""COMPUTED_VALUE"""),"0")</f>
        <v>0</v>
      </c>
      <c r="BI572" s="4">
        <f>IFERROR(__xludf.DUMMYFUNCTION("""COMPUTED_VALUE"""),550.0)</f>
        <v>550</v>
      </c>
      <c r="BJ572" s="1">
        <f>IFERROR(__xludf.DUMMYFUNCTION("""COMPUTED_VALUE"""),0.0)</f>
        <v>0</v>
      </c>
      <c r="BK572" s="4">
        <f>IFERROR(__xludf.DUMMYFUNCTION("""COMPUTED_VALUE"""),550.0)</f>
        <v>550</v>
      </c>
      <c r="BL572" s="1">
        <f>IFERROR(__xludf.DUMMYFUNCTION("""COMPUTED_VALUE"""),940.0)</f>
        <v>940</v>
      </c>
      <c r="BM572" s="1">
        <f>IFERROR(__xludf.DUMMYFUNCTION("""COMPUTED_VALUE"""),10.0)</f>
        <v>10</v>
      </c>
      <c r="BN572" s="2">
        <f>IFERROR(__xludf.DUMMYFUNCTION("""COMPUTED_VALUE"""),45719.0)</f>
        <v>45719</v>
      </c>
      <c r="BO572" s="1">
        <f>IFERROR(__xludf.DUMMYFUNCTION("""COMPUTED_VALUE"""),3.0)</f>
        <v>3</v>
      </c>
      <c r="BP572" s="1">
        <f>IFERROR(__xludf.DUMMYFUNCTION("""COMPUTED_VALUE"""),2025.0)</f>
        <v>2025</v>
      </c>
    </row>
    <row r="573">
      <c r="A573" s="1">
        <f>IFERROR(__xludf.DUMMYFUNCTION("""COMPUTED_VALUE"""),572.0)</f>
        <v>572</v>
      </c>
      <c r="B573" s="1">
        <f>IFERROR(__xludf.DUMMYFUNCTION("""COMPUTED_VALUE"""),4537511.0)</f>
        <v>4537511</v>
      </c>
      <c r="C573" s="1" t="str">
        <f>IFERROR(__xludf.DUMMYFUNCTION("""COMPUTED_VALUE"""),"2025-1")</f>
        <v>2025-1</v>
      </c>
      <c r="D573" s="1" t="str">
        <f>IFERROR(__xludf.DUMMYFUNCTION("""COMPUTED_VALUE"""),"Admisión de Alto Rendimiento")</f>
        <v>Admisión de Alto Rendimiento</v>
      </c>
      <c r="E573" s="2">
        <f>IFERROR(__xludf.DUMMYFUNCTION("""COMPUTED_VALUE"""),45723.0)</f>
        <v>45723</v>
      </c>
      <c r="F573" s="1" t="str">
        <f>IFERROR(__xludf.DUMMYFUNCTION("""COMPUTED_VALUE"""),"ZAYURI NICOL")</f>
        <v>ZAYURI NICOL</v>
      </c>
      <c r="G573" s="1" t="str">
        <f>IFERROR(__xludf.DUMMYFUNCTION("""COMPUTED_VALUE"""),"SERRANO CHOQUE")</f>
        <v>SERRANO CHOQUE</v>
      </c>
      <c r="H573" s="1" t="str">
        <f>IFERROR(__xludf.DUMMYFUNCTION("""COMPUTED_VALUE"""),"Comunicación Audiovisual y Cine")</f>
        <v>Comunicación Audiovisual y Cine</v>
      </c>
      <c r="I573" s="1" t="str">
        <f>IFERROR(__xludf.DUMMYFUNCTION("""COMPUTED_VALUE"""),"CARGO")</f>
        <v>CARGO</v>
      </c>
      <c r="J573" s="1" t="str">
        <f>IFERROR(__xludf.DUMMYFUNCTION("""COMPUTED_VALUE"""),"Diurno")</f>
        <v>Diurno</v>
      </c>
      <c r="K573" s="1" t="str">
        <f>IFERROR(__xludf.DUMMYFUNCTION("""COMPUTED_VALUE"""),"NUEVO")</f>
        <v>NUEVO</v>
      </c>
      <c r="L573" s="1">
        <f>IFERROR(__xludf.DUMMYFUNCTION("""COMPUTED_VALUE"""),0.0)</f>
        <v>0</v>
      </c>
      <c r="M573" s="1">
        <f>IFERROR(__xludf.DUMMYFUNCTION("""COMPUTED_VALUE"""),0.0)</f>
        <v>0</v>
      </c>
      <c r="N573" s="1" t="str">
        <f>IFERROR(__xludf.DUMMYFUNCTION("""COMPUTED_VALUE"""),"BECA")</f>
        <v>BECA</v>
      </c>
      <c r="O573" s="1" t="str">
        <f>IFERROR(__xludf.DUMMYFUNCTION("""COMPUTED_VALUE"""),"BECA RECUPERO")</f>
        <v>BECA RECUPERO</v>
      </c>
      <c r="P573" s="4">
        <f>IFERROR(__xludf.DUMMYFUNCTION("""COMPUTED_VALUE"""),100.0)</f>
        <v>100</v>
      </c>
      <c r="Q573" s="4">
        <f>IFERROR(__xludf.DUMMYFUNCTION("""COMPUTED_VALUE"""),250.0)</f>
        <v>250</v>
      </c>
      <c r="R573" s="4">
        <f>IFERROR(__xludf.DUMMYFUNCTION("""COMPUTED_VALUE"""),950.0)</f>
        <v>950</v>
      </c>
      <c r="S573" s="4">
        <f>IFERROR(__xludf.DUMMYFUNCTION("""COMPUTED_VALUE"""),800.0)</f>
        <v>800</v>
      </c>
      <c r="T573" s="1" t="str">
        <f>IFERROR(__xludf.DUMMYFUNCTION("""COMPUTED_VALUE"""),"Reconocemos tu primera boleta")</f>
        <v>Reconocemos tu primera boleta</v>
      </c>
      <c r="U573" s="1" t="str">
        <f>IFERROR(__xludf.DUMMYFUNCTION("""COMPUTED_VALUE"""),"FABIOLA")</f>
        <v>FABIOLA</v>
      </c>
      <c r="V573" s="1" t="str">
        <f>IFERROR(__xludf.DUMMYFUNCTION("""COMPUTED_VALUE"""),"Ninguno")</f>
        <v>Ninguno</v>
      </c>
      <c r="W573" s="1" t="str">
        <f>IFERROR(__xludf.DUMMYFUNCTION("""COMPUTED_VALUE"""),"Malla curricular")</f>
        <v>Malla curricular</v>
      </c>
      <c r="X573" s="1" t="str">
        <f>IFERROR(__xludf.DUMMYFUNCTION("""COMPUTED_VALUE"""),"pagó en TLS su boleta ")</f>
        <v>pagó en TLS su boleta </v>
      </c>
      <c r="Y573" s="1" t="str">
        <f>IFERROR(__xludf.DUMMYFUNCTION("""COMPUTED_VALUE"""),"PAGO COMPLETO")</f>
        <v>PAGO COMPLETO</v>
      </c>
      <c r="Z573" s="1"/>
      <c r="AA573" s="1"/>
      <c r="AB573" s="1">
        <f>IFERROR(__xludf.DUMMYFUNCTION("""COMPUTED_VALUE"""),1.0)</f>
        <v>1</v>
      </c>
      <c r="AC573" s="1">
        <f>IFERROR(__xludf.DUMMYFUNCTION("""COMPUTED_VALUE"""),0.0)</f>
        <v>0</v>
      </c>
      <c r="AD573" s="1" t="str">
        <f>IFERROR(__xludf.DUMMYFUNCTION("""COMPUTED_VALUE"""),"Angelica Iparraguirre")</f>
        <v>Angelica Iparraguirre</v>
      </c>
      <c r="AE573" s="1" t="str">
        <f>IFERROR(__xludf.DUMMYFUNCTION("""COMPUTED_VALUE"""),"0")</f>
        <v>0</v>
      </c>
      <c r="AF573" s="1">
        <f>IFERROR(__xludf.DUMMYFUNCTION("""COMPUTED_VALUE"""),2024.0)</f>
        <v>2024</v>
      </c>
      <c r="AG573" s="1">
        <f>IFERROR(__xludf.DUMMYFUNCTION("""COMPUTED_VALUE"""),340349.0)</f>
        <v>340349</v>
      </c>
      <c r="AH573" s="1">
        <f>IFERROR(__xludf.DUMMYFUNCTION("""COMPUTED_VALUE"""),19.0)</f>
        <v>19</v>
      </c>
      <c r="AI573" s="1" t="str">
        <f>IFERROR(__xludf.DUMMYFUNCTION("""COMPUTED_VALUE"""),"0000417001")</f>
        <v>0000417001</v>
      </c>
      <c r="AJ573" s="1">
        <f>IFERROR(__xludf.DUMMYFUNCTION("""COMPUTED_VALUE"""),6.078131E7)</f>
        <v>60781310</v>
      </c>
      <c r="AK573" s="1">
        <f>IFERROR(__xludf.DUMMYFUNCTION("""COMPUTED_VALUE"""),9.80480581E8)</f>
        <v>980480581</v>
      </c>
      <c r="AL573" s="1" t="str">
        <f>IFERROR(__xludf.DUMMYFUNCTION("""COMPUTED_VALUE"""),"nicolserranochoque@gmail.com")</f>
        <v>nicolserranochoque@gmail.com</v>
      </c>
      <c r="AM573" s="1" t="str">
        <f>IFERROR(__xludf.DUMMYFUNCTION("""COMPUTED_VALUE"""),"FEMENINO")</f>
        <v>FEMENINO</v>
      </c>
      <c r="AN573" s="1">
        <f>IFERROR(__xludf.DUMMYFUNCTION("""COMPUTED_VALUE"""),0.0)</f>
        <v>0</v>
      </c>
      <c r="AO573" s="1">
        <f>IFERROR(__xludf.DUMMYFUNCTION("""COMPUTED_VALUE"""),0.0)</f>
        <v>0</v>
      </c>
      <c r="AP573" s="1" t="str">
        <f>IFERROR(__xludf.DUMMYFUNCTION("""COMPUTED_VALUE"""),"BIDIRECCIONAL")</f>
        <v>BIDIRECCIONAL</v>
      </c>
      <c r="AQ573" s="1" t="str">
        <f>IFERROR(__xludf.DUMMYFUNCTION("""COMPUTED_VALUE"""),"ORGANICO")</f>
        <v>ORGANICO</v>
      </c>
      <c r="AR573" s="1" t="str">
        <f>IFERROR(__xludf.DUMMYFUNCTION("""COMPUTED_VALUE"""),"NUEVO")</f>
        <v>NUEVO</v>
      </c>
      <c r="AS573" s="1"/>
      <c r="AT573" s="2">
        <f>IFERROR(__xludf.DUMMYFUNCTION("""COMPUTED_VALUE"""),45720.0)</f>
        <v>45720</v>
      </c>
      <c r="AU573" s="1">
        <f>IFERROR(__xludf.DUMMYFUNCTION("""COMPUTED_VALUE"""),1.0)</f>
        <v>1</v>
      </c>
      <c r="AV573" s="1" t="str">
        <f>IFERROR(__xludf.DUMMYFUNCTION("""COMPUTED_VALUE"""),"NUEVO")</f>
        <v>NUEVO</v>
      </c>
      <c r="AW573" s="1" t="str">
        <f>IFERROR(__xludf.DUMMYFUNCTION("""COMPUTED_VALUE"""),"SI")</f>
        <v>SI</v>
      </c>
      <c r="AX573" s="1"/>
      <c r="AY573" s="1" t="str">
        <f>IFERROR(__xludf.DUMMYFUNCTION("""COMPUTED_VALUE"""),"PAGO COMPLETO")</f>
        <v>PAGO COMPLETO</v>
      </c>
      <c r="AZ573" s="5">
        <f>IFERROR(__xludf.DUMMYFUNCTION("""COMPUTED_VALUE"""),45723.0)</f>
        <v>45723</v>
      </c>
      <c r="BA573" s="1">
        <f>IFERROR(__xludf.DUMMYFUNCTION("""COMPUTED_VALUE"""),0.0)</f>
        <v>0</v>
      </c>
      <c r="BB573" s="1">
        <f>IFERROR(__xludf.DUMMYFUNCTION("""COMPUTED_VALUE"""),0.0)</f>
        <v>0</v>
      </c>
      <c r="BC573" s="4">
        <f>IFERROR(__xludf.DUMMYFUNCTION("""COMPUTED_VALUE"""),0.0)</f>
        <v>0</v>
      </c>
      <c r="BD573" s="4">
        <f>IFERROR(__xludf.DUMMYFUNCTION("""COMPUTED_VALUE"""),800.0)</f>
        <v>800</v>
      </c>
      <c r="BE573" s="1">
        <f>IFERROR(__xludf.DUMMYFUNCTION("""COMPUTED_VALUE"""),3.0)</f>
        <v>3</v>
      </c>
      <c r="BF573" s="6">
        <f>IFERROR(__xludf.DUMMYFUNCTION("""COMPUTED_VALUE"""),1.0)</f>
        <v>1</v>
      </c>
      <c r="BG573" s="1"/>
      <c r="BH573" s="1" t="str">
        <f>IFERROR(__xludf.DUMMYFUNCTION("""COMPUTED_VALUE"""),"0")</f>
        <v>0</v>
      </c>
      <c r="BI573" s="4">
        <f>IFERROR(__xludf.DUMMYFUNCTION("""COMPUTED_VALUE"""),800.0)</f>
        <v>800</v>
      </c>
      <c r="BJ573" s="1">
        <f>IFERROR(__xludf.DUMMYFUNCTION("""COMPUTED_VALUE"""),0.0)</f>
        <v>0</v>
      </c>
      <c r="BK573" s="4">
        <f>IFERROR(__xludf.DUMMYFUNCTION("""COMPUTED_VALUE"""),800.0)</f>
        <v>800</v>
      </c>
      <c r="BL573" s="1">
        <f>IFERROR(__xludf.DUMMYFUNCTION("""COMPUTED_VALUE"""),640.0)</f>
        <v>640</v>
      </c>
      <c r="BM573" s="1">
        <f>IFERROR(__xludf.DUMMYFUNCTION("""COMPUTED_VALUE"""),10.0)</f>
        <v>10</v>
      </c>
      <c r="BN573" s="2">
        <f>IFERROR(__xludf.DUMMYFUNCTION("""COMPUTED_VALUE"""),45719.0)</f>
        <v>45719</v>
      </c>
      <c r="BO573" s="1">
        <f>IFERROR(__xludf.DUMMYFUNCTION("""COMPUTED_VALUE"""),3.0)</f>
        <v>3</v>
      </c>
      <c r="BP573" s="1">
        <f>IFERROR(__xludf.DUMMYFUNCTION("""COMPUTED_VALUE"""),2025.0)</f>
        <v>2025</v>
      </c>
    </row>
    <row r="574">
      <c r="A574" s="1">
        <f>IFERROR(__xludf.DUMMYFUNCTION("""COMPUTED_VALUE"""),573.0)</f>
        <v>573</v>
      </c>
      <c r="B574" s="1">
        <f>IFERROR(__xludf.DUMMYFUNCTION("""COMPUTED_VALUE"""),4718022.0)</f>
        <v>4718022</v>
      </c>
      <c r="C574" s="1" t="str">
        <f>IFERROR(__xludf.DUMMYFUNCTION("""COMPUTED_VALUE"""),"2025-1")</f>
        <v>2025-1</v>
      </c>
      <c r="D574" s="1" t="str">
        <f>IFERROR(__xludf.DUMMYFUNCTION("""COMPUTED_VALUE"""),"Admisión Ordinaria")</f>
        <v>Admisión Ordinaria</v>
      </c>
      <c r="E574" s="2">
        <f>IFERROR(__xludf.DUMMYFUNCTION("""COMPUTED_VALUE"""),45723.0)</f>
        <v>45723</v>
      </c>
      <c r="F574" s="1" t="str">
        <f>IFERROR(__xludf.DUMMYFUNCTION("""COMPUTED_VALUE"""),"ELSA PATRICIA ")</f>
        <v>ELSA PATRICIA </v>
      </c>
      <c r="G574" s="1" t="str">
        <f>IFERROR(__xludf.DUMMYFUNCTION("""COMPUTED_VALUE"""),"CRISOSTOMO HUAYTA")</f>
        <v>CRISOSTOMO HUAYTA</v>
      </c>
      <c r="H574" s="1" t="str">
        <f>IFERROR(__xludf.DUMMYFUNCTION("""COMPUTED_VALUE"""),"Psicología")</f>
        <v>Psicología</v>
      </c>
      <c r="I574" s="1" t="str">
        <f>IFERROR(__xludf.DUMMYFUNCTION("""COMPUTED_VALUE"""),"CARGO")</f>
        <v>CARGO</v>
      </c>
      <c r="J574" s="1" t="str">
        <f>IFERROR(__xludf.DUMMYFUNCTION("""COMPUTED_VALUE"""),"Nocturno - A distancia")</f>
        <v>Nocturno - A distancia</v>
      </c>
      <c r="K574" s="1" t="str">
        <f>IFERROR(__xludf.DUMMYFUNCTION("""COMPUTED_VALUE"""),"NUEVO")</f>
        <v>NUEVO</v>
      </c>
      <c r="L574" s="1">
        <f>IFERROR(__xludf.DUMMYFUNCTION("""COMPUTED_VALUE"""),0.0)</f>
        <v>0</v>
      </c>
      <c r="M574" s="1">
        <f>IFERROR(__xludf.DUMMYFUNCTION("""COMPUTED_VALUE"""),0.0)</f>
        <v>0</v>
      </c>
      <c r="N574" s="1" t="str">
        <f>IFERROR(__xludf.DUMMYFUNCTION("""COMPUTED_VALUE"""),"BECA")</f>
        <v>BECA</v>
      </c>
      <c r="O574" s="1" t="str">
        <f>IFERROR(__xludf.DUMMYFUNCTION("""COMPUTED_VALUE"""),"BECA CARRERAS NUEVAS")</f>
        <v>BECA CARRERAS NUEVAS</v>
      </c>
      <c r="P574" s="4">
        <f>IFERROR(__xludf.DUMMYFUNCTION("""COMPUTED_VALUE"""),0.0)</f>
        <v>0</v>
      </c>
      <c r="Q574" s="4">
        <f>IFERROR(__xludf.DUMMYFUNCTION("""COMPUTED_VALUE"""),0.0)</f>
        <v>0</v>
      </c>
      <c r="R574" s="4">
        <f>IFERROR(__xludf.DUMMYFUNCTION("""COMPUTED_VALUE"""),750.0)</f>
        <v>750</v>
      </c>
      <c r="S574" s="4">
        <f>IFERROR(__xludf.DUMMYFUNCTION("""COMPUTED_VALUE"""),750.0)</f>
        <v>750</v>
      </c>
      <c r="T574" s="1" t="str">
        <f>IFERROR(__xludf.DUMMYFUNCTION("""COMPUTED_VALUE"""),"NINGUNO")</f>
        <v>NINGUNO</v>
      </c>
      <c r="U574" s="1" t="str">
        <f>IFERROR(__xludf.DUMMYFUNCTION("""COMPUTED_VALUE"""),"FABIOLA")</f>
        <v>FABIOLA</v>
      </c>
      <c r="V574" s="1" t="str">
        <f>IFERROR(__xludf.DUMMYFUNCTION("""COMPUTED_VALUE"""),"Ninguno")</f>
        <v>Ninguno</v>
      </c>
      <c r="W574" s="1" t="str">
        <f>IFERROR(__xludf.DUMMYFUNCTION("""COMPUTED_VALUE"""),"Beca")</f>
        <v>Beca</v>
      </c>
      <c r="X574" s="1" t="str">
        <f>IFERROR(__xludf.DUMMYFUNCTION("""COMPUTED_VALUE"""),"0")</f>
        <v>0</v>
      </c>
      <c r="Y574" s="1" t="str">
        <f>IFERROR(__xludf.DUMMYFUNCTION("""COMPUTED_VALUE"""),"PAGO COMPLETO")</f>
        <v>PAGO COMPLETO</v>
      </c>
      <c r="Z574" s="1"/>
      <c r="AA574" s="1"/>
      <c r="AB574" s="1">
        <f>IFERROR(__xludf.DUMMYFUNCTION("""COMPUTED_VALUE"""),0.0)</f>
        <v>0</v>
      </c>
      <c r="AC574" s="1">
        <f>IFERROR(__xludf.DUMMYFUNCTION("""COMPUTED_VALUE"""),0.0)</f>
        <v>0</v>
      </c>
      <c r="AD574" s="1" t="str">
        <f>IFERROR(__xludf.DUMMYFUNCTION("""COMPUTED_VALUE"""),"Andrea Araujo Antara")</f>
        <v>Andrea Araujo Antara</v>
      </c>
      <c r="AE574" s="1" t="str">
        <f>IFERROR(__xludf.DUMMYFUNCTION("""COMPUTED_VALUE"""),"0")</f>
        <v>0</v>
      </c>
      <c r="AF574" s="1">
        <f>IFERROR(__xludf.DUMMYFUNCTION("""COMPUTED_VALUE"""),2020.0)</f>
        <v>2020</v>
      </c>
      <c r="AG574" s="1">
        <f>IFERROR(__xludf.DUMMYFUNCTION("""COMPUTED_VALUE"""),0.0)</f>
        <v>0</v>
      </c>
      <c r="AH574" s="1">
        <f>IFERROR(__xludf.DUMMYFUNCTION("""COMPUTED_VALUE"""),29.0)</f>
        <v>29</v>
      </c>
      <c r="AI574" s="1" t="str">
        <f>IFERROR(__xludf.DUMMYFUNCTION("""COMPUTED_VALUE"""),"0000418272")</f>
        <v>0000418272</v>
      </c>
      <c r="AJ574" s="1">
        <f>IFERROR(__xludf.DUMMYFUNCTION("""COMPUTED_VALUE"""),7.4927017E7)</f>
        <v>74927017</v>
      </c>
      <c r="AK574" s="1">
        <f>IFERROR(__xludf.DUMMYFUNCTION("""COMPUTED_VALUE"""),9.22937811E8)</f>
        <v>922937811</v>
      </c>
      <c r="AL574" s="1" t="str">
        <f>IFERROR(__xludf.DUMMYFUNCTION("""COMPUTED_VALUE"""),"phattycrisht@gmail.com")</f>
        <v>phattycrisht@gmail.com</v>
      </c>
      <c r="AM574" s="1" t="str">
        <f>IFERROR(__xludf.DUMMYFUNCTION("""COMPUTED_VALUE"""),"FEMENINO")</f>
        <v>FEMENINO</v>
      </c>
      <c r="AN574" s="1">
        <f>IFERROR(__xludf.DUMMYFUNCTION("""COMPUTED_VALUE"""),1350.0)</f>
        <v>1350</v>
      </c>
      <c r="AO574" s="1">
        <f>IFERROR(__xludf.DUMMYFUNCTION("""COMPUTED_VALUE"""),0.0)</f>
        <v>0</v>
      </c>
      <c r="AP574" s="1" t="str">
        <f>IFERROR(__xludf.DUMMYFUNCTION("""COMPUTED_VALUE"""),"BIDIRECCIONAL")</f>
        <v>BIDIRECCIONAL</v>
      </c>
      <c r="AQ574" s="1" t="str">
        <f>IFERROR(__xludf.DUMMYFUNCTION("""COMPUTED_VALUE"""),"ORGANICO")</f>
        <v>ORGANICO</v>
      </c>
      <c r="AR574" s="1" t="str">
        <f>IFERROR(__xludf.DUMMYFUNCTION("""COMPUTED_VALUE"""),"NUEVO")</f>
        <v>NUEVO</v>
      </c>
      <c r="AS574" s="1"/>
      <c r="AT574" s="2">
        <f>IFERROR(__xludf.DUMMYFUNCTION("""COMPUTED_VALUE"""),45572.0)</f>
        <v>45572</v>
      </c>
      <c r="AU574" s="1">
        <f>IFERROR(__xludf.DUMMYFUNCTION("""COMPUTED_VALUE"""),1.0)</f>
        <v>1</v>
      </c>
      <c r="AV574" s="1" t="str">
        <f>IFERROR(__xludf.DUMMYFUNCTION("""COMPUTED_VALUE"""),"NUEVO")</f>
        <v>NUEVO</v>
      </c>
      <c r="AW574" s="1" t="str">
        <f>IFERROR(__xludf.DUMMYFUNCTION("""COMPUTED_VALUE"""),"SI")</f>
        <v>SI</v>
      </c>
      <c r="AX574" s="1"/>
      <c r="AY574" s="1" t="str">
        <f>IFERROR(__xludf.DUMMYFUNCTION("""COMPUTED_VALUE"""),"PAGO COMPLETO")</f>
        <v>PAGO COMPLETO</v>
      </c>
      <c r="AZ574" s="5">
        <f>IFERROR(__xludf.DUMMYFUNCTION("""COMPUTED_VALUE"""),45723.0)</f>
        <v>45723</v>
      </c>
      <c r="BA574" s="1">
        <f>IFERROR(__xludf.DUMMYFUNCTION("""COMPUTED_VALUE"""),0.0)</f>
        <v>0</v>
      </c>
      <c r="BB574" s="1">
        <f>IFERROR(__xludf.DUMMYFUNCTION("""COMPUTED_VALUE"""),0.0)</f>
        <v>0</v>
      </c>
      <c r="BC574" s="4">
        <f>IFERROR(__xludf.DUMMYFUNCTION("""COMPUTED_VALUE"""),0.0)</f>
        <v>0</v>
      </c>
      <c r="BD574" s="4">
        <f>IFERROR(__xludf.DUMMYFUNCTION("""COMPUTED_VALUE"""),0.0)</f>
        <v>0</v>
      </c>
      <c r="BE574" s="1">
        <f>IFERROR(__xludf.DUMMYFUNCTION("""COMPUTED_VALUE"""),3.0)</f>
        <v>3</v>
      </c>
      <c r="BF574" s="6">
        <f>IFERROR(__xludf.DUMMYFUNCTION("""COMPUTED_VALUE"""),1.0)</f>
        <v>1</v>
      </c>
      <c r="BG574" s="1">
        <f>IFERROR(__xludf.DUMMYFUNCTION("""COMPUTED_VALUE"""),1.0)</f>
        <v>1</v>
      </c>
      <c r="BH574" s="1" t="str">
        <f>IFERROR(__xludf.DUMMYFUNCTION("""COMPUTED_VALUE"""),"0")</f>
        <v>0</v>
      </c>
      <c r="BI574" s="4">
        <f>IFERROR(__xludf.DUMMYFUNCTION("""COMPUTED_VALUE"""),0.0)</f>
        <v>0</v>
      </c>
      <c r="BJ574" s="1">
        <f>IFERROR(__xludf.DUMMYFUNCTION("""COMPUTED_VALUE"""),0.0)</f>
        <v>0</v>
      </c>
      <c r="BK574" s="4">
        <f>IFERROR(__xludf.DUMMYFUNCTION("""COMPUTED_VALUE"""),0.0)</f>
        <v>0</v>
      </c>
      <c r="BL574" s="1">
        <f>IFERROR(__xludf.DUMMYFUNCTION("""COMPUTED_VALUE"""),750.0)</f>
        <v>750</v>
      </c>
      <c r="BM574" s="1">
        <f>IFERROR(__xludf.DUMMYFUNCTION("""COMPUTED_VALUE"""),10.0)</f>
        <v>10</v>
      </c>
      <c r="BN574" s="2">
        <f>IFERROR(__xludf.DUMMYFUNCTION("""COMPUTED_VALUE"""),45719.0)</f>
        <v>45719</v>
      </c>
      <c r="BO574" s="1">
        <f>IFERROR(__xludf.DUMMYFUNCTION("""COMPUTED_VALUE"""),3.0)</f>
        <v>3</v>
      </c>
      <c r="BP574" s="1">
        <f>IFERROR(__xludf.DUMMYFUNCTION("""COMPUTED_VALUE"""),2025.0)</f>
        <v>2025</v>
      </c>
    </row>
    <row r="575">
      <c r="A575" s="1">
        <f>IFERROR(__xludf.DUMMYFUNCTION("""COMPUTED_VALUE"""),574.0)</f>
        <v>574</v>
      </c>
      <c r="B575" s="1">
        <f>IFERROR(__xludf.DUMMYFUNCTION("""COMPUTED_VALUE"""),5066420.0)</f>
        <v>5066420</v>
      </c>
      <c r="C575" s="1" t="str">
        <f>IFERROR(__xludf.DUMMYFUNCTION("""COMPUTED_VALUE"""),"2025-1")</f>
        <v>2025-1</v>
      </c>
      <c r="D575" s="1" t="str">
        <f>IFERROR(__xludf.DUMMYFUNCTION("""COMPUTED_VALUE"""),"Admisión Ordinaria")</f>
        <v>Admisión Ordinaria</v>
      </c>
      <c r="E575" s="2">
        <f>IFERROR(__xludf.DUMMYFUNCTION("""COMPUTED_VALUE"""),45723.0)</f>
        <v>45723</v>
      </c>
      <c r="F575" s="1" t="str">
        <f>IFERROR(__xludf.DUMMYFUNCTION("""COMPUTED_VALUE"""),"JOSE MATEO ")</f>
        <v>JOSE MATEO </v>
      </c>
      <c r="G575" s="1" t="str">
        <f>IFERROR(__xludf.DUMMYFUNCTION("""COMPUTED_VALUE"""),"SORIA GRANADOS")</f>
        <v>SORIA GRANADOS</v>
      </c>
      <c r="H575" s="1" t="str">
        <f>IFERROR(__xludf.DUMMYFUNCTION("""COMPUTED_VALUE"""),"Administración y Marketing")</f>
        <v>Administración y Marketing</v>
      </c>
      <c r="I575" s="1" t="str">
        <f>IFERROR(__xludf.DUMMYFUNCTION("""COMPUTED_VALUE"""),"Pago Link")</f>
        <v>Pago Link</v>
      </c>
      <c r="J575" s="1" t="str">
        <f>IFERROR(__xludf.DUMMYFUNCTION("""COMPUTED_VALUE"""),"Diurno")</f>
        <v>Diurno</v>
      </c>
      <c r="K575" s="1" t="str">
        <f>IFERROR(__xludf.DUMMYFUNCTION("""COMPUTED_VALUE"""),"NUEVO")</f>
        <v>NUEVO</v>
      </c>
      <c r="L575" s="1">
        <f>IFERROR(__xludf.DUMMYFUNCTION("""COMPUTED_VALUE"""),0.0)</f>
        <v>0</v>
      </c>
      <c r="M575" s="1">
        <f>IFERROR(__xludf.DUMMYFUNCTION("""COMPUTED_VALUE"""),0.0)</f>
        <v>0</v>
      </c>
      <c r="N575" s="1" t="str">
        <f>IFERROR(__xludf.DUMMYFUNCTION("""COMPUTED_VALUE"""),"RECA")</f>
        <v>RECA</v>
      </c>
      <c r="O575" s="1" t="str">
        <f>IFERROR(__xludf.DUMMYFUNCTION("""COMPUTED_VALUE"""),"RECATEGORIZACIÓN")</f>
        <v>RECATEGORIZACIÓN</v>
      </c>
      <c r="P575" s="4">
        <f>IFERROR(__xludf.DUMMYFUNCTION("""COMPUTED_VALUE"""),125.0)</f>
        <v>125</v>
      </c>
      <c r="Q575" s="4">
        <f>IFERROR(__xludf.DUMMYFUNCTION("""COMPUTED_VALUE"""),237.5)</f>
        <v>237.5</v>
      </c>
      <c r="R575" s="4">
        <f>IFERROR(__xludf.DUMMYFUNCTION("""COMPUTED_VALUE"""),1000.0)</f>
        <v>1000</v>
      </c>
      <c r="S575" s="4">
        <f>IFERROR(__xludf.DUMMYFUNCTION("""COMPUTED_VALUE"""),1000.0)</f>
        <v>1000</v>
      </c>
      <c r="T575" s="1" t="str">
        <f>IFERROR(__xludf.DUMMYFUNCTION("""COMPUTED_VALUE"""),"PALANCA 500")</f>
        <v>PALANCA 500</v>
      </c>
      <c r="U575" s="1" t="str">
        <f>IFERROR(__xludf.DUMMYFUNCTION("""COMPUTED_VALUE"""),"RODRIGO")</f>
        <v>RODRIGO</v>
      </c>
      <c r="V575" s="1" t="str">
        <f>IFERROR(__xludf.DUMMYFUNCTION("""COMPUTED_VALUE"""),"Ninguno")</f>
        <v>Ninguno</v>
      </c>
      <c r="W575" s="1" t="str">
        <f>IFERROR(__xludf.DUMMYFUNCTION("""COMPUTED_VALUE"""),"Metodología de enseñanza")</f>
        <v>Metodología de enseñanza</v>
      </c>
      <c r="X575" s="1"/>
      <c r="Y575" s="1" t="str">
        <f>IFERROR(__xludf.DUMMYFUNCTION("""COMPUTED_VALUE"""),"PAGO COMPLETO")</f>
        <v>PAGO COMPLETO</v>
      </c>
      <c r="Z575" s="1"/>
      <c r="AA575" s="1"/>
      <c r="AB575" s="1">
        <f>IFERROR(__xludf.DUMMYFUNCTION("""COMPUTED_VALUE"""),0.0)</f>
        <v>0</v>
      </c>
      <c r="AC575" s="1">
        <f>IFERROR(__xludf.DUMMYFUNCTION("""COMPUTED_VALUE"""),0.0)</f>
        <v>0</v>
      </c>
      <c r="AD575" s="1" t="str">
        <f>IFERROR(__xludf.DUMMYFUNCTION("""COMPUTED_VALUE"""),"Ingrid Guillermo Rivera")</f>
        <v>Ingrid Guillermo Rivera</v>
      </c>
      <c r="AE575" s="1" t="str">
        <f>IFERROR(__xludf.DUMMYFUNCTION("""COMPUTED_VALUE"""),"0")</f>
        <v>0</v>
      </c>
      <c r="AF575" s="1">
        <f>IFERROR(__xludf.DUMMYFUNCTION("""COMPUTED_VALUE"""),2021.0)</f>
        <v>2021</v>
      </c>
      <c r="AG575" s="1">
        <f>IFERROR(__xludf.DUMMYFUNCTION("""COMPUTED_VALUE"""),828319.0)</f>
        <v>828319</v>
      </c>
      <c r="AH575" s="1">
        <f>IFERROR(__xludf.DUMMYFUNCTION("""COMPUTED_VALUE"""),1.0)</f>
        <v>1</v>
      </c>
      <c r="AI575" s="1" t="str">
        <f>IFERROR(__xludf.DUMMYFUNCTION("""COMPUTED_VALUE"""),"0000418346")</f>
        <v>0000418346</v>
      </c>
      <c r="AJ575" s="1">
        <f>IFERROR(__xludf.DUMMYFUNCTION("""COMPUTED_VALUE"""),7.6418897E7)</f>
        <v>76418897</v>
      </c>
      <c r="AK575" s="1">
        <f>IFERROR(__xludf.DUMMYFUNCTION("""COMPUTED_VALUE"""),9.99261564E8)</f>
        <v>999261564</v>
      </c>
      <c r="AL575" s="1" t="str">
        <f>IFERROR(__xludf.DUMMYFUNCTION("""COMPUTED_VALUE"""),"jsoriae20@gmail.com")</f>
        <v>jsoriae20@gmail.com</v>
      </c>
      <c r="AM575" s="1" t="str">
        <f>IFERROR(__xludf.DUMMYFUNCTION("""COMPUTED_VALUE"""),"MASCULINO")</f>
        <v>MASCULINO</v>
      </c>
      <c r="AN575" s="1">
        <f>IFERROR(__xludf.DUMMYFUNCTION("""COMPUTED_VALUE"""),1775.0)</f>
        <v>1775</v>
      </c>
      <c r="AO575" s="1">
        <f>IFERROR(__xludf.DUMMYFUNCTION("""COMPUTED_VALUE"""),350.0)</f>
        <v>350</v>
      </c>
      <c r="AP575" s="1" t="str">
        <f>IFERROR(__xludf.DUMMYFUNCTION("""COMPUTED_VALUE"""),"BIDIRECCIONAL")</f>
        <v>BIDIRECCIONAL</v>
      </c>
      <c r="AQ575" s="1" t="str">
        <f>IFERROR(__xludf.DUMMYFUNCTION("""COMPUTED_VALUE"""),"SEARCH CARRERA")</f>
        <v>SEARCH CARRERA</v>
      </c>
      <c r="AR575" s="1" t="str">
        <f>IFERROR(__xludf.DUMMYFUNCTION("""COMPUTED_VALUE"""),"HEREDADO")</f>
        <v>HEREDADO</v>
      </c>
      <c r="AS575" s="1" t="str">
        <f>IFERROR(__xludf.DUMMYFUNCTION("""COMPUTED_VALUE"""),"ucal-pg-performance-sedes-abierta-cpl-search_conversion_carrera_marketing_e_innovacion-20250220")</f>
        <v>ucal-pg-performance-sedes-abierta-cpl-search_conversion_carrera_marketing_e_innovacion-20250220</v>
      </c>
      <c r="AT575" s="2">
        <f>IFERROR(__xludf.DUMMYFUNCTION("""COMPUTED_VALUE"""),45722.0)</f>
        <v>45722</v>
      </c>
      <c r="AU575" s="1">
        <f>IFERROR(__xludf.DUMMYFUNCTION("""COMPUTED_VALUE"""),1.0)</f>
        <v>1</v>
      </c>
      <c r="AV575" s="1" t="str">
        <f>IFERROR(__xludf.DUMMYFUNCTION("""COMPUTED_VALUE"""),"NUEVO")</f>
        <v>NUEVO</v>
      </c>
      <c r="AW575" s="1" t="str">
        <f>IFERROR(__xludf.DUMMYFUNCTION("""COMPUTED_VALUE"""),"SI")</f>
        <v>SI</v>
      </c>
      <c r="AX575" s="1"/>
      <c r="AY575" s="1" t="str">
        <f>IFERROR(__xludf.DUMMYFUNCTION("""COMPUTED_VALUE"""),"PAGO COMPLETO")</f>
        <v>PAGO COMPLETO</v>
      </c>
      <c r="AZ575" s="5">
        <f>IFERROR(__xludf.DUMMYFUNCTION("""COMPUTED_VALUE"""),45723.0)</f>
        <v>45723</v>
      </c>
      <c r="BA575" s="1">
        <f>IFERROR(__xludf.DUMMYFUNCTION("""COMPUTED_VALUE"""),0.0)</f>
        <v>0</v>
      </c>
      <c r="BB575" s="1">
        <f>IFERROR(__xludf.DUMMYFUNCTION("""COMPUTED_VALUE"""),0.0)</f>
        <v>0</v>
      </c>
      <c r="BC575" s="4">
        <f>IFERROR(__xludf.DUMMYFUNCTION("""COMPUTED_VALUE"""),0.0)</f>
        <v>0</v>
      </c>
      <c r="BD575" s="4">
        <f>IFERROR(__xludf.DUMMYFUNCTION("""COMPUTED_VALUE"""),500.0)</f>
        <v>500</v>
      </c>
      <c r="BE575" s="1">
        <f>IFERROR(__xludf.DUMMYFUNCTION("""COMPUTED_VALUE"""),3.0)</f>
        <v>3</v>
      </c>
      <c r="BF575" s="6">
        <f>IFERROR(__xludf.DUMMYFUNCTION("""COMPUTED_VALUE"""),1.0)</f>
        <v>1</v>
      </c>
      <c r="BG575" s="1">
        <f>IFERROR(__xludf.DUMMYFUNCTION("""COMPUTED_VALUE"""),1.0)</f>
        <v>1</v>
      </c>
      <c r="BH575" s="1" t="str">
        <f>IFERROR(__xludf.DUMMYFUNCTION("""COMPUTED_VALUE"""),"0")</f>
        <v>0</v>
      </c>
      <c r="BI575" s="4">
        <f>IFERROR(__xludf.DUMMYFUNCTION("""COMPUTED_VALUE"""),500.0)</f>
        <v>500</v>
      </c>
      <c r="BJ575" s="1">
        <f>IFERROR(__xludf.DUMMYFUNCTION("""COMPUTED_VALUE"""),0.0)</f>
        <v>0</v>
      </c>
      <c r="BK575" s="4">
        <f>IFERROR(__xludf.DUMMYFUNCTION("""COMPUTED_VALUE"""),500.0)</f>
        <v>500</v>
      </c>
      <c r="BL575" s="1">
        <f>IFERROR(__xludf.DUMMYFUNCTION("""COMPUTED_VALUE"""),900.0)</f>
        <v>900</v>
      </c>
      <c r="BM575" s="1">
        <f>IFERROR(__xludf.DUMMYFUNCTION("""COMPUTED_VALUE"""),10.0)</f>
        <v>10</v>
      </c>
      <c r="BN575" s="2">
        <f>IFERROR(__xludf.DUMMYFUNCTION("""COMPUTED_VALUE"""),45719.0)</f>
        <v>45719</v>
      </c>
      <c r="BO575" s="1">
        <f>IFERROR(__xludf.DUMMYFUNCTION("""COMPUTED_VALUE"""),3.0)</f>
        <v>3</v>
      </c>
      <c r="BP575" s="1">
        <f>IFERROR(__xludf.DUMMYFUNCTION("""COMPUTED_VALUE"""),2025.0)</f>
        <v>2025</v>
      </c>
    </row>
    <row r="576">
      <c r="A576" s="1">
        <f>IFERROR(__xludf.DUMMYFUNCTION("""COMPUTED_VALUE"""),575.0)</f>
        <v>575</v>
      </c>
      <c r="B576" s="1">
        <f>IFERROR(__xludf.DUMMYFUNCTION("""COMPUTED_VALUE"""),5061397.0)</f>
        <v>5061397</v>
      </c>
      <c r="C576" s="1" t="str">
        <f>IFERROR(__xludf.DUMMYFUNCTION("""COMPUTED_VALUE"""),"2025-1")</f>
        <v>2025-1</v>
      </c>
      <c r="D576" s="1" t="str">
        <f>IFERROR(__xludf.DUMMYFUNCTION("""COMPUTED_VALUE"""),"Admisión Ordinaria")</f>
        <v>Admisión Ordinaria</v>
      </c>
      <c r="E576" s="2">
        <f>IFERROR(__xludf.DUMMYFUNCTION("""COMPUTED_VALUE"""),45723.0)</f>
        <v>45723</v>
      </c>
      <c r="F576" s="1" t="str">
        <f>IFERROR(__xludf.DUMMYFUNCTION("""COMPUTED_VALUE"""),"PAUL STEVE ")</f>
        <v>PAUL STEVE </v>
      </c>
      <c r="G576" s="1" t="str">
        <f>IFERROR(__xludf.DUMMYFUNCTION("""COMPUTED_VALUE"""),"ALVARADO BELLIDO")</f>
        <v>ALVARADO BELLIDO</v>
      </c>
      <c r="H576" s="1" t="str">
        <f>IFERROR(__xludf.DUMMYFUNCTION("""COMPUTED_VALUE"""),"Administración y Negocios Internacionales")</f>
        <v>Administración y Negocios Internacionales</v>
      </c>
      <c r="I576" s="1" t="str">
        <f>IFERROR(__xludf.DUMMYFUNCTION("""COMPUTED_VALUE"""),"CARGO")</f>
        <v>CARGO</v>
      </c>
      <c r="J576" s="1" t="str">
        <f>IFERROR(__xludf.DUMMYFUNCTION("""COMPUTED_VALUE"""),"Nocturno - A distancia")</f>
        <v>Nocturno - A distancia</v>
      </c>
      <c r="K576" s="1" t="str">
        <f>IFERROR(__xludf.DUMMYFUNCTION("""COMPUTED_VALUE"""),"NUEVO")</f>
        <v>NUEVO</v>
      </c>
      <c r="L576" s="1">
        <f>IFERROR(__xludf.DUMMYFUNCTION("""COMPUTED_VALUE"""),0.0)</f>
        <v>0</v>
      </c>
      <c r="M576" s="1">
        <f>IFERROR(__xludf.DUMMYFUNCTION("""COMPUTED_VALUE"""),0.0)</f>
        <v>0</v>
      </c>
      <c r="N576" s="1" t="str">
        <f>IFERROR(__xludf.DUMMYFUNCTION("""COMPUTED_VALUE"""),"ESCALA REGULAR")</f>
        <v>ESCALA REGULAR</v>
      </c>
      <c r="O576" s="1" t="str">
        <f>IFERROR(__xludf.DUMMYFUNCTION("""COMPUTED_VALUE"""),"ESCALA  REG. CONGELADA 2 AÑOS")</f>
        <v>ESCALA  REG. CONGELADA 2 AÑOS</v>
      </c>
      <c r="P576" s="4">
        <f>IFERROR(__xludf.DUMMYFUNCTION("""COMPUTED_VALUE"""),0.0)</f>
        <v>0</v>
      </c>
      <c r="Q576" s="4">
        <f>IFERROR(__xludf.DUMMYFUNCTION("""COMPUTED_VALUE"""),0.0)</f>
        <v>0</v>
      </c>
      <c r="R576" s="4">
        <f>IFERROR(__xludf.DUMMYFUNCTION("""COMPUTED_VALUE"""),750.0)</f>
        <v>750</v>
      </c>
      <c r="S576" s="4">
        <f>IFERROR(__xludf.DUMMYFUNCTION("""COMPUTED_VALUE"""),750.0)</f>
        <v>750</v>
      </c>
      <c r="T576" s="1" t="str">
        <f>IFERROR(__xludf.DUMMYFUNCTION("""COMPUTED_VALUE"""),"NINGUNO")</f>
        <v>NINGUNO</v>
      </c>
      <c r="U576" s="1"/>
      <c r="V576" s="1" t="str">
        <f>IFERROR(__xludf.DUMMYFUNCTION("""COMPUTED_VALUE"""),"Ninguno")</f>
        <v>Ninguno</v>
      </c>
      <c r="W576" s="1" t="str">
        <f>IFERROR(__xludf.DUMMYFUNCTION("""COMPUTED_VALUE"""),"Metodología de enseñanza")</f>
        <v>Metodología de enseñanza</v>
      </c>
      <c r="X576" s="1"/>
      <c r="Y576" s="1" t="str">
        <f>IFERROR(__xludf.DUMMYFUNCTION("""COMPUTED_VALUE"""),"PAGO COMPLETO")</f>
        <v>PAGO COMPLETO</v>
      </c>
      <c r="Z576" s="1"/>
      <c r="AA576" s="1"/>
      <c r="AB576" s="1">
        <f>IFERROR(__xludf.DUMMYFUNCTION("""COMPUTED_VALUE"""),0.0)</f>
        <v>0</v>
      </c>
      <c r="AC576" s="1">
        <f>IFERROR(__xludf.DUMMYFUNCTION("""COMPUTED_VALUE"""),0.0)</f>
        <v>0</v>
      </c>
      <c r="AD576" s="1" t="str">
        <f>IFERROR(__xludf.DUMMYFUNCTION("""COMPUTED_VALUE"""),"Ingrid Guillermo Rivera")</f>
        <v>Ingrid Guillermo Rivera</v>
      </c>
      <c r="AE576" s="1" t="str">
        <f>IFERROR(__xludf.DUMMYFUNCTION("""COMPUTED_VALUE"""),"0")</f>
        <v>0</v>
      </c>
      <c r="AF576" s="1">
        <f>IFERROR(__xludf.DUMMYFUNCTION("""COMPUTED_VALUE"""),2021.0)</f>
        <v>2021</v>
      </c>
      <c r="AG576" s="1">
        <f>IFERROR(__xludf.DUMMYFUNCTION("""COMPUTED_VALUE"""),582254.0)</f>
        <v>582254</v>
      </c>
      <c r="AH576" s="1">
        <f>IFERROR(__xludf.DUMMYFUNCTION("""COMPUTED_VALUE"""),31.0)</f>
        <v>31</v>
      </c>
      <c r="AI576" s="1" t="str">
        <f>IFERROR(__xludf.DUMMYFUNCTION("""COMPUTED_VALUE"""),"0000418046")</f>
        <v>0000418046</v>
      </c>
      <c r="AJ576" s="1">
        <f>IFERROR(__xludf.DUMMYFUNCTION("""COMPUTED_VALUE"""),4.8773519E7)</f>
        <v>48773519</v>
      </c>
      <c r="AK576" s="1">
        <f>IFERROR(__xludf.DUMMYFUNCTION("""COMPUTED_VALUE"""),9.28417838E8)</f>
        <v>928417838</v>
      </c>
      <c r="AL576" s="1" t="str">
        <f>IFERROR(__xludf.DUMMYFUNCTION("""COMPUTED_VALUE"""),"zack-p.s@live.com")</f>
        <v>zack-p.s@live.com</v>
      </c>
      <c r="AM576" s="1" t="str">
        <f>IFERROR(__xludf.DUMMYFUNCTION("""COMPUTED_VALUE"""),"MASCULINO")</f>
        <v>MASCULINO</v>
      </c>
      <c r="AN576" s="1">
        <f>IFERROR(__xludf.DUMMYFUNCTION("""COMPUTED_VALUE"""),0.0)</f>
        <v>0</v>
      </c>
      <c r="AO576" s="1">
        <f>IFERROR(__xludf.DUMMYFUNCTION("""COMPUTED_VALUE"""),0.0)</f>
        <v>0</v>
      </c>
      <c r="AP576" s="1" t="str">
        <f>IFERROR(__xludf.DUMMYFUNCTION("""COMPUTED_VALUE"""),"FORMULARIO")</f>
        <v>FORMULARIO</v>
      </c>
      <c r="AQ576" s="1" t="str">
        <f>IFERROR(__xludf.DUMMYFUNCTION("""COMPUTED_VALUE"""),"ORGANICO")</f>
        <v>ORGANICO</v>
      </c>
      <c r="AR576" s="1" t="str">
        <f>IFERROR(__xludf.DUMMYFUNCTION("""COMPUTED_VALUE"""),"NUEVO")</f>
        <v>NUEVO</v>
      </c>
      <c r="AS576" s="1"/>
      <c r="AT576" s="2">
        <f>IFERROR(__xludf.DUMMYFUNCTION("""COMPUTED_VALUE"""),45720.0)</f>
        <v>45720</v>
      </c>
      <c r="AU576" s="1">
        <f>IFERROR(__xludf.DUMMYFUNCTION("""COMPUTED_VALUE"""),1.0)</f>
        <v>1</v>
      </c>
      <c r="AV576" s="1" t="str">
        <f>IFERROR(__xludf.DUMMYFUNCTION("""COMPUTED_VALUE"""),"NUEVO")</f>
        <v>NUEVO</v>
      </c>
      <c r="AW576" s="1" t="str">
        <f>IFERROR(__xludf.DUMMYFUNCTION("""COMPUTED_VALUE"""),"SI")</f>
        <v>SI</v>
      </c>
      <c r="AX576" s="1"/>
      <c r="AY576" s="1" t="str">
        <f>IFERROR(__xludf.DUMMYFUNCTION("""COMPUTED_VALUE"""),"PAGO COMPLETO")</f>
        <v>PAGO COMPLETO</v>
      </c>
      <c r="AZ576" s="5">
        <f>IFERROR(__xludf.DUMMYFUNCTION("""COMPUTED_VALUE"""),45723.0)</f>
        <v>45723</v>
      </c>
      <c r="BA576" s="1">
        <f>IFERROR(__xludf.DUMMYFUNCTION("""COMPUTED_VALUE"""),0.0)</f>
        <v>0</v>
      </c>
      <c r="BB576" s="1">
        <f>IFERROR(__xludf.DUMMYFUNCTION("""COMPUTED_VALUE"""),0.0)</f>
        <v>0</v>
      </c>
      <c r="BC576" s="4">
        <f>IFERROR(__xludf.DUMMYFUNCTION("""COMPUTED_VALUE"""),0.0)</f>
        <v>0</v>
      </c>
      <c r="BD576" s="4">
        <f>IFERROR(__xludf.DUMMYFUNCTION("""COMPUTED_VALUE"""),0.0)</f>
        <v>0</v>
      </c>
      <c r="BE576" s="1">
        <f>IFERROR(__xludf.DUMMYFUNCTION("""COMPUTED_VALUE"""),3.0)</f>
        <v>3</v>
      </c>
      <c r="BF576" s="6">
        <f>IFERROR(__xludf.DUMMYFUNCTION("""COMPUTED_VALUE"""),1.0)</f>
        <v>1</v>
      </c>
      <c r="BG576" s="1">
        <f>IFERROR(__xludf.DUMMYFUNCTION("""COMPUTED_VALUE"""),1.0)</f>
        <v>1</v>
      </c>
      <c r="BH576" s="1" t="str">
        <f>IFERROR(__xludf.DUMMYFUNCTION("""COMPUTED_VALUE"""),"0")</f>
        <v>0</v>
      </c>
      <c r="BI576" s="4">
        <f>IFERROR(__xludf.DUMMYFUNCTION("""COMPUTED_VALUE"""),0.0)</f>
        <v>0</v>
      </c>
      <c r="BJ576" s="1">
        <f>IFERROR(__xludf.DUMMYFUNCTION("""COMPUTED_VALUE"""),0.0)</f>
        <v>0</v>
      </c>
      <c r="BK576" s="4">
        <f>IFERROR(__xludf.DUMMYFUNCTION("""COMPUTED_VALUE"""),0.0)</f>
        <v>0</v>
      </c>
      <c r="BL576" s="1">
        <f>IFERROR(__xludf.DUMMYFUNCTION("""COMPUTED_VALUE"""),750.0)</f>
        <v>750</v>
      </c>
      <c r="BM576" s="1">
        <f>IFERROR(__xludf.DUMMYFUNCTION("""COMPUTED_VALUE"""),10.0)</f>
        <v>10</v>
      </c>
      <c r="BN576" s="2">
        <f>IFERROR(__xludf.DUMMYFUNCTION("""COMPUTED_VALUE"""),45719.0)</f>
        <v>45719</v>
      </c>
      <c r="BO576" s="1">
        <f>IFERROR(__xludf.DUMMYFUNCTION("""COMPUTED_VALUE"""),3.0)</f>
        <v>3</v>
      </c>
      <c r="BP576" s="1">
        <f>IFERROR(__xludf.DUMMYFUNCTION("""COMPUTED_VALUE"""),2025.0)</f>
        <v>2025</v>
      </c>
    </row>
    <row r="577">
      <c r="A577" s="1">
        <f>IFERROR(__xludf.DUMMYFUNCTION("""COMPUTED_VALUE"""),576.0)</f>
        <v>576</v>
      </c>
      <c r="B577" s="1">
        <f>IFERROR(__xludf.DUMMYFUNCTION("""COMPUTED_VALUE"""),5066292.0)</f>
        <v>5066292</v>
      </c>
      <c r="C577" s="1" t="str">
        <f>IFERROR(__xludf.DUMMYFUNCTION("""COMPUTED_VALUE"""),"2025-1")</f>
        <v>2025-1</v>
      </c>
      <c r="D577" s="1" t="str">
        <f>IFERROR(__xludf.DUMMYFUNCTION("""COMPUTED_VALUE"""),"Admisión Ordinaria")</f>
        <v>Admisión Ordinaria</v>
      </c>
      <c r="E577" s="2">
        <f>IFERROR(__xludf.DUMMYFUNCTION("""COMPUTED_VALUE"""),45724.0)</f>
        <v>45724</v>
      </c>
      <c r="F577" s="1" t="str">
        <f>IFERROR(__xludf.DUMMYFUNCTION("""COMPUTED_VALUE"""),"HENRY OMAR ")</f>
        <v>HENRY OMAR </v>
      </c>
      <c r="G577" s="1" t="str">
        <f>IFERROR(__xludf.DUMMYFUNCTION("""COMPUTED_VALUE"""),"ZAPATA MARTINEZ")</f>
        <v>ZAPATA MARTINEZ</v>
      </c>
      <c r="H577" s="1" t="str">
        <f>IFERROR(__xludf.DUMMYFUNCTION("""COMPUTED_VALUE"""),"Administración y Negocios Internacionales")</f>
        <v>Administración y Negocios Internacionales</v>
      </c>
      <c r="I577" s="1" t="str">
        <f>IFERROR(__xludf.DUMMYFUNCTION("""COMPUTED_VALUE"""),"CARGO")</f>
        <v>CARGO</v>
      </c>
      <c r="J577" s="1" t="str">
        <f>IFERROR(__xludf.DUMMYFUNCTION("""COMPUTED_VALUE"""),"Diurno")</f>
        <v>Diurno</v>
      </c>
      <c r="K577" s="1" t="str">
        <f>IFERROR(__xludf.DUMMYFUNCTION("""COMPUTED_VALUE"""),"NUEVO")</f>
        <v>NUEVO</v>
      </c>
      <c r="L577" s="1">
        <f>IFERROR(__xludf.DUMMYFUNCTION("""COMPUTED_VALUE"""),0.0)</f>
        <v>0</v>
      </c>
      <c r="M577" s="1">
        <f>IFERROR(__xludf.DUMMYFUNCTION("""COMPUTED_VALUE"""),0.0)</f>
        <v>0</v>
      </c>
      <c r="N577" s="1" t="str">
        <f>IFERROR(__xludf.DUMMYFUNCTION("""COMPUTED_VALUE"""),"BECA")</f>
        <v>BECA</v>
      </c>
      <c r="O577" s="1" t="str">
        <f>IFERROR(__xludf.DUMMYFUNCTION("""COMPUTED_VALUE"""),"BECA RECUPERO")</f>
        <v>BECA RECUPERO</v>
      </c>
      <c r="P577" s="4">
        <f>IFERROR(__xludf.DUMMYFUNCTION("""COMPUTED_VALUE"""),0.0)</f>
        <v>0</v>
      </c>
      <c r="Q577" s="4">
        <f>IFERROR(__xludf.DUMMYFUNCTION("""COMPUTED_VALUE"""),0.0)</f>
        <v>0</v>
      </c>
      <c r="R577" s="4">
        <f>IFERROR(__xludf.DUMMYFUNCTION("""COMPUTED_VALUE"""),950.0)</f>
        <v>950</v>
      </c>
      <c r="S577" s="4">
        <f>IFERROR(__xludf.DUMMYFUNCTION("""COMPUTED_VALUE"""),800.0)</f>
        <v>800</v>
      </c>
      <c r="T577" s="1" t="str">
        <f>IFERROR(__xludf.DUMMYFUNCTION("""COMPUTED_VALUE"""),"PALANCA 500")</f>
        <v>PALANCA 500</v>
      </c>
      <c r="U577" s="1" t="str">
        <f>IFERROR(__xludf.DUMMYFUNCTION("""COMPUTED_VALUE"""),"RODRIGO")</f>
        <v>RODRIGO</v>
      </c>
      <c r="V577" s="1" t="str">
        <f>IFERROR(__xludf.DUMMYFUNCTION("""COMPUTED_VALUE"""),"Ninguno")</f>
        <v>Ninguno</v>
      </c>
      <c r="W577" s="1" t="str">
        <f>IFERROR(__xludf.DUMMYFUNCTION("""COMPUTED_VALUE"""),"Prestigio de la institución")</f>
        <v>Prestigio de la institución</v>
      </c>
      <c r="X577" s="1" t="str">
        <f>IFERROR(__xludf.DUMMYFUNCTION("""COMPUTED_VALUE"""),"0")</f>
        <v>0</v>
      </c>
      <c r="Y577" s="1" t="str">
        <f>IFERROR(__xludf.DUMMYFUNCTION("""COMPUTED_VALUE"""),"PAGO COMPLETO")</f>
        <v>PAGO COMPLETO</v>
      </c>
      <c r="Z577" s="1"/>
      <c r="AA577" s="1"/>
      <c r="AB577" s="1">
        <f>IFERROR(__xludf.DUMMYFUNCTION("""COMPUTED_VALUE"""),1.0)</f>
        <v>1</v>
      </c>
      <c r="AC577" s="1">
        <f>IFERROR(__xludf.DUMMYFUNCTION("""COMPUTED_VALUE"""),1.0)</f>
        <v>1</v>
      </c>
      <c r="AD577" s="1" t="str">
        <f>IFERROR(__xludf.DUMMYFUNCTION("""COMPUTED_VALUE"""),"Andrea Araujo Antara")</f>
        <v>Andrea Araujo Antara</v>
      </c>
      <c r="AE577" s="1" t="str">
        <f>IFERROR(__xludf.DUMMYFUNCTION("""COMPUTED_VALUE"""),"0")</f>
        <v>0</v>
      </c>
      <c r="AF577" s="1">
        <f>IFERROR(__xludf.DUMMYFUNCTION("""COMPUTED_VALUE"""),2021.0)</f>
        <v>2021</v>
      </c>
      <c r="AG577" s="1">
        <f>IFERROR(__xludf.DUMMYFUNCTION("""COMPUTED_VALUE"""),355925.0)</f>
        <v>355925</v>
      </c>
      <c r="AH577" s="1">
        <f>IFERROR(__xludf.DUMMYFUNCTION("""COMPUTED_VALUE"""),20.0)</f>
        <v>20</v>
      </c>
      <c r="AI577" s="1" t="str">
        <f>IFERROR(__xludf.DUMMYFUNCTION("""COMPUTED_VALUE"""),"0000418447")</f>
        <v>0000418447</v>
      </c>
      <c r="AJ577" s="1">
        <f>IFERROR(__xludf.DUMMYFUNCTION("""COMPUTED_VALUE"""),7.2914954E7)</f>
        <v>72914954</v>
      </c>
      <c r="AK577" s="1">
        <f>IFERROR(__xludf.DUMMYFUNCTION("""COMPUTED_VALUE"""),9.85133794E8)</f>
        <v>985133794</v>
      </c>
      <c r="AL577" s="1" t="str">
        <f>IFERROR(__xludf.DUMMYFUNCTION("""COMPUTED_VALUE"""),"Henryzapatam22@gmail.com")</f>
        <v>Henryzapatam22@gmail.com</v>
      </c>
      <c r="AM577" s="1" t="str">
        <f>IFERROR(__xludf.DUMMYFUNCTION("""COMPUTED_VALUE"""),"FEMENINO")</f>
        <v>FEMENINO</v>
      </c>
      <c r="AN577" s="1">
        <f>IFERROR(__xludf.DUMMYFUNCTION("""COMPUTED_VALUE"""),1350.0)</f>
        <v>1350</v>
      </c>
      <c r="AO577" s="1">
        <f>IFERROR(__xludf.DUMMYFUNCTION("""COMPUTED_VALUE"""),0.0)</f>
        <v>0</v>
      </c>
      <c r="AP577" s="1" t="str">
        <f>IFERROR(__xludf.DUMMYFUNCTION("""COMPUTED_VALUE"""),"BIDIRECCIONAL")</f>
        <v>BIDIRECCIONAL</v>
      </c>
      <c r="AQ577" s="1" t="str">
        <f>IFERROR(__xludf.DUMMYFUNCTION("""COMPUTED_VALUE"""),"ORGANICO")</f>
        <v>ORGANICO</v>
      </c>
      <c r="AR577" s="1" t="str">
        <f>IFERROR(__xludf.DUMMYFUNCTION("""COMPUTED_VALUE"""),"NUEVO")</f>
        <v>NUEVO</v>
      </c>
      <c r="AS577" s="1" t="str">
        <f>IFERROR(__xludf.DUMMYFUNCTION("""COMPUTED_VALUE"""),"ucal-pg-branding-sedes-abierta-no_aplica-mundo_negocios_242-20240430")</f>
        <v>ucal-pg-branding-sedes-abierta-no_aplica-mundo_negocios_242-20240430</v>
      </c>
      <c r="AT577" s="2">
        <f>IFERROR(__xludf.DUMMYFUNCTION("""COMPUTED_VALUE"""),45723.0)</f>
        <v>45723</v>
      </c>
      <c r="AU577" s="1">
        <f>IFERROR(__xludf.DUMMYFUNCTION("""COMPUTED_VALUE"""),1.0)</f>
        <v>1</v>
      </c>
      <c r="AV577" s="1" t="str">
        <f>IFERROR(__xludf.DUMMYFUNCTION("""COMPUTED_VALUE"""),"NUEVO")</f>
        <v>NUEVO</v>
      </c>
      <c r="AW577" s="1" t="str">
        <f>IFERROR(__xludf.DUMMYFUNCTION("""COMPUTED_VALUE"""),"SI")</f>
        <v>SI</v>
      </c>
      <c r="AX577" s="1"/>
      <c r="AY577" s="1" t="str">
        <f>IFERROR(__xludf.DUMMYFUNCTION("""COMPUTED_VALUE"""),"PAGO COMPLETO")</f>
        <v>PAGO COMPLETO</v>
      </c>
      <c r="AZ577" s="5">
        <f>IFERROR(__xludf.DUMMYFUNCTION("""COMPUTED_VALUE"""),45726.0)</f>
        <v>45726</v>
      </c>
      <c r="BA577" s="1">
        <f>IFERROR(__xludf.DUMMYFUNCTION("""COMPUTED_VALUE"""),0.0)</f>
        <v>0</v>
      </c>
      <c r="BB577" s="1">
        <f>IFERROR(__xludf.DUMMYFUNCTION("""COMPUTED_VALUE"""),0.0)</f>
        <v>0</v>
      </c>
      <c r="BC577" s="4">
        <f>IFERROR(__xludf.DUMMYFUNCTION("""COMPUTED_VALUE"""),0.0)</f>
        <v>0</v>
      </c>
      <c r="BD577" s="4">
        <f>IFERROR(__xludf.DUMMYFUNCTION("""COMPUTED_VALUE"""),300.0)</f>
        <v>300</v>
      </c>
      <c r="BE577" s="1">
        <f>IFERROR(__xludf.DUMMYFUNCTION("""COMPUTED_VALUE"""),3.0)</f>
        <v>3</v>
      </c>
      <c r="BF577" s="6">
        <f>IFERROR(__xludf.DUMMYFUNCTION("""COMPUTED_VALUE"""),1.0)</f>
        <v>1</v>
      </c>
      <c r="BG577" s="1">
        <f>IFERROR(__xludf.DUMMYFUNCTION("""COMPUTED_VALUE"""),1.0)</f>
        <v>1</v>
      </c>
      <c r="BH577" s="1" t="str">
        <f>IFERROR(__xludf.DUMMYFUNCTION("""COMPUTED_VALUE"""),"0")</f>
        <v>0</v>
      </c>
      <c r="BI577" s="4">
        <f>IFERROR(__xludf.DUMMYFUNCTION("""COMPUTED_VALUE"""),300.0)</f>
        <v>300</v>
      </c>
      <c r="BJ577" s="1">
        <f>IFERROR(__xludf.DUMMYFUNCTION("""COMPUTED_VALUE"""),0.0)</f>
        <v>0</v>
      </c>
      <c r="BK577" s="4">
        <f>IFERROR(__xludf.DUMMYFUNCTION("""COMPUTED_VALUE"""),300.0)</f>
        <v>300</v>
      </c>
      <c r="BL577" s="1">
        <f>IFERROR(__xludf.DUMMYFUNCTION("""COMPUTED_VALUE"""),740.0)</f>
        <v>740</v>
      </c>
      <c r="BM577" s="1">
        <f>IFERROR(__xludf.DUMMYFUNCTION("""COMPUTED_VALUE"""),10.0)</f>
        <v>10</v>
      </c>
      <c r="BN577" s="2">
        <f>IFERROR(__xludf.DUMMYFUNCTION("""COMPUTED_VALUE"""),45719.0)</f>
        <v>45719</v>
      </c>
      <c r="BO577" s="1">
        <f>IFERROR(__xludf.DUMMYFUNCTION("""COMPUTED_VALUE"""),3.0)</f>
        <v>3</v>
      </c>
      <c r="BP577" s="1">
        <f>IFERROR(__xludf.DUMMYFUNCTION("""COMPUTED_VALUE"""),2025.0)</f>
        <v>2025</v>
      </c>
    </row>
    <row r="578">
      <c r="A578" s="1">
        <f>IFERROR(__xludf.DUMMYFUNCTION("""COMPUTED_VALUE"""),577.0)</f>
        <v>577</v>
      </c>
      <c r="B578" s="1">
        <f>IFERROR(__xludf.DUMMYFUNCTION("""COMPUTED_VALUE"""),5058872.0)</f>
        <v>5058872</v>
      </c>
      <c r="C578" s="1" t="str">
        <f>IFERROR(__xludf.DUMMYFUNCTION("""COMPUTED_VALUE"""),"2025-1")</f>
        <v>2025-1</v>
      </c>
      <c r="D578" s="1" t="str">
        <f>IFERROR(__xludf.DUMMYFUNCTION("""COMPUTED_VALUE"""),"Admisión Ordinaria")</f>
        <v>Admisión Ordinaria</v>
      </c>
      <c r="E578" s="2">
        <f>IFERROR(__xludf.DUMMYFUNCTION("""COMPUTED_VALUE"""),45725.0)</f>
        <v>45725</v>
      </c>
      <c r="F578" s="1" t="str">
        <f>IFERROR(__xludf.DUMMYFUNCTION("""COMPUTED_VALUE"""),"HIDE GABRIELA ")</f>
        <v>HIDE GABRIELA </v>
      </c>
      <c r="G578" s="1" t="str">
        <f>IFERROR(__xludf.DUMMYFUNCTION("""COMPUTED_VALUE"""),"FUKUNAGA BOTTON")</f>
        <v>FUKUNAGA BOTTON</v>
      </c>
      <c r="H578" s="1" t="str">
        <f>IFERROR(__xludf.DUMMYFUNCTION("""COMPUTED_VALUE"""),"Psicología")</f>
        <v>Psicología</v>
      </c>
      <c r="I578" s="1" t="str">
        <f>IFERROR(__xludf.DUMMYFUNCTION("""COMPUTED_VALUE"""),"Pago Link")</f>
        <v>Pago Link</v>
      </c>
      <c r="J578" s="1" t="str">
        <f>IFERROR(__xludf.DUMMYFUNCTION("""COMPUTED_VALUE"""),"Nocturno - A distancia")</f>
        <v>Nocturno - A distancia</v>
      </c>
      <c r="K578" s="1" t="str">
        <f>IFERROR(__xludf.DUMMYFUNCTION("""COMPUTED_VALUE"""),"NUEVO")</f>
        <v>NUEVO</v>
      </c>
      <c r="L578" s="1">
        <f>IFERROR(__xludf.DUMMYFUNCTION("""COMPUTED_VALUE"""),0.0)</f>
        <v>0</v>
      </c>
      <c r="M578" s="1">
        <f>IFERROR(__xludf.DUMMYFUNCTION("""COMPUTED_VALUE"""),0.0)</f>
        <v>0</v>
      </c>
      <c r="N578" s="1" t="str">
        <f>IFERROR(__xludf.DUMMYFUNCTION("""COMPUTED_VALUE"""),"ESCALA REGULAR")</f>
        <v>ESCALA REGULAR</v>
      </c>
      <c r="O578" s="1" t="str">
        <f>IFERROR(__xludf.DUMMYFUNCTION("""COMPUTED_VALUE"""),"NINGUNO")</f>
        <v>NINGUNO</v>
      </c>
      <c r="P578" s="4">
        <f>IFERROR(__xludf.DUMMYFUNCTION("""COMPUTED_VALUE"""),0.0)</f>
        <v>0</v>
      </c>
      <c r="Q578" s="4">
        <f>IFERROR(__xludf.DUMMYFUNCTION("""COMPUTED_VALUE"""),0.0)</f>
        <v>0</v>
      </c>
      <c r="R578" s="4">
        <f>IFERROR(__xludf.DUMMYFUNCTION("""COMPUTED_VALUE"""),750.0)</f>
        <v>750</v>
      </c>
      <c r="S578" s="4">
        <f>IFERROR(__xludf.DUMMYFUNCTION("""COMPUTED_VALUE"""),750.0)</f>
        <v>750</v>
      </c>
      <c r="T578" s="1" t="str">
        <f>IFERROR(__xludf.DUMMYFUNCTION("""COMPUTED_VALUE"""),"NINGUNO")</f>
        <v>NINGUNO</v>
      </c>
      <c r="U578" s="1" t="str">
        <f>IFERROR(__xludf.DUMMYFUNCTION("""COMPUTED_VALUE"""),"RODRIGO")</f>
        <v>RODRIGO</v>
      </c>
      <c r="V578" s="1" t="str">
        <f>IFERROR(__xludf.DUMMYFUNCTION("""COMPUTED_VALUE"""),"Ninguno")</f>
        <v>Ninguno</v>
      </c>
      <c r="W578" s="1" t="str">
        <f>IFERROR(__xludf.DUMMYFUNCTION("""COMPUTED_VALUE"""),"Metodología de enseñanza")</f>
        <v>Metodología de enseñanza</v>
      </c>
      <c r="X578" s="1" t="str">
        <f>IFERROR(__xludf.DUMMYFUNCTION("""COMPUTED_VALUE"""),"s/c")</f>
        <v>s/c</v>
      </c>
      <c r="Y578" s="1" t="str">
        <f>IFERROR(__xludf.DUMMYFUNCTION("""COMPUTED_VALUE"""),"PAGO COMPLETO")</f>
        <v>PAGO COMPLETO</v>
      </c>
      <c r="Z578" s="1"/>
      <c r="AA578" s="1"/>
      <c r="AB578" s="1">
        <f>IFERROR(__xludf.DUMMYFUNCTION("""COMPUTED_VALUE"""),0.0)</f>
        <v>0</v>
      </c>
      <c r="AC578" s="1">
        <f>IFERROR(__xludf.DUMMYFUNCTION("""COMPUTED_VALUE"""),0.0)</f>
        <v>0</v>
      </c>
      <c r="AD578" s="1" t="str">
        <f>IFERROR(__xludf.DUMMYFUNCTION("""COMPUTED_VALUE"""),"Rosa Ugarte")</f>
        <v>Rosa Ugarte</v>
      </c>
      <c r="AE578" s="1" t="str">
        <f>IFERROR(__xludf.DUMMYFUNCTION("""COMPUTED_VALUE"""),"0")</f>
        <v>0</v>
      </c>
      <c r="AF578" s="1">
        <f>IFERROR(__xludf.DUMMYFUNCTION("""COMPUTED_VALUE"""),2014.0)</f>
        <v>2014</v>
      </c>
      <c r="AG578" s="1">
        <f>IFERROR(__xludf.DUMMYFUNCTION("""COMPUTED_VALUE"""),395335.0)</f>
        <v>395335</v>
      </c>
      <c r="AH578" s="1">
        <f>IFERROR(__xludf.DUMMYFUNCTION("""COMPUTED_VALUE"""),27.0)</f>
        <v>27</v>
      </c>
      <c r="AI578" s="1" t="str">
        <f>IFERROR(__xludf.DUMMYFUNCTION("""COMPUTED_VALUE"""),"0000418514")</f>
        <v>0000418514</v>
      </c>
      <c r="AJ578" s="1">
        <f>IFERROR(__xludf.DUMMYFUNCTION("""COMPUTED_VALUE"""),7.6196984E7)</f>
        <v>76196984</v>
      </c>
      <c r="AK578" s="1">
        <f>IFERROR(__xludf.DUMMYFUNCTION("""COMPUTED_VALUE"""),9.28084023E8)</f>
        <v>928084023</v>
      </c>
      <c r="AL578" s="1" t="str">
        <f>IFERROR(__xludf.DUMMYFUNCTION("""COMPUTED_VALUE"""),"gab_1198@outlook.com")</f>
        <v>gab_1198@outlook.com</v>
      </c>
      <c r="AM578" s="1" t="str">
        <f>IFERROR(__xludf.DUMMYFUNCTION("""COMPUTED_VALUE"""),"FEMENINO")</f>
        <v>FEMENINO</v>
      </c>
      <c r="AN578" s="1">
        <f>IFERROR(__xludf.DUMMYFUNCTION("""COMPUTED_VALUE"""),1775.0)</f>
        <v>1775</v>
      </c>
      <c r="AO578" s="1">
        <f>IFERROR(__xludf.DUMMYFUNCTION("""COMPUTED_VALUE"""),350.0)</f>
        <v>350</v>
      </c>
      <c r="AP578" s="1" t="str">
        <f>IFERROR(__xludf.DUMMYFUNCTION("""COMPUTED_VALUE"""),"BIDIRECCIONAL")</f>
        <v>BIDIRECCIONAL</v>
      </c>
      <c r="AQ578" s="1" t="str">
        <f>IFERROR(__xludf.DUMMYFUNCTION("""COMPUTED_VALUE"""),"SEARCH CARRERA")</f>
        <v>SEARCH CARRERA</v>
      </c>
      <c r="AR578" s="1" t="str">
        <f>IFERROR(__xludf.DUMMYFUNCTION("""COMPUTED_VALUE"""),"NUEVO")</f>
        <v>NUEVO</v>
      </c>
      <c r="AS578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578" s="2">
        <f>IFERROR(__xludf.DUMMYFUNCTION("""COMPUTED_VALUE"""),45719.0)</f>
        <v>45719</v>
      </c>
      <c r="AU578" s="1">
        <f>IFERROR(__xludf.DUMMYFUNCTION("""COMPUTED_VALUE"""),1.0)</f>
        <v>1</v>
      </c>
      <c r="AV578" s="1" t="str">
        <f>IFERROR(__xludf.DUMMYFUNCTION("""COMPUTED_VALUE"""),"NUEVO")</f>
        <v>NUEVO</v>
      </c>
      <c r="AW578" s="1" t="str">
        <f>IFERROR(__xludf.DUMMYFUNCTION("""COMPUTED_VALUE"""),"SI")</f>
        <v>SI</v>
      </c>
      <c r="AX578" s="1"/>
      <c r="AY578" s="1" t="str">
        <f>IFERROR(__xludf.DUMMYFUNCTION("""COMPUTED_VALUE"""),"PAGO COMPLETO")</f>
        <v>PAGO COMPLETO</v>
      </c>
      <c r="AZ578" s="5">
        <f>IFERROR(__xludf.DUMMYFUNCTION("""COMPUTED_VALUE"""),45725.0)</f>
        <v>45725</v>
      </c>
      <c r="BA578" s="1">
        <f>IFERROR(__xludf.DUMMYFUNCTION("""COMPUTED_VALUE"""),0.0)</f>
        <v>0</v>
      </c>
      <c r="BB578" s="1">
        <f>IFERROR(__xludf.DUMMYFUNCTION("""COMPUTED_VALUE"""),0.0)</f>
        <v>0</v>
      </c>
      <c r="BC578" s="4">
        <f>IFERROR(__xludf.DUMMYFUNCTION("""COMPUTED_VALUE"""),0.0)</f>
        <v>0</v>
      </c>
      <c r="BD578" s="4">
        <f>IFERROR(__xludf.DUMMYFUNCTION("""COMPUTED_VALUE"""),0.0)</f>
        <v>0</v>
      </c>
      <c r="BE578" s="1">
        <f>IFERROR(__xludf.DUMMYFUNCTION("""COMPUTED_VALUE"""),3.0)</f>
        <v>3</v>
      </c>
      <c r="BF578" s="6">
        <f>IFERROR(__xludf.DUMMYFUNCTION("""COMPUTED_VALUE"""),1.0)</f>
        <v>1</v>
      </c>
      <c r="BG578" s="1">
        <f>IFERROR(__xludf.DUMMYFUNCTION("""COMPUTED_VALUE"""),1.0)</f>
        <v>1</v>
      </c>
      <c r="BH578" s="1" t="str">
        <f>IFERROR(__xludf.DUMMYFUNCTION("""COMPUTED_VALUE"""),"0")</f>
        <v>0</v>
      </c>
      <c r="BI578" s="4">
        <f>IFERROR(__xludf.DUMMYFUNCTION("""COMPUTED_VALUE"""),0.0)</f>
        <v>0</v>
      </c>
      <c r="BJ578" s="1">
        <f>IFERROR(__xludf.DUMMYFUNCTION("""COMPUTED_VALUE"""),0.0)</f>
        <v>0</v>
      </c>
      <c r="BK578" s="4">
        <f>IFERROR(__xludf.DUMMYFUNCTION("""COMPUTED_VALUE"""),0.0)</f>
        <v>0</v>
      </c>
      <c r="BL578" s="1">
        <f>IFERROR(__xludf.DUMMYFUNCTION("""COMPUTED_VALUE"""),750.0)</f>
        <v>750</v>
      </c>
      <c r="BM578" s="1">
        <f>IFERROR(__xludf.DUMMYFUNCTION("""COMPUTED_VALUE"""),10.0)</f>
        <v>10</v>
      </c>
      <c r="BN578" s="2">
        <f>IFERROR(__xludf.DUMMYFUNCTION("""COMPUTED_VALUE"""),45719.0)</f>
        <v>45719</v>
      </c>
      <c r="BO578" s="1">
        <f>IFERROR(__xludf.DUMMYFUNCTION("""COMPUTED_VALUE"""),3.0)</f>
        <v>3</v>
      </c>
      <c r="BP578" s="1">
        <f>IFERROR(__xludf.DUMMYFUNCTION("""COMPUTED_VALUE"""),2025.0)</f>
        <v>2025</v>
      </c>
    </row>
    <row r="579">
      <c r="A579" s="1">
        <f>IFERROR(__xludf.DUMMYFUNCTION("""COMPUTED_VALUE"""),578.0)</f>
        <v>578</v>
      </c>
      <c r="B579" s="1">
        <f>IFERROR(__xludf.DUMMYFUNCTION("""COMPUTED_VALUE"""),4575614.0)</f>
        <v>4575614</v>
      </c>
      <c r="C579" s="1" t="str">
        <f>IFERROR(__xludf.DUMMYFUNCTION("""COMPUTED_VALUE"""),"2025-1")</f>
        <v>2025-1</v>
      </c>
      <c r="D579" s="1" t="str">
        <f>IFERROR(__xludf.DUMMYFUNCTION("""COMPUTED_VALUE"""),"Admisión Ordinaria")</f>
        <v>Admisión Ordinaria</v>
      </c>
      <c r="E579" s="2">
        <f>IFERROR(__xludf.DUMMYFUNCTION("""COMPUTED_VALUE"""),45726.0)</f>
        <v>45726</v>
      </c>
      <c r="F579" s="1" t="str">
        <f>IFERROR(__xludf.DUMMYFUNCTION("""COMPUTED_VALUE"""),"NICOLAS ALEJANDRO ")</f>
        <v>NICOLAS ALEJANDRO </v>
      </c>
      <c r="G579" s="1" t="str">
        <f>IFERROR(__xludf.DUMMYFUNCTION("""COMPUTED_VALUE"""),"AGUINAGA BERNUY")</f>
        <v>AGUINAGA BERNUY</v>
      </c>
      <c r="H579" s="1" t="str">
        <f>IFERROR(__xludf.DUMMYFUNCTION("""COMPUTED_VALUE"""),"Comunicación Audiovisual y Cine")</f>
        <v>Comunicación Audiovisual y Cine</v>
      </c>
      <c r="I579" s="1" t="str">
        <f>IFERROR(__xludf.DUMMYFUNCTION("""COMPUTED_VALUE"""),"POS")</f>
        <v>POS</v>
      </c>
      <c r="J579" s="1" t="str">
        <f>IFERROR(__xludf.DUMMYFUNCTION("""COMPUTED_VALUE"""),"Diurno")</f>
        <v>Diurno</v>
      </c>
      <c r="K579" s="1" t="str">
        <f>IFERROR(__xludf.DUMMYFUNCTION("""COMPUTED_VALUE"""),"NUEVO")</f>
        <v>NUEVO</v>
      </c>
      <c r="L579" s="1">
        <f>IFERROR(__xludf.DUMMYFUNCTION("""COMPUTED_VALUE"""),0.0)</f>
        <v>0</v>
      </c>
      <c r="M579" s="1">
        <f>IFERROR(__xludf.DUMMYFUNCTION("""COMPUTED_VALUE"""),0.0)</f>
        <v>0</v>
      </c>
      <c r="N579" s="1" t="str">
        <f>IFERROR(__xludf.DUMMYFUNCTION("""COMPUTED_VALUE"""),"BECA")</f>
        <v>BECA</v>
      </c>
      <c r="O579" s="1" t="str">
        <f>IFERROR(__xludf.DUMMYFUNCTION("""COMPUTED_VALUE"""),"BECA CONGELADA DE 2 AÑOS")</f>
        <v>BECA CONGELADA DE 2 AÑOS</v>
      </c>
      <c r="P579" s="4">
        <f>IFERROR(__xludf.DUMMYFUNCTION("""COMPUTED_VALUE"""),125.0)</f>
        <v>125</v>
      </c>
      <c r="Q579" s="4">
        <f>IFERROR(__xludf.DUMMYFUNCTION("""COMPUTED_VALUE"""),237.5)</f>
        <v>237.5</v>
      </c>
      <c r="R579" s="4">
        <f>IFERROR(__xludf.DUMMYFUNCTION("""COMPUTED_VALUE"""),2050.0)</f>
        <v>2050</v>
      </c>
      <c r="S579" s="4">
        <f>IFERROR(__xludf.DUMMYFUNCTION("""COMPUTED_VALUE"""),1650.0)</f>
        <v>1650</v>
      </c>
      <c r="T579" s="1" t="str">
        <f>IFERROR(__xludf.DUMMYFUNCTION("""COMPUTED_VALUE"""),"PALANCA 500")</f>
        <v>PALANCA 500</v>
      </c>
      <c r="U579" s="1" t="str">
        <f>IFERROR(__xludf.DUMMYFUNCTION("""COMPUTED_VALUE"""),"FABIOLA")</f>
        <v>FABIOLA</v>
      </c>
      <c r="V579" s="1" t="str">
        <f>IFERROR(__xludf.DUMMYFUNCTION("""COMPUTED_VALUE"""),"Ninguno")</f>
        <v>Ninguno</v>
      </c>
      <c r="W579" s="1" t="str">
        <f>IFERROR(__xludf.DUMMYFUNCTION("""COMPUTED_VALUE"""),"Equipos e instalaciones")</f>
        <v>Equipos e instalaciones</v>
      </c>
      <c r="X579" s="1" t="str">
        <f>IFERROR(__xludf.DUMMYFUNCTION("""COMPUTED_VALUE"""),"1ra boleta 500")</f>
        <v>1ra boleta 500</v>
      </c>
      <c r="Y579" s="1" t="str">
        <f>IFERROR(__xludf.DUMMYFUNCTION("""COMPUTED_VALUE"""),"PAGO FRACCIONADO")</f>
        <v>PAGO FRACCIONADO</v>
      </c>
      <c r="Z579" s="1">
        <f>IFERROR(__xludf.DUMMYFUNCTION("""COMPUTED_VALUE"""),125.0)</f>
        <v>125</v>
      </c>
      <c r="AA579" s="1" t="str">
        <f>IFERROR(__xludf.DUMMYFUNCTION("""COMPUTED_VALUE"""),"10/03/2025")</f>
        <v>10/03/2025</v>
      </c>
      <c r="AB579" s="1">
        <f>IFERROR(__xludf.DUMMYFUNCTION("""COMPUTED_VALUE"""),0.0)</f>
        <v>0</v>
      </c>
      <c r="AC579" s="1">
        <f>IFERROR(__xludf.DUMMYFUNCTION("""COMPUTED_VALUE"""),0.0)</f>
        <v>0</v>
      </c>
      <c r="AD579" s="1" t="str">
        <f>IFERROR(__xludf.DUMMYFUNCTION("""COMPUTED_VALUE"""),"Fiorella Lanegra")</f>
        <v>Fiorella Lanegra</v>
      </c>
      <c r="AE579" s="1" t="str">
        <f>IFERROR(__xludf.DUMMYFUNCTION("""COMPUTED_VALUE"""),"0")</f>
        <v>0</v>
      </c>
      <c r="AF579" s="1">
        <f>IFERROR(__xludf.DUMMYFUNCTION("""COMPUTED_VALUE"""),2021.0)</f>
        <v>2021</v>
      </c>
      <c r="AG579" s="1">
        <f>IFERROR(__xludf.DUMMYFUNCTION("""COMPUTED_VALUE"""),643247.0)</f>
        <v>643247</v>
      </c>
      <c r="AH579" s="1">
        <f>IFERROR(__xludf.DUMMYFUNCTION("""COMPUTED_VALUE"""),21.0)</f>
        <v>21</v>
      </c>
      <c r="AI579" s="1" t="str">
        <f>IFERROR(__xludf.DUMMYFUNCTION("""COMPUTED_VALUE"""),"0000416748")</f>
        <v>0000416748</v>
      </c>
      <c r="AJ579" s="1">
        <f>IFERROR(__xludf.DUMMYFUNCTION("""COMPUTED_VALUE"""),7.6534965E7)</f>
        <v>76534965</v>
      </c>
      <c r="AK579" s="1">
        <f>IFERROR(__xludf.DUMMYFUNCTION("""COMPUTED_VALUE"""),9.83557589E8)</f>
        <v>983557589</v>
      </c>
      <c r="AL579" s="1" t="str">
        <f>IFERROR(__xludf.DUMMYFUNCTION("""COMPUTED_VALUE"""),"nicobox37@gmail.com")</f>
        <v>nicobox37@gmail.com</v>
      </c>
      <c r="AM579" s="1" t="str">
        <f>IFERROR(__xludf.DUMMYFUNCTION("""COMPUTED_VALUE"""),"MASCULINO")</f>
        <v>MASCULINO</v>
      </c>
      <c r="AN579" s="1">
        <f>IFERROR(__xludf.DUMMYFUNCTION("""COMPUTED_VALUE"""),2700.0)</f>
        <v>2700</v>
      </c>
      <c r="AO579" s="1">
        <f>IFERROR(__xludf.DUMMYFUNCTION("""COMPUTED_VALUE"""),1641.0)</f>
        <v>1641</v>
      </c>
      <c r="AP579" s="1" t="str">
        <f>IFERROR(__xludf.DUMMYFUNCTION("""COMPUTED_VALUE"""),"FORMULARIO")</f>
        <v>FORMULARIO</v>
      </c>
      <c r="AQ579" s="1" t="str">
        <f>IFERROR(__xludf.DUMMYFUNCTION("""COMPUTED_VALUE"""),"ORGANICO")</f>
        <v>ORGANICO</v>
      </c>
      <c r="AR579" s="1" t="str">
        <f>IFERROR(__xludf.DUMMYFUNCTION("""COMPUTED_VALUE"""),"NUEVO")</f>
        <v>NUEVO</v>
      </c>
      <c r="AS579" s="1"/>
      <c r="AT579" s="2">
        <f>IFERROR(__xludf.DUMMYFUNCTION("""COMPUTED_VALUE"""),45545.0)</f>
        <v>45545</v>
      </c>
      <c r="AU579" s="1">
        <f>IFERROR(__xludf.DUMMYFUNCTION("""COMPUTED_VALUE"""),1.0)</f>
        <v>1</v>
      </c>
      <c r="AV579" s="1" t="str">
        <f>IFERROR(__xludf.DUMMYFUNCTION("""COMPUTED_VALUE"""),"NUEVO")</f>
        <v>NUEVO</v>
      </c>
      <c r="AW579" s="1" t="str">
        <f>IFERROR(__xludf.DUMMYFUNCTION("""COMPUTED_VALUE"""),"SI")</f>
        <v>SI</v>
      </c>
      <c r="AX579" s="1"/>
      <c r="AY579" s="1" t="str">
        <f>IFERROR(__xludf.DUMMYFUNCTION("""COMPUTED_VALUE"""),"PAGO COMPLETO")</f>
        <v>PAGO COMPLETO</v>
      </c>
      <c r="AZ579" s="5">
        <f>IFERROR(__xludf.DUMMYFUNCTION("""COMPUTED_VALUE"""),45726.0)</f>
        <v>45726</v>
      </c>
      <c r="BA579" s="1">
        <f>IFERROR(__xludf.DUMMYFUNCTION("""COMPUTED_VALUE"""),737.5)</f>
        <v>737.5</v>
      </c>
      <c r="BB579" s="1">
        <f>IFERROR(__xludf.DUMMYFUNCTION("""COMPUTED_VALUE"""),0.0)</f>
        <v>0</v>
      </c>
      <c r="BC579" s="4">
        <f>IFERROR(__xludf.DUMMYFUNCTION("""COMPUTED_VALUE"""),0.0)</f>
        <v>0</v>
      </c>
      <c r="BD579" s="4">
        <f>IFERROR(__xludf.DUMMYFUNCTION("""COMPUTED_VALUE"""),1150.0)</f>
        <v>1150</v>
      </c>
      <c r="BE579" s="1">
        <f>IFERROR(__xludf.DUMMYFUNCTION("""COMPUTED_VALUE"""),3.0)</f>
        <v>3</v>
      </c>
      <c r="BF579" s="6">
        <f>IFERROR(__xludf.DUMMYFUNCTION("""COMPUTED_VALUE"""),1.0)</f>
        <v>1</v>
      </c>
      <c r="BG579" s="1">
        <f>IFERROR(__xludf.DUMMYFUNCTION("""COMPUTED_VALUE"""),0.0)</f>
        <v>0</v>
      </c>
      <c r="BH579" s="1" t="str">
        <f>IFERROR(__xludf.DUMMYFUNCTION("""COMPUTED_VALUE"""),"0")</f>
        <v>0</v>
      </c>
      <c r="BI579" s="4">
        <f>IFERROR(__xludf.DUMMYFUNCTION("""COMPUTED_VALUE"""),2012.5)</f>
        <v>2012.5</v>
      </c>
      <c r="BJ579" s="1">
        <f>IFERROR(__xludf.DUMMYFUNCTION("""COMPUTED_VALUE"""),0.0)</f>
        <v>0</v>
      </c>
      <c r="BK579" s="4">
        <f>IFERROR(__xludf.DUMMYFUNCTION("""COMPUTED_VALUE"""),1150.0)</f>
        <v>1150</v>
      </c>
      <c r="BL579" s="1">
        <f>IFERROR(__xludf.DUMMYFUNCTION("""COMPUTED_VALUE"""),1420.0)</f>
        <v>1420</v>
      </c>
      <c r="BM579" s="1">
        <f>IFERROR(__xludf.DUMMYFUNCTION("""COMPUTED_VALUE"""),11.0)</f>
        <v>11</v>
      </c>
      <c r="BN579" s="2">
        <f>IFERROR(__xludf.DUMMYFUNCTION("""COMPUTED_VALUE"""),45726.0)</f>
        <v>45726</v>
      </c>
      <c r="BO579" s="1">
        <f>IFERROR(__xludf.DUMMYFUNCTION("""COMPUTED_VALUE"""),3.0)</f>
        <v>3</v>
      </c>
      <c r="BP579" s="1">
        <f>IFERROR(__xludf.DUMMYFUNCTION("""COMPUTED_VALUE"""),2025.0)</f>
        <v>2025</v>
      </c>
    </row>
    <row r="580">
      <c r="A580" s="1">
        <f>IFERROR(__xludf.DUMMYFUNCTION("""COMPUTED_VALUE"""),579.0)</f>
        <v>579</v>
      </c>
      <c r="B580" s="1">
        <f>IFERROR(__xludf.DUMMYFUNCTION("""COMPUTED_VALUE"""),2549194.0)</f>
        <v>2549194</v>
      </c>
      <c r="C580" s="1" t="str">
        <f>IFERROR(__xludf.DUMMYFUNCTION("""COMPUTED_VALUE"""),"2025-1")</f>
        <v>2025-1</v>
      </c>
      <c r="D580" s="1" t="str">
        <f>IFERROR(__xludf.DUMMYFUNCTION("""COMPUTED_VALUE"""),"Admisión Ordinaria")</f>
        <v>Admisión Ordinaria</v>
      </c>
      <c r="E580" s="2">
        <f>IFERROR(__xludf.DUMMYFUNCTION("""COMPUTED_VALUE"""),45726.0)</f>
        <v>45726</v>
      </c>
      <c r="F580" s="1" t="str">
        <f>IFERROR(__xludf.DUMMYFUNCTION("""COMPUTED_VALUE"""),"SEBASTIAN ")</f>
        <v>SEBASTIAN </v>
      </c>
      <c r="G580" s="1" t="str">
        <f>IFERROR(__xludf.DUMMYFUNCTION("""COMPUTED_VALUE"""),"MURILLO SERRANO")</f>
        <v>MURILLO SERRANO</v>
      </c>
      <c r="H580" s="1" t="str">
        <f>IFERROR(__xludf.DUMMYFUNCTION("""COMPUTED_VALUE"""),"Psicología")</f>
        <v>Psicología</v>
      </c>
      <c r="I580" s="1" t="str">
        <f>IFERROR(__xludf.DUMMYFUNCTION("""COMPUTED_VALUE"""),"CARGO")</f>
        <v>CARGO</v>
      </c>
      <c r="J580" s="1" t="str">
        <f>IFERROR(__xludf.DUMMYFUNCTION("""COMPUTED_VALUE"""),"Nocturno - A distancia")</f>
        <v>Nocturno - A distancia</v>
      </c>
      <c r="K580" s="1" t="str">
        <f>IFERROR(__xludf.DUMMYFUNCTION("""COMPUTED_VALUE"""),"NUEVO")</f>
        <v>NUEVO</v>
      </c>
      <c r="L580" s="1">
        <f>IFERROR(__xludf.DUMMYFUNCTION("""COMPUTED_VALUE"""),0.0)</f>
        <v>0</v>
      </c>
      <c r="M580" s="1">
        <f>IFERROR(__xludf.DUMMYFUNCTION("""COMPUTED_VALUE"""),0.0)</f>
        <v>0</v>
      </c>
      <c r="N580" s="1" t="str">
        <f>IFERROR(__xludf.DUMMYFUNCTION("""COMPUTED_VALUE"""),"RECA")</f>
        <v>RECA</v>
      </c>
      <c r="O580" s="1" t="str">
        <f>IFERROR(__xludf.DUMMYFUNCTION("""COMPUTED_VALUE"""),"RECATEGORIZACIÓN")</f>
        <v>RECATEGORIZACIÓN</v>
      </c>
      <c r="P580" s="4">
        <f>IFERROR(__xludf.DUMMYFUNCTION("""COMPUTED_VALUE"""),0.0)</f>
        <v>0</v>
      </c>
      <c r="Q580" s="4">
        <f>IFERROR(__xludf.DUMMYFUNCTION("""COMPUTED_VALUE"""),0.0)</f>
        <v>0</v>
      </c>
      <c r="R580" s="4">
        <f>IFERROR(__xludf.DUMMYFUNCTION("""COMPUTED_VALUE"""),700.0)</f>
        <v>700</v>
      </c>
      <c r="S580" s="4">
        <f>IFERROR(__xludf.DUMMYFUNCTION("""COMPUTED_VALUE"""),700.0)</f>
        <v>700</v>
      </c>
      <c r="T580" s="1" t="str">
        <f>IFERROR(__xludf.DUMMYFUNCTION("""COMPUTED_VALUE"""),"NINGUNO")</f>
        <v>NINGUNO</v>
      </c>
      <c r="U580" s="1" t="str">
        <f>IFERROR(__xludf.DUMMYFUNCTION("""COMPUTED_VALUE"""),"RODRIGO")</f>
        <v>RODRIGO</v>
      </c>
      <c r="V580" s="1" t="str">
        <f>IFERROR(__xludf.DUMMYFUNCTION("""COMPUTED_VALUE"""),"Ninguno")</f>
        <v>Ninguno</v>
      </c>
      <c r="W580" s="1" t="str">
        <f>IFERROR(__xludf.DUMMYFUNCTION("""COMPUTED_VALUE"""),"Metodología de enseñanza")</f>
        <v>Metodología de enseñanza</v>
      </c>
      <c r="X580" s="1" t="str">
        <f>IFERROR(__xludf.DUMMYFUNCTION("""COMPUTED_VALUE"""),"su hermano estudia tambien ")</f>
        <v>su hermano estudia tambien </v>
      </c>
      <c r="Y580" s="1" t="str">
        <f>IFERROR(__xludf.DUMMYFUNCTION("""COMPUTED_VALUE"""),"PAGO COMPLETO")</f>
        <v>PAGO COMPLETO</v>
      </c>
      <c r="Z580" s="1"/>
      <c r="AA580" s="1"/>
      <c r="AB580" s="1">
        <f>IFERROR(__xludf.DUMMYFUNCTION("""COMPUTED_VALUE"""),0.0)</f>
        <v>0</v>
      </c>
      <c r="AC580" s="1">
        <f>IFERROR(__xludf.DUMMYFUNCTION("""COMPUTED_VALUE"""),0.0)</f>
        <v>0</v>
      </c>
      <c r="AD580" s="1" t="str">
        <f>IFERROR(__xludf.DUMMYFUNCTION("""COMPUTED_VALUE"""),"Rosa Ugarte")</f>
        <v>Rosa Ugarte</v>
      </c>
      <c r="AE580" s="1" t="str">
        <f>IFERROR(__xludf.DUMMYFUNCTION("""COMPUTED_VALUE"""),"0")</f>
        <v>0</v>
      </c>
      <c r="AF580" s="1">
        <f>IFERROR(__xludf.DUMMYFUNCTION("""COMPUTED_VALUE"""),2021.0)</f>
        <v>2021</v>
      </c>
      <c r="AG580" s="1">
        <f>IFERROR(__xludf.DUMMYFUNCTION("""COMPUTED_VALUE"""),0.0)</f>
        <v>0</v>
      </c>
      <c r="AH580" s="1">
        <f>IFERROR(__xludf.DUMMYFUNCTION("""COMPUTED_VALUE"""),23.0)</f>
        <v>23</v>
      </c>
      <c r="AI580" s="1" t="str">
        <f>IFERROR(__xludf.DUMMYFUNCTION("""COMPUTED_VALUE"""),"0000418601")</f>
        <v>0000418601</v>
      </c>
      <c r="AJ580" s="1">
        <f>IFERROR(__xludf.DUMMYFUNCTION("""COMPUTED_VALUE"""),7.5606257E7)</f>
        <v>75606257</v>
      </c>
      <c r="AK580" s="1">
        <f>IFERROR(__xludf.DUMMYFUNCTION("""COMPUTED_VALUE"""),9.31053318E8)</f>
        <v>931053318</v>
      </c>
      <c r="AL580" s="1" t="str">
        <f>IFERROR(__xludf.DUMMYFUNCTION("""COMPUTED_VALUE"""),"sebasmurillos19@gmail.com")</f>
        <v>sebasmurillos19@gmail.com</v>
      </c>
      <c r="AM580" s="1" t="str">
        <f>IFERROR(__xludf.DUMMYFUNCTION("""COMPUTED_VALUE"""),"MASCULINO")</f>
        <v>MASCULINO</v>
      </c>
      <c r="AN580" s="1">
        <f>IFERROR(__xludf.DUMMYFUNCTION("""COMPUTED_VALUE"""),1350.0)</f>
        <v>1350</v>
      </c>
      <c r="AO580" s="1">
        <f>IFERROR(__xludf.DUMMYFUNCTION("""COMPUTED_VALUE"""),0.0)</f>
        <v>0</v>
      </c>
      <c r="AP580" s="1" t="str">
        <f>IFERROR(__xludf.DUMMYFUNCTION("""COMPUTED_VALUE"""),"OUTBOUND")</f>
        <v>OUTBOUND</v>
      </c>
      <c r="AQ580" s="1" t="str">
        <f>IFERROR(__xludf.DUMMYFUNCTION("""COMPUTED_VALUE"""),"OUTBOUND")</f>
        <v>OUTBOUND</v>
      </c>
      <c r="AR580" s="1" t="str">
        <f>IFERROR(__xludf.DUMMYFUNCTION("""COMPUTED_VALUE"""),"NUEVO")</f>
        <v>NUEVO</v>
      </c>
      <c r="AS580" s="1"/>
      <c r="AT580" s="2">
        <f>IFERROR(__xludf.DUMMYFUNCTION("""COMPUTED_VALUE"""),45692.0)</f>
        <v>45692</v>
      </c>
      <c r="AU580" s="1">
        <f>IFERROR(__xludf.DUMMYFUNCTION("""COMPUTED_VALUE"""),1.0)</f>
        <v>1</v>
      </c>
      <c r="AV580" s="1" t="str">
        <f>IFERROR(__xludf.DUMMYFUNCTION("""COMPUTED_VALUE"""),"NUEVO")</f>
        <v>NUEVO</v>
      </c>
      <c r="AW580" s="1" t="str">
        <f>IFERROR(__xludf.DUMMYFUNCTION("""COMPUTED_VALUE"""),"SI")</f>
        <v>SI</v>
      </c>
      <c r="AX580" s="1"/>
      <c r="AY580" s="1" t="str">
        <f>IFERROR(__xludf.DUMMYFUNCTION("""COMPUTED_VALUE"""),"PAGO COMPLETO")</f>
        <v>PAGO COMPLETO</v>
      </c>
      <c r="AZ580" s="5">
        <f>IFERROR(__xludf.DUMMYFUNCTION("""COMPUTED_VALUE"""),45726.0)</f>
        <v>45726</v>
      </c>
      <c r="BA580" s="1">
        <f>IFERROR(__xludf.DUMMYFUNCTION("""COMPUTED_VALUE"""),0.0)</f>
        <v>0</v>
      </c>
      <c r="BB580" s="1">
        <f>IFERROR(__xludf.DUMMYFUNCTION("""COMPUTED_VALUE"""),0.0)</f>
        <v>0</v>
      </c>
      <c r="BC580" s="4">
        <f>IFERROR(__xludf.DUMMYFUNCTION("""COMPUTED_VALUE"""),0.0)</f>
        <v>0</v>
      </c>
      <c r="BD580" s="4">
        <f>IFERROR(__xludf.DUMMYFUNCTION("""COMPUTED_VALUE"""),0.0)</f>
        <v>0</v>
      </c>
      <c r="BE580" s="1">
        <f>IFERROR(__xludf.DUMMYFUNCTION("""COMPUTED_VALUE"""),3.0)</f>
        <v>3</v>
      </c>
      <c r="BF580" s="6">
        <f>IFERROR(__xludf.DUMMYFUNCTION("""COMPUTED_VALUE"""),1.0)</f>
        <v>1</v>
      </c>
      <c r="BG580" s="1">
        <f>IFERROR(__xludf.DUMMYFUNCTION("""COMPUTED_VALUE"""),1.0)</f>
        <v>1</v>
      </c>
      <c r="BH580" s="1" t="str">
        <f>IFERROR(__xludf.DUMMYFUNCTION("""COMPUTED_VALUE"""),"0")</f>
        <v>0</v>
      </c>
      <c r="BI580" s="4">
        <f>IFERROR(__xludf.DUMMYFUNCTION("""COMPUTED_VALUE"""),0.0)</f>
        <v>0</v>
      </c>
      <c r="BJ580" s="1">
        <f>IFERROR(__xludf.DUMMYFUNCTION("""COMPUTED_VALUE"""),0.0)</f>
        <v>0</v>
      </c>
      <c r="BK580" s="4">
        <f>IFERROR(__xludf.DUMMYFUNCTION("""COMPUTED_VALUE"""),0.0)</f>
        <v>0</v>
      </c>
      <c r="BL580" s="1">
        <f>IFERROR(__xludf.DUMMYFUNCTION("""COMPUTED_VALUE"""),700.0)</f>
        <v>700</v>
      </c>
      <c r="BM580" s="1">
        <f>IFERROR(__xludf.DUMMYFUNCTION("""COMPUTED_VALUE"""),11.0)</f>
        <v>11</v>
      </c>
      <c r="BN580" s="2">
        <f>IFERROR(__xludf.DUMMYFUNCTION("""COMPUTED_VALUE"""),45726.0)</f>
        <v>45726</v>
      </c>
      <c r="BO580" s="1">
        <f>IFERROR(__xludf.DUMMYFUNCTION("""COMPUTED_VALUE"""),3.0)</f>
        <v>3</v>
      </c>
      <c r="BP580" s="1">
        <f>IFERROR(__xludf.DUMMYFUNCTION("""COMPUTED_VALUE"""),2025.0)</f>
        <v>2025</v>
      </c>
    </row>
    <row r="581">
      <c r="A581" s="1">
        <f>IFERROR(__xludf.DUMMYFUNCTION("""COMPUTED_VALUE"""),580.0)</f>
        <v>580</v>
      </c>
      <c r="B581" s="1">
        <f>IFERROR(__xludf.DUMMYFUNCTION("""COMPUTED_VALUE"""),1560553.0)</f>
        <v>1560553</v>
      </c>
      <c r="C581" s="1" t="str">
        <f>IFERROR(__xludf.DUMMYFUNCTION("""COMPUTED_VALUE"""),"2025-1")</f>
        <v>2025-1</v>
      </c>
      <c r="D581" s="1" t="str">
        <f>IFERROR(__xludf.DUMMYFUNCTION("""COMPUTED_VALUE"""),"Admisión Ordinaria")</f>
        <v>Admisión Ordinaria</v>
      </c>
      <c r="E581" s="2">
        <f>IFERROR(__xludf.DUMMYFUNCTION("""COMPUTED_VALUE"""),45726.0)</f>
        <v>45726</v>
      </c>
      <c r="F581" s="1" t="str">
        <f>IFERROR(__xludf.DUMMYFUNCTION("""COMPUTED_VALUE"""),"YERSON AGUSTIN ")</f>
        <v>YERSON AGUSTIN </v>
      </c>
      <c r="G581" s="1" t="str">
        <f>IFERROR(__xludf.DUMMYFUNCTION("""COMPUTED_VALUE"""),"SANCHEZ RAMIREZ")</f>
        <v>SANCHEZ RAMIREZ</v>
      </c>
      <c r="H581" s="1" t="str">
        <f>IFERROR(__xludf.DUMMYFUNCTION("""COMPUTED_VALUE"""),"Administración y Marketing")</f>
        <v>Administración y Marketing</v>
      </c>
      <c r="I581" s="1" t="str">
        <f>IFERROR(__xludf.DUMMYFUNCTION("""COMPUTED_VALUE"""),"CARGO")</f>
        <v>CARGO</v>
      </c>
      <c r="J581" s="1" t="str">
        <f>IFERROR(__xludf.DUMMYFUNCTION("""COMPUTED_VALUE"""),"Nocturno - A distancia")</f>
        <v>Nocturno - A distancia</v>
      </c>
      <c r="K581" s="1" t="str">
        <f>IFERROR(__xludf.DUMMYFUNCTION("""COMPUTED_VALUE"""),"NUEVO")</f>
        <v>NUEVO</v>
      </c>
      <c r="L581" s="1">
        <f>IFERROR(__xludf.DUMMYFUNCTION("""COMPUTED_VALUE"""),0.0)</f>
        <v>0</v>
      </c>
      <c r="M581" s="1">
        <f>IFERROR(__xludf.DUMMYFUNCTION("""COMPUTED_VALUE"""),0.0)</f>
        <v>0</v>
      </c>
      <c r="N581" s="1" t="str">
        <f>IFERROR(__xludf.DUMMYFUNCTION("""COMPUTED_VALUE"""),"RECA")</f>
        <v>RECA</v>
      </c>
      <c r="O581" s="1" t="str">
        <f>IFERROR(__xludf.DUMMYFUNCTION("""COMPUTED_VALUE"""),"RECATEGORIZACIÓN")</f>
        <v>RECATEGORIZACIÓN</v>
      </c>
      <c r="P581" s="4">
        <f>IFERROR(__xludf.DUMMYFUNCTION("""COMPUTED_VALUE"""),0.0)</f>
        <v>0</v>
      </c>
      <c r="Q581" s="4">
        <f>IFERROR(__xludf.DUMMYFUNCTION("""COMPUTED_VALUE"""),0.0)</f>
        <v>0</v>
      </c>
      <c r="R581" s="4">
        <f>IFERROR(__xludf.DUMMYFUNCTION("""COMPUTED_VALUE"""),750.0)</f>
        <v>750</v>
      </c>
      <c r="S581" s="4">
        <f>IFERROR(__xludf.DUMMYFUNCTION("""COMPUTED_VALUE"""),750.0)</f>
        <v>750</v>
      </c>
      <c r="T581" s="1" t="str">
        <f>IFERROR(__xludf.DUMMYFUNCTION("""COMPUTED_VALUE"""),"NINGUNO")</f>
        <v>NINGUNO</v>
      </c>
      <c r="U581" s="1" t="str">
        <f>IFERROR(__xludf.DUMMYFUNCTION("""COMPUTED_VALUE"""),"RODRIGO")</f>
        <v>RODRIGO</v>
      </c>
      <c r="V581" s="1" t="str">
        <f>IFERROR(__xludf.DUMMYFUNCTION("""COMPUTED_VALUE"""),"Ninguno")</f>
        <v>Ninguno</v>
      </c>
      <c r="W581" s="1" t="str">
        <f>IFERROR(__xludf.DUMMYFUNCTION("""COMPUTED_VALUE"""),"Metodología de enseñanza")</f>
        <v>Metodología de enseñanza</v>
      </c>
      <c r="X581" s="1"/>
      <c r="Y581" s="1" t="str">
        <f>IFERROR(__xludf.DUMMYFUNCTION("""COMPUTED_VALUE"""),"PAGO COMPLETO")</f>
        <v>PAGO COMPLETO</v>
      </c>
      <c r="Z581" s="1"/>
      <c r="AA581" s="1"/>
      <c r="AB581" s="1">
        <f>IFERROR(__xludf.DUMMYFUNCTION("""COMPUTED_VALUE"""),0.0)</f>
        <v>0</v>
      </c>
      <c r="AC581" s="1">
        <f>IFERROR(__xludf.DUMMYFUNCTION("""COMPUTED_VALUE"""),0.0)</f>
        <v>0</v>
      </c>
      <c r="AD581" s="1" t="str">
        <f>IFERROR(__xludf.DUMMYFUNCTION("""COMPUTED_VALUE"""),"Rosa Ugarte")</f>
        <v>Rosa Ugarte</v>
      </c>
      <c r="AE581" s="1" t="str">
        <f>IFERROR(__xludf.DUMMYFUNCTION("""COMPUTED_VALUE"""),"0")</f>
        <v>0</v>
      </c>
      <c r="AF581" s="1">
        <f>IFERROR(__xludf.DUMMYFUNCTION("""COMPUTED_VALUE"""),2021.0)</f>
        <v>2021</v>
      </c>
      <c r="AG581" s="1">
        <f>IFERROR(__xludf.DUMMYFUNCTION("""COMPUTED_VALUE"""),0.0)</f>
        <v>0</v>
      </c>
      <c r="AH581" s="1">
        <f>IFERROR(__xludf.DUMMYFUNCTION("""COMPUTED_VALUE"""),22.0)</f>
        <v>22</v>
      </c>
      <c r="AI581" s="1" t="str">
        <f>IFERROR(__xludf.DUMMYFUNCTION("""COMPUTED_VALUE"""),"0000044293")</f>
        <v>0000044293</v>
      </c>
      <c r="AJ581" s="1">
        <f>IFERROR(__xludf.DUMMYFUNCTION("""COMPUTED_VALUE"""),7.0662751E7)</f>
        <v>70662751</v>
      </c>
      <c r="AK581" s="1">
        <f>IFERROR(__xludf.DUMMYFUNCTION("""COMPUTED_VALUE"""),9.100665E8)</f>
        <v>910066500</v>
      </c>
      <c r="AL581" s="1" t="str">
        <f>IFERROR(__xludf.DUMMYFUNCTION("""COMPUTED_VALUE"""),"sanchezramirezyerson@gmail.com")</f>
        <v>sanchezramirezyerson@gmail.com</v>
      </c>
      <c r="AM581" s="1" t="str">
        <f>IFERROR(__xludf.DUMMYFUNCTION("""COMPUTED_VALUE"""),"MASCULINO")</f>
        <v>MASCULINO</v>
      </c>
      <c r="AN581" s="1">
        <f>IFERROR(__xludf.DUMMYFUNCTION("""COMPUTED_VALUE"""),1350.0)</f>
        <v>1350</v>
      </c>
      <c r="AO581" s="1">
        <f>IFERROR(__xludf.DUMMYFUNCTION("""COMPUTED_VALUE"""),0.0)</f>
        <v>0</v>
      </c>
      <c r="AP581" s="1" t="str">
        <f>IFERROR(__xludf.DUMMYFUNCTION("""COMPUTED_VALUE"""),"FORMULARIO")</f>
        <v>FORMULARIO</v>
      </c>
      <c r="AQ581" s="1" t="str">
        <f>IFERROR(__xludf.DUMMYFUNCTION("""COMPUTED_VALUE"""),"NO SUFICIENCIA")</f>
        <v>NO SUFICIENCIA</v>
      </c>
      <c r="AR581" s="1" t="str">
        <f>IFERROR(__xludf.DUMMYFUNCTION("""COMPUTED_VALUE"""),"HEREDADO")</f>
        <v>HEREDADO</v>
      </c>
      <c r="AS581" s="1" t="str">
        <f>IFERROR(__xludf.DUMMYFUNCTION("""COMPUTED_VALUE"""),"ucal-pg-branding-sedes-demografico-cpm-alcance_branding_traslados-20241104")</f>
        <v>ucal-pg-branding-sedes-demografico-cpm-alcance_branding_traslados-20241104</v>
      </c>
      <c r="AT581" s="2">
        <f>IFERROR(__xludf.DUMMYFUNCTION("""COMPUTED_VALUE"""),45626.0)</f>
        <v>45626</v>
      </c>
      <c r="AU581" s="1">
        <f>IFERROR(__xludf.DUMMYFUNCTION("""COMPUTED_VALUE"""),1.0)</f>
        <v>1</v>
      </c>
      <c r="AV581" s="1" t="str">
        <f>IFERROR(__xludf.DUMMYFUNCTION("""COMPUTED_VALUE"""),"NUEVO")</f>
        <v>NUEVO</v>
      </c>
      <c r="AW581" s="1" t="str">
        <f>IFERROR(__xludf.DUMMYFUNCTION("""COMPUTED_VALUE"""),"SI")</f>
        <v>SI</v>
      </c>
      <c r="AX581" s="1"/>
      <c r="AY581" s="1" t="str">
        <f>IFERROR(__xludf.DUMMYFUNCTION("""COMPUTED_VALUE"""),"PAGO COMPLETO")</f>
        <v>PAGO COMPLETO</v>
      </c>
      <c r="AZ581" s="5">
        <f>IFERROR(__xludf.DUMMYFUNCTION("""COMPUTED_VALUE"""),45726.0)</f>
        <v>45726</v>
      </c>
      <c r="BA581" s="1">
        <f>IFERROR(__xludf.DUMMYFUNCTION("""COMPUTED_VALUE"""),0.0)</f>
        <v>0</v>
      </c>
      <c r="BB581" s="1">
        <f>IFERROR(__xludf.DUMMYFUNCTION("""COMPUTED_VALUE"""),0.0)</f>
        <v>0</v>
      </c>
      <c r="BC581" s="4">
        <f>IFERROR(__xludf.DUMMYFUNCTION("""COMPUTED_VALUE"""),0.0)</f>
        <v>0</v>
      </c>
      <c r="BD581" s="4">
        <f>IFERROR(__xludf.DUMMYFUNCTION("""COMPUTED_VALUE"""),0.0)</f>
        <v>0</v>
      </c>
      <c r="BE581" s="1">
        <f>IFERROR(__xludf.DUMMYFUNCTION("""COMPUTED_VALUE"""),3.0)</f>
        <v>3</v>
      </c>
      <c r="BF581" s="6">
        <f>IFERROR(__xludf.DUMMYFUNCTION("""COMPUTED_VALUE"""),1.0)</f>
        <v>1</v>
      </c>
      <c r="BG581" s="1">
        <f>IFERROR(__xludf.DUMMYFUNCTION("""COMPUTED_VALUE"""),1.0)</f>
        <v>1</v>
      </c>
      <c r="BH581" s="1" t="str">
        <f>IFERROR(__xludf.DUMMYFUNCTION("""COMPUTED_VALUE"""),"0")</f>
        <v>0</v>
      </c>
      <c r="BI581" s="4">
        <f>IFERROR(__xludf.DUMMYFUNCTION("""COMPUTED_VALUE"""),0.0)</f>
        <v>0</v>
      </c>
      <c r="BJ581" s="1">
        <f>IFERROR(__xludf.DUMMYFUNCTION("""COMPUTED_VALUE"""),0.0)</f>
        <v>0</v>
      </c>
      <c r="BK581" s="4">
        <f>IFERROR(__xludf.DUMMYFUNCTION("""COMPUTED_VALUE"""),0.0)</f>
        <v>0</v>
      </c>
      <c r="BL581" s="1">
        <f>IFERROR(__xludf.DUMMYFUNCTION("""COMPUTED_VALUE"""),750.0)</f>
        <v>750</v>
      </c>
      <c r="BM581" s="1">
        <f>IFERROR(__xludf.DUMMYFUNCTION("""COMPUTED_VALUE"""),11.0)</f>
        <v>11</v>
      </c>
      <c r="BN581" s="2">
        <f>IFERROR(__xludf.DUMMYFUNCTION("""COMPUTED_VALUE"""),45726.0)</f>
        <v>45726</v>
      </c>
      <c r="BO581" s="1">
        <f>IFERROR(__xludf.DUMMYFUNCTION("""COMPUTED_VALUE"""),3.0)</f>
        <v>3</v>
      </c>
      <c r="BP581" s="1">
        <f>IFERROR(__xludf.DUMMYFUNCTION("""COMPUTED_VALUE"""),2025.0)</f>
        <v>2025</v>
      </c>
    </row>
    <row r="582">
      <c r="A582" s="1">
        <f>IFERROR(__xludf.DUMMYFUNCTION("""COMPUTED_VALUE"""),581.0)</f>
        <v>581</v>
      </c>
      <c r="B582" s="1">
        <f>IFERROR(__xludf.DUMMYFUNCTION("""COMPUTED_VALUE"""),2388623.0)</f>
        <v>2388623</v>
      </c>
      <c r="C582" s="1" t="str">
        <f>IFERROR(__xludf.DUMMYFUNCTION("""COMPUTED_VALUE"""),"2025-1")</f>
        <v>2025-1</v>
      </c>
      <c r="D582" s="1" t="str">
        <f>IFERROR(__xludf.DUMMYFUNCTION("""COMPUTED_VALUE"""),"Admisión Ordinaria")</f>
        <v>Admisión Ordinaria</v>
      </c>
      <c r="E582" s="2">
        <f>IFERROR(__xludf.DUMMYFUNCTION("""COMPUTED_VALUE"""),45726.0)</f>
        <v>45726</v>
      </c>
      <c r="F582" s="1" t="str">
        <f>IFERROR(__xludf.DUMMYFUNCTION("""COMPUTED_VALUE"""),"HERAL MACIEL")</f>
        <v>HERAL MACIEL</v>
      </c>
      <c r="G582" s="1" t="str">
        <f>IFERROR(__xludf.DUMMYFUNCTION("""COMPUTED_VALUE"""),"UBALDO BORDA")</f>
        <v>UBALDO BORDA</v>
      </c>
      <c r="H582" s="1" t="str">
        <f>IFERROR(__xludf.DUMMYFUNCTION("""COMPUTED_VALUE"""),"Diseño Gráfico Publicitario")</f>
        <v>Diseño Gráfico Publicitario</v>
      </c>
      <c r="I582" s="1" t="str">
        <f>IFERROR(__xludf.DUMMYFUNCTION("""COMPUTED_VALUE"""),"CARGO")</f>
        <v>CARGO</v>
      </c>
      <c r="J582" s="1" t="str">
        <f>IFERROR(__xludf.DUMMYFUNCTION("""COMPUTED_VALUE"""),"Diurno")</f>
        <v>Diurno</v>
      </c>
      <c r="K582" s="1" t="str">
        <f>IFERROR(__xludf.DUMMYFUNCTION("""COMPUTED_VALUE"""),"NUEVO")</f>
        <v>NUEVO</v>
      </c>
      <c r="L582" s="1">
        <f>IFERROR(__xludf.DUMMYFUNCTION("""COMPUTED_VALUE"""),0.0)</f>
        <v>0</v>
      </c>
      <c r="M582" s="1">
        <f>IFERROR(__xludf.DUMMYFUNCTION("""COMPUTED_VALUE"""),1.0)</f>
        <v>1</v>
      </c>
      <c r="N582" s="1" t="str">
        <f>IFERROR(__xludf.DUMMYFUNCTION("""COMPUTED_VALUE"""),"ESCALA REGULAR")</f>
        <v>ESCALA REGULAR</v>
      </c>
      <c r="O582" s="1" t="str">
        <f>IFERROR(__xludf.DUMMYFUNCTION("""COMPUTED_VALUE"""),"NINGUNO")</f>
        <v>NINGUNO</v>
      </c>
      <c r="P582" s="4">
        <f>IFERROR(__xludf.DUMMYFUNCTION("""COMPUTED_VALUE"""),350.0)</f>
        <v>350</v>
      </c>
      <c r="Q582" s="4">
        <f>IFERROR(__xludf.DUMMYFUNCTION("""COMPUTED_VALUE"""),0.0)</f>
        <v>0</v>
      </c>
      <c r="R582" s="4">
        <f>IFERROR(__xludf.DUMMYFUNCTION("""COMPUTED_VALUE"""),850.0)</f>
        <v>850</v>
      </c>
      <c r="S582" s="4">
        <f>IFERROR(__xludf.DUMMYFUNCTION("""COMPUTED_VALUE"""),850.0)</f>
        <v>850</v>
      </c>
      <c r="T582" s="1" t="str">
        <f>IFERROR(__xludf.DUMMYFUNCTION("""COMPUTED_VALUE"""),"Reconocemos tu primera boleta")</f>
        <v>Reconocemos tu primera boleta</v>
      </c>
      <c r="U582" s="1" t="str">
        <f>IFERROR(__xludf.DUMMYFUNCTION("""COMPUTED_VALUE"""),"RODRIGO")</f>
        <v>RODRIGO</v>
      </c>
      <c r="V582" s="1" t="str">
        <f>IFERROR(__xludf.DUMMYFUNCTION("""COMPUTED_VALUE"""),"Ninguno")</f>
        <v>Ninguno</v>
      </c>
      <c r="W582" s="1" t="str">
        <f>IFERROR(__xludf.DUMMYFUNCTION("""COMPUTED_VALUE"""),"Prestigio de la institución")</f>
        <v>Prestigio de la institución</v>
      </c>
      <c r="X582" s="1" t="str">
        <f>IFERROR(__xludf.DUMMYFUNCTION("""COMPUTED_VALUE"""),"0")</f>
        <v>0</v>
      </c>
      <c r="Y582" s="1" t="str">
        <f>IFERROR(__xludf.DUMMYFUNCTION("""COMPUTED_VALUE"""),"PAGO COMPLETO")</f>
        <v>PAGO COMPLETO</v>
      </c>
      <c r="Z582" s="1"/>
      <c r="AA582" s="1"/>
      <c r="AB582" s="1">
        <f>IFERROR(__xludf.DUMMYFUNCTION("""COMPUTED_VALUE"""),0.0)</f>
        <v>0</v>
      </c>
      <c r="AC582" s="1">
        <f>IFERROR(__xludf.DUMMYFUNCTION("""COMPUTED_VALUE"""),0.0)</f>
        <v>0</v>
      </c>
      <c r="AD582" s="1" t="str">
        <f>IFERROR(__xludf.DUMMYFUNCTION("""COMPUTED_VALUE"""),"Andrea Araujo Antara")</f>
        <v>Andrea Araujo Antara</v>
      </c>
      <c r="AE582" s="1" t="str">
        <f>IFERROR(__xludf.DUMMYFUNCTION("""COMPUTED_VALUE"""),"0")</f>
        <v>0</v>
      </c>
      <c r="AF582" s="1">
        <f>IFERROR(__xludf.DUMMYFUNCTION("""COMPUTED_VALUE"""),2023.0)</f>
        <v>2023</v>
      </c>
      <c r="AG582" s="1">
        <f>IFERROR(__xludf.DUMMYFUNCTION("""COMPUTED_VALUE"""),0.0)</f>
        <v>0</v>
      </c>
      <c r="AH582" s="1">
        <f>IFERROR(__xludf.DUMMYFUNCTION("""COMPUTED_VALUE"""),18.0)</f>
        <v>18</v>
      </c>
      <c r="AI582" s="1" t="str">
        <f>IFERROR(__xludf.DUMMYFUNCTION("""COMPUTED_VALUE"""),"0000374695")</f>
        <v>0000374695</v>
      </c>
      <c r="AJ582" s="1">
        <f>IFERROR(__xludf.DUMMYFUNCTION("""COMPUTED_VALUE"""),6.0916626E7)</f>
        <v>60916626</v>
      </c>
      <c r="AK582" s="1">
        <f>IFERROR(__xludf.DUMMYFUNCTION("""COMPUTED_VALUE"""),9.67225389E8)</f>
        <v>967225389</v>
      </c>
      <c r="AL582" s="1" t="str">
        <f>IFERROR(__xludf.DUMMYFUNCTION("""COMPUTED_VALUE"""),"heraljr.01@gmail.com")</f>
        <v>heraljr.01@gmail.com</v>
      </c>
      <c r="AM582" s="1" t="str">
        <f>IFERROR(__xludf.DUMMYFUNCTION("""COMPUTED_VALUE"""),"MASCULINO")</f>
        <v>MASCULINO</v>
      </c>
      <c r="AN582" s="1">
        <f>IFERROR(__xludf.DUMMYFUNCTION("""COMPUTED_VALUE"""),1600.0)</f>
        <v>1600</v>
      </c>
      <c r="AO582" s="1">
        <f>IFERROR(__xludf.DUMMYFUNCTION("""COMPUTED_VALUE"""),300.0)</f>
        <v>300</v>
      </c>
      <c r="AP582" s="1" t="str">
        <f>IFERROR(__xludf.DUMMYFUNCTION("""COMPUTED_VALUE"""),"VISITA")</f>
        <v>VISITA</v>
      </c>
      <c r="AQ582" s="1" t="str">
        <f>IFERROR(__xludf.DUMMYFUNCTION("""COMPUTED_VALUE"""),"VISITA")</f>
        <v>VISITA</v>
      </c>
      <c r="AR582" s="1" t="str">
        <f>IFERROR(__xludf.DUMMYFUNCTION("""COMPUTED_VALUE"""),"HEREDADO")</f>
        <v>HEREDADO</v>
      </c>
      <c r="AS582" s="1"/>
      <c r="AT582" s="2">
        <f>IFERROR(__xludf.DUMMYFUNCTION("""COMPUTED_VALUE"""),45722.0)</f>
        <v>45722</v>
      </c>
      <c r="AU582" s="1">
        <f>IFERROR(__xludf.DUMMYFUNCTION("""COMPUTED_VALUE"""),1.0)</f>
        <v>1</v>
      </c>
      <c r="AV582" s="1" t="str">
        <f>IFERROR(__xludf.DUMMYFUNCTION("""COMPUTED_VALUE"""),"NUEVO")</f>
        <v>NUEVO</v>
      </c>
      <c r="AW582" s="1" t="str">
        <f>IFERROR(__xludf.DUMMYFUNCTION("""COMPUTED_VALUE"""),"SI")</f>
        <v>SI</v>
      </c>
      <c r="AX582" s="1"/>
      <c r="AY582" s="1" t="str">
        <f>IFERROR(__xludf.DUMMYFUNCTION("""COMPUTED_VALUE"""),"PAGO COMPLETO")</f>
        <v>PAGO COMPLETO</v>
      </c>
      <c r="AZ582" s="5">
        <f>IFERROR(__xludf.DUMMYFUNCTION("""COMPUTED_VALUE"""),45726.0)</f>
        <v>45726</v>
      </c>
      <c r="BA582" s="1">
        <f>IFERROR(__xludf.DUMMYFUNCTION("""COMPUTED_VALUE"""),0.0)</f>
        <v>0</v>
      </c>
      <c r="BB582" s="1">
        <f>IFERROR(__xludf.DUMMYFUNCTION("""COMPUTED_VALUE"""),0.0)</f>
        <v>0</v>
      </c>
      <c r="BC582" s="4">
        <f>IFERROR(__xludf.DUMMYFUNCTION("""COMPUTED_VALUE"""),0.0)</f>
        <v>0</v>
      </c>
      <c r="BD582" s="4">
        <f>IFERROR(__xludf.DUMMYFUNCTION("""COMPUTED_VALUE"""),850.0)</f>
        <v>850</v>
      </c>
      <c r="BE582" s="1">
        <f>IFERROR(__xludf.DUMMYFUNCTION("""COMPUTED_VALUE"""),3.0)</f>
        <v>3</v>
      </c>
      <c r="BF582" s="6">
        <f>IFERROR(__xludf.DUMMYFUNCTION("""COMPUTED_VALUE"""),1.0)</f>
        <v>1</v>
      </c>
      <c r="BG582" s="1"/>
      <c r="BH582" s="1" t="str">
        <f>IFERROR(__xludf.DUMMYFUNCTION("""COMPUTED_VALUE"""),"0")</f>
        <v>0</v>
      </c>
      <c r="BI582" s="4">
        <f>IFERROR(__xludf.DUMMYFUNCTION("""COMPUTED_VALUE"""),850.0)</f>
        <v>850</v>
      </c>
      <c r="BJ582" s="1">
        <f>IFERROR(__xludf.DUMMYFUNCTION("""COMPUTED_VALUE"""),0.0)</f>
        <v>0</v>
      </c>
      <c r="BK582" s="4">
        <f>IFERROR(__xludf.DUMMYFUNCTION("""COMPUTED_VALUE"""),850.0)</f>
        <v>850</v>
      </c>
      <c r="BL582" s="1">
        <f>IFERROR(__xludf.DUMMYFUNCTION("""COMPUTED_VALUE"""),680.0)</f>
        <v>680</v>
      </c>
      <c r="BM582" s="1">
        <f>IFERROR(__xludf.DUMMYFUNCTION("""COMPUTED_VALUE"""),11.0)</f>
        <v>11</v>
      </c>
      <c r="BN582" s="2">
        <f>IFERROR(__xludf.DUMMYFUNCTION("""COMPUTED_VALUE"""),45726.0)</f>
        <v>45726</v>
      </c>
      <c r="BO582" s="1">
        <f>IFERROR(__xludf.DUMMYFUNCTION("""COMPUTED_VALUE"""),3.0)</f>
        <v>3</v>
      </c>
      <c r="BP582" s="1">
        <f>IFERROR(__xludf.DUMMYFUNCTION("""COMPUTED_VALUE"""),2025.0)</f>
        <v>2025</v>
      </c>
    </row>
    <row r="583">
      <c r="A583" s="1">
        <f>IFERROR(__xludf.DUMMYFUNCTION("""COMPUTED_VALUE"""),582.0)</f>
        <v>582</v>
      </c>
      <c r="B583" s="1">
        <f>IFERROR(__xludf.DUMMYFUNCTION("""COMPUTED_VALUE"""),2541626.0)</f>
        <v>2541626</v>
      </c>
      <c r="C583" s="1" t="str">
        <f>IFERROR(__xludf.DUMMYFUNCTION("""COMPUTED_VALUE"""),"2025-1")</f>
        <v>2025-1</v>
      </c>
      <c r="D583" s="1" t="str">
        <f>IFERROR(__xludf.DUMMYFUNCTION("""COMPUTED_VALUE"""),"Admisión Extraordinaria (Traslados)")</f>
        <v>Admisión Extraordinaria (Traslados)</v>
      </c>
      <c r="E583" s="2">
        <f>IFERROR(__xludf.DUMMYFUNCTION("""COMPUTED_VALUE"""),45727.0)</f>
        <v>45727</v>
      </c>
      <c r="F583" s="1" t="str">
        <f>IFERROR(__xludf.DUMMYFUNCTION("""COMPUTED_VALUE"""),"FABRIZIO ")</f>
        <v>FABRIZIO </v>
      </c>
      <c r="G583" s="1" t="str">
        <f>IFERROR(__xludf.DUMMYFUNCTION("""COMPUTED_VALUE"""),"FERNANDINI AMAYA")</f>
        <v>FERNANDINI AMAYA</v>
      </c>
      <c r="H583" s="1" t="str">
        <f>IFERROR(__xludf.DUMMYFUNCTION("""COMPUTED_VALUE"""),"Comunicación")</f>
        <v>Comunicación</v>
      </c>
      <c r="I583" s="1" t="str">
        <f>IFERROR(__xludf.DUMMYFUNCTION("""COMPUTED_VALUE"""),"Pago Link")</f>
        <v>Pago Link</v>
      </c>
      <c r="J583" s="1" t="str">
        <f>IFERROR(__xludf.DUMMYFUNCTION("""COMPUTED_VALUE"""),"Diurno")</f>
        <v>Diurno</v>
      </c>
      <c r="K583" s="1" t="str">
        <f>IFERROR(__xludf.DUMMYFUNCTION("""COMPUTED_VALUE"""),"TRASLADO")</f>
        <v>TRASLADO</v>
      </c>
      <c r="L583" s="1">
        <f>IFERROR(__xludf.DUMMYFUNCTION("""COMPUTED_VALUE"""),1.0)</f>
        <v>1</v>
      </c>
      <c r="M583" s="1">
        <f>IFERROR(__xludf.DUMMYFUNCTION("""COMPUTED_VALUE"""),0.0)</f>
        <v>0</v>
      </c>
      <c r="N583" s="1" t="str">
        <f>IFERROR(__xludf.DUMMYFUNCTION("""COMPUTED_VALUE"""),"RECA")</f>
        <v>RECA</v>
      </c>
      <c r="O583" s="1" t="str">
        <f>IFERROR(__xludf.DUMMYFUNCTION("""COMPUTED_VALUE"""),"RECA TRASLADO CON CONVA")</f>
        <v>RECA TRASLADO CON CONVA</v>
      </c>
      <c r="P583" s="4">
        <f>IFERROR(__xludf.DUMMYFUNCTION("""COMPUTED_VALUE"""),0.0)</f>
        <v>0</v>
      </c>
      <c r="Q583" s="4">
        <f>IFERROR(__xludf.DUMMYFUNCTION("""COMPUTED_VALUE"""),0.0)</f>
        <v>0</v>
      </c>
      <c r="R583" s="4">
        <f>IFERROR(__xludf.DUMMYFUNCTION("""COMPUTED_VALUE"""),1650.0)</f>
        <v>1650</v>
      </c>
      <c r="S583" s="4">
        <f>IFERROR(__xludf.DUMMYFUNCTION("""COMPUTED_VALUE"""),1300.0)</f>
        <v>1300</v>
      </c>
      <c r="T583" s="1" t="str">
        <f>IFERROR(__xludf.DUMMYFUNCTION("""COMPUTED_VALUE"""),"Visita Guiada")</f>
        <v>Visita Guiada</v>
      </c>
      <c r="U583" s="1" t="str">
        <f>IFERROR(__xludf.DUMMYFUNCTION("""COMPUTED_VALUE"""),"FABIOLA")</f>
        <v>FABIOLA</v>
      </c>
      <c r="V583" s="1" t="str">
        <f>IFERROR(__xludf.DUMMYFUNCTION("""COMPUTED_VALUE"""),"Ninguno")</f>
        <v>Ninguno</v>
      </c>
      <c r="W583" s="1" t="str">
        <f>IFERROR(__xludf.DUMMYFUNCTION("""COMPUTED_VALUE"""),"Malla curricular")</f>
        <v>Malla curricular</v>
      </c>
      <c r="X583" s="1"/>
      <c r="Y583" s="1" t="str">
        <f>IFERROR(__xludf.DUMMYFUNCTION("""COMPUTED_VALUE"""),"PAGO FRACCIONADO")</f>
        <v>PAGO FRACCIONADO</v>
      </c>
      <c r="Z583" s="1">
        <f>IFERROR(__xludf.DUMMYFUNCTION("""COMPUTED_VALUE"""),300.0)</f>
        <v>300</v>
      </c>
      <c r="AA583" s="1" t="str">
        <f>IFERROR(__xludf.DUMMYFUNCTION("""COMPUTED_VALUE"""),"03/03/2025")</f>
        <v>03/03/2025</v>
      </c>
      <c r="AB583" s="1">
        <f>IFERROR(__xludf.DUMMYFUNCTION("""COMPUTED_VALUE"""),0.0)</f>
        <v>0</v>
      </c>
      <c r="AC583" s="1">
        <f>IFERROR(__xludf.DUMMYFUNCTION("""COMPUTED_VALUE"""),0.0)</f>
        <v>0</v>
      </c>
      <c r="AD583" s="1" t="str">
        <f>IFERROR(__xludf.DUMMYFUNCTION("""COMPUTED_VALUE"""),"Fiorella Lanegra")</f>
        <v>Fiorella Lanegra</v>
      </c>
      <c r="AE583" s="1" t="str">
        <f>IFERROR(__xludf.DUMMYFUNCTION("""COMPUTED_VALUE"""),"Universidad De Lima")</f>
        <v>Universidad De Lima</v>
      </c>
      <c r="AF583" s="1">
        <f>IFERROR(__xludf.DUMMYFUNCTION("""COMPUTED_VALUE"""),2021.0)</f>
        <v>2021</v>
      </c>
      <c r="AG583" s="1">
        <f>IFERROR(__xludf.DUMMYFUNCTION("""COMPUTED_VALUE"""),588905.0)</f>
        <v>588905</v>
      </c>
      <c r="AH583" s="1">
        <f>IFERROR(__xludf.DUMMYFUNCTION("""COMPUTED_VALUE"""),21.0)</f>
        <v>21</v>
      </c>
      <c r="AI583" s="1" t="str">
        <f>IFERROR(__xludf.DUMMYFUNCTION("""COMPUTED_VALUE"""),"0000416619")</f>
        <v>0000416619</v>
      </c>
      <c r="AJ583" s="1">
        <f>IFERROR(__xludf.DUMMYFUNCTION("""COMPUTED_VALUE"""),7.3363719E7)</f>
        <v>73363719</v>
      </c>
      <c r="AK583" s="1">
        <f>IFERROR(__xludf.DUMMYFUNCTION("""COMPUTED_VALUE"""),5.19836336E8)</f>
        <v>519836336</v>
      </c>
      <c r="AL583" s="1" t="str">
        <f>IFERROR(__xludf.DUMMYFUNCTION("""COMPUTED_VALUE"""),"FFERNANDINI10@gmail.com")</f>
        <v>FFERNANDINI10@gmail.com</v>
      </c>
      <c r="AM583" s="1" t="str">
        <f>IFERROR(__xludf.DUMMYFUNCTION("""COMPUTED_VALUE"""),"MASCULINO")</f>
        <v>MASCULINO</v>
      </c>
      <c r="AN583" s="1">
        <f>IFERROR(__xludf.DUMMYFUNCTION("""COMPUTED_VALUE"""),1850.0)</f>
        <v>1850</v>
      </c>
      <c r="AO583" s="1">
        <f>IFERROR(__xludf.DUMMYFUNCTION("""COMPUTED_VALUE"""),780.0)</f>
        <v>780</v>
      </c>
      <c r="AP583" s="1" t="str">
        <f>IFERROR(__xludf.DUMMYFUNCTION("""COMPUTED_VALUE"""),"BIDIRECCIONAL")</f>
        <v>BIDIRECCIONAL</v>
      </c>
      <c r="AQ583" s="1" t="str">
        <f>IFERROR(__xludf.DUMMYFUNCTION("""COMPUTED_VALUE"""),"ORGANICO")</f>
        <v>ORGANICO</v>
      </c>
      <c r="AR583" s="1" t="str">
        <f>IFERROR(__xludf.DUMMYFUNCTION("""COMPUTED_VALUE"""),"HEREDADO")</f>
        <v>HEREDADO</v>
      </c>
      <c r="AS583" s="1"/>
      <c r="AT583" s="2">
        <f>IFERROR(__xludf.DUMMYFUNCTION("""COMPUTED_VALUE"""),45680.0)</f>
        <v>45680</v>
      </c>
      <c r="AU583" s="1">
        <f>IFERROR(__xludf.DUMMYFUNCTION("""COMPUTED_VALUE"""),1.0)</f>
        <v>1</v>
      </c>
      <c r="AV583" s="1" t="str">
        <f>IFERROR(__xludf.DUMMYFUNCTION("""COMPUTED_VALUE"""),"TRASLADO")</f>
        <v>TRASLADO</v>
      </c>
      <c r="AW583" s="1" t="str">
        <f>IFERROR(__xludf.DUMMYFUNCTION("""COMPUTED_VALUE"""),"SI")</f>
        <v>SI</v>
      </c>
      <c r="AX583" s="1"/>
      <c r="AY583" s="1" t="str">
        <f>IFERROR(__xludf.DUMMYFUNCTION("""COMPUTED_VALUE"""),"PAGO COMPLETO")</f>
        <v>PAGO COMPLETO</v>
      </c>
      <c r="AZ583" s="5">
        <f>IFERROR(__xludf.DUMMYFUNCTION("""COMPUTED_VALUE"""),45727.0)</f>
        <v>45727</v>
      </c>
      <c r="BA583" s="1">
        <f>IFERROR(__xludf.DUMMYFUNCTION("""COMPUTED_VALUE"""),900.0)</f>
        <v>900</v>
      </c>
      <c r="BB583" s="1">
        <f>IFERROR(__xludf.DUMMYFUNCTION("""COMPUTED_VALUE"""),0.0)</f>
        <v>0</v>
      </c>
      <c r="BC583" s="4">
        <f>IFERROR(__xludf.DUMMYFUNCTION("""COMPUTED_VALUE"""),0.0)</f>
        <v>0</v>
      </c>
      <c r="BD583" s="4">
        <f>IFERROR(__xludf.DUMMYFUNCTION("""COMPUTED_VALUE"""),100.0)</f>
        <v>100</v>
      </c>
      <c r="BE583" s="1">
        <f>IFERROR(__xludf.DUMMYFUNCTION("""COMPUTED_VALUE"""),3.0)</f>
        <v>3</v>
      </c>
      <c r="BF583" s="6">
        <f>IFERROR(__xludf.DUMMYFUNCTION("""COMPUTED_VALUE"""),1.0)</f>
        <v>1</v>
      </c>
      <c r="BG583" s="1">
        <f>IFERROR(__xludf.DUMMYFUNCTION("""COMPUTED_VALUE"""),0.0)</f>
        <v>0</v>
      </c>
      <c r="BH583" s="1" t="str">
        <f>IFERROR(__xludf.DUMMYFUNCTION("""COMPUTED_VALUE"""),"1")</f>
        <v>1</v>
      </c>
      <c r="BI583" s="4">
        <f>IFERROR(__xludf.DUMMYFUNCTION("""COMPUTED_VALUE"""),1300.0)</f>
        <v>1300</v>
      </c>
      <c r="BJ583" s="1">
        <f>IFERROR(__xludf.DUMMYFUNCTION("""COMPUTED_VALUE"""),0.0)</f>
        <v>0</v>
      </c>
      <c r="BK583" s="4">
        <f>IFERROR(__xludf.DUMMYFUNCTION("""COMPUTED_VALUE"""),100.0)</f>
        <v>100</v>
      </c>
      <c r="BL583" s="1">
        <f>IFERROR(__xludf.DUMMYFUNCTION("""COMPUTED_VALUE"""),1280.0)</f>
        <v>1280</v>
      </c>
      <c r="BM583" s="1">
        <f>IFERROR(__xludf.DUMMYFUNCTION("""COMPUTED_VALUE"""),11.0)</f>
        <v>11</v>
      </c>
      <c r="BN583" s="2">
        <f>IFERROR(__xludf.DUMMYFUNCTION("""COMPUTED_VALUE"""),45726.0)</f>
        <v>45726</v>
      </c>
      <c r="BO583" s="1">
        <f>IFERROR(__xludf.DUMMYFUNCTION("""COMPUTED_VALUE"""),3.0)</f>
        <v>3</v>
      </c>
      <c r="BP583" s="1">
        <f>IFERROR(__xludf.DUMMYFUNCTION("""COMPUTED_VALUE"""),2025.0)</f>
        <v>2025</v>
      </c>
    </row>
    <row r="584">
      <c r="A584" s="1">
        <f>IFERROR(__xludf.DUMMYFUNCTION("""COMPUTED_VALUE"""),583.0)</f>
        <v>583</v>
      </c>
      <c r="B584" s="1">
        <f>IFERROR(__xludf.DUMMYFUNCTION("""COMPUTED_VALUE"""),5071640.0)</f>
        <v>5071640</v>
      </c>
      <c r="C584" s="1" t="str">
        <f>IFERROR(__xludf.DUMMYFUNCTION("""COMPUTED_VALUE"""),"2025-1")</f>
        <v>2025-1</v>
      </c>
      <c r="D584" s="1" t="str">
        <f>IFERROR(__xludf.DUMMYFUNCTION("""COMPUTED_VALUE"""),"Admisión Extraordinaria (Traslados)")</f>
        <v>Admisión Extraordinaria (Traslados)</v>
      </c>
      <c r="E584" s="2">
        <f>IFERROR(__xludf.DUMMYFUNCTION("""COMPUTED_VALUE"""),45727.0)</f>
        <v>45727</v>
      </c>
      <c r="F584" s="1" t="str">
        <f>IFERROR(__xludf.DUMMYFUNCTION("""COMPUTED_VALUE"""),"JOSE ALBERTO ")</f>
        <v>JOSE ALBERTO </v>
      </c>
      <c r="G584" s="1" t="str">
        <f>IFERROR(__xludf.DUMMYFUNCTION("""COMPUTED_VALUE"""),"CCANTO ZANABRIA")</f>
        <v>CCANTO ZANABRIA</v>
      </c>
      <c r="H584" s="1" t="str">
        <f>IFERROR(__xludf.DUMMYFUNCTION("""COMPUTED_VALUE"""),"Comunicación y Publicidad Transmedia")</f>
        <v>Comunicación y Publicidad Transmedia</v>
      </c>
      <c r="I584" s="1" t="str">
        <f>IFERROR(__xludf.DUMMYFUNCTION("""COMPUTED_VALUE"""),"CARGO")</f>
        <v>CARGO</v>
      </c>
      <c r="J584" s="1" t="str">
        <f>IFERROR(__xludf.DUMMYFUNCTION("""COMPUTED_VALUE"""),"Diurno")</f>
        <v>Diurno</v>
      </c>
      <c r="K584" s="1" t="str">
        <f>IFERROR(__xludf.DUMMYFUNCTION("""COMPUTED_VALUE"""),"TRASLADO")</f>
        <v>TRASLADO</v>
      </c>
      <c r="L584" s="1">
        <f>IFERROR(__xludf.DUMMYFUNCTION("""COMPUTED_VALUE"""),1.0)</f>
        <v>1</v>
      </c>
      <c r="M584" s="1">
        <f>IFERROR(__xludf.DUMMYFUNCTION("""COMPUTED_VALUE"""),0.0)</f>
        <v>0</v>
      </c>
      <c r="N584" s="1" t="str">
        <f>IFERROR(__xludf.DUMMYFUNCTION("""COMPUTED_VALUE"""),"RECA")</f>
        <v>RECA</v>
      </c>
      <c r="O584" s="1" t="str">
        <f>IFERROR(__xludf.DUMMYFUNCTION("""COMPUTED_VALUE"""),"RECA TRASLADO CON CONVA")</f>
        <v>RECA TRASLADO CON CONVA</v>
      </c>
      <c r="P584" s="4">
        <f>IFERROR(__xludf.DUMMYFUNCTION("""COMPUTED_VALUE"""),0.0)</f>
        <v>0</v>
      </c>
      <c r="Q584" s="4">
        <f>IFERROR(__xludf.DUMMYFUNCTION("""COMPUTED_VALUE"""),0.0)</f>
        <v>0</v>
      </c>
      <c r="R584" s="4">
        <f>IFERROR(__xludf.DUMMYFUNCTION("""COMPUTED_VALUE"""),1050.0)</f>
        <v>1050</v>
      </c>
      <c r="S584" s="4">
        <f>IFERROR(__xludf.DUMMYFUNCTION("""COMPUTED_VALUE"""),1050.0)</f>
        <v>1050</v>
      </c>
      <c r="T584" s="1" t="str">
        <f>IFERROR(__xludf.DUMMYFUNCTION("""COMPUTED_VALUE"""),"NINGUNO")</f>
        <v>NINGUNO</v>
      </c>
      <c r="U584" s="1" t="str">
        <f>IFERROR(__xludf.DUMMYFUNCTION("""COMPUTED_VALUE"""),"FABIOLA")</f>
        <v>FABIOLA</v>
      </c>
      <c r="V584" s="1" t="str">
        <f>IFERROR(__xludf.DUMMYFUNCTION("""COMPUTED_VALUE"""),"Ninguno")</f>
        <v>Ninguno</v>
      </c>
      <c r="W584" s="1" t="str">
        <f>IFERROR(__xludf.DUMMYFUNCTION("""COMPUTED_VALUE"""),"Malla curricular")</f>
        <v>Malla curricular</v>
      </c>
      <c r="X584" s="1"/>
      <c r="Y584" s="1" t="str">
        <f>IFERROR(__xludf.DUMMYFUNCTION("""COMPUTED_VALUE"""),"PAGO COMPLETO")</f>
        <v>PAGO COMPLETO</v>
      </c>
      <c r="Z584" s="1"/>
      <c r="AA584" s="1"/>
      <c r="AB584" s="1">
        <f>IFERROR(__xludf.DUMMYFUNCTION("""COMPUTED_VALUE"""),0.0)</f>
        <v>0</v>
      </c>
      <c r="AC584" s="1">
        <f>IFERROR(__xludf.DUMMYFUNCTION("""COMPUTED_VALUE"""),0.0)</f>
        <v>0</v>
      </c>
      <c r="AD584" s="1" t="str">
        <f>IFERROR(__xludf.DUMMYFUNCTION("""COMPUTED_VALUE"""),"Fiorella Lanegra")</f>
        <v>Fiorella Lanegra</v>
      </c>
      <c r="AE584" s="1" t="str">
        <f>IFERROR(__xludf.DUMMYFUNCTION("""COMPUTED_VALUE"""),"Instituto de Educación Superior Tecnológico Privado Toulouse Lautrec")</f>
        <v>Instituto de Educación Superior Tecnológico Privado Toulouse Lautrec</v>
      </c>
      <c r="AF584" s="1">
        <f>IFERROR(__xludf.DUMMYFUNCTION("""COMPUTED_VALUE"""),2018.0)</f>
        <v>2018</v>
      </c>
      <c r="AG584" s="1">
        <f>IFERROR(__xludf.DUMMYFUNCTION("""COMPUTED_VALUE"""),1505684.0)</f>
        <v>1505684</v>
      </c>
      <c r="AH584" s="1">
        <f>IFERROR(__xludf.DUMMYFUNCTION("""COMPUTED_VALUE"""),26.0)</f>
        <v>26</v>
      </c>
      <c r="AI584" s="1" t="str">
        <f>IFERROR(__xludf.DUMMYFUNCTION("""COMPUTED_VALUE"""),"2019001886")</f>
        <v>2019001886</v>
      </c>
      <c r="AJ584" s="1">
        <f>IFERROR(__xludf.DUMMYFUNCTION("""COMPUTED_VALUE"""),7.4988202E7)</f>
        <v>74988202</v>
      </c>
      <c r="AK584" s="1">
        <f>IFERROR(__xludf.DUMMYFUNCTION("""COMPUTED_VALUE"""),9.03224058E8)</f>
        <v>903224058</v>
      </c>
      <c r="AL584" s="1" t="str">
        <f>IFERROR(__xludf.DUMMYFUNCTION("""COMPUTED_VALUE"""),"Jose.ccanto270599@gmail.com")</f>
        <v>Jose.ccanto270599@gmail.com</v>
      </c>
      <c r="AM584" s="1" t="str">
        <f>IFERROR(__xludf.DUMMYFUNCTION("""COMPUTED_VALUE"""),"MASCULINO")</f>
        <v>MASCULINO</v>
      </c>
      <c r="AN584" s="1">
        <f>IFERROR(__xludf.DUMMYFUNCTION("""COMPUTED_VALUE"""),0.0)</f>
        <v>0</v>
      </c>
      <c r="AO584" s="1">
        <f>IFERROR(__xludf.DUMMYFUNCTION("""COMPUTED_VALUE"""),580.0)</f>
        <v>580</v>
      </c>
      <c r="AP584" s="1" t="str">
        <f>IFERROR(__xludf.DUMMYFUNCTION("""COMPUTED_VALUE"""),"FORMULARIO")</f>
        <v>FORMULARIO</v>
      </c>
      <c r="AQ584" s="1" t="str">
        <f>IFERROR(__xludf.DUMMYFUNCTION("""COMPUTED_VALUE"""),"ORGANICO")</f>
        <v>ORGANICO</v>
      </c>
      <c r="AR584" s="1" t="str">
        <f>IFERROR(__xludf.DUMMYFUNCTION("""COMPUTED_VALUE"""),"NUEVO")</f>
        <v>NUEVO</v>
      </c>
      <c r="AS584" s="1"/>
      <c r="AT584" s="2">
        <f>IFERROR(__xludf.DUMMYFUNCTION("""COMPUTED_VALUE"""),45726.0)</f>
        <v>45726</v>
      </c>
      <c r="AU584" s="1">
        <f>IFERROR(__xludf.DUMMYFUNCTION("""COMPUTED_VALUE"""),1.0)</f>
        <v>1</v>
      </c>
      <c r="AV584" s="1" t="str">
        <f>IFERROR(__xludf.DUMMYFUNCTION("""COMPUTED_VALUE"""),"TRASLADO")</f>
        <v>TRASLADO</v>
      </c>
      <c r="AW584" s="1" t="str">
        <f>IFERROR(__xludf.DUMMYFUNCTION("""COMPUTED_VALUE"""),"SI")</f>
        <v>SI</v>
      </c>
      <c r="AX584" s="1"/>
      <c r="AY584" s="1" t="str">
        <f>IFERROR(__xludf.DUMMYFUNCTION("""COMPUTED_VALUE"""),"PAGO COMPLETO")</f>
        <v>PAGO COMPLETO</v>
      </c>
      <c r="AZ584" s="5">
        <f>IFERROR(__xludf.DUMMYFUNCTION("""COMPUTED_VALUE"""),45727.0)</f>
        <v>45727</v>
      </c>
      <c r="BA584" s="1">
        <f>IFERROR(__xludf.DUMMYFUNCTION("""COMPUTED_VALUE"""),0.0)</f>
        <v>0</v>
      </c>
      <c r="BB584" s="1">
        <f>IFERROR(__xludf.DUMMYFUNCTION("""COMPUTED_VALUE"""),0.0)</f>
        <v>0</v>
      </c>
      <c r="BC584" s="4">
        <f>IFERROR(__xludf.DUMMYFUNCTION("""COMPUTED_VALUE"""),0.0)</f>
        <v>0</v>
      </c>
      <c r="BD584" s="4">
        <f>IFERROR(__xludf.DUMMYFUNCTION("""COMPUTED_VALUE"""),0.0)</f>
        <v>0</v>
      </c>
      <c r="BE584" s="1">
        <f>IFERROR(__xludf.DUMMYFUNCTION("""COMPUTED_VALUE"""),3.0)</f>
        <v>3</v>
      </c>
      <c r="BF584" s="6">
        <f>IFERROR(__xludf.DUMMYFUNCTION("""COMPUTED_VALUE"""),1.0)</f>
        <v>1</v>
      </c>
      <c r="BG584" s="1">
        <f>IFERROR(__xludf.DUMMYFUNCTION("""COMPUTED_VALUE"""),1.0)</f>
        <v>1</v>
      </c>
      <c r="BH584" s="1" t="str">
        <f>IFERROR(__xludf.DUMMYFUNCTION("""COMPUTED_VALUE"""),"1")</f>
        <v>1</v>
      </c>
      <c r="BI584" s="4">
        <f>IFERROR(__xludf.DUMMYFUNCTION("""COMPUTED_VALUE"""),0.0)</f>
        <v>0</v>
      </c>
      <c r="BJ584" s="1">
        <f>IFERROR(__xludf.DUMMYFUNCTION("""COMPUTED_VALUE"""),0.0)</f>
        <v>0</v>
      </c>
      <c r="BK584" s="4">
        <f>IFERROR(__xludf.DUMMYFUNCTION("""COMPUTED_VALUE"""),0.0)</f>
        <v>0</v>
      </c>
      <c r="BL584" s="1">
        <f>IFERROR(__xludf.DUMMYFUNCTION("""COMPUTED_VALUE"""),1050.0)</f>
        <v>1050</v>
      </c>
      <c r="BM584" s="1">
        <f>IFERROR(__xludf.DUMMYFUNCTION("""COMPUTED_VALUE"""),11.0)</f>
        <v>11</v>
      </c>
      <c r="BN584" s="2">
        <f>IFERROR(__xludf.DUMMYFUNCTION("""COMPUTED_VALUE"""),45726.0)</f>
        <v>45726</v>
      </c>
      <c r="BO584" s="1">
        <f>IFERROR(__xludf.DUMMYFUNCTION("""COMPUTED_VALUE"""),3.0)</f>
        <v>3</v>
      </c>
      <c r="BP584" s="1">
        <f>IFERROR(__xludf.DUMMYFUNCTION("""COMPUTED_VALUE"""),2025.0)</f>
        <v>2025</v>
      </c>
    </row>
    <row r="585">
      <c r="A585" s="1">
        <f>IFERROR(__xludf.DUMMYFUNCTION("""COMPUTED_VALUE"""),584.0)</f>
        <v>584</v>
      </c>
      <c r="B585" s="1">
        <f>IFERROR(__xludf.DUMMYFUNCTION("""COMPUTED_VALUE"""),5073160.0)</f>
        <v>5073160</v>
      </c>
      <c r="C585" s="1" t="str">
        <f>IFERROR(__xludf.DUMMYFUNCTION("""COMPUTED_VALUE"""),"2025-1")</f>
        <v>2025-1</v>
      </c>
      <c r="D585" s="1" t="str">
        <f>IFERROR(__xludf.DUMMYFUNCTION("""COMPUTED_VALUE"""),"Admisión de Alto Rendimiento")</f>
        <v>Admisión de Alto Rendimiento</v>
      </c>
      <c r="E585" s="2">
        <f>IFERROR(__xludf.DUMMYFUNCTION("""COMPUTED_VALUE"""),45727.0)</f>
        <v>45727</v>
      </c>
      <c r="F585" s="1" t="str">
        <f>IFERROR(__xludf.DUMMYFUNCTION("""COMPUTED_VALUE"""),"ZAYLETH IVONNE")</f>
        <v>ZAYLETH IVONNE</v>
      </c>
      <c r="G585" s="1" t="str">
        <f>IFERROR(__xludf.DUMMYFUNCTION("""COMPUTED_VALUE"""),"MAZA FUENTES")</f>
        <v>MAZA FUENTES</v>
      </c>
      <c r="H585" s="1" t="str">
        <f>IFERROR(__xludf.DUMMYFUNCTION("""COMPUTED_VALUE"""),"Arquitectura de Interiores")</f>
        <v>Arquitectura de Interiores</v>
      </c>
      <c r="I585" s="1" t="str">
        <f>IFERROR(__xludf.DUMMYFUNCTION("""COMPUTED_VALUE"""),"POS")</f>
        <v>POS</v>
      </c>
      <c r="J585" s="1" t="str">
        <f>IFERROR(__xludf.DUMMYFUNCTION("""COMPUTED_VALUE"""),"Diurno")</f>
        <v>Diurno</v>
      </c>
      <c r="K585" s="1" t="str">
        <f>IFERROR(__xludf.DUMMYFUNCTION("""COMPUTED_VALUE"""),"NUEVO")</f>
        <v>NUEVO</v>
      </c>
      <c r="L585" s="1">
        <f>IFERROR(__xludf.DUMMYFUNCTION("""COMPUTED_VALUE"""),0.0)</f>
        <v>0</v>
      </c>
      <c r="M585" s="1">
        <f>IFERROR(__xludf.DUMMYFUNCTION("""COMPUTED_VALUE"""),0.0)</f>
        <v>0</v>
      </c>
      <c r="N585" s="1" t="str">
        <f>IFERROR(__xludf.DUMMYFUNCTION("""COMPUTED_VALUE"""),"BECA")</f>
        <v>BECA</v>
      </c>
      <c r="O585" s="1" t="str">
        <f>IFERROR(__xludf.DUMMYFUNCTION("""COMPUTED_VALUE"""),"BECA CARRERAS CORE")</f>
        <v>BECA CARRERAS CORE</v>
      </c>
      <c r="P585" s="4">
        <f>IFERROR(__xludf.DUMMYFUNCTION("""COMPUTED_VALUE"""),100.0)</f>
        <v>100</v>
      </c>
      <c r="Q585" s="4">
        <f>IFERROR(__xludf.DUMMYFUNCTION("""COMPUTED_VALUE"""),237.5)</f>
        <v>237.5</v>
      </c>
      <c r="R585" s="4">
        <f>IFERROR(__xludf.DUMMYFUNCTION("""COMPUTED_VALUE"""),1350.0)</f>
        <v>1350</v>
      </c>
      <c r="S585" s="4">
        <f>IFERROR(__xludf.DUMMYFUNCTION("""COMPUTED_VALUE"""),1150.0)</f>
        <v>1150</v>
      </c>
      <c r="T585" s="1" t="str">
        <f>IFERROR(__xludf.DUMMYFUNCTION("""COMPUTED_VALUE"""),"PALANCA 500")</f>
        <v>PALANCA 500</v>
      </c>
      <c r="U585" s="1" t="str">
        <f>IFERROR(__xludf.DUMMYFUNCTION("""COMPUTED_VALUE"""),"FABIOLA")</f>
        <v>FABIOLA</v>
      </c>
      <c r="V585" s="1" t="str">
        <f>IFERROR(__xludf.DUMMYFUNCTION("""COMPUTED_VALUE"""),"Ninguno")</f>
        <v>Ninguno</v>
      </c>
      <c r="W585" s="1" t="str">
        <f>IFERROR(__xludf.DUMMYFUNCTION("""COMPUTED_VALUE"""),"Malla curricular")</f>
        <v>Malla curricular</v>
      </c>
      <c r="X585" s="1"/>
      <c r="Y585" s="1" t="str">
        <f>IFERROR(__xludf.DUMMYFUNCTION("""COMPUTED_VALUE"""),"PAGO COMPLETO")</f>
        <v>PAGO COMPLETO</v>
      </c>
      <c r="Z585" s="1"/>
      <c r="AA585" s="1"/>
      <c r="AB585" s="1">
        <f>IFERROR(__xludf.DUMMYFUNCTION("""COMPUTED_VALUE"""),0.0)</f>
        <v>0</v>
      </c>
      <c r="AC585" s="1">
        <f>IFERROR(__xludf.DUMMYFUNCTION("""COMPUTED_VALUE"""),0.0)</f>
        <v>0</v>
      </c>
      <c r="AD585" s="1" t="str">
        <f>IFERROR(__xludf.DUMMYFUNCTION("""COMPUTED_VALUE"""),"Angelica Iparraguirre")</f>
        <v>Angelica Iparraguirre</v>
      </c>
      <c r="AE585" s="1" t="str">
        <f>IFERROR(__xludf.DUMMYFUNCTION("""COMPUTED_VALUE"""),"0")</f>
        <v>0</v>
      </c>
      <c r="AF585" s="1">
        <f>IFERROR(__xludf.DUMMYFUNCTION("""COMPUTED_VALUE"""),2024.0)</f>
        <v>2024</v>
      </c>
      <c r="AG585" s="1">
        <f>IFERROR(__xludf.DUMMYFUNCTION("""COMPUTED_VALUE"""),1521301.0)</f>
        <v>1521301</v>
      </c>
      <c r="AH585" s="1">
        <f>IFERROR(__xludf.DUMMYFUNCTION("""COMPUTED_VALUE"""),18.0)</f>
        <v>18</v>
      </c>
      <c r="AI585" s="1" t="str">
        <f>IFERROR(__xludf.DUMMYFUNCTION("""COMPUTED_VALUE"""),"0000418876")</f>
        <v>0000418876</v>
      </c>
      <c r="AJ585" s="1">
        <f>IFERROR(__xludf.DUMMYFUNCTION("""COMPUTED_VALUE"""),6.2735846E7)</f>
        <v>62735846</v>
      </c>
      <c r="AK585" s="1">
        <f>IFERROR(__xludf.DUMMYFUNCTION("""COMPUTED_VALUE"""),9.70956813E8)</f>
        <v>970956813</v>
      </c>
      <c r="AL585" s="1" t="str">
        <f>IFERROR(__xludf.DUMMYFUNCTION("""COMPUTED_VALUE"""),"zaylethmaza6@gmail.com")</f>
        <v>zaylethmaza6@gmail.com</v>
      </c>
      <c r="AM585" s="1" t="str">
        <f>IFERROR(__xludf.DUMMYFUNCTION("""COMPUTED_VALUE"""),"FEMENINO")</f>
        <v>FEMENINO</v>
      </c>
      <c r="AN585" s="1">
        <f>IFERROR(__xludf.DUMMYFUNCTION("""COMPUTED_VALUE"""),1850.0)</f>
        <v>1850</v>
      </c>
      <c r="AO585" s="1">
        <f>IFERROR(__xludf.DUMMYFUNCTION("""COMPUTED_VALUE"""),390.0)</f>
        <v>390</v>
      </c>
      <c r="AP585" s="1" t="str">
        <f>IFERROR(__xludf.DUMMYFUNCTION("""COMPUTED_VALUE"""),"INBOUND")</f>
        <v>INBOUND</v>
      </c>
      <c r="AQ585" s="1" t="str">
        <f>IFERROR(__xludf.DUMMYFUNCTION("""COMPUTED_VALUE"""),"INBOUND")</f>
        <v>INBOUND</v>
      </c>
      <c r="AR585" s="1" t="str">
        <f>IFERROR(__xludf.DUMMYFUNCTION("""COMPUTED_VALUE"""),"NUEVO")</f>
        <v>NUEVO</v>
      </c>
      <c r="AS585" s="1"/>
      <c r="AT585" s="2">
        <f>IFERROR(__xludf.DUMMYFUNCTION("""COMPUTED_VALUE"""),45727.0)</f>
        <v>45727</v>
      </c>
      <c r="AU585" s="1">
        <f>IFERROR(__xludf.DUMMYFUNCTION("""COMPUTED_VALUE"""),1.0)</f>
        <v>1</v>
      </c>
      <c r="AV585" s="1" t="str">
        <f>IFERROR(__xludf.DUMMYFUNCTION("""COMPUTED_VALUE"""),"NUEVO")</f>
        <v>NUEVO</v>
      </c>
      <c r="AW585" s="1" t="str">
        <f>IFERROR(__xludf.DUMMYFUNCTION("""COMPUTED_VALUE"""),"SI")</f>
        <v>SI</v>
      </c>
      <c r="AX585" s="1"/>
      <c r="AY585" s="1" t="str">
        <f>IFERROR(__xludf.DUMMYFUNCTION("""COMPUTED_VALUE"""),"PAGO COMPLETO")</f>
        <v>PAGO COMPLETO</v>
      </c>
      <c r="AZ585" s="5">
        <f>IFERROR(__xludf.DUMMYFUNCTION("""COMPUTED_VALUE"""),45727.0)</f>
        <v>45727</v>
      </c>
      <c r="BA585" s="1">
        <f>IFERROR(__xludf.DUMMYFUNCTION("""COMPUTED_VALUE"""),0.0)</f>
        <v>0</v>
      </c>
      <c r="BB585" s="1">
        <f>IFERROR(__xludf.DUMMYFUNCTION("""COMPUTED_VALUE"""),0.0)</f>
        <v>0</v>
      </c>
      <c r="BC585" s="4">
        <f>IFERROR(__xludf.DUMMYFUNCTION("""COMPUTED_VALUE"""),0.0)</f>
        <v>0</v>
      </c>
      <c r="BD585" s="4">
        <f>IFERROR(__xludf.DUMMYFUNCTION("""COMPUTED_VALUE"""),650.0)</f>
        <v>650</v>
      </c>
      <c r="BE585" s="1">
        <f>IFERROR(__xludf.DUMMYFUNCTION("""COMPUTED_VALUE"""),3.0)</f>
        <v>3</v>
      </c>
      <c r="BF585" s="6">
        <f>IFERROR(__xludf.DUMMYFUNCTION("""COMPUTED_VALUE"""),1.0)</f>
        <v>1</v>
      </c>
      <c r="BG585" s="1">
        <f>IFERROR(__xludf.DUMMYFUNCTION("""COMPUTED_VALUE"""),1.0)</f>
        <v>1</v>
      </c>
      <c r="BH585" s="1" t="str">
        <f>IFERROR(__xludf.DUMMYFUNCTION("""COMPUTED_VALUE"""),"0")</f>
        <v>0</v>
      </c>
      <c r="BI585" s="4">
        <f>IFERROR(__xludf.DUMMYFUNCTION("""COMPUTED_VALUE"""),650.0)</f>
        <v>650</v>
      </c>
      <c r="BJ585" s="1">
        <f>IFERROR(__xludf.DUMMYFUNCTION("""COMPUTED_VALUE"""),0.0)</f>
        <v>0</v>
      </c>
      <c r="BK585" s="4">
        <f>IFERROR(__xludf.DUMMYFUNCTION("""COMPUTED_VALUE"""),650.0)</f>
        <v>650</v>
      </c>
      <c r="BL585" s="1">
        <f>IFERROR(__xludf.DUMMYFUNCTION("""COMPUTED_VALUE"""),1020.0)</f>
        <v>1020</v>
      </c>
      <c r="BM585" s="1">
        <f>IFERROR(__xludf.DUMMYFUNCTION("""COMPUTED_VALUE"""),11.0)</f>
        <v>11</v>
      </c>
      <c r="BN585" s="2">
        <f>IFERROR(__xludf.DUMMYFUNCTION("""COMPUTED_VALUE"""),45726.0)</f>
        <v>45726</v>
      </c>
      <c r="BO585" s="1">
        <f>IFERROR(__xludf.DUMMYFUNCTION("""COMPUTED_VALUE"""),3.0)</f>
        <v>3</v>
      </c>
      <c r="BP585" s="1">
        <f>IFERROR(__xludf.DUMMYFUNCTION("""COMPUTED_VALUE"""),2025.0)</f>
        <v>2025</v>
      </c>
    </row>
    <row r="586">
      <c r="A586" s="1">
        <f>IFERROR(__xludf.DUMMYFUNCTION("""COMPUTED_VALUE"""),585.0)</f>
        <v>585</v>
      </c>
      <c r="B586" s="1">
        <f>IFERROR(__xludf.DUMMYFUNCTION("""COMPUTED_VALUE"""),1884630.0)</f>
        <v>1884630</v>
      </c>
      <c r="C586" s="1" t="str">
        <f>IFERROR(__xludf.DUMMYFUNCTION("""COMPUTED_VALUE"""),"2025-1")</f>
        <v>2025-1</v>
      </c>
      <c r="D586" s="1" t="str">
        <f>IFERROR(__xludf.DUMMYFUNCTION("""COMPUTED_VALUE"""),"Admisión Ordinaria")</f>
        <v>Admisión Ordinaria</v>
      </c>
      <c r="E586" s="2">
        <f>IFERROR(__xludf.DUMMYFUNCTION("""COMPUTED_VALUE"""),45727.0)</f>
        <v>45727</v>
      </c>
      <c r="F586" s="1" t="str">
        <f>IFERROR(__xludf.DUMMYFUNCTION("""COMPUTED_VALUE"""),"CARLOS ELI")</f>
        <v>CARLOS ELI</v>
      </c>
      <c r="G586" s="1" t="str">
        <f>IFERROR(__xludf.DUMMYFUNCTION("""COMPUTED_VALUE"""),"BONIFACIO PUENTE")</f>
        <v>BONIFACIO PUENTE</v>
      </c>
      <c r="H586" s="1" t="str">
        <f>IFERROR(__xludf.DUMMYFUNCTION("""COMPUTED_VALUE"""),"Comunicación Audiovisual y Cine")</f>
        <v>Comunicación Audiovisual y Cine</v>
      </c>
      <c r="I586" s="1" t="str">
        <f>IFERROR(__xludf.DUMMYFUNCTION("""COMPUTED_VALUE"""),"CARGO")</f>
        <v>CARGO</v>
      </c>
      <c r="J586" s="1" t="str">
        <f>IFERROR(__xludf.DUMMYFUNCTION("""COMPUTED_VALUE"""),"Diurno")</f>
        <v>Diurno</v>
      </c>
      <c r="K586" s="1" t="str">
        <f>IFERROR(__xludf.DUMMYFUNCTION("""COMPUTED_VALUE"""),"NUEVO")</f>
        <v>NUEVO</v>
      </c>
      <c r="L586" s="1">
        <f>IFERROR(__xludf.DUMMYFUNCTION("""COMPUTED_VALUE"""),0.0)</f>
        <v>0</v>
      </c>
      <c r="M586" s="1">
        <f>IFERROR(__xludf.DUMMYFUNCTION("""COMPUTED_VALUE"""),0.0)</f>
        <v>0</v>
      </c>
      <c r="N586" s="1" t="str">
        <f>IFERROR(__xludf.DUMMYFUNCTION("""COMPUTED_VALUE"""),"ESCALA REGULAR")</f>
        <v>ESCALA REGULAR</v>
      </c>
      <c r="O586" s="1" t="str">
        <f>IFERROR(__xludf.DUMMYFUNCTION("""COMPUTED_VALUE"""),"ESCALA  REG. CONGELADA 2 AÑOS")</f>
        <v>ESCALA  REG. CONGELADA 2 AÑOS</v>
      </c>
      <c r="P586" s="4">
        <f>IFERROR(__xludf.DUMMYFUNCTION("""COMPUTED_VALUE"""),125.0)</f>
        <v>125</v>
      </c>
      <c r="Q586" s="4">
        <f>IFERROR(__xludf.DUMMYFUNCTION("""COMPUTED_VALUE"""),237.5)</f>
        <v>237.5</v>
      </c>
      <c r="R586" s="4">
        <f>IFERROR(__xludf.DUMMYFUNCTION("""COMPUTED_VALUE"""),1100.0)</f>
        <v>1100</v>
      </c>
      <c r="S586" s="4">
        <f>IFERROR(__xludf.DUMMYFUNCTION("""COMPUTED_VALUE"""),1100.0)</f>
        <v>1100</v>
      </c>
      <c r="T586" s="1" t="str">
        <f>IFERROR(__xludf.DUMMYFUNCTION("""COMPUTED_VALUE"""),"NINGUNO")</f>
        <v>NINGUNO</v>
      </c>
      <c r="U586" s="1" t="str">
        <f>IFERROR(__xludf.DUMMYFUNCTION("""COMPUTED_VALUE"""),"RODRIGO")</f>
        <v>RODRIGO</v>
      </c>
      <c r="V586" s="1" t="str">
        <f>IFERROR(__xludf.DUMMYFUNCTION("""COMPUTED_VALUE"""),"Ninguno")</f>
        <v>Ninguno</v>
      </c>
      <c r="W586" s="1" t="str">
        <f>IFERROR(__xludf.DUMMYFUNCTION("""COMPUTED_VALUE"""),"Malla curricular")</f>
        <v>Malla curricular</v>
      </c>
      <c r="X586" s="1"/>
      <c r="Y586" s="1" t="str">
        <f>IFERROR(__xludf.DUMMYFUNCTION("""COMPUTED_VALUE"""),"PAGO COMPLETO")</f>
        <v>PAGO COMPLETO</v>
      </c>
      <c r="Z586" s="1"/>
      <c r="AA586" s="1"/>
      <c r="AB586" s="1">
        <f>IFERROR(__xludf.DUMMYFUNCTION("""COMPUTED_VALUE"""),0.0)</f>
        <v>0</v>
      </c>
      <c r="AC586" s="1">
        <f>IFERROR(__xludf.DUMMYFUNCTION("""COMPUTED_VALUE"""),0.0)</f>
        <v>0</v>
      </c>
      <c r="AD586" s="1" t="str">
        <f>IFERROR(__xludf.DUMMYFUNCTION("""COMPUTED_VALUE"""),"Angelica Iparraguirre")</f>
        <v>Angelica Iparraguirre</v>
      </c>
      <c r="AE586" s="1" t="str">
        <f>IFERROR(__xludf.DUMMYFUNCTION("""COMPUTED_VALUE"""),"0")</f>
        <v>0</v>
      </c>
      <c r="AF586" s="1">
        <f>IFERROR(__xludf.DUMMYFUNCTION("""COMPUTED_VALUE"""),2022.0)</f>
        <v>2022</v>
      </c>
      <c r="AG586" s="1">
        <f>IFERROR(__xludf.DUMMYFUNCTION("""COMPUTED_VALUE"""),1509751.0)</f>
        <v>1509751</v>
      </c>
      <c r="AH586" s="1">
        <f>IFERROR(__xludf.DUMMYFUNCTION("""COMPUTED_VALUE"""),22.0)</f>
        <v>22</v>
      </c>
      <c r="AI586" s="1" t="str">
        <f>IFERROR(__xludf.DUMMYFUNCTION("""COMPUTED_VALUE"""),"0000418879")</f>
        <v>0000418879</v>
      </c>
      <c r="AJ586" s="1">
        <f>IFERROR(__xludf.DUMMYFUNCTION("""COMPUTED_VALUE"""),7.6726566E7)</f>
        <v>76726566</v>
      </c>
      <c r="AK586" s="1">
        <f>IFERROR(__xludf.DUMMYFUNCTION("""COMPUTED_VALUE"""),9.19724313E8)</f>
        <v>919724313</v>
      </c>
      <c r="AL586" s="1" t="str">
        <f>IFERROR(__xludf.DUMMYFUNCTION("""COMPUTED_VALUE"""),"carlosbonifacio036@gmail.com")</f>
        <v>carlosbonifacio036@gmail.com</v>
      </c>
      <c r="AM586" s="1" t="str">
        <f>IFERROR(__xludf.DUMMYFUNCTION("""COMPUTED_VALUE"""),"MASCULINO")</f>
        <v>MASCULINO</v>
      </c>
      <c r="AN586" s="1">
        <f>IFERROR(__xludf.DUMMYFUNCTION("""COMPUTED_VALUE"""),1600.0)</f>
        <v>1600</v>
      </c>
      <c r="AO586" s="1">
        <f>IFERROR(__xludf.DUMMYFUNCTION("""COMPUTED_VALUE"""),665.0)</f>
        <v>665</v>
      </c>
      <c r="AP586" s="1" t="str">
        <f>IFERROR(__xludf.DUMMYFUNCTION("""COMPUTED_VALUE"""),"OUTBOUND")</f>
        <v>OUTBOUND</v>
      </c>
      <c r="AQ586" s="1" t="str">
        <f>IFERROR(__xludf.DUMMYFUNCTION("""COMPUTED_VALUE"""),"OUTBOUND")</f>
        <v>OUTBOUND</v>
      </c>
      <c r="AR586" s="1" t="str">
        <f>IFERROR(__xludf.DUMMYFUNCTION("""COMPUTED_VALUE"""),"HEREDADO")</f>
        <v>HEREDADO</v>
      </c>
      <c r="AS586" s="1"/>
      <c r="AT586" s="2">
        <f>IFERROR(__xludf.DUMMYFUNCTION("""COMPUTED_VALUE"""),45705.0)</f>
        <v>45705</v>
      </c>
      <c r="AU586" s="1">
        <f>IFERROR(__xludf.DUMMYFUNCTION("""COMPUTED_VALUE"""),1.0)</f>
        <v>1</v>
      </c>
      <c r="AV586" s="1" t="str">
        <f>IFERROR(__xludf.DUMMYFUNCTION("""COMPUTED_VALUE"""),"NUEVO")</f>
        <v>NUEVO</v>
      </c>
      <c r="AW586" s="1" t="str">
        <f>IFERROR(__xludf.DUMMYFUNCTION("""COMPUTED_VALUE"""),"SI")</f>
        <v>SI</v>
      </c>
      <c r="AX586" s="1"/>
      <c r="AY586" s="1" t="str">
        <f>IFERROR(__xludf.DUMMYFUNCTION("""COMPUTED_VALUE"""),"PAGO COMPLETO")</f>
        <v>PAGO COMPLETO</v>
      </c>
      <c r="AZ586" s="5">
        <f>IFERROR(__xludf.DUMMYFUNCTION("""COMPUTED_VALUE"""),45727.0)</f>
        <v>45727</v>
      </c>
      <c r="BA586" s="1">
        <f>IFERROR(__xludf.DUMMYFUNCTION("""COMPUTED_VALUE"""),0.0)</f>
        <v>0</v>
      </c>
      <c r="BB586" s="1">
        <f>IFERROR(__xludf.DUMMYFUNCTION("""COMPUTED_VALUE"""),0.0)</f>
        <v>0</v>
      </c>
      <c r="BC586" s="4">
        <f>IFERROR(__xludf.DUMMYFUNCTION("""COMPUTED_VALUE"""),0.0)</f>
        <v>0</v>
      </c>
      <c r="BD586" s="4">
        <f>IFERROR(__xludf.DUMMYFUNCTION("""COMPUTED_VALUE"""),0.0)</f>
        <v>0</v>
      </c>
      <c r="BE586" s="1">
        <f>IFERROR(__xludf.DUMMYFUNCTION("""COMPUTED_VALUE"""),3.0)</f>
        <v>3</v>
      </c>
      <c r="BF586" s="6">
        <f>IFERROR(__xludf.DUMMYFUNCTION("""COMPUTED_VALUE"""),1.0)</f>
        <v>1</v>
      </c>
      <c r="BG586" s="1">
        <f>IFERROR(__xludf.DUMMYFUNCTION("""COMPUTED_VALUE"""),1.0)</f>
        <v>1</v>
      </c>
      <c r="BH586" s="1" t="str">
        <f>IFERROR(__xludf.DUMMYFUNCTION("""COMPUTED_VALUE"""),"0")</f>
        <v>0</v>
      </c>
      <c r="BI586" s="4">
        <f>IFERROR(__xludf.DUMMYFUNCTION("""COMPUTED_VALUE"""),0.0)</f>
        <v>0</v>
      </c>
      <c r="BJ586" s="1">
        <f>IFERROR(__xludf.DUMMYFUNCTION("""COMPUTED_VALUE"""),0.0)</f>
        <v>0</v>
      </c>
      <c r="BK586" s="4">
        <f>IFERROR(__xludf.DUMMYFUNCTION("""COMPUTED_VALUE"""),0.0)</f>
        <v>0</v>
      </c>
      <c r="BL586" s="1">
        <f>IFERROR(__xludf.DUMMYFUNCTION("""COMPUTED_VALUE"""),1100.0)</f>
        <v>1100</v>
      </c>
      <c r="BM586" s="1">
        <f>IFERROR(__xludf.DUMMYFUNCTION("""COMPUTED_VALUE"""),11.0)</f>
        <v>11</v>
      </c>
      <c r="BN586" s="2">
        <f>IFERROR(__xludf.DUMMYFUNCTION("""COMPUTED_VALUE"""),45726.0)</f>
        <v>45726</v>
      </c>
      <c r="BO586" s="1">
        <f>IFERROR(__xludf.DUMMYFUNCTION("""COMPUTED_VALUE"""),3.0)</f>
        <v>3</v>
      </c>
      <c r="BP586" s="1">
        <f>IFERROR(__xludf.DUMMYFUNCTION("""COMPUTED_VALUE"""),2025.0)</f>
        <v>2025</v>
      </c>
    </row>
    <row r="587">
      <c r="A587" s="1">
        <f>IFERROR(__xludf.DUMMYFUNCTION("""COMPUTED_VALUE"""),586.0)</f>
        <v>586</v>
      </c>
      <c r="B587" s="1">
        <f>IFERROR(__xludf.DUMMYFUNCTION("""COMPUTED_VALUE"""),4912643.0)</f>
        <v>4912643</v>
      </c>
      <c r="C587" s="1" t="str">
        <f>IFERROR(__xludf.DUMMYFUNCTION("""COMPUTED_VALUE"""),"2025-1")</f>
        <v>2025-1</v>
      </c>
      <c r="D587" s="1" t="str">
        <f>IFERROR(__xludf.DUMMYFUNCTION("""COMPUTED_VALUE"""),"Admisión de Alto Rendimiento")</f>
        <v>Admisión de Alto Rendimiento</v>
      </c>
      <c r="E587" s="2">
        <f>IFERROR(__xludf.DUMMYFUNCTION("""COMPUTED_VALUE"""),45727.0)</f>
        <v>45727</v>
      </c>
      <c r="F587" s="1" t="str">
        <f>IFERROR(__xludf.DUMMYFUNCTION("""COMPUTED_VALUE"""),"NADJA VALENTINA ")</f>
        <v>NADJA VALENTINA </v>
      </c>
      <c r="G587" s="1" t="str">
        <f>IFERROR(__xludf.DUMMYFUNCTION("""COMPUTED_VALUE"""),"LANDEO CASTRO")</f>
        <v>LANDEO CASTRO</v>
      </c>
      <c r="H587" s="1" t="str">
        <f>IFERROR(__xludf.DUMMYFUNCTION("""COMPUTED_VALUE"""),"Arquitectura")</f>
        <v>Arquitectura</v>
      </c>
      <c r="I587" s="1" t="str">
        <f>IFERROR(__xludf.DUMMYFUNCTION("""COMPUTED_VALUE"""),"CARGO")</f>
        <v>CARGO</v>
      </c>
      <c r="J587" s="1" t="str">
        <f>IFERROR(__xludf.DUMMYFUNCTION("""COMPUTED_VALUE"""),"Diurno")</f>
        <v>Diurno</v>
      </c>
      <c r="K587" s="1" t="str">
        <f>IFERROR(__xludf.DUMMYFUNCTION("""COMPUTED_VALUE"""),"NUEVO")</f>
        <v>NUEVO</v>
      </c>
      <c r="L587" s="1">
        <f>IFERROR(__xludf.DUMMYFUNCTION("""COMPUTED_VALUE"""),0.0)</f>
        <v>0</v>
      </c>
      <c r="M587" s="1">
        <f>IFERROR(__xludf.DUMMYFUNCTION("""COMPUTED_VALUE"""),0.0)</f>
        <v>0</v>
      </c>
      <c r="N587" s="1" t="str">
        <f>IFERROR(__xludf.DUMMYFUNCTION("""COMPUTED_VALUE"""),"BECA")</f>
        <v>BECA</v>
      </c>
      <c r="O587" s="1" t="str">
        <f>IFERROR(__xludf.DUMMYFUNCTION("""COMPUTED_VALUE"""),"BECA CARRERAS CORE")</f>
        <v>BECA CARRERAS CORE</v>
      </c>
      <c r="P587" s="4">
        <f>IFERROR(__xludf.DUMMYFUNCTION("""COMPUTED_VALUE"""),100.0)</f>
        <v>100</v>
      </c>
      <c r="Q587" s="4">
        <f>IFERROR(__xludf.DUMMYFUNCTION("""COMPUTED_VALUE"""),237.5)</f>
        <v>237.5</v>
      </c>
      <c r="R587" s="4">
        <f>IFERROR(__xludf.DUMMYFUNCTION("""COMPUTED_VALUE"""),1200.0)</f>
        <v>1200</v>
      </c>
      <c r="S587" s="4">
        <f>IFERROR(__xludf.DUMMYFUNCTION("""COMPUTED_VALUE"""),1050.0)</f>
        <v>1050</v>
      </c>
      <c r="T587" s="1" t="str">
        <f>IFERROR(__xludf.DUMMYFUNCTION("""COMPUTED_VALUE"""),"NINGUNO")</f>
        <v>NINGUNO</v>
      </c>
      <c r="U587" s="1" t="str">
        <f>IFERROR(__xludf.DUMMYFUNCTION("""COMPUTED_VALUE"""),"RODRIGO")</f>
        <v>RODRIGO</v>
      </c>
      <c r="V587" s="1" t="str">
        <f>IFERROR(__xludf.DUMMYFUNCTION("""COMPUTED_VALUE"""),"Ninguno")</f>
        <v>Ninguno</v>
      </c>
      <c r="W587" s="1" t="str">
        <f>IFERROR(__xludf.DUMMYFUNCTION("""COMPUTED_VALUE"""),"Metodología de enseñanza")</f>
        <v>Metodología de enseñanza</v>
      </c>
      <c r="X587" s="1" t="str">
        <f>IFERROR(__xludf.DUMMYFUNCTION("""COMPUTED_VALUE"""),"metodologia")</f>
        <v>metodologia</v>
      </c>
      <c r="Y587" s="1" t="str">
        <f>IFERROR(__xludf.DUMMYFUNCTION("""COMPUTED_VALUE"""),"PAGO COMPLETO")</f>
        <v>PAGO COMPLETO</v>
      </c>
      <c r="Z587" s="1"/>
      <c r="AA587" s="1"/>
      <c r="AB587" s="1">
        <f>IFERROR(__xludf.DUMMYFUNCTION("""COMPUTED_VALUE"""),0.0)</f>
        <v>0</v>
      </c>
      <c r="AC587" s="1">
        <f>IFERROR(__xludf.DUMMYFUNCTION("""COMPUTED_VALUE"""),0.0)</f>
        <v>0</v>
      </c>
      <c r="AD587" s="1" t="str">
        <f>IFERROR(__xludf.DUMMYFUNCTION("""COMPUTED_VALUE"""),"Cinthia Mariella Orosco")</f>
        <v>Cinthia Mariella Orosco</v>
      </c>
      <c r="AE587" s="1" t="str">
        <f>IFERROR(__xludf.DUMMYFUNCTION("""COMPUTED_VALUE"""),"0")</f>
        <v>0</v>
      </c>
      <c r="AF587" s="1">
        <f>IFERROR(__xludf.DUMMYFUNCTION("""COMPUTED_VALUE"""),0.0)</f>
        <v>0</v>
      </c>
      <c r="AG587" s="1">
        <f>IFERROR(__xludf.DUMMYFUNCTION("""COMPUTED_VALUE"""),693572.0)</f>
        <v>693572</v>
      </c>
      <c r="AH587" s="1">
        <f>IFERROR(__xludf.DUMMYFUNCTION("""COMPUTED_VALUE"""),18.0)</f>
        <v>18</v>
      </c>
      <c r="AI587" s="1" t="str">
        <f>IFERROR(__xludf.DUMMYFUNCTION("""COMPUTED_VALUE"""),"0000023800")</f>
        <v>0000023800</v>
      </c>
      <c r="AJ587" s="1">
        <f>IFERROR(__xludf.DUMMYFUNCTION("""COMPUTED_VALUE"""),6.1139342E7)</f>
        <v>61139342</v>
      </c>
      <c r="AK587" s="1">
        <f>IFERROR(__xludf.DUMMYFUNCTION("""COMPUTED_VALUE"""),9.55379929E8)</f>
        <v>955379929</v>
      </c>
      <c r="AL587" s="1" t="str">
        <f>IFERROR(__xludf.DUMMYFUNCTION("""COMPUTED_VALUE"""),"nlandeocv7@gmail.com")</f>
        <v>nlandeocv7@gmail.com</v>
      </c>
      <c r="AM587" s="1" t="str">
        <f>IFERROR(__xludf.DUMMYFUNCTION("""COMPUTED_VALUE"""),"FEMENINO")</f>
        <v>FEMENINO</v>
      </c>
      <c r="AN587" s="1">
        <f>IFERROR(__xludf.DUMMYFUNCTION("""COMPUTED_VALUE"""),3200.0)</f>
        <v>3200</v>
      </c>
      <c r="AO587" s="1">
        <f>IFERROR(__xludf.DUMMYFUNCTION("""COMPUTED_VALUE"""),3678.0)</f>
        <v>3678</v>
      </c>
      <c r="AP587" s="1" t="str">
        <f>IFERROR(__xludf.DUMMYFUNCTION("""COMPUTED_VALUE"""),"FORMULARIO")</f>
        <v>FORMULARIO</v>
      </c>
      <c r="AQ587" s="1" t="str">
        <f>IFERROR(__xludf.DUMMYFUNCTION("""COMPUTED_VALUE"""),"ORGANICO")</f>
        <v>ORGANICO</v>
      </c>
      <c r="AR587" s="1" t="str">
        <f>IFERROR(__xludf.DUMMYFUNCTION("""COMPUTED_VALUE"""),"NUEVO")</f>
        <v>NUEVO</v>
      </c>
      <c r="AS587" s="1"/>
      <c r="AT587" s="2">
        <f>IFERROR(__xludf.DUMMYFUNCTION("""COMPUTED_VALUE"""),45702.0)</f>
        <v>45702</v>
      </c>
      <c r="AU587" s="1">
        <f>IFERROR(__xludf.DUMMYFUNCTION("""COMPUTED_VALUE"""),1.0)</f>
        <v>1</v>
      </c>
      <c r="AV587" s="1" t="str">
        <f>IFERROR(__xludf.DUMMYFUNCTION("""COMPUTED_VALUE"""),"NUEVO")</f>
        <v>NUEVO</v>
      </c>
      <c r="AW587" s="1" t="str">
        <f>IFERROR(__xludf.DUMMYFUNCTION("""COMPUTED_VALUE"""),"SI")</f>
        <v>SI</v>
      </c>
      <c r="AX587" s="1"/>
      <c r="AY587" s="1" t="str">
        <f>IFERROR(__xludf.DUMMYFUNCTION("""COMPUTED_VALUE"""),"PAGO COMPLETO")</f>
        <v>PAGO COMPLETO</v>
      </c>
      <c r="AZ587" s="5">
        <f>IFERROR(__xludf.DUMMYFUNCTION("""COMPUTED_VALUE"""),45727.0)</f>
        <v>45727</v>
      </c>
      <c r="BA587" s="1">
        <f>IFERROR(__xludf.DUMMYFUNCTION("""COMPUTED_VALUE"""),0.0)</f>
        <v>0</v>
      </c>
      <c r="BB587" s="1">
        <f>IFERROR(__xludf.DUMMYFUNCTION("""COMPUTED_VALUE"""),0.0)</f>
        <v>0</v>
      </c>
      <c r="BC587" s="4">
        <f>IFERROR(__xludf.DUMMYFUNCTION("""COMPUTED_VALUE"""),0.0)</f>
        <v>0</v>
      </c>
      <c r="BD587" s="4">
        <f>IFERROR(__xludf.DUMMYFUNCTION("""COMPUTED_VALUE"""),0.0)</f>
        <v>0</v>
      </c>
      <c r="BE587" s="1">
        <f>IFERROR(__xludf.DUMMYFUNCTION("""COMPUTED_VALUE"""),3.0)</f>
        <v>3</v>
      </c>
      <c r="BF587" s="6">
        <f>IFERROR(__xludf.DUMMYFUNCTION("""COMPUTED_VALUE"""),1.0)</f>
        <v>1</v>
      </c>
      <c r="BG587" s="1">
        <f>IFERROR(__xludf.DUMMYFUNCTION("""COMPUTED_VALUE"""),1.0)</f>
        <v>1</v>
      </c>
      <c r="BH587" s="1" t="str">
        <f>IFERROR(__xludf.DUMMYFUNCTION("""COMPUTED_VALUE"""),"0")</f>
        <v>0</v>
      </c>
      <c r="BI587" s="4">
        <f>IFERROR(__xludf.DUMMYFUNCTION("""COMPUTED_VALUE"""),0.0)</f>
        <v>0</v>
      </c>
      <c r="BJ587" s="1">
        <f>IFERROR(__xludf.DUMMYFUNCTION("""COMPUTED_VALUE"""),0.0)</f>
        <v>0</v>
      </c>
      <c r="BK587" s="4">
        <f>IFERROR(__xludf.DUMMYFUNCTION("""COMPUTED_VALUE"""),0.0)</f>
        <v>0</v>
      </c>
      <c r="BL587" s="1">
        <f>IFERROR(__xludf.DUMMYFUNCTION("""COMPUTED_VALUE"""),1050.0)</f>
        <v>1050</v>
      </c>
      <c r="BM587" s="1">
        <f>IFERROR(__xludf.DUMMYFUNCTION("""COMPUTED_VALUE"""),11.0)</f>
        <v>11</v>
      </c>
      <c r="BN587" s="2">
        <f>IFERROR(__xludf.DUMMYFUNCTION("""COMPUTED_VALUE"""),45726.0)</f>
        <v>45726</v>
      </c>
      <c r="BO587" s="1">
        <f>IFERROR(__xludf.DUMMYFUNCTION("""COMPUTED_VALUE"""),3.0)</f>
        <v>3</v>
      </c>
      <c r="BP587" s="1">
        <f>IFERROR(__xludf.DUMMYFUNCTION("""COMPUTED_VALUE"""),2025.0)</f>
        <v>2025</v>
      </c>
    </row>
    <row r="588">
      <c r="A588" s="1">
        <f>IFERROR(__xludf.DUMMYFUNCTION("""COMPUTED_VALUE"""),587.0)</f>
        <v>587</v>
      </c>
      <c r="B588" s="1">
        <f>IFERROR(__xludf.DUMMYFUNCTION("""COMPUTED_VALUE"""),1469358.0)</f>
        <v>1469358</v>
      </c>
      <c r="C588" s="1" t="str">
        <f>IFERROR(__xludf.DUMMYFUNCTION("""COMPUTED_VALUE"""),"2025-1")</f>
        <v>2025-1</v>
      </c>
      <c r="D588" s="1" t="str">
        <f>IFERROR(__xludf.DUMMYFUNCTION("""COMPUTED_VALUE"""),"Admisión Ordinaria")</f>
        <v>Admisión Ordinaria</v>
      </c>
      <c r="E588" s="2">
        <f>IFERROR(__xludf.DUMMYFUNCTION("""COMPUTED_VALUE"""),45728.0)</f>
        <v>45728</v>
      </c>
      <c r="F588" s="1" t="str">
        <f>IFERROR(__xludf.DUMMYFUNCTION("""COMPUTED_VALUE"""),"VANESSA BEATRIZ ")</f>
        <v>VANESSA BEATRIZ </v>
      </c>
      <c r="G588" s="1" t="str">
        <f>IFERROR(__xludf.DUMMYFUNCTION("""COMPUTED_VALUE"""),"SANCHEZ TAMARIZ")</f>
        <v>SANCHEZ TAMARIZ</v>
      </c>
      <c r="H588" s="1" t="str">
        <f>IFERROR(__xludf.DUMMYFUNCTION("""COMPUTED_VALUE"""),"Diseño Gráfico Publicitario")</f>
        <v>Diseño Gráfico Publicitario</v>
      </c>
      <c r="I588" s="1" t="str">
        <f>IFERROR(__xludf.DUMMYFUNCTION("""COMPUTED_VALUE"""),"CARGO")</f>
        <v>CARGO</v>
      </c>
      <c r="J588" s="1" t="str">
        <f>IFERROR(__xludf.DUMMYFUNCTION("""COMPUTED_VALUE"""),"Diurno")</f>
        <v>Diurno</v>
      </c>
      <c r="K588" s="1" t="str">
        <f>IFERROR(__xludf.DUMMYFUNCTION("""COMPUTED_VALUE"""),"NUEVO")</f>
        <v>NUEVO</v>
      </c>
      <c r="L588" s="1">
        <f>IFERROR(__xludf.DUMMYFUNCTION("""COMPUTED_VALUE"""),0.0)</f>
        <v>0</v>
      </c>
      <c r="M588" s="1">
        <f>IFERROR(__xludf.DUMMYFUNCTION("""COMPUTED_VALUE"""),0.0)</f>
        <v>0</v>
      </c>
      <c r="N588" s="1" t="str">
        <f>IFERROR(__xludf.DUMMYFUNCTION("""COMPUTED_VALUE"""),"RECA")</f>
        <v>RECA</v>
      </c>
      <c r="O588" s="1" t="str">
        <f>IFERROR(__xludf.DUMMYFUNCTION("""COMPUTED_VALUE"""),"RECATEGORIZACIÓN")</f>
        <v>RECATEGORIZACIÓN</v>
      </c>
      <c r="P588" s="4">
        <f>IFERROR(__xludf.DUMMYFUNCTION("""COMPUTED_VALUE"""),100.0)</f>
        <v>100</v>
      </c>
      <c r="Q588" s="4">
        <f>IFERROR(__xludf.DUMMYFUNCTION("""COMPUTED_VALUE"""),250.0)</f>
        <v>250</v>
      </c>
      <c r="R588" s="4">
        <f>IFERROR(__xludf.DUMMYFUNCTION("""COMPUTED_VALUE"""),1600.0)</f>
        <v>1600</v>
      </c>
      <c r="S588" s="4">
        <f>IFERROR(__xludf.DUMMYFUNCTION("""COMPUTED_VALUE"""),940.0)</f>
        <v>940</v>
      </c>
      <c r="T588" s="1" t="str">
        <f>IFERROR(__xludf.DUMMYFUNCTION("""COMPUTED_VALUE"""),"Reconocemos tu primera boleta")</f>
        <v>Reconocemos tu primera boleta</v>
      </c>
      <c r="U588" s="1" t="str">
        <f>IFERROR(__xludf.DUMMYFUNCTION("""COMPUTED_VALUE"""),"FABIOLA")</f>
        <v>FABIOLA</v>
      </c>
      <c r="V588" s="1" t="str">
        <f>IFERROR(__xludf.DUMMYFUNCTION("""COMPUTED_VALUE"""),"Ninguno")</f>
        <v>Ninguno</v>
      </c>
      <c r="W588" s="1" t="str">
        <f>IFERROR(__xludf.DUMMYFUNCTION("""COMPUTED_VALUE"""),"Metodología de enseñanza")</f>
        <v>Metodología de enseñanza</v>
      </c>
      <c r="X588" s="1" t="str">
        <f>IFERROR(__xludf.DUMMYFUNCTION("""COMPUTED_VALUE"""),"metodologia")</f>
        <v>metodologia</v>
      </c>
      <c r="Y588" s="1" t="str">
        <f>IFERROR(__xludf.DUMMYFUNCTION("""COMPUTED_VALUE"""),"PAGO COMPLETO")</f>
        <v>PAGO COMPLETO</v>
      </c>
      <c r="Z588" s="1"/>
      <c r="AA588" s="1"/>
      <c r="AB588" s="1">
        <f>IFERROR(__xludf.DUMMYFUNCTION("""COMPUTED_VALUE"""),0.0)</f>
        <v>0</v>
      </c>
      <c r="AC588" s="1">
        <f>IFERROR(__xludf.DUMMYFUNCTION("""COMPUTED_VALUE"""),0.0)</f>
        <v>0</v>
      </c>
      <c r="AD588" s="1" t="str">
        <f>IFERROR(__xludf.DUMMYFUNCTION("""COMPUTED_VALUE"""),"Cinthia Mariella Orosco")</f>
        <v>Cinthia Mariella Orosco</v>
      </c>
      <c r="AE588" s="1" t="str">
        <f>IFERROR(__xludf.DUMMYFUNCTION("""COMPUTED_VALUE"""),"0")</f>
        <v>0</v>
      </c>
      <c r="AF588" s="1">
        <f>IFERROR(__xludf.DUMMYFUNCTION("""COMPUTED_VALUE"""),2021.0)</f>
        <v>2021</v>
      </c>
      <c r="AG588" s="1">
        <f>IFERROR(__xludf.DUMMYFUNCTION("""COMPUTED_VALUE"""),343608.0)</f>
        <v>343608</v>
      </c>
      <c r="AH588" s="1">
        <f>IFERROR(__xludf.DUMMYFUNCTION("""COMPUTED_VALUE"""),20.0)</f>
        <v>20</v>
      </c>
      <c r="AI588" s="1" t="str">
        <f>IFERROR(__xludf.DUMMYFUNCTION("""COMPUTED_VALUE"""),"0000404369")</f>
        <v>0000404369</v>
      </c>
      <c r="AJ588" s="1">
        <f>IFERROR(__xludf.DUMMYFUNCTION("""COMPUTED_VALUE"""),7.3376503E7)</f>
        <v>73376503</v>
      </c>
      <c r="AK588" s="1">
        <f>IFERROR(__xludf.DUMMYFUNCTION("""COMPUTED_VALUE"""),9.12559976E8)</f>
        <v>912559976</v>
      </c>
      <c r="AL588" s="1" t="str">
        <f>IFERROR(__xludf.DUMMYFUNCTION("""COMPUTED_VALUE"""),"vanessancheztamariz@gmail.com")</f>
        <v>vanessancheztamariz@gmail.com</v>
      </c>
      <c r="AM588" s="1" t="str">
        <f>IFERROR(__xludf.DUMMYFUNCTION("""COMPUTED_VALUE"""),"FEMENINO")</f>
        <v>FEMENINO</v>
      </c>
      <c r="AN588" s="1">
        <f>IFERROR(__xludf.DUMMYFUNCTION("""COMPUTED_VALUE"""),1850.0)</f>
        <v>1850</v>
      </c>
      <c r="AO588" s="1">
        <f>IFERROR(__xludf.DUMMYFUNCTION("""COMPUTED_VALUE"""),725.0)</f>
        <v>725</v>
      </c>
      <c r="AP588" s="1" t="str">
        <f>IFERROR(__xludf.DUMMYFUNCTION("""COMPUTED_VALUE"""),"EVENTOS")</f>
        <v>EVENTOS</v>
      </c>
      <c r="AQ588" s="1" t="str">
        <f>IFERROR(__xludf.DUMMYFUNCTION("""COMPUTED_VALUE"""),"EVENTOS")</f>
        <v>EVENTOS</v>
      </c>
      <c r="AR588" s="1" t="str">
        <f>IFERROR(__xludf.DUMMYFUNCTION("""COMPUTED_VALUE"""),"HEREDADO")</f>
        <v>HEREDADO</v>
      </c>
      <c r="AS588" s="1" t="str">
        <f>IFERROR(__xludf.DUMMYFUNCTION("""COMPUTED_VALUE"""),"ucal-pg-branding-sedes-demografico-cpl-explora_ucal-20241113")</f>
        <v>ucal-pg-branding-sedes-demografico-cpl-explora_ucal-20241113</v>
      </c>
      <c r="AT588" s="2">
        <f>IFERROR(__xludf.DUMMYFUNCTION("""COMPUTED_VALUE"""),45612.0)</f>
        <v>45612</v>
      </c>
      <c r="AU588" s="1">
        <f>IFERROR(__xludf.DUMMYFUNCTION("""COMPUTED_VALUE"""),1.0)</f>
        <v>1</v>
      </c>
      <c r="AV588" s="1" t="str">
        <f>IFERROR(__xludf.DUMMYFUNCTION("""COMPUTED_VALUE"""),"NUEVO")</f>
        <v>NUEVO</v>
      </c>
      <c r="AW588" s="1" t="str">
        <f>IFERROR(__xludf.DUMMYFUNCTION("""COMPUTED_VALUE"""),"SI")</f>
        <v>SI</v>
      </c>
      <c r="AX588" s="1"/>
      <c r="AY588" s="1" t="str">
        <f>IFERROR(__xludf.DUMMYFUNCTION("""COMPUTED_VALUE"""),"PAGO COMPLETO")</f>
        <v>PAGO COMPLETO</v>
      </c>
      <c r="AZ588" s="5">
        <f>IFERROR(__xludf.DUMMYFUNCTION("""COMPUTED_VALUE"""),45728.0)</f>
        <v>45728</v>
      </c>
      <c r="BA588" s="1">
        <f>IFERROR(__xludf.DUMMYFUNCTION("""COMPUTED_VALUE"""),0.0)</f>
        <v>0</v>
      </c>
      <c r="BB588" s="1">
        <f>IFERROR(__xludf.DUMMYFUNCTION("""COMPUTED_VALUE"""),0.0)</f>
        <v>0</v>
      </c>
      <c r="BC588" s="4">
        <f>IFERROR(__xludf.DUMMYFUNCTION("""COMPUTED_VALUE"""),0.0)</f>
        <v>0</v>
      </c>
      <c r="BD588" s="4">
        <f>IFERROR(__xludf.DUMMYFUNCTION("""COMPUTED_VALUE"""),940.0)</f>
        <v>940</v>
      </c>
      <c r="BE588" s="1">
        <f>IFERROR(__xludf.DUMMYFUNCTION("""COMPUTED_VALUE"""),3.0)</f>
        <v>3</v>
      </c>
      <c r="BF588" s="6">
        <f>IFERROR(__xludf.DUMMYFUNCTION("""COMPUTED_VALUE"""),1.0)</f>
        <v>1</v>
      </c>
      <c r="BG588" s="1"/>
      <c r="BH588" s="1" t="str">
        <f>IFERROR(__xludf.DUMMYFUNCTION("""COMPUTED_VALUE"""),"0")</f>
        <v>0</v>
      </c>
      <c r="BI588" s="4">
        <f>IFERROR(__xludf.DUMMYFUNCTION("""COMPUTED_VALUE"""),940.0)</f>
        <v>940</v>
      </c>
      <c r="BJ588" s="1">
        <f>IFERROR(__xludf.DUMMYFUNCTION("""COMPUTED_VALUE"""),0.0)</f>
        <v>0</v>
      </c>
      <c r="BK588" s="4">
        <f>IFERROR(__xludf.DUMMYFUNCTION("""COMPUTED_VALUE"""),940.0)</f>
        <v>940</v>
      </c>
      <c r="BL588" s="1">
        <f>IFERROR(__xludf.DUMMYFUNCTION("""COMPUTED_VALUE"""),752.0)</f>
        <v>752</v>
      </c>
      <c r="BM588" s="1">
        <f>IFERROR(__xludf.DUMMYFUNCTION("""COMPUTED_VALUE"""),11.0)</f>
        <v>11</v>
      </c>
      <c r="BN588" s="2">
        <f>IFERROR(__xludf.DUMMYFUNCTION("""COMPUTED_VALUE"""),45726.0)</f>
        <v>45726</v>
      </c>
      <c r="BO588" s="1">
        <f>IFERROR(__xludf.DUMMYFUNCTION("""COMPUTED_VALUE"""),3.0)</f>
        <v>3</v>
      </c>
      <c r="BP588" s="1">
        <f>IFERROR(__xludf.DUMMYFUNCTION("""COMPUTED_VALUE"""),2025.0)</f>
        <v>2025</v>
      </c>
    </row>
    <row r="589">
      <c r="A589" s="1">
        <f>IFERROR(__xludf.DUMMYFUNCTION("""COMPUTED_VALUE"""),588.0)</f>
        <v>588</v>
      </c>
      <c r="B589" s="1">
        <f>IFERROR(__xludf.DUMMYFUNCTION("""COMPUTED_VALUE"""),4713623.0)</f>
        <v>4713623</v>
      </c>
      <c r="C589" s="1" t="str">
        <f>IFERROR(__xludf.DUMMYFUNCTION("""COMPUTED_VALUE"""),"2025-1")</f>
        <v>2025-1</v>
      </c>
      <c r="D589" s="1" t="str">
        <f>IFERROR(__xludf.DUMMYFUNCTION("""COMPUTED_VALUE"""),"Admisión de Alto Rendimiento")</f>
        <v>Admisión de Alto Rendimiento</v>
      </c>
      <c r="E589" s="2">
        <f>IFERROR(__xludf.DUMMYFUNCTION("""COMPUTED_VALUE"""),45729.0)</f>
        <v>45729</v>
      </c>
      <c r="F589" s="1" t="str">
        <f>IFERROR(__xludf.DUMMYFUNCTION("""COMPUTED_VALUE"""),"SARA ELIZABETH ")</f>
        <v>SARA ELIZABETH </v>
      </c>
      <c r="G589" s="1" t="str">
        <f>IFERROR(__xludf.DUMMYFUNCTION("""COMPUTED_VALUE"""),"ROQUE GONZALES")</f>
        <v>ROQUE GONZALES</v>
      </c>
      <c r="H589" s="1" t="str">
        <f>IFERROR(__xludf.DUMMYFUNCTION("""COMPUTED_VALUE"""),"Arquitectura")</f>
        <v>Arquitectura</v>
      </c>
      <c r="I589" s="1" t="str">
        <f>IFERROR(__xludf.DUMMYFUNCTION("""COMPUTED_VALUE"""),"CARGO")</f>
        <v>CARGO</v>
      </c>
      <c r="J589" s="1" t="str">
        <f>IFERROR(__xludf.DUMMYFUNCTION("""COMPUTED_VALUE"""),"Diurno")</f>
        <v>Diurno</v>
      </c>
      <c r="K589" s="1" t="str">
        <f>IFERROR(__xludf.DUMMYFUNCTION("""COMPUTED_VALUE"""),"NUEVO")</f>
        <v>NUEVO</v>
      </c>
      <c r="L589" s="1">
        <f>IFERROR(__xludf.DUMMYFUNCTION("""COMPUTED_VALUE"""),0.0)</f>
        <v>0</v>
      </c>
      <c r="M589" s="1">
        <f>IFERROR(__xludf.DUMMYFUNCTION("""COMPUTED_VALUE"""),0.0)</f>
        <v>0</v>
      </c>
      <c r="N589" s="1" t="str">
        <f>IFERROR(__xludf.DUMMYFUNCTION("""COMPUTED_VALUE"""),"BECA")</f>
        <v>BECA</v>
      </c>
      <c r="O589" s="1" t="str">
        <f>IFERROR(__xludf.DUMMYFUNCTION("""COMPUTED_VALUE"""),"BECA RECUPERO")</f>
        <v>BECA RECUPERO</v>
      </c>
      <c r="P589" s="4">
        <f>IFERROR(__xludf.DUMMYFUNCTION("""COMPUTED_VALUE"""),0.0)</f>
        <v>0</v>
      </c>
      <c r="Q589" s="4">
        <f>IFERROR(__xludf.DUMMYFUNCTION("""COMPUTED_VALUE"""),0.0)</f>
        <v>0</v>
      </c>
      <c r="R589" s="4">
        <f>IFERROR(__xludf.DUMMYFUNCTION("""COMPUTED_VALUE"""),950.0)</f>
        <v>950</v>
      </c>
      <c r="S589" s="4">
        <f>IFERROR(__xludf.DUMMYFUNCTION("""COMPUTED_VALUE"""),800.0)</f>
        <v>800</v>
      </c>
      <c r="T589" s="1" t="str">
        <f>IFERROR(__xludf.DUMMYFUNCTION("""COMPUTED_VALUE"""),"PALANCA 500")</f>
        <v>PALANCA 500</v>
      </c>
      <c r="U589" s="1" t="str">
        <f>IFERROR(__xludf.DUMMYFUNCTION("""COMPUTED_VALUE"""),"RODRIGO")</f>
        <v>RODRIGO</v>
      </c>
      <c r="V589" s="1" t="str">
        <f>IFERROR(__xludf.DUMMYFUNCTION("""COMPUTED_VALUE"""),"Ninguno")</f>
        <v>Ninguno</v>
      </c>
      <c r="W589" s="1" t="str">
        <f>IFERROR(__xludf.DUMMYFUNCTION("""COMPUTED_VALUE"""),"Metodología de enseñanza")</f>
        <v>Metodología de enseñanza</v>
      </c>
      <c r="X589" s="1"/>
      <c r="Y589" s="1" t="str">
        <f>IFERROR(__xludf.DUMMYFUNCTION("""COMPUTED_VALUE"""),"PAGO COMPLETO")</f>
        <v>PAGO COMPLETO</v>
      </c>
      <c r="Z589" s="1"/>
      <c r="AA589" s="1"/>
      <c r="AB589" s="1">
        <f>IFERROR(__xludf.DUMMYFUNCTION("""COMPUTED_VALUE"""),0.0)</f>
        <v>0</v>
      </c>
      <c r="AC589" s="1">
        <f>IFERROR(__xludf.DUMMYFUNCTION("""COMPUTED_VALUE"""),0.0)</f>
        <v>0</v>
      </c>
      <c r="AD589" s="1" t="str">
        <f>IFERROR(__xludf.DUMMYFUNCTION("""COMPUTED_VALUE"""),"Ingrid Guillermo Rivera")</f>
        <v>Ingrid Guillermo Rivera</v>
      </c>
      <c r="AE589" s="1" t="str">
        <f>IFERROR(__xludf.DUMMYFUNCTION("""COMPUTED_VALUE"""),"0")</f>
        <v>0</v>
      </c>
      <c r="AF589" s="1">
        <f>IFERROR(__xludf.DUMMYFUNCTION("""COMPUTED_VALUE"""),2024.0)</f>
        <v>2024</v>
      </c>
      <c r="AG589" s="1">
        <f>IFERROR(__xludf.DUMMYFUNCTION("""COMPUTED_VALUE"""),556258.0)</f>
        <v>556258</v>
      </c>
      <c r="AH589" s="1">
        <f>IFERROR(__xludf.DUMMYFUNCTION("""COMPUTED_VALUE"""),18.0)</f>
        <v>18</v>
      </c>
      <c r="AI589" s="1" t="str">
        <f>IFERROR(__xludf.DUMMYFUNCTION("""COMPUTED_VALUE"""),"0000419233")</f>
        <v>0000419233</v>
      </c>
      <c r="AJ589" s="1">
        <f>IFERROR(__xludf.DUMMYFUNCTION("""COMPUTED_VALUE"""),7.0624993E7)</f>
        <v>70624993</v>
      </c>
      <c r="AK589" s="1">
        <f>IFERROR(__xludf.DUMMYFUNCTION("""COMPUTED_VALUE"""),9.3324458E8)</f>
        <v>933244580</v>
      </c>
      <c r="AL589" s="1" t="str">
        <f>IFERROR(__xludf.DUMMYFUNCTION("""COMPUTED_VALUE"""),"roquesara2007@gmail.com")</f>
        <v>roquesara2007@gmail.com</v>
      </c>
      <c r="AM589" s="1" t="str">
        <f>IFERROR(__xludf.DUMMYFUNCTION("""COMPUTED_VALUE"""),"FEMENINO")</f>
        <v>FEMENINO</v>
      </c>
      <c r="AN589" s="1">
        <f>IFERROR(__xludf.DUMMYFUNCTION("""COMPUTED_VALUE"""),1775.0)</f>
        <v>1775</v>
      </c>
      <c r="AO589" s="1">
        <f>IFERROR(__xludf.DUMMYFUNCTION("""COMPUTED_VALUE"""),400.0)</f>
        <v>400</v>
      </c>
      <c r="AP589" s="1" t="str">
        <f>IFERROR(__xludf.DUMMYFUNCTION("""COMPUTED_VALUE"""),"FORMULARIO")</f>
        <v>FORMULARIO</v>
      </c>
      <c r="AQ589" s="1" t="str">
        <f>IFERROR(__xludf.DUMMYFUNCTION("""COMPUTED_VALUE"""),"SEARCH MARCA")</f>
        <v>SEARCH MARCA</v>
      </c>
      <c r="AR589" s="1" t="str">
        <f>IFERROR(__xludf.DUMMYFUNCTION("""COMPUTED_VALUE"""),"NUEVO")</f>
        <v>NUEVO</v>
      </c>
      <c r="AS589" s="1" t="str">
        <f>IFERROR(__xludf.DUMMYFUNCTION("""COMPUTED_VALUE"""),"ucal-pg-performance-sedes-abierta-cpl-search_conversion_marca-20240401")</f>
        <v>ucal-pg-performance-sedes-abierta-cpl-search_conversion_marca-20240401</v>
      </c>
      <c r="AT589" s="2">
        <f>IFERROR(__xludf.DUMMYFUNCTION("""COMPUTED_VALUE"""),45569.0)</f>
        <v>45569</v>
      </c>
      <c r="AU589" s="1">
        <f>IFERROR(__xludf.DUMMYFUNCTION("""COMPUTED_VALUE"""),1.0)</f>
        <v>1</v>
      </c>
      <c r="AV589" s="1" t="str">
        <f>IFERROR(__xludf.DUMMYFUNCTION("""COMPUTED_VALUE"""),"NUEVO")</f>
        <v>NUEVO</v>
      </c>
      <c r="AW589" s="1" t="str">
        <f>IFERROR(__xludf.DUMMYFUNCTION("""COMPUTED_VALUE"""),"SI")</f>
        <v>SI</v>
      </c>
      <c r="AX589" s="1"/>
      <c r="AY589" s="1" t="str">
        <f>IFERROR(__xludf.DUMMYFUNCTION("""COMPUTED_VALUE"""),"PAGO COMPLETO")</f>
        <v>PAGO COMPLETO</v>
      </c>
      <c r="AZ589" s="5">
        <f>IFERROR(__xludf.DUMMYFUNCTION("""COMPUTED_VALUE"""),45729.0)</f>
        <v>45729</v>
      </c>
      <c r="BA589" s="1">
        <f>IFERROR(__xludf.DUMMYFUNCTION("""COMPUTED_VALUE"""),0.0)</f>
        <v>0</v>
      </c>
      <c r="BB589" s="1">
        <f>IFERROR(__xludf.DUMMYFUNCTION("""COMPUTED_VALUE"""),0.0)</f>
        <v>0</v>
      </c>
      <c r="BC589" s="4">
        <f>IFERROR(__xludf.DUMMYFUNCTION("""COMPUTED_VALUE"""),0.0)</f>
        <v>0</v>
      </c>
      <c r="BD589" s="4">
        <f>IFERROR(__xludf.DUMMYFUNCTION("""COMPUTED_VALUE"""),300.0)</f>
        <v>300</v>
      </c>
      <c r="BE589" s="1">
        <f>IFERROR(__xludf.DUMMYFUNCTION("""COMPUTED_VALUE"""),3.0)</f>
        <v>3</v>
      </c>
      <c r="BF589" s="6">
        <f>IFERROR(__xludf.DUMMYFUNCTION("""COMPUTED_VALUE"""),1.0)</f>
        <v>1</v>
      </c>
      <c r="BG589" s="1">
        <f>IFERROR(__xludf.DUMMYFUNCTION("""COMPUTED_VALUE"""),1.0)</f>
        <v>1</v>
      </c>
      <c r="BH589" s="1" t="str">
        <f>IFERROR(__xludf.DUMMYFUNCTION("""COMPUTED_VALUE"""),"0")</f>
        <v>0</v>
      </c>
      <c r="BI589" s="4">
        <f>IFERROR(__xludf.DUMMYFUNCTION("""COMPUTED_VALUE"""),300.0)</f>
        <v>300</v>
      </c>
      <c r="BJ589" s="1">
        <f>IFERROR(__xludf.DUMMYFUNCTION("""COMPUTED_VALUE"""),0.0)</f>
        <v>0</v>
      </c>
      <c r="BK589" s="4">
        <f>IFERROR(__xludf.DUMMYFUNCTION("""COMPUTED_VALUE"""),300.0)</f>
        <v>300</v>
      </c>
      <c r="BL589" s="1">
        <f>IFERROR(__xludf.DUMMYFUNCTION("""COMPUTED_VALUE"""),740.0)</f>
        <v>740</v>
      </c>
      <c r="BM589" s="1">
        <f>IFERROR(__xludf.DUMMYFUNCTION("""COMPUTED_VALUE"""),11.0)</f>
        <v>11</v>
      </c>
      <c r="BN589" s="2">
        <f>IFERROR(__xludf.DUMMYFUNCTION("""COMPUTED_VALUE"""),45726.0)</f>
        <v>45726</v>
      </c>
      <c r="BO589" s="1">
        <f>IFERROR(__xludf.DUMMYFUNCTION("""COMPUTED_VALUE"""),3.0)</f>
        <v>3</v>
      </c>
      <c r="BP589" s="1">
        <f>IFERROR(__xludf.DUMMYFUNCTION("""COMPUTED_VALUE"""),2025.0)</f>
        <v>2025</v>
      </c>
    </row>
    <row r="590">
      <c r="A590" s="1">
        <f>IFERROR(__xludf.DUMMYFUNCTION("""COMPUTED_VALUE"""),589.0)</f>
        <v>589</v>
      </c>
      <c r="B590" s="1">
        <f>IFERROR(__xludf.DUMMYFUNCTION("""COMPUTED_VALUE"""),5077909.0)</f>
        <v>5077909</v>
      </c>
      <c r="C590" s="1" t="str">
        <f>IFERROR(__xludf.DUMMYFUNCTION("""COMPUTED_VALUE"""),"2025-1")</f>
        <v>2025-1</v>
      </c>
      <c r="D590" s="1" t="str">
        <f>IFERROR(__xludf.DUMMYFUNCTION("""COMPUTED_VALUE"""),"Admisión Ordinaria")</f>
        <v>Admisión Ordinaria</v>
      </c>
      <c r="E590" s="2">
        <f>IFERROR(__xludf.DUMMYFUNCTION("""COMPUTED_VALUE"""),45730.0)</f>
        <v>45730</v>
      </c>
      <c r="F590" s="1" t="str">
        <f>IFERROR(__xludf.DUMMYFUNCTION("""COMPUTED_VALUE"""),"ABEL JUAN ESTEBAN ")</f>
        <v>ABEL JUAN ESTEBAN </v>
      </c>
      <c r="G590" s="1" t="str">
        <f>IFERROR(__xludf.DUMMYFUNCTION("""COMPUTED_VALUE"""),"FLORIDA HUAYLLANI")</f>
        <v>FLORIDA HUAYLLANI</v>
      </c>
      <c r="H590" s="1" t="str">
        <f>IFERROR(__xludf.DUMMYFUNCTION("""COMPUTED_VALUE"""),"Arquitectura de Interiores")</f>
        <v>Arquitectura de Interiores</v>
      </c>
      <c r="I590" s="1" t="str">
        <f>IFERROR(__xludf.DUMMYFUNCTION("""COMPUTED_VALUE"""),"CARGO")</f>
        <v>CARGO</v>
      </c>
      <c r="J590" s="1" t="str">
        <f>IFERROR(__xludf.DUMMYFUNCTION("""COMPUTED_VALUE"""),"Diurno")</f>
        <v>Diurno</v>
      </c>
      <c r="K590" s="1" t="str">
        <f>IFERROR(__xludf.DUMMYFUNCTION("""COMPUTED_VALUE"""),"NUEVO")</f>
        <v>NUEVO</v>
      </c>
      <c r="L590" s="1">
        <f>IFERROR(__xludf.DUMMYFUNCTION("""COMPUTED_VALUE"""),0.0)</f>
        <v>0</v>
      </c>
      <c r="M590" s="1">
        <f>IFERROR(__xludf.DUMMYFUNCTION("""COMPUTED_VALUE"""),0.0)</f>
        <v>0</v>
      </c>
      <c r="N590" s="1" t="str">
        <f>IFERROR(__xludf.DUMMYFUNCTION("""COMPUTED_VALUE"""),"BECA")</f>
        <v>BECA</v>
      </c>
      <c r="O590" s="1" t="str">
        <f>IFERROR(__xludf.DUMMYFUNCTION("""COMPUTED_VALUE"""),"BECA CARRERAS CORE")</f>
        <v>BECA CARRERAS CORE</v>
      </c>
      <c r="P590" s="4">
        <f>IFERROR(__xludf.DUMMYFUNCTION("""COMPUTED_VALUE"""),125.0)</f>
        <v>125</v>
      </c>
      <c r="Q590" s="4">
        <f>IFERROR(__xludf.DUMMYFUNCTION("""COMPUTED_VALUE"""),237.5)</f>
        <v>237.5</v>
      </c>
      <c r="R590" s="4">
        <f>IFERROR(__xludf.DUMMYFUNCTION("""COMPUTED_VALUE"""),1200.0)</f>
        <v>1200</v>
      </c>
      <c r="S590" s="4">
        <f>IFERROR(__xludf.DUMMYFUNCTION("""COMPUTED_VALUE"""),1050.0)</f>
        <v>1050</v>
      </c>
      <c r="T590" s="1" t="str">
        <f>IFERROR(__xludf.DUMMYFUNCTION("""COMPUTED_VALUE"""),"PALANCA 500")</f>
        <v>PALANCA 500</v>
      </c>
      <c r="U590" s="1" t="str">
        <f>IFERROR(__xludf.DUMMYFUNCTION("""COMPUTED_VALUE"""),"FABIOLA")</f>
        <v>FABIOLA</v>
      </c>
      <c r="V590" s="1" t="str">
        <f>IFERROR(__xludf.DUMMYFUNCTION("""COMPUTED_VALUE"""),"Ninguno")</f>
        <v>Ninguno</v>
      </c>
      <c r="W590" s="1" t="str">
        <f>IFERROR(__xludf.DUMMYFUNCTION("""COMPUTED_VALUE"""),"Metodología de enseñanza")</f>
        <v>Metodología de enseñanza</v>
      </c>
      <c r="X590" s="1" t="str">
        <f>IFERROR(__xludf.DUMMYFUNCTION("""COMPUTED_VALUE"""),"1ra boleta 500")</f>
        <v>1ra boleta 500</v>
      </c>
      <c r="Y590" s="1" t="str">
        <f>IFERROR(__xludf.DUMMYFUNCTION("""COMPUTED_VALUE"""),"PAGO COMPLETO")</f>
        <v>PAGO COMPLETO</v>
      </c>
      <c r="Z590" s="1"/>
      <c r="AA590" s="1"/>
      <c r="AB590" s="1">
        <f>IFERROR(__xludf.DUMMYFUNCTION("""COMPUTED_VALUE"""),0.0)</f>
        <v>0</v>
      </c>
      <c r="AC590" s="1">
        <f>IFERROR(__xludf.DUMMYFUNCTION("""COMPUTED_VALUE"""),0.0)</f>
        <v>0</v>
      </c>
      <c r="AD590" s="1" t="str">
        <f>IFERROR(__xludf.DUMMYFUNCTION("""COMPUTED_VALUE"""),"Fiorella Lanegra")</f>
        <v>Fiorella Lanegra</v>
      </c>
      <c r="AE590" s="1" t="str">
        <f>IFERROR(__xludf.DUMMYFUNCTION("""COMPUTED_VALUE"""),"0")</f>
        <v>0</v>
      </c>
      <c r="AF590" s="1">
        <f>IFERROR(__xludf.DUMMYFUNCTION("""COMPUTED_VALUE"""),2024.0)</f>
        <v>2024</v>
      </c>
      <c r="AG590" s="1">
        <f>IFERROR(__xludf.DUMMYFUNCTION("""COMPUTED_VALUE"""),1085851.0)</f>
        <v>1085851</v>
      </c>
      <c r="AH590" s="1">
        <f>IFERROR(__xludf.DUMMYFUNCTION("""COMPUTED_VALUE"""),17.0)</f>
        <v>17</v>
      </c>
      <c r="AI590" s="1" t="str">
        <f>IFERROR(__xludf.DUMMYFUNCTION("""COMPUTED_VALUE"""),"0000419536")</f>
        <v>0000419536</v>
      </c>
      <c r="AJ590" s="1">
        <f>IFERROR(__xludf.DUMMYFUNCTION("""COMPUTED_VALUE"""),6.1331571E7)</f>
        <v>61331571</v>
      </c>
      <c r="AK590" s="1">
        <f>IFERROR(__xludf.DUMMYFUNCTION("""COMPUTED_VALUE"""),9.64808914E8)</f>
        <v>964808914</v>
      </c>
      <c r="AL590" s="1" t="str">
        <f>IFERROR(__xludf.DUMMYFUNCTION("""COMPUTED_VALUE"""),"mgpaby@gmail.com")</f>
        <v>mgpaby@gmail.com</v>
      </c>
      <c r="AM590" s="1" t="str">
        <f>IFERROR(__xludf.DUMMYFUNCTION("""COMPUTED_VALUE"""),"MASCULINO")</f>
        <v>MASCULINO</v>
      </c>
      <c r="AN590" s="1">
        <f>IFERROR(__xludf.DUMMYFUNCTION("""COMPUTED_VALUE"""),1350.0)</f>
        <v>1350</v>
      </c>
      <c r="AO590" s="1">
        <f>IFERROR(__xludf.DUMMYFUNCTION("""COMPUTED_VALUE"""),0.0)</f>
        <v>0</v>
      </c>
      <c r="AP590" s="1" t="str">
        <f>IFERROR(__xludf.DUMMYFUNCTION("""COMPUTED_VALUE"""),"BIDIRECCIONAL")</f>
        <v>BIDIRECCIONAL</v>
      </c>
      <c r="AQ590" s="1" t="str">
        <f>IFERROR(__xludf.DUMMYFUNCTION("""COMPUTED_VALUE"""),"SEARCH MARCA")</f>
        <v>SEARCH MARCA</v>
      </c>
      <c r="AR590" s="1" t="str">
        <f>IFERROR(__xludf.DUMMYFUNCTION("""COMPUTED_VALUE"""),"NUEVO")</f>
        <v>NUEVO</v>
      </c>
      <c r="AS590" s="1" t="str">
        <f>IFERROR(__xludf.DUMMYFUNCTION("""COMPUTED_VALUE"""),"ucal-pg-performance-sedes-abierta-cpl-search_conversion_marca-20240401")</f>
        <v>ucal-pg-performance-sedes-abierta-cpl-search_conversion_marca-20240401</v>
      </c>
      <c r="AT590" s="2">
        <f>IFERROR(__xludf.DUMMYFUNCTION("""COMPUTED_VALUE"""),45729.0)</f>
        <v>45729</v>
      </c>
      <c r="AU590" s="1">
        <f>IFERROR(__xludf.DUMMYFUNCTION("""COMPUTED_VALUE"""),1.0)</f>
        <v>1</v>
      </c>
      <c r="AV590" s="1" t="str">
        <f>IFERROR(__xludf.DUMMYFUNCTION("""COMPUTED_VALUE"""),"NUEVO")</f>
        <v>NUEVO</v>
      </c>
      <c r="AW590" s="1" t="str">
        <f>IFERROR(__xludf.DUMMYFUNCTION("""COMPUTED_VALUE"""),"SI")</f>
        <v>SI</v>
      </c>
      <c r="AX590" s="1"/>
      <c r="AY590" s="1" t="str">
        <f>IFERROR(__xludf.DUMMYFUNCTION("""COMPUTED_VALUE"""),"PAGO COMPLETO")</f>
        <v>PAGO COMPLETO</v>
      </c>
      <c r="AZ590" s="5">
        <f>IFERROR(__xludf.DUMMYFUNCTION("""COMPUTED_VALUE"""),45730.0)</f>
        <v>45730</v>
      </c>
      <c r="BA590" s="1">
        <f>IFERROR(__xludf.DUMMYFUNCTION("""COMPUTED_VALUE"""),0.0)</f>
        <v>0</v>
      </c>
      <c r="BB590" s="1">
        <f>IFERROR(__xludf.DUMMYFUNCTION("""COMPUTED_VALUE"""),0.0)</f>
        <v>0</v>
      </c>
      <c r="BC590" s="4">
        <f>IFERROR(__xludf.DUMMYFUNCTION("""COMPUTED_VALUE"""),0.0)</f>
        <v>0</v>
      </c>
      <c r="BD590" s="4">
        <f>IFERROR(__xludf.DUMMYFUNCTION("""COMPUTED_VALUE"""),550.0)</f>
        <v>550</v>
      </c>
      <c r="BE590" s="1">
        <f>IFERROR(__xludf.DUMMYFUNCTION("""COMPUTED_VALUE"""),3.0)</f>
        <v>3</v>
      </c>
      <c r="BF590" s="6">
        <f>IFERROR(__xludf.DUMMYFUNCTION("""COMPUTED_VALUE"""),1.0)</f>
        <v>1</v>
      </c>
      <c r="BG590" s="1">
        <f>IFERROR(__xludf.DUMMYFUNCTION("""COMPUTED_VALUE"""),1.0)</f>
        <v>1</v>
      </c>
      <c r="BH590" s="1" t="str">
        <f>IFERROR(__xludf.DUMMYFUNCTION("""COMPUTED_VALUE"""),"0")</f>
        <v>0</v>
      </c>
      <c r="BI590" s="4">
        <f>IFERROR(__xludf.DUMMYFUNCTION("""COMPUTED_VALUE"""),550.0)</f>
        <v>550</v>
      </c>
      <c r="BJ590" s="1">
        <f>IFERROR(__xludf.DUMMYFUNCTION("""COMPUTED_VALUE"""),0.0)</f>
        <v>0</v>
      </c>
      <c r="BK590" s="4">
        <f>IFERROR(__xludf.DUMMYFUNCTION("""COMPUTED_VALUE"""),550.0)</f>
        <v>550</v>
      </c>
      <c r="BL590" s="1">
        <f>IFERROR(__xludf.DUMMYFUNCTION("""COMPUTED_VALUE"""),940.0)</f>
        <v>940</v>
      </c>
      <c r="BM590" s="1">
        <f>IFERROR(__xludf.DUMMYFUNCTION("""COMPUTED_VALUE"""),11.0)</f>
        <v>11</v>
      </c>
      <c r="BN590" s="2">
        <f>IFERROR(__xludf.DUMMYFUNCTION("""COMPUTED_VALUE"""),45726.0)</f>
        <v>45726</v>
      </c>
      <c r="BO590" s="1">
        <f>IFERROR(__xludf.DUMMYFUNCTION("""COMPUTED_VALUE"""),3.0)</f>
        <v>3</v>
      </c>
      <c r="BP590" s="1">
        <f>IFERROR(__xludf.DUMMYFUNCTION("""COMPUTED_VALUE"""),2025.0)</f>
        <v>2025</v>
      </c>
    </row>
    <row r="591">
      <c r="A591" s="1">
        <f>IFERROR(__xludf.DUMMYFUNCTION("""COMPUTED_VALUE"""),590.0)</f>
        <v>590</v>
      </c>
      <c r="B591" s="1">
        <f>IFERROR(__xludf.DUMMYFUNCTION("""COMPUTED_VALUE"""),1728388.0)</f>
        <v>1728388</v>
      </c>
      <c r="C591" s="1" t="str">
        <f>IFERROR(__xludf.DUMMYFUNCTION("""COMPUTED_VALUE"""),"2025-1")</f>
        <v>2025-1</v>
      </c>
      <c r="D591" s="1" t="str">
        <f>IFERROR(__xludf.DUMMYFUNCTION("""COMPUTED_VALUE"""),"Admisión Ordinaria")</f>
        <v>Admisión Ordinaria</v>
      </c>
      <c r="E591" s="2">
        <f>IFERROR(__xludf.DUMMYFUNCTION("""COMPUTED_VALUE"""),45730.0)</f>
        <v>45730</v>
      </c>
      <c r="F591" s="1" t="str">
        <f>IFERROR(__xludf.DUMMYFUNCTION("""COMPUTED_VALUE"""),"VALENTINA VICTORIA")</f>
        <v>VALENTINA VICTORIA</v>
      </c>
      <c r="G591" s="1" t="str">
        <f>IFERROR(__xludf.DUMMYFUNCTION("""COMPUTED_VALUE"""),"ALFARO HUMALA")</f>
        <v>ALFARO HUMALA</v>
      </c>
      <c r="H591" s="1" t="str">
        <f>IFERROR(__xludf.DUMMYFUNCTION("""COMPUTED_VALUE"""),"Diseño Gráfico Publicitario")</f>
        <v>Diseño Gráfico Publicitario</v>
      </c>
      <c r="I591" s="1" t="str">
        <f>IFERROR(__xludf.DUMMYFUNCTION("""COMPUTED_VALUE"""),"POS")</f>
        <v>POS</v>
      </c>
      <c r="J591" s="1" t="str">
        <f>IFERROR(__xludf.DUMMYFUNCTION("""COMPUTED_VALUE"""),"Diurno")</f>
        <v>Diurno</v>
      </c>
      <c r="K591" s="1" t="str">
        <f>IFERROR(__xludf.DUMMYFUNCTION("""COMPUTED_VALUE"""),"NUEVO")</f>
        <v>NUEVO</v>
      </c>
      <c r="L591" s="1">
        <f>IFERROR(__xludf.DUMMYFUNCTION("""COMPUTED_VALUE"""),0.0)</f>
        <v>0</v>
      </c>
      <c r="M591" s="1">
        <f>IFERROR(__xludf.DUMMYFUNCTION("""COMPUTED_VALUE"""),0.0)</f>
        <v>0</v>
      </c>
      <c r="N591" s="1" t="str">
        <f>IFERROR(__xludf.DUMMYFUNCTION("""COMPUTED_VALUE"""),"BECA")</f>
        <v>BECA</v>
      </c>
      <c r="O591" s="1" t="str">
        <f>IFERROR(__xludf.DUMMYFUNCTION("""COMPUTED_VALUE"""),"BECA RECUPERO")</f>
        <v>BECA RECUPERO</v>
      </c>
      <c r="P591" s="4">
        <f>IFERROR(__xludf.DUMMYFUNCTION("""COMPUTED_VALUE"""),0.0)</f>
        <v>0</v>
      </c>
      <c r="Q591" s="4">
        <f>IFERROR(__xludf.DUMMYFUNCTION("""COMPUTED_VALUE"""),0.0)</f>
        <v>0</v>
      </c>
      <c r="R591" s="4">
        <f>IFERROR(__xludf.DUMMYFUNCTION("""COMPUTED_VALUE"""),1000.0)</f>
        <v>1000</v>
      </c>
      <c r="S591" s="4">
        <f>IFERROR(__xludf.DUMMYFUNCTION("""COMPUTED_VALUE"""),850.0)</f>
        <v>850</v>
      </c>
      <c r="T591" s="1" t="str">
        <f>IFERROR(__xludf.DUMMYFUNCTION("""COMPUTED_VALUE"""),"PALANCA 500")</f>
        <v>PALANCA 500</v>
      </c>
      <c r="U591" s="1" t="str">
        <f>IFERROR(__xludf.DUMMYFUNCTION("""COMPUTED_VALUE"""),"RODRIGO")</f>
        <v>RODRIGO</v>
      </c>
      <c r="V591" s="1" t="str">
        <f>IFERROR(__xludf.DUMMYFUNCTION("""COMPUTED_VALUE"""),"Ninguno")</f>
        <v>Ninguno</v>
      </c>
      <c r="W591" s="1" t="str">
        <f>IFERROR(__xludf.DUMMYFUNCTION("""COMPUTED_VALUE"""),"Metodología de enseñanza")</f>
        <v>Metodología de enseñanza</v>
      </c>
      <c r="X591" s="1"/>
      <c r="Y591" s="1" t="str">
        <f>IFERROR(__xludf.DUMMYFUNCTION("""COMPUTED_VALUE"""),"PAGO COMPLETO")</f>
        <v>PAGO COMPLETO</v>
      </c>
      <c r="Z591" s="1"/>
      <c r="AA591" s="1"/>
      <c r="AB591" s="1">
        <f>IFERROR(__xludf.DUMMYFUNCTION("""COMPUTED_VALUE"""),0.0)</f>
        <v>0</v>
      </c>
      <c r="AC591" s="1">
        <f>IFERROR(__xludf.DUMMYFUNCTION("""COMPUTED_VALUE"""),0.0)</f>
        <v>0</v>
      </c>
      <c r="AD591" s="1" t="str">
        <f>IFERROR(__xludf.DUMMYFUNCTION("""COMPUTED_VALUE"""),"Angelica Iparraguirre")</f>
        <v>Angelica Iparraguirre</v>
      </c>
      <c r="AE591" s="1" t="str">
        <f>IFERROR(__xludf.DUMMYFUNCTION("""COMPUTED_VALUE"""),"0")</f>
        <v>0</v>
      </c>
      <c r="AF591" s="1">
        <f>IFERROR(__xludf.DUMMYFUNCTION("""COMPUTED_VALUE"""),2023.0)</f>
        <v>2023</v>
      </c>
      <c r="AG591" s="1">
        <f>IFERROR(__xludf.DUMMYFUNCTION("""COMPUTED_VALUE"""),314385.0)</f>
        <v>314385</v>
      </c>
      <c r="AH591" s="1">
        <f>IFERROR(__xludf.DUMMYFUNCTION("""COMPUTED_VALUE"""),20.0)</f>
        <v>20</v>
      </c>
      <c r="AI591" s="1" t="str">
        <f>IFERROR(__xludf.DUMMYFUNCTION("""COMPUTED_VALUE"""),"0000419558")</f>
        <v>0000419558</v>
      </c>
      <c r="AJ591" s="1">
        <f>IFERROR(__xludf.DUMMYFUNCTION("""COMPUTED_VALUE"""),7.5571087E7)</f>
        <v>75571087</v>
      </c>
      <c r="AK591" s="1">
        <f>IFERROR(__xludf.DUMMYFUNCTION("""COMPUTED_VALUE"""),9.55599456E8)</f>
        <v>955599456</v>
      </c>
      <c r="AL591" s="1" t="str">
        <f>IFERROR(__xludf.DUMMYFUNCTION("""COMPUTED_VALUE"""),"valentinaalfarohumala@gmail.com")</f>
        <v>valentinaalfarohumala@gmail.com</v>
      </c>
      <c r="AM591" s="1" t="str">
        <f>IFERROR(__xludf.DUMMYFUNCTION("""COMPUTED_VALUE"""),"FEMENINO")</f>
        <v>FEMENINO</v>
      </c>
      <c r="AN591" s="1">
        <f>IFERROR(__xludf.DUMMYFUNCTION("""COMPUTED_VALUE"""),2900.0)</f>
        <v>2900</v>
      </c>
      <c r="AO591" s="1">
        <f>IFERROR(__xludf.DUMMYFUNCTION("""COMPUTED_VALUE"""),1940.0)</f>
        <v>1940</v>
      </c>
      <c r="AP591" s="1" t="str">
        <f>IFERROR(__xludf.DUMMYFUNCTION("""COMPUTED_VALUE"""),"BIDIRECCIONAL")</f>
        <v>BIDIRECCIONAL</v>
      </c>
      <c r="AQ591" s="1" t="str">
        <f>IFERROR(__xludf.DUMMYFUNCTION("""COMPUTED_VALUE"""),"SEARCH MARCA")</f>
        <v>SEARCH MARCA</v>
      </c>
      <c r="AR591" s="1" t="str">
        <f>IFERROR(__xludf.DUMMYFUNCTION("""COMPUTED_VALUE"""),"HEREDADO")</f>
        <v>HEREDADO</v>
      </c>
      <c r="AS591" s="1" t="str">
        <f>IFERROR(__xludf.DUMMYFUNCTION("""COMPUTED_VALUE"""),"ucal-pg-performance-sedes-abierta-cpl-extensiones_boleta_500_marca-20250210")</f>
        <v>ucal-pg-performance-sedes-abierta-cpl-extensiones_boleta_500_marca-20250210</v>
      </c>
      <c r="AT591" s="2">
        <f>IFERROR(__xludf.DUMMYFUNCTION("""COMPUTED_VALUE"""),45730.0)</f>
        <v>45730</v>
      </c>
      <c r="AU591" s="1">
        <f>IFERROR(__xludf.DUMMYFUNCTION("""COMPUTED_VALUE"""),1.0)</f>
        <v>1</v>
      </c>
      <c r="AV591" s="1" t="str">
        <f>IFERROR(__xludf.DUMMYFUNCTION("""COMPUTED_VALUE"""),"NUEVO")</f>
        <v>NUEVO</v>
      </c>
      <c r="AW591" s="1" t="str">
        <f>IFERROR(__xludf.DUMMYFUNCTION("""COMPUTED_VALUE"""),"SI")</f>
        <v>SI</v>
      </c>
      <c r="AX591" s="1"/>
      <c r="AY591" s="1" t="str">
        <f>IFERROR(__xludf.DUMMYFUNCTION("""COMPUTED_VALUE"""),"PAGO COMPLETO")</f>
        <v>PAGO COMPLETO</v>
      </c>
      <c r="AZ591" s="5">
        <f>IFERROR(__xludf.DUMMYFUNCTION("""COMPUTED_VALUE"""),45730.0)</f>
        <v>45730</v>
      </c>
      <c r="BA591" s="1">
        <f>IFERROR(__xludf.DUMMYFUNCTION("""COMPUTED_VALUE"""),0.0)</f>
        <v>0</v>
      </c>
      <c r="BB591" s="1">
        <f>IFERROR(__xludf.DUMMYFUNCTION("""COMPUTED_VALUE"""),0.0)</f>
        <v>0</v>
      </c>
      <c r="BC591" s="4">
        <f>IFERROR(__xludf.DUMMYFUNCTION("""COMPUTED_VALUE"""),0.0)</f>
        <v>0</v>
      </c>
      <c r="BD591" s="4">
        <f>IFERROR(__xludf.DUMMYFUNCTION("""COMPUTED_VALUE"""),350.0)</f>
        <v>350</v>
      </c>
      <c r="BE591" s="1">
        <f>IFERROR(__xludf.DUMMYFUNCTION("""COMPUTED_VALUE"""),3.0)</f>
        <v>3</v>
      </c>
      <c r="BF591" s="6">
        <f>IFERROR(__xludf.DUMMYFUNCTION("""COMPUTED_VALUE"""),1.0)</f>
        <v>1</v>
      </c>
      <c r="BG591" s="1">
        <f>IFERROR(__xludf.DUMMYFUNCTION("""COMPUTED_VALUE"""),1.0)</f>
        <v>1</v>
      </c>
      <c r="BH591" s="1" t="str">
        <f>IFERROR(__xludf.DUMMYFUNCTION("""COMPUTED_VALUE"""),"0")</f>
        <v>0</v>
      </c>
      <c r="BI591" s="4">
        <f>IFERROR(__xludf.DUMMYFUNCTION("""COMPUTED_VALUE"""),350.0)</f>
        <v>350</v>
      </c>
      <c r="BJ591" s="1">
        <f>IFERROR(__xludf.DUMMYFUNCTION("""COMPUTED_VALUE"""),0.0)</f>
        <v>0</v>
      </c>
      <c r="BK591" s="4">
        <f>IFERROR(__xludf.DUMMYFUNCTION("""COMPUTED_VALUE"""),350.0)</f>
        <v>350</v>
      </c>
      <c r="BL591" s="1">
        <f>IFERROR(__xludf.DUMMYFUNCTION("""COMPUTED_VALUE"""),780.0)</f>
        <v>780</v>
      </c>
      <c r="BM591" s="1">
        <f>IFERROR(__xludf.DUMMYFUNCTION("""COMPUTED_VALUE"""),11.0)</f>
        <v>11</v>
      </c>
      <c r="BN591" s="2">
        <f>IFERROR(__xludf.DUMMYFUNCTION("""COMPUTED_VALUE"""),45726.0)</f>
        <v>45726</v>
      </c>
      <c r="BO591" s="1">
        <f>IFERROR(__xludf.DUMMYFUNCTION("""COMPUTED_VALUE"""),3.0)</f>
        <v>3</v>
      </c>
      <c r="BP591" s="1">
        <f>IFERROR(__xludf.DUMMYFUNCTION("""COMPUTED_VALUE"""),2025.0)</f>
        <v>2025</v>
      </c>
    </row>
    <row r="592">
      <c r="A592" s="1">
        <f>IFERROR(__xludf.DUMMYFUNCTION("""COMPUTED_VALUE"""),591.0)</f>
        <v>591</v>
      </c>
      <c r="B592" s="1">
        <f>IFERROR(__xludf.DUMMYFUNCTION("""COMPUTED_VALUE"""),4555381.0)</f>
        <v>4555381</v>
      </c>
      <c r="C592" s="1" t="str">
        <f>IFERROR(__xludf.DUMMYFUNCTION("""COMPUTED_VALUE"""),"2025-1")</f>
        <v>2025-1</v>
      </c>
      <c r="D592" s="1" t="str">
        <f>IFERROR(__xludf.DUMMYFUNCTION("""COMPUTED_VALUE"""),"Admisión Extraordinaria (Traslados)")</f>
        <v>Admisión Extraordinaria (Traslados)</v>
      </c>
      <c r="E592" s="2">
        <f>IFERROR(__xludf.DUMMYFUNCTION("""COMPUTED_VALUE"""),45730.0)</f>
        <v>45730</v>
      </c>
      <c r="F592" s="1" t="str">
        <f>IFERROR(__xludf.DUMMYFUNCTION("""COMPUTED_VALUE"""),"VANESSA KRISTELL")</f>
        <v>VANESSA KRISTELL</v>
      </c>
      <c r="G592" s="1" t="str">
        <f>IFERROR(__xludf.DUMMYFUNCTION("""COMPUTED_VALUE"""),"GUZMAN MALLMA")</f>
        <v>GUZMAN MALLMA</v>
      </c>
      <c r="H592" s="1" t="str">
        <f>IFERROR(__xludf.DUMMYFUNCTION("""COMPUTED_VALUE"""),"Arquitectura")</f>
        <v>Arquitectura</v>
      </c>
      <c r="I592" s="1" t="str">
        <f>IFERROR(__xludf.DUMMYFUNCTION("""COMPUTED_VALUE"""),"CARGO")</f>
        <v>CARGO</v>
      </c>
      <c r="J592" s="1" t="str">
        <f>IFERROR(__xludf.DUMMYFUNCTION("""COMPUTED_VALUE"""),"Diurno")</f>
        <v>Diurno</v>
      </c>
      <c r="K592" s="1" t="str">
        <f>IFERROR(__xludf.DUMMYFUNCTION("""COMPUTED_VALUE"""),"TRASLADO")</f>
        <v>TRASLADO</v>
      </c>
      <c r="L592" s="1">
        <f>IFERROR(__xludf.DUMMYFUNCTION("""COMPUTED_VALUE"""),1.0)</f>
        <v>1</v>
      </c>
      <c r="M592" s="1">
        <f>IFERROR(__xludf.DUMMYFUNCTION("""COMPUTED_VALUE"""),0.0)</f>
        <v>0</v>
      </c>
      <c r="N592" s="1" t="str">
        <f>IFERROR(__xludf.DUMMYFUNCTION("""COMPUTED_VALUE"""),"RECA")</f>
        <v>RECA</v>
      </c>
      <c r="O592" s="1" t="str">
        <f>IFERROR(__xludf.DUMMYFUNCTION("""COMPUTED_VALUE"""),"RECATEGORIZACIÓN")</f>
        <v>RECATEGORIZACIÓN</v>
      </c>
      <c r="P592" s="4">
        <f>IFERROR(__xludf.DUMMYFUNCTION("""COMPUTED_VALUE"""),0.0)</f>
        <v>0</v>
      </c>
      <c r="Q592" s="4">
        <f>IFERROR(__xludf.DUMMYFUNCTION("""COMPUTED_VALUE"""),0.0)</f>
        <v>0</v>
      </c>
      <c r="R592" s="4">
        <f>IFERROR(__xludf.DUMMYFUNCTION("""COMPUTED_VALUE"""),1500.0)</f>
        <v>1500</v>
      </c>
      <c r="S592" s="4">
        <f>IFERROR(__xludf.DUMMYFUNCTION("""COMPUTED_VALUE"""),1450.0)</f>
        <v>1450</v>
      </c>
      <c r="T592" s="1" t="str">
        <f>IFERROR(__xludf.DUMMYFUNCTION("""COMPUTED_VALUE"""),"NINGUNO")</f>
        <v>NINGUNO</v>
      </c>
      <c r="U592" s="1" t="str">
        <f>IFERROR(__xludf.DUMMYFUNCTION("""COMPUTED_VALUE"""),"FABIOLA")</f>
        <v>FABIOLA</v>
      </c>
      <c r="V592" s="1" t="str">
        <f>IFERROR(__xludf.DUMMYFUNCTION("""COMPUTED_VALUE"""),"Ninguno")</f>
        <v>Ninguno</v>
      </c>
      <c r="W592" s="1" t="str">
        <f>IFERROR(__xludf.DUMMYFUNCTION("""COMPUTED_VALUE"""),"Malla curricular")</f>
        <v>Malla curricular</v>
      </c>
      <c r="X592" s="1"/>
      <c r="Y592" s="1" t="str">
        <f>IFERROR(__xludf.DUMMYFUNCTION("""COMPUTED_VALUE"""),"PAGO COMPLETO")</f>
        <v>PAGO COMPLETO</v>
      </c>
      <c r="Z592" s="1"/>
      <c r="AA592" s="1"/>
      <c r="AB592" s="1">
        <f>IFERROR(__xludf.DUMMYFUNCTION("""COMPUTED_VALUE"""),0.0)</f>
        <v>0</v>
      </c>
      <c r="AC592" s="1">
        <f>IFERROR(__xludf.DUMMYFUNCTION("""COMPUTED_VALUE"""),0.0)</f>
        <v>0</v>
      </c>
      <c r="AD592" s="1" t="str">
        <f>IFERROR(__xludf.DUMMYFUNCTION("""COMPUTED_VALUE"""),"Angelica Iparraguirre")</f>
        <v>Angelica Iparraguirre</v>
      </c>
      <c r="AE592" s="1" t="str">
        <f>IFERROR(__xludf.DUMMYFUNCTION("""COMPUTED_VALUE"""),"Universidad Peruana De Ciencias Aplicadas(UPC)")</f>
        <v>Universidad Peruana De Ciencias Aplicadas(UPC)</v>
      </c>
      <c r="AF592" s="1">
        <f>IFERROR(__xludf.DUMMYFUNCTION("""COMPUTED_VALUE"""),2019.0)</f>
        <v>2019</v>
      </c>
      <c r="AG592" s="1">
        <f>IFERROR(__xludf.DUMMYFUNCTION("""COMPUTED_VALUE"""),1140573.0)</f>
        <v>1140573</v>
      </c>
      <c r="AH592" s="1">
        <f>IFERROR(__xludf.DUMMYFUNCTION("""COMPUTED_VALUE"""),29.0)</f>
        <v>29</v>
      </c>
      <c r="AI592" s="1" t="str">
        <f>IFERROR(__xludf.DUMMYFUNCTION("""COMPUTED_VALUE"""),"0000419467")</f>
        <v>0000419467</v>
      </c>
      <c r="AJ592" s="1">
        <f>IFERROR(__xludf.DUMMYFUNCTION("""COMPUTED_VALUE"""),7.4778083E7)</f>
        <v>74778083</v>
      </c>
      <c r="AK592" s="1">
        <f>IFERROR(__xludf.DUMMYFUNCTION("""COMPUTED_VALUE"""),9.47274638E8)</f>
        <v>947274638</v>
      </c>
      <c r="AL592" s="1" t="str">
        <f>IFERROR(__xludf.DUMMYFUNCTION("""COMPUTED_VALUE"""),"nsita.frh@gmail.com")</f>
        <v>nsita.frh@gmail.com</v>
      </c>
      <c r="AM592" s="1" t="str">
        <f>IFERROR(__xludf.DUMMYFUNCTION("""COMPUTED_VALUE"""),"FEMENINO")</f>
        <v>FEMENINO</v>
      </c>
      <c r="AN592" s="1">
        <f>IFERROR(__xludf.DUMMYFUNCTION("""COMPUTED_VALUE"""),1850.0)</f>
        <v>1850</v>
      </c>
      <c r="AO592" s="1">
        <f>IFERROR(__xludf.DUMMYFUNCTION("""COMPUTED_VALUE"""),560.0)</f>
        <v>560</v>
      </c>
      <c r="AP592" s="1" t="str">
        <f>IFERROR(__xludf.DUMMYFUNCTION("""COMPUTED_VALUE"""),"OUTBOUND")</f>
        <v>OUTBOUND</v>
      </c>
      <c r="AQ592" s="1" t="str">
        <f>IFERROR(__xludf.DUMMYFUNCTION("""COMPUTED_VALUE"""),"OUTBOUND")</f>
        <v>OUTBOUND</v>
      </c>
      <c r="AR592" s="1" t="str">
        <f>IFERROR(__xludf.DUMMYFUNCTION("""COMPUTED_VALUE"""),"NUEVO")</f>
        <v>NUEVO</v>
      </c>
      <c r="AS592" s="1"/>
      <c r="AT592" s="2">
        <f>IFERROR(__xludf.DUMMYFUNCTION("""COMPUTED_VALUE"""),45727.0)</f>
        <v>45727</v>
      </c>
      <c r="AU592" s="1">
        <f>IFERROR(__xludf.DUMMYFUNCTION("""COMPUTED_VALUE"""),1.0)</f>
        <v>1</v>
      </c>
      <c r="AV592" s="1" t="str">
        <f>IFERROR(__xludf.DUMMYFUNCTION("""COMPUTED_VALUE"""),"TRASLADO")</f>
        <v>TRASLADO</v>
      </c>
      <c r="AW592" s="1" t="str">
        <f>IFERROR(__xludf.DUMMYFUNCTION("""COMPUTED_VALUE"""),"SI")</f>
        <v>SI</v>
      </c>
      <c r="AX592" s="1"/>
      <c r="AY592" s="1" t="str">
        <f>IFERROR(__xludf.DUMMYFUNCTION("""COMPUTED_VALUE"""),"PAGO COMPLETO")</f>
        <v>PAGO COMPLETO</v>
      </c>
      <c r="AZ592" s="5">
        <f>IFERROR(__xludf.DUMMYFUNCTION("""COMPUTED_VALUE"""),45730.0)</f>
        <v>45730</v>
      </c>
      <c r="BA592" s="1">
        <f>IFERROR(__xludf.DUMMYFUNCTION("""COMPUTED_VALUE"""),0.0)</f>
        <v>0</v>
      </c>
      <c r="BB592" s="1">
        <f>IFERROR(__xludf.DUMMYFUNCTION("""COMPUTED_VALUE"""),0.0)</f>
        <v>0</v>
      </c>
      <c r="BC592" s="4">
        <f>IFERROR(__xludf.DUMMYFUNCTION("""COMPUTED_VALUE"""),0.0)</f>
        <v>0</v>
      </c>
      <c r="BD592" s="4">
        <f>IFERROR(__xludf.DUMMYFUNCTION("""COMPUTED_VALUE"""),0.0)</f>
        <v>0</v>
      </c>
      <c r="BE592" s="1">
        <f>IFERROR(__xludf.DUMMYFUNCTION("""COMPUTED_VALUE"""),3.0)</f>
        <v>3</v>
      </c>
      <c r="BF592" s="6">
        <f>IFERROR(__xludf.DUMMYFUNCTION("""COMPUTED_VALUE"""),1.0)</f>
        <v>1</v>
      </c>
      <c r="BG592" s="1">
        <f>IFERROR(__xludf.DUMMYFUNCTION("""COMPUTED_VALUE"""),1.0)</f>
        <v>1</v>
      </c>
      <c r="BH592" s="1" t="str">
        <f>IFERROR(__xludf.DUMMYFUNCTION("""COMPUTED_VALUE"""),"1")</f>
        <v>1</v>
      </c>
      <c r="BI592" s="4">
        <f>IFERROR(__xludf.DUMMYFUNCTION("""COMPUTED_VALUE"""),0.0)</f>
        <v>0</v>
      </c>
      <c r="BJ592" s="1">
        <f>IFERROR(__xludf.DUMMYFUNCTION("""COMPUTED_VALUE"""),0.0)</f>
        <v>0</v>
      </c>
      <c r="BK592" s="4">
        <f>IFERROR(__xludf.DUMMYFUNCTION("""COMPUTED_VALUE"""),0.0)</f>
        <v>0</v>
      </c>
      <c r="BL592" s="1">
        <f>IFERROR(__xludf.DUMMYFUNCTION("""COMPUTED_VALUE"""),1450.0)</f>
        <v>1450</v>
      </c>
      <c r="BM592" s="1">
        <f>IFERROR(__xludf.DUMMYFUNCTION("""COMPUTED_VALUE"""),11.0)</f>
        <v>11</v>
      </c>
      <c r="BN592" s="2">
        <f>IFERROR(__xludf.DUMMYFUNCTION("""COMPUTED_VALUE"""),45726.0)</f>
        <v>45726</v>
      </c>
      <c r="BO592" s="1">
        <f>IFERROR(__xludf.DUMMYFUNCTION("""COMPUTED_VALUE"""),3.0)</f>
        <v>3</v>
      </c>
      <c r="BP592" s="1">
        <f>IFERROR(__xludf.DUMMYFUNCTION("""COMPUTED_VALUE"""),2025.0)</f>
        <v>2025</v>
      </c>
    </row>
    <row r="593">
      <c r="A593" s="1">
        <f>IFERROR(__xludf.DUMMYFUNCTION("""COMPUTED_VALUE"""),592.0)</f>
        <v>592</v>
      </c>
      <c r="B593" s="1">
        <f>IFERROR(__xludf.DUMMYFUNCTION("""COMPUTED_VALUE"""),5080274.0)</f>
        <v>5080274</v>
      </c>
      <c r="C593" s="1" t="str">
        <f>IFERROR(__xludf.DUMMYFUNCTION("""COMPUTED_VALUE"""),"2025-1")</f>
        <v>2025-1</v>
      </c>
      <c r="D593" s="1" t="str">
        <f>IFERROR(__xludf.DUMMYFUNCTION("""COMPUTED_VALUE"""),"Admisión Ordinaria")</f>
        <v>Admisión Ordinaria</v>
      </c>
      <c r="E593" s="2">
        <f>IFERROR(__xludf.DUMMYFUNCTION("""COMPUTED_VALUE"""),45730.0)</f>
        <v>45730</v>
      </c>
      <c r="F593" s="1" t="str">
        <f>IFERROR(__xludf.DUMMYFUNCTION("""COMPUTED_VALUE"""),"FABRIZZIO MANUEL ")</f>
        <v>FABRIZZIO MANUEL </v>
      </c>
      <c r="G593" s="1" t="str">
        <f>IFERROR(__xludf.DUMMYFUNCTION("""COMPUTED_VALUE"""),"CANCHUCAJA MELÉNDEZ")</f>
        <v>CANCHUCAJA MELÉNDEZ</v>
      </c>
      <c r="H593" s="1" t="str">
        <f>IFERROR(__xludf.DUMMYFUNCTION("""COMPUTED_VALUE"""),"Administración y Marketing")</f>
        <v>Administración y Marketing</v>
      </c>
      <c r="I593" s="1" t="str">
        <f>IFERROR(__xludf.DUMMYFUNCTION("""COMPUTED_VALUE"""),"CARGO")</f>
        <v>CARGO</v>
      </c>
      <c r="J593" s="1" t="str">
        <f>IFERROR(__xludf.DUMMYFUNCTION("""COMPUTED_VALUE"""),"Nocturno - A distancia")</f>
        <v>Nocturno - A distancia</v>
      </c>
      <c r="K593" s="1" t="str">
        <f>IFERROR(__xludf.DUMMYFUNCTION("""COMPUTED_VALUE"""),"NUEVO")</f>
        <v>NUEVO</v>
      </c>
      <c r="L593" s="1">
        <f>IFERROR(__xludf.DUMMYFUNCTION("""COMPUTED_VALUE"""),0.0)</f>
        <v>0</v>
      </c>
      <c r="M593" s="1">
        <f>IFERROR(__xludf.DUMMYFUNCTION("""COMPUTED_VALUE"""),0.0)</f>
        <v>0</v>
      </c>
      <c r="N593" s="1" t="str">
        <f>IFERROR(__xludf.DUMMYFUNCTION("""COMPUTED_VALUE"""),"RECA")</f>
        <v>RECA</v>
      </c>
      <c r="O593" s="1" t="str">
        <f>IFERROR(__xludf.DUMMYFUNCTION("""COMPUTED_VALUE"""),"RECATEGORIZACIÓN")</f>
        <v>RECATEGORIZACIÓN</v>
      </c>
      <c r="P593" s="4">
        <f>IFERROR(__xludf.DUMMYFUNCTION("""COMPUTED_VALUE"""),0.0)</f>
        <v>0</v>
      </c>
      <c r="Q593" s="4">
        <f>IFERROR(__xludf.DUMMYFUNCTION("""COMPUTED_VALUE"""),0.0)</f>
        <v>0</v>
      </c>
      <c r="R593" s="4">
        <f>IFERROR(__xludf.DUMMYFUNCTION("""COMPUTED_VALUE"""),750.0)</f>
        <v>750</v>
      </c>
      <c r="S593" s="4">
        <f>IFERROR(__xludf.DUMMYFUNCTION("""COMPUTED_VALUE"""),750.0)</f>
        <v>750</v>
      </c>
      <c r="T593" s="1" t="str">
        <f>IFERROR(__xludf.DUMMYFUNCTION("""COMPUTED_VALUE"""),"NINGUNO")</f>
        <v>NINGUNO</v>
      </c>
      <c r="U593" s="1" t="str">
        <f>IFERROR(__xludf.DUMMYFUNCTION("""COMPUTED_VALUE"""),"RODRIGO")</f>
        <v>RODRIGO</v>
      </c>
      <c r="V593" s="1" t="str">
        <f>IFERROR(__xludf.DUMMYFUNCTION("""COMPUTED_VALUE"""),"Ninguno")</f>
        <v>Ninguno</v>
      </c>
      <c r="W593" s="1" t="str">
        <f>IFERROR(__xludf.DUMMYFUNCTION("""COMPUTED_VALUE"""),"Metodología de enseñanza")</f>
        <v>Metodología de enseñanza</v>
      </c>
      <c r="X593" s="1" t="str">
        <f>IFERROR(__xludf.DUMMYFUNCTION("""COMPUTED_VALUE"""),"trabaja ")</f>
        <v>trabaja </v>
      </c>
      <c r="Y593" s="1" t="str">
        <f>IFERROR(__xludf.DUMMYFUNCTION("""COMPUTED_VALUE"""),"PAGO COMPLETO")</f>
        <v>PAGO COMPLETO</v>
      </c>
      <c r="Z593" s="1"/>
      <c r="AA593" s="1"/>
      <c r="AB593" s="1">
        <f>IFERROR(__xludf.DUMMYFUNCTION("""COMPUTED_VALUE"""),0.0)</f>
        <v>0</v>
      </c>
      <c r="AC593" s="1">
        <f>IFERROR(__xludf.DUMMYFUNCTION("""COMPUTED_VALUE"""),0.0)</f>
        <v>0</v>
      </c>
      <c r="AD593" s="1" t="str">
        <f>IFERROR(__xludf.DUMMYFUNCTION("""COMPUTED_VALUE"""),"Rosa Ugarte")</f>
        <v>Rosa Ugarte</v>
      </c>
      <c r="AE593" s="1" t="str">
        <f>IFERROR(__xludf.DUMMYFUNCTION("""COMPUTED_VALUE"""),"0")</f>
        <v>0</v>
      </c>
      <c r="AF593" s="1">
        <f>IFERROR(__xludf.DUMMYFUNCTION("""COMPUTED_VALUE"""),2020.0)</f>
        <v>2020</v>
      </c>
      <c r="AG593" s="1">
        <f>IFERROR(__xludf.DUMMYFUNCTION("""COMPUTED_VALUE"""),580803.0)</f>
        <v>580803</v>
      </c>
      <c r="AH593" s="1">
        <f>IFERROR(__xludf.DUMMYFUNCTION("""COMPUTED_VALUE"""),21.0)</f>
        <v>21</v>
      </c>
      <c r="AI593" s="1" t="str">
        <f>IFERROR(__xludf.DUMMYFUNCTION("""COMPUTED_VALUE"""),"0000419509")</f>
        <v>0000419509</v>
      </c>
      <c r="AJ593" s="1">
        <f>IFERROR(__xludf.DUMMYFUNCTION("""COMPUTED_VALUE"""),7.7229563E7)</f>
        <v>77229563</v>
      </c>
      <c r="AK593" s="1">
        <f>IFERROR(__xludf.DUMMYFUNCTION("""COMPUTED_VALUE"""),9.12071653E8)</f>
        <v>912071653</v>
      </c>
      <c r="AL593" s="1" t="str">
        <f>IFERROR(__xludf.DUMMYFUNCTION("""COMPUTED_VALUE"""),"rodrígueznicolas107@gmail.com")</f>
        <v>rodrígueznicolas107@gmail.com</v>
      </c>
      <c r="AM593" s="1" t="str">
        <f>IFERROR(__xludf.DUMMYFUNCTION("""COMPUTED_VALUE"""),"MASCULINO")</f>
        <v>MASCULINO</v>
      </c>
      <c r="AN593" s="1">
        <f>IFERROR(__xludf.DUMMYFUNCTION("""COMPUTED_VALUE"""),1350.0)</f>
        <v>1350</v>
      </c>
      <c r="AO593" s="1">
        <f>IFERROR(__xludf.DUMMYFUNCTION("""COMPUTED_VALUE"""),0.0)</f>
        <v>0</v>
      </c>
      <c r="AP593" s="1" t="str">
        <f>IFERROR(__xludf.DUMMYFUNCTION("""COMPUTED_VALUE"""),"OUTBOUND")</f>
        <v>OUTBOUND</v>
      </c>
      <c r="AQ593" s="1" t="str">
        <f>IFERROR(__xludf.DUMMYFUNCTION("""COMPUTED_VALUE"""),"OUTBOUND")</f>
        <v>OUTBOUND</v>
      </c>
      <c r="AR593" s="1" t="str">
        <f>IFERROR(__xludf.DUMMYFUNCTION("""COMPUTED_VALUE"""),"NUEVO")</f>
        <v>NUEVO</v>
      </c>
      <c r="AS593" s="1"/>
      <c r="AT593" s="2">
        <f>IFERROR(__xludf.DUMMYFUNCTION("""COMPUTED_VALUE"""),45730.0)</f>
        <v>45730</v>
      </c>
      <c r="AU593" s="1">
        <f>IFERROR(__xludf.DUMMYFUNCTION("""COMPUTED_VALUE"""),1.0)</f>
        <v>1</v>
      </c>
      <c r="AV593" s="1" t="str">
        <f>IFERROR(__xludf.DUMMYFUNCTION("""COMPUTED_VALUE"""),"NUEVO")</f>
        <v>NUEVO</v>
      </c>
      <c r="AW593" s="1" t="str">
        <f>IFERROR(__xludf.DUMMYFUNCTION("""COMPUTED_VALUE"""),"SI")</f>
        <v>SI</v>
      </c>
      <c r="AX593" s="1"/>
      <c r="AY593" s="1" t="str">
        <f>IFERROR(__xludf.DUMMYFUNCTION("""COMPUTED_VALUE"""),"PAGO COMPLETO")</f>
        <v>PAGO COMPLETO</v>
      </c>
      <c r="AZ593" s="5">
        <f>IFERROR(__xludf.DUMMYFUNCTION("""COMPUTED_VALUE"""),45730.0)</f>
        <v>45730</v>
      </c>
      <c r="BA593" s="1">
        <f>IFERROR(__xludf.DUMMYFUNCTION("""COMPUTED_VALUE"""),0.0)</f>
        <v>0</v>
      </c>
      <c r="BB593" s="1">
        <f>IFERROR(__xludf.DUMMYFUNCTION("""COMPUTED_VALUE"""),0.0)</f>
        <v>0</v>
      </c>
      <c r="BC593" s="4">
        <f>IFERROR(__xludf.DUMMYFUNCTION("""COMPUTED_VALUE"""),0.0)</f>
        <v>0</v>
      </c>
      <c r="BD593" s="4">
        <f>IFERROR(__xludf.DUMMYFUNCTION("""COMPUTED_VALUE"""),0.0)</f>
        <v>0</v>
      </c>
      <c r="BE593" s="1">
        <f>IFERROR(__xludf.DUMMYFUNCTION("""COMPUTED_VALUE"""),3.0)</f>
        <v>3</v>
      </c>
      <c r="BF593" s="6">
        <f>IFERROR(__xludf.DUMMYFUNCTION("""COMPUTED_VALUE"""),1.0)</f>
        <v>1</v>
      </c>
      <c r="BG593" s="1">
        <f>IFERROR(__xludf.DUMMYFUNCTION("""COMPUTED_VALUE"""),1.0)</f>
        <v>1</v>
      </c>
      <c r="BH593" s="1" t="str">
        <f>IFERROR(__xludf.DUMMYFUNCTION("""COMPUTED_VALUE"""),"0")</f>
        <v>0</v>
      </c>
      <c r="BI593" s="4">
        <f>IFERROR(__xludf.DUMMYFUNCTION("""COMPUTED_VALUE"""),0.0)</f>
        <v>0</v>
      </c>
      <c r="BJ593" s="1">
        <f>IFERROR(__xludf.DUMMYFUNCTION("""COMPUTED_VALUE"""),0.0)</f>
        <v>0</v>
      </c>
      <c r="BK593" s="4">
        <f>IFERROR(__xludf.DUMMYFUNCTION("""COMPUTED_VALUE"""),0.0)</f>
        <v>0</v>
      </c>
      <c r="BL593" s="1">
        <f>IFERROR(__xludf.DUMMYFUNCTION("""COMPUTED_VALUE"""),750.0)</f>
        <v>750</v>
      </c>
      <c r="BM593" s="1">
        <f>IFERROR(__xludf.DUMMYFUNCTION("""COMPUTED_VALUE"""),11.0)</f>
        <v>11</v>
      </c>
      <c r="BN593" s="2">
        <f>IFERROR(__xludf.DUMMYFUNCTION("""COMPUTED_VALUE"""),45726.0)</f>
        <v>45726</v>
      </c>
      <c r="BO593" s="1">
        <f>IFERROR(__xludf.DUMMYFUNCTION("""COMPUTED_VALUE"""),3.0)</f>
        <v>3</v>
      </c>
      <c r="BP593" s="1">
        <f>IFERROR(__xludf.DUMMYFUNCTION("""COMPUTED_VALUE"""),2025.0)</f>
        <v>2025</v>
      </c>
    </row>
    <row r="594">
      <c r="A594" s="1">
        <f>IFERROR(__xludf.DUMMYFUNCTION("""COMPUTED_VALUE"""),593.0)</f>
        <v>593</v>
      </c>
      <c r="B594" s="1">
        <f>IFERROR(__xludf.DUMMYFUNCTION("""COMPUTED_VALUE"""),5078507.0)</f>
        <v>5078507</v>
      </c>
      <c r="C594" s="1" t="str">
        <f>IFERROR(__xludf.DUMMYFUNCTION("""COMPUTED_VALUE"""),"2025-1")</f>
        <v>2025-1</v>
      </c>
      <c r="D594" s="1" t="str">
        <f>IFERROR(__xludf.DUMMYFUNCTION("""COMPUTED_VALUE"""),"Admisión de Alto Rendimiento")</f>
        <v>Admisión de Alto Rendimiento</v>
      </c>
      <c r="E594" s="2">
        <f>IFERROR(__xludf.DUMMYFUNCTION("""COMPUTED_VALUE"""),45733.0)</f>
        <v>45733</v>
      </c>
      <c r="F594" s="1" t="str">
        <f>IFERROR(__xludf.DUMMYFUNCTION("""COMPUTED_VALUE"""),"ANGELINA LEYLA ")</f>
        <v>ANGELINA LEYLA </v>
      </c>
      <c r="G594" s="1" t="str">
        <f>IFERROR(__xludf.DUMMYFUNCTION("""COMPUTED_VALUE"""),"AGUADO AIRE")</f>
        <v>AGUADO AIRE</v>
      </c>
      <c r="H594" s="1" t="str">
        <f>IFERROR(__xludf.DUMMYFUNCTION("""COMPUTED_VALUE"""),"Comunicación Audiovisual y Cine")</f>
        <v>Comunicación Audiovisual y Cine</v>
      </c>
      <c r="I594" s="1" t="str">
        <f>IFERROR(__xludf.DUMMYFUNCTION("""COMPUTED_VALUE"""),"CARGO")</f>
        <v>CARGO</v>
      </c>
      <c r="J594" s="1" t="str">
        <f>IFERROR(__xludf.DUMMYFUNCTION("""COMPUTED_VALUE"""),"Diurno")</f>
        <v>Diurno</v>
      </c>
      <c r="K594" s="1" t="str">
        <f>IFERROR(__xludf.DUMMYFUNCTION("""COMPUTED_VALUE"""),"NUEVO")</f>
        <v>NUEVO</v>
      </c>
      <c r="L594" s="1">
        <f>IFERROR(__xludf.DUMMYFUNCTION("""COMPUTED_VALUE"""),0.0)</f>
        <v>0</v>
      </c>
      <c r="M594" s="1">
        <f>IFERROR(__xludf.DUMMYFUNCTION("""COMPUTED_VALUE"""),0.0)</f>
        <v>0</v>
      </c>
      <c r="N594" s="1" t="str">
        <f>IFERROR(__xludf.DUMMYFUNCTION("""COMPUTED_VALUE"""),"RECA")</f>
        <v>RECA</v>
      </c>
      <c r="O594" s="1" t="str">
        <f>IFERROR(__xludf.DUMMYFUNCTION("""COMPUTED_VALUE"""),"RECATEGORIZACIÓN")</f>
        <v>RECATEGORIZACIÓN</v>
      </c>
      <c r="P594" s="4">
        <f>IFERROR(__xludf.DUMMYFUNCTION("""COMPUTED_VALUE"""),100.0)</f>
        <v>100</v>
      </c>
      <c r="Q594" s="4">
        <f>IFERROR(__xludf.DUMMYFUNCTION("""COMPUTED_VALUE"""),237.5)</f>
        <v>237.5</v>
      </c>
      <c r="R594" s="4">
        <f>IFERROR(__xludf.DUMMYFUNCTION("""COMPUTED_VALUE"""),1500.0)</f>
        <v>1500</v>
      </c>
      <c r="S594" s="4">
        <f>IFERROR(__xludf.DUMMYFUNCTION("""COMPUTED_VALUE"""),1350.0)</f>
        <v>1350</v>
      </c>
      <c r="T594" s="1" t="str">
        <f>IFERROR(__xludf.DUMMYFUNCTION("""COMPUTED_VALUE"""),"PALANCA 500")</f>
        <v>PALANCA 500</v>
      </c>
      <c r="U594" s="1" t="str">
        <f>IFERROR(__xludf.DUMMYFUNCTION("""COMPUTED_VALUE"""),"FABIOLA")</f>
        <v>FABIOLA</v>
      </c>
      <c r="V594" s="1" t="str">
        <f>IFERROR(__xludf.DUMMYFUNCTION("""COMPUTED_VALUE"""),"Fiorella Lanegra")</f>
        <v>Fiorella Lanegra</v>
      </c>
      <c r="W594" s="1" t="str">
        <f>IFERROR(__xludf.DUMMYFUNCTION("""COMPUTED_VALUE"""),"Metodología de enseñanza")</f>
        <v>Metodología de enseñanza</v>
      </c>
      <c r="X594" s="1" t="str">
        <f>IFERROR(__xludf.DUMMYFUNCTION("""COMPUTED_VALUE"""),"1er pago 500 ")</f>
        <v>1er pago 500 </v>
      </c>
      <c r="Y594" s="1" t="str">
        <f>IFERROR(__xludf.DUMMYFUNCTION("""COMPUTED_VALUE"""),"PAGO FRACCIONADO")</f>
        <v>PAGO FRACCIONADO</v>
      </c>
      <c r="Z594" s="1">
        <f>IFERROR(__xludf.DUMMYFUNCTION("""COMPUTED_VALUE"""),100.0)</f>
        <v>100</v>
      </c>
      <c r="AA594" s="1" t="str">
        <f>IFERROR(__xludf.DUMMYFUNCTION("""COMPUTED_VALUE"""),"17/03/2025")</f>
        <v>17/03/2025</v>
      </c>
      <c r="AB594" s="1">
        <f>IFERROR(__xludf.DUMMYFUNCTION("""COMPUTED_VALUE"""),0.0)</f>
        <v>0</v>
      </c>
      <c r="AC594" s="1">
        <f>IFERROR(__xludf.DUMMYFUNCTION("""COMPUTED_VALUE"""),0.0)</f>
        <v>0</v>
      </c>
      <c r="AD594" s="1" t="str">
        <f>IFERROR(__xludf.DUMMYFUNCTION("""COMPUTED_VALUE"""),"Fiorella Lanegra")</f>
        <v>Fiorella Lanegra</v>
      </c>
      <c r="AE594" s="1" t="str">
        <f>IFERROR(__xludf.DUMMYFUNCTION("""COMPUTED_VALUE"""),"0")</f>
        <v>0</v>
      </c>
      <c r="AF594" s="1">
        <f>IFERROR(__xludf.DUMMYFUNCTION("""COMPUTED_VALUE"""),2024.0)</f>
        <v>2024</v>
      </c>
      <c r="AG594" s="1">
        <f>IFERROR(__xludf.DUMMYFUNCTION("""COMPUTED_VALUE"""),919621.0)</f>
        <v>919621</v>
      </c>
      <c r="AH594" s="1">
        <f>IFERROR(__xludf.DUMMYFUNCTION("""COMPUTED_VALUE"""),18.0)</f>
        <v>18</v>
      </c>
      <c r="AI594" s="1" t="str">
        <f>IFERROR(__xludf.DUMMYFUNCTION("""COMPUTED_VALUE"""),"0000419753")</f>
        <v>0000419753</v>
      </c>
      <c r="AJ594" s="1">
        <f>IFERROR(__xludf.DUMMYFUNCTION("""COMPUTED_VALUE"""),6.1061254E7)</f>
        <v>61061254</v>
      </c>
      <c r="AK594" s="1">
        <f>IFERROR(__xludf.DUMMYFUNCTION("""COMPUTED_VALUE"""),9.54788122E8)</f>
        <v>954788122</v>
      </c>
      <c r="AL594" s="1" t="str">
        <f>IFERROR(__xludf.DUMMYFUNCTION("""COMPUTED_VALUE"""),"tseliannn@gmail.com")</f>
        <v>tseliannn@gmail.com</v>
      </c>
      <c r="AM594" s="1" t="str">
        <f>IFERROR(__xludf.DUMMYFUNCTION("""COMPUTED_VALUE"""),"FEMENINO")</f>
        <v>FEMENINO</v>
      </c>
      <c r="AN594" s="1">
        <f>IFERROR(__xludf.DUMMYFUNCTION("""COMPUTED_VALUE"""),1850.0)</f>
        <v>1850</v>
      </c>
      <c r="AO594" s="1">
        <f>IFERROR(__xludf.DUMMYFUNCTION("""COMPUTED_VALUE"""),600.0)</f>
        <v>600</v>
      </c>
      <c r="AP594" s="1" t="str">
        <f>IFERROR(__xludf.DUMMYFUNCTION("""COMPUTED_VALUE"""),"FORMULARIO")</f>
        <v>FORMULARIO</v>
      </c>
      <c r="AQ594" s="1" t="str">
        <f>IFERROR(__xludf.DUMMYFUNCTION("""COMPUTED_VALUE"""),"ORGANICO")</f>
        <v>ORGANICO</v>
      </c>
      <c r="AR594" s="1" t="str">
        <f>IFERROR(__xludf.DUMMYFUNCTION("""COMPUTED_VALUE"""),"NUEVO")</f>
        <v>NUEVO</v>
      </c>
      <c r="AS594" s="1"/>
      <c r="AT594" s="2">
        <f>IFERROR(__xludf.DUMMYFUNCTION("""COMPUTED_VALUE"""),45729.0)</f>
        <v>45729</v>
      </c>
      <c r="AU594" s="1">
        <f>IFERROR(__xludf.DUMMYFUNCTION("""COMPUTED_VALUE"""),1.0)</f>
        <v>1</v>
      </c>
      <c r="AV594" s="1" t="str">
        <f>IFERROR(__xludf.DUMMYFUNCTION("""COMPUTED_VALUE"""),"NUEVO")</f>
        <v>NUEVO</v>
      </c>
      <c r="AW594" s="1" t="str">
        <f>IFERROR(__xludf.DUMMYFUNCTION("""COMPUTED_VALUE"""),"SI")</f>
        <v>SI</v>
      </c>
      <c r="AX594" s="1"/>
      <c r="AY594" s="1" t="str">
        <f>IFERROR(__xludf.DUMMYFUNCTION("""COMPUTED_VALUE"""),"PAGO COMPLETO")</f>
        <v>PAGO COMPLETO</v>
      </c>
      <c r="AZ594" s="5">
        <f>IFERROR(__xludf.DUMMYFUNCTION("""COMPUTED_VALUE"""),45733.0)</f>
        <v>45733</v>
      </c>
      <c r="BA594" s="1">
        <f>IFERROR(__xludf.DUMMYFUNCTION("""COMPUTED_VALUE"""),737.5)</f>
        <v>737.5</v>
      </c>
      <c r="BB594" s="1">
        <f>IFERROR(__xludf.DUMMYFUNCTION("""COMPUTED_VALUE"""),0.0)</f>
        <v>0</v>
      </c>
      <c r="BC594" s="4">
        <f>IFERROR(__xludf.DUMMYFUNCTION("""COMPUTED_VALUE"""),0.0)</f>
        <v>0</v>
      </c>
      <c r="BD594" s="4">
        <f>IFERROR(__xludf.DUMMYFUNCTION("""COMPUTED_VALUE"""),850.0)</f>
        <v>850</v>
      </c>
      <c r="BE594" s="1">
        <f>IFERROR(__xludf.DUMMYFUNCTION("""COMPUTED_VALUE"""),3.0)</f>
        <v>3</v>
      </c>
      <c r="BF594" s="6">
        <f>IFERROR(__xludf.DUMMYFUNCTION("""COMPUTED_VALUE"""),1.0)</f>
        <v>1</v>
      </c>
      <c r="BG594" s="1">
        <f>IFERROR(__xludf.DUMMYFUNCTION("""COMPUTED_VALUE"""),0.0)</f>
        <v>0</v>
      </c>
      <c r="BH594" s="1" t="str">
        <f>IFERROR(__xludf.DUMMYFUNCTION("""COMPUTED_VALUE"""),"0")</f>
        <v>0</v>
      </c>
      <c r="BI594" s="4">
        <f>IFERROR(__xludf.DUMMYFUNCTION("""COMPUTED_VALUE"""),1687.5)</f>
        <v>1687.5</v>
      </c>
      <c r="BJ594" s="1">
        <f>IFERROR(__xludf.DUMMYFUNCTION("""COMPUTED_VALUE"""),0.0)</f>
        <v>0</v>
      </c>
      <c r="BK594" s="4">
        <f>IFERROR(__xludf.DUMMYFUNCTION("""COMPUTED_VALUE"""),850.0)</f>
        <v>850</v>
      </c>
      <c r="BL594" s="1">
        <f>IFERROR(__xludf.DUMMYFUNCTION("""COMPUTED_VALUE"""),1180.0)</f>
        <v>1180</v>
      </c>
      <c r="BM594" s="1">
        <f>IFERROR(__xludf.DUMMYFUNCTION("""COMPUTED_VALUE"""),12.0)</f>
        <v>12</v>
      </c>
      <c r="BN594" s="2">
        <f>IFERROR(__xludf.DUMMYFUNCTION("""COMPUTED_VALUE"""),45733.0)</f>
        <v>45733</v>
      </c>
      <c r="BO594" s="1">
        <f>IFERROR(__xludf.DUMMYFUNCTION("""COMPUTED_VALUE"""),3.0)</f>
        <v>3</v>
      </c>
      <c r="BP594" s="1">
        <f>IFERROR(__xludf.DUMMYFUNCTION("""COMPUTED_VALUE"""),2025.0)</f>
        <v>2025</v>
      </c>
    </row>
    <row r="595">
      <c r="A595" s="1">
        <f>IFERROR(__xludf.DUMMYFUNCTION("""COMPUTED_VALUE"""),594.0)</f>
        <v>594</v>
      </c>
      <c r="B595" s="1">
        <f>IFERROR(__xludf.DUMMYFUNCTION("""COMPUTED_VALUE"""),5086896.0)</f>
        <v>5086896</v>
      </c>
      <c r="C595" s="1" t="str">
        <f>IFERROR(__xludf.DUMMYFUNCTION("""COMPUTED_VALUE"""),"2025-1")</f>
        <v>2025-1</v>
      </c>
      <c r="D595" s="1" t="str">
        <f>IFERROR(__xludf.DUMMYFUNCTION("""COMPUTED_VALUE"""),"Admisión de Alto Rendimiento")</f>
        <v>Admisión de Alto Rendimiento</v>
      </c>
      <c r="E595" s="2">
        <f>IFERROR(__xludf.DUMMYFUNCTION("""COMPUTED_VALUE"""),45734.0)</f>
        <v>45734</v>
      </c>
      <c r="F595" s="1" t="str">
        <f>IFERROR(__xludf.DUMMYFUNCTION("""COMPUTED_VALUE"""),"DHAFNE ABIGAIL")</f>
        <v>DHAFNE ABIGAIL</v>
      </c>
      <c r="G595" s="1" t="str">
        <f>IFERROR(__xludf.DUMMYFUNCTION("""COMPUTED_VALUE"""),"MACHUCA HURTADO")</f>
        <v>MACHUCA HURTADO</v>
      </c>
      <c r="H595" s="1" t="str">
        <f>IFERROR(__xludf.DUMMYFUNCTION("""COMPUTED_VALUE"""),"Comunicación Audiovisual y Cine")</f>
        <v>Comunicación Audiovisual y Cine</v>
      </c>
      <c r="I595" s="1" t="str">
        <f>IFERROR(__xludf.DUMMYFUNCTION("""COMPUTED_VALUE"""),"POS")</f>
        <v>POS</v>
      </c>
      <c r="J595" s="1" t="str">
        <f>IFERROR(__xludf.DUMMYFUNCTION("""COMPUTED_VALUE"""),"Diurno")</f>
        <v>Diurno</v>
      </c>
      <c r="K595" s="1" t="str">
        <f>IFERROR(__xludf.DUMMYFUNCTION("""COMPUTED_VALUE"""),"NUEVO")</f>
        <v>NUEVO</v>
      </c>
      <c r="L595" s="1">
        <f>IFERROR(__xludf.DUMMYFUNCTION("""COMPUTED_VALUE"""),0.0)</f>
        <v>0</v>
      </c>
      <c r="M595" s="1">
        <f>IFERROR(__xludf.DUMMYFUNCTION("""COMPUTED_VALUE"""),0.0)</f>
        <v>0</v>
      </c>
      <c r="N595" s="1" t="str">
        <f>IFERROR(__xludf.DUMMYFUNCTION("""COMPUTED_VALUE"""),"BECA")</f>
        <v>BECA</v>
      </c>
      <c r="O595" s="1" t="str">
        <f>IFERROR(__xludf.DUMMYFUNCTION("""COMPUTED_VALUE"""),"BECA CARRERAS CORE")</f>
        <v>BECA CARRERAS CORE</v>
      </c>
      <c r="P595" s="4">
        <f>IFERROR(__xludf.DUMMYFUNCTION("""COMPUTED_VALUE"""),100.0)</f>
        <v>100</v>
      </c>
      <c r="Q595" s="4">
        <f>IFERROR(__xludf.DUMMYFUNCTION("""COMPUTED_VALUE"""),237.5)</f>
        <v>237.5</v>
      </c>
      <c r="R595" s="4">
        <f>IFERROR(__xludf.DUMMYFUNCTION("""COMPUTED_VALUE"""),1350.0)</f>
        <v>1350</v>
      </c>
      <c r="S595" s="4">
        <f>IFERROR(__xludf.DUMMYFUNCTION("""COMPUTED_VALUE"""),1150.0)</f>
        <v>1150</v>
      </c>
      <c r="T595" s="1" t="str">
        <f>IFERROR(__xludf.DUMMYFUNCTION("""COMPUTED_VALUE"""),"PALANCA 500")</f>
        <v>PALANCA 500</v>
      </c>
      <c r="U595" s="1" t="str">
        <f>IFERROR(__xludf.DUMMYFUNCTION("""COMPUTED_VALUE"""),"FABIOLA")</f>
        <v>FABIOLA</v>
      </c>
      <c r="V595" s="1" t="str">
        <f>IFERROR(__xludf.DUMMYFUNCTION("""COMPUTED_VALUE"""),"Ninguno")</f>
        <v>Ninguno</v>
      </c>
      <c r="W595" s="1" t="str">
        <f>IFERROR(__xludf.DUMMYFUNCTION("""COMPUTED_VALUE"""),"Metodología de enseñanza")</f>
        <v>Metodología de enseñanza</v>
      </c>
      <c r="X595" s="1"/>
      <c r="Y595" s="1" t="str">
        <f>IFERROR(__xludf.DUMMYFUNCTION("""COMPUTED_VALUE"""),"PAGO COMPLETO")</f>
        <v>PAGO COMPLETO</v>
      </c>
      <c r="Z595" s="1"/>
      <c r="AA595" s="1"/>
      <c r="AB595" s="1">
        <f>IFERROR(__xludf.DUMMYFUNCTION("""COMPUTED_VALUE"""),0.0)</f>
        <v>0</v>
      </c>
      <c r="AC595" s="1">
        <f>IFERROR(__xludf.DUMMYFUNCTION("""COMPUTED_VALUE"""),0.0)</f>
        <v>0</v>
      </c>
      <c r="AD595" s="1" t="str">
        <f>IFERROR(__xludf.DUMMYFUNCTION("""COMPUTED_VALUE"""),"Angelica Iparraguirre")</f>
        <v>Angelica Iparraguirre</v>
      </c>
      <c r="AE595" s="1" t="str">
        <f>IFERROR(__xludf.DUMMYFUNCTION("""COMPUTED_VALUE"""),"0")</f>
        <v>0</v>
      </c>
      <c r="AF595" s="1">
        <f>IFERROR(__xludf.DUMMYFUNCTION("""COMPUTED_VALUE"""),2024.0)</f>
        <v>2024</v>
      </c>
      <c r="AG595" s="1">
        <f>IFERROR(__xludf.DUMMYFUNCTION("""COMPUTED_VALUE"""),1046184.0)</f>
        <v>1046184</v>
      </c>
      <c r="AH595" s="1">
        <f>IFERROR(__xludf.DUMMYFUNCTION("""COMPUTED_VALUE"""),17.0)</f>
        <v>17</v>
      </c>
      <c r="AI595" s="1" t="str">
        <f>IFERROR(__xludf.DUMMYFUNCTION("""COMPUTED_VALUE"""),"0000420075")</f>
        <v>0000420075</v>
      </c>
      <c r="AJ595" s="1">
        <f>IFERROR(__xludf.DUMMYFUNCTION("""COMPUTED_VALUE"""),7.1354184E7)</f>
        <v>71354184</v>
      </c>
      <c r="AK595" s="1">
        <f>IFERROR(__xludf.DUMMYFUNCTION("""COMPUTED_VALUE"""),9.29385009E8)</f>
        <v>929385009</v>
      </c>
      <c r="AL595" s="1" t="str">
        <f>IFERROR(__xludf.DUMMYFUNCTION("""COMPUTED_VALUE"""),"samsamsamu4567@gmail.com")</f>
        <v>samsamsamu4567@gmail.com</v>
      </c>
      <c r="AM595" s="1" t="str">
        <f>IFERROR(__xludf.DUMMYFUNCTION("""COMPUTED_VALUE"""),"FEMENINO")</f>
        <v>FEMENINO</v>
      </c>
      <c r="AN595" s="1">
        <f>IFERROR(__xludf.DUMMYFUNCTION("""COMPUTED_VALUE"""),1775.0)</f>
        <v>1775</v>
      </c>
      <c r="AO595" s="1">
        <f>IFERROR(__xludf.DUMMYFUNCTION("""COMPUTED_VALUE"""),390.0)</f>
        <v>390</v>
      </c>
      <c r="AP595" s="1" t="str">
        <f>IFERROR(__xludf.DUMMYFUNCTION("""COMPUTED_VALUE"""),"BIDIRECCIONAL")</f>
        <v>BIDIRECCIONAL</v>
      </c>
      <c r="AQ595" s="1" t="str">
        <f>IFERROR(__xludf.DUMMYFUNCTION("""COMPUTED_VALUE"""),"ORGANICO")</f>
        <v>ORGANICO</v>
      </c>
      <c r="AR595" s="1" t="str">
        <f>IFERROR(__xludf.DUMMYFUNCTION("""COMPUTED_VALUE"""),"NUEVO")</f>
        <v>NUEVO</v>
      </c>
      <c r="AS595" s="1"/>
      <c r="AT595" s="2">
        <f>IFERROR(__xludf.DUMMYFUNCTION("""COMPUTED_VALUE"""),45733.0)</f>
        <v>45733</v>
      </c>
      <c r="AU595" s="1">
        <f>IFERROR(__xludf.DUMMYFUNCTION("""COMPUTED_VALUE"""),1.0)</f>
        <v>1</v>
      </c>
      <c r="AV595" s="1" t="str">
        <f>IFERROR(__xludf.DUMMYFUNCTION("""COMPUTED_VALUE"""),"NUEVO")</f>
        <v>NUEVO</v>
      </c>
      <c r="AW595" s="1" t="str">
        <f>IFERROR(__xludf.DUMMYFUNCTION("""COMPUTED_VALUE"""),"SI")</f>
        <v>SI</v>
      </c>
      <c r="AX595" s="1"/>
      <c r="AY595" s="1" t="str">
        <f>IFERROR(__xludf.DUMMYFUNCTION("""COMPUTED_VALUE"""),"PAGO COMPLETO")</f>
        <v>PAGO COMPLETO</v>
      </c>
      <c r="AZ595" s="5">
        <f>IFERROR(__xludf.DUMMYFUNCTION("""COMPUTED_VALUE"""),45734.0)</f>
        <v>45734</v>
      </c>
      <c r="BA595" s="1">
        <f>IFERROR(__xludf.DUMMYFUNCTION("""COMPUTED_VALUE"""),0.0)</f>
        <v>0</v>
      </c>
      <c r="BB595" s="1">
        <f>IFERROR(__xludf.DUMMYFUNCTION("""COMPUTED_VALUE"""),0.0)</f>
        <v>0</v>
      </c>
      <c r="BC595" s="4">
        <f>IFERROR(__xludf.DUMMYFUNCTION("""COMPUTED_VALUE"""),0.0)</f>
        <v>0</v>
      </c>
      <c r="BD595" s="4">
        <f>IFERROR(__xludf.DUMMYFUNCTION("""COMPUTED_VALUE"""),650.0)</f>
        <v>650</v>
      </c>
      <c r="BE595" s="1">
        <f>IFERROR(__xludf.DUMMYFUNCTION("""COMPUTED_VALUE"""),3.0)</f>
        <v>3</v>
      </c>
      <c r="BF595" s="6">
        <f>IFERROR(__xludf.DUMMYFUNCTION("""COMPUTED_VALUE"""),1.0)</f>
        <v>1</v>
      </c>
      <c r="BG595" s="1">
        <f>IFERROR(__xludf.DUMMYFUNCTION("""COMPUTED_VALUE"""),1.0)</f>
        <v>1</v>
      </c>
      <c r="BH595" s="1" t="str">
        <f>IFERROR(__xludf.DUMMYFUNCTION("""COMPUTED_VALUE"""),"0")</f>
        <v>0</v>
      </c>
      <c r="BI595" s="4">
        <f>IFERROR(__xludf.DUMMYFUNCTION("""COMPUTED_VALUE"""),650.0)</f>
        <v>650</v>
      </c>
      <c r="BJ595" s="1">
        <f>IFERROR(__xludf.DUMMYFUNCTION("""COMPUTED_VALUE"""),0.0)</f>
        <v>0</v>
      </c>
      <c r="BK595" s="4">
        <f>IFERROR(__xludf.DUMMYFUNCTION("""COMPUTED_VALUE"""),650.0)</f>
        <v>650</v>
      </c>
      <c r="BL595" s="1">
        <f>IFERROR(__xludf.DUMMYFUNCTION("""COMPUTED_VALUE"""),1020.0)</f>
        <v>1020</v>
      </c>
      <c r="BM595" s="1">
        <f>IFERROR(__xludf.DUMMYFUNCTION("""COMPUTED_VALUE"""),12.0)</f>
        <v>12</v>
      </c>
      <c r="BN595" s="2">
        <f>IFERROR(__xludf.DUMMYFUNCTION("""COMPUTED_VALUE"""),45733.0)</f>
        <v>45733</v>
      </c>
      <c r="BO595" s="1">
        <f>IFERROR(__xludf.DUMMYFUNCTION("""COMPUTED_VALUE"""),3.0)</f>
        <v>3</v>
      </c>
      <c r="BP595" s="1">
        <f>IFERROR(__xludf.DUMMYFUNCTION("""COMPUTED_VALUE"""),2025.0)</f>
        <v>2025</v>
      </c>
    </row>
    <row r="596">
      <c r="A596" s="1">
        <f>IFERROR(__xludf.DUMMYFUNCTION("""COMPUTED_VALUE"""),595.0)</f>
        <v>595</v>
      </c>
      <c r="B596" s="1">
        <f>IFERROR(__xludf.DUMMYFUNCTION("""COMPUTED_VALUE"""),5088729.0)</f>
        <v>5088729</v>
      </c>
      <c r="C596" s="1" t="str">
        <f>IFERROR(__xludf.DUMMYFUNCTION("""COMPUTED_VALUE"""),"2025-1")</f>
        <v>2025-1</v>
      </c>
      <c r="D596" s="1" t="str">
        <f>IFERROR(__xludf.DUMMYFUNCTION("""COMPUTED_VALUE"""),"Admisión Ordinaria")</f>
        <v>Admisión Ordinaria</v>
      </c>
      <c r="E596" s="2">
        <f>IFERROR(__xludf.DUMMYFUNCTION("""COMPUTED_VALUE"""),45734.0)</f>
        <v>45734</v>
      </c>
      <c r="F596" s="1" t="str">
        <f>IFERROR(__xludf.DUMMYFUNCTION("""COMPUTED_VALUE"""),"MAYRA ALEJANDRA")</f>
        <v>MAYRA ALEJANDRA</v>
      </c>
      <c r="G596" s="1" t="str">
        <f>IFERROR(__xludf.DUMMYFUNCTION("""COMPUTED_VALUE"""),"SARMIENTO CHUMPITAZ")</f>
        <v>SARMIENTO CHUMPITAZ</v>
      </c>
      <c r="H596" s="1" t="str">
        <f>IFERROR(__xludf.DUMMYFUNCTION("""COMPUTED_VALUE"""),"Arquitectura")</f>
        <v>Arquitectura</v>
      </c>
      <c r="I596" s="1" t="str">
        <f>IFERROR(__xludf.DUMMYFUNCTION("""COMPUTED_VALUE"""),"CARGO")</f>
        <v>CARGO</v>
      </c>
      <c r="J596" s="1" t="str">
        <f>IFERROR(__xludf.DUMMYFUNCTION("""COMPUTED_VALUE"""),"Diurno")</f>
        <v>Diurno</v>
      </c>
      <c r="K596" s="1" t="str">
        <f>IFERROR(__xludf.DUMMYFUNCTION("""COMPUTED_VALUE"""),"NUEVO")</f>
        <v>NUEVO</v>
      </c>
      <c r="L596" s="1">
        <f>IFERROR(__xludf.DUMMYFUNCTION("""COMPUTED_VALUE"""),0.0)</f>
        <v>0</v>
      </c>
      <c r="M596" s="1">
        <f>IFERROR(__xludf.DUMMYFUNCTION("""COMPUTED_VALUE"""),0.0)</f>
        <v>0</v>
      </c>
      <c r="N596" s="1" t="str">
        <f>IFERROR(__xludf.DUMMYFUNCTION("""COMPUTED_VALUE"""),"RECA")</f>
        <v>RECA</v>
      </c>
      <c r="O596" s="1" t="str">
        <f>IFERROR(__xludf.DUMMYFUNCTION("""COMPUTED_VALUE"""),"RECATEGORIZACIÓN")</f>
        <v>RECATEGORIZACIÓN</v>
      </c>
      <c r="P596" s="4">
        <f>IFERROR(__xludf.DUMMYFUNCTION("""COMPUTED_VALUE"""),125.0)</f>
        <v>125</v>
      </c>
      <c r="Q596" s="4">
        <f>IFERROR(__xludf.DUMMYFUNCTION("""COMPUTED_VALUE"""),237.5)</f>
        <v>237.5</v>
      </c>
      <c r="R596" s="4">
        <f>IFERROR(__xludf.DUMMYFUNCTION("""COMPUTED_VALUE"""),1500.0)</f>
        <v>1500</v>
      </c>
      <c r="S596" s="4">
        <f>IFERROR(__xludf.DUMMYFUNCTION("""COMPUTED_VALUE"""),1350.0)</f>
        <v>1350</v>
      </c>
      <c r="T596" s="1" t="str">
        <f>IFERROR(__xludf.DUMMYFUNCTION("""COMPUTED_VALUE"""),"PALANCA 500")</f>
        <v>PALANCA 500</v>
      </c>
      <c r="U596" s="1" t="str">
        <f>IFERROR(__xludf.DUMMYFUNCTION("""COMPUTED_VALUE"""),"RODRIGO")</f>
        <v>RODRIGO</v>
      </c>
      <c r="V596" s="1" t="str">
        <f>IFERROR(__xludf.DUMMYFUNCTION("""COMPUTED_VALUE"""),"Ninguno")</f>
        <v>Ninguno</v>
      </c>
      <c r="W596" s="1" t="str">
        <f>IFERROR(__xludf.DUMMYFUNCTION("""COMPUTED_VALUE"""),"Malla curricular")</f>
        <v>Malla curricular</v>
      </c>
      <c r="X596" s="1"/>
      <c r="Y596" s="1" t="str">
        <f>IFERROR(__xludf.DUMMYFUNCTION("""COMPUTED_VALUE"""),"PAGO COMPLETO")</f>
        <v>PAGO COMPLETO</v>
      </c>
      <c r="Z596" s="1"/>
      <c r="AA596" s="1"/>
      <c r="AB596" s="1">
        <f>IFERROR(__xludf.DUMMYFUNCTION("""COMPUTED_VALUE"""),1.0)</f>
        <v>1</v>
      </c>
      <c r="AC596" s="1">
        <f>IFERROR(__xludf.DUMMYFUNCTION("""COMPUTED_VALUE"""),1.0)</f>
        <v>1</v>
      </c>
      <c r="AD596" s="1" t="str">
        <f>IFERROR(__xludf.DUMMYFUNCTION("""COMPUTED_VALUE"""),"Angelica Iparraguirre")</f>
        <v>Angelica Iparraguirre</v>
      </c>
      <c r="AE596" s="1" t="str">
        <f>IFERROR(__xludf.DUMMYFUNCTION("""COMPUTED_VALUE"""),"0")</f>
        <v>0</v>
      </c>
      <c r="AF596" s="1">
        <f>IFERROR(__xludf.DUMMYFUNCTION("""COMPUTED_VALUE"""),2012.0)</f>
        <v>2012</v>
      </c>
      <c r="AG596" s="1">
        <f>IFERROR(__xludf.DUMMYFUNCTION("""COMPUTED_VALUE"""),871061.0)</f>
        <v>871061</v>
      </c>
      <c r="AH596" s="1">
        <f>IFERROR(__xludf.DUMMYFUNCTION("""COMPUTED_VALUE"""),30.0)</f>
        <v>30</v>
      </c>
      <c r="AI596" s="1" t="str">
        <f>IFERROR(__xludf.DUMMYFUNCTION("""COMPUTED_VALUE"""),"0000420119")</f>
        <v>0000420119</v>
      </c>
      <c r="AJ596" s="1">
        <f>IFERROR(__xludf.DUMMYFUNCTION("""COMPUTED_VALUE"""),7.6391956E7)</f>
        <v>76391956</v>
      </c>
      <c r="AK596" s="1">
        <f>IFERROR(__xludf.DUMMYFUNCTION("""COMPUTED_VALUE"""),9.03414063E8)</f>
        <v>903414063</v>
      </c>
      <c r="AL596" s="1" t="str">
        <f>IFERROR(__xludf.DUMMYFUNCTION("""COMPUTED_VALUE"""),"arianank.05@gmail.com")</f>
        <v>arianank.05@gmail.com</v>
      </c>
      <c r="AM596" s="1" t="str">
        <f>IFERROR(__xludf.DUMMYFUNCTION("""COMPUTED_VALUE"""),"FEMENINO")</f>
        <v>FEMENINO</v>
      </c>
      <c r="AN596" s="1">
        <f>IFERROR(__xludf.DUMMYFUNCTION("""COMPUTED_VALUE"""),0.0)</f>
        <v>0</v>
      </c>
      <c r="AO596" s="1">
        <f>IFERROR(__xludf.DUMMYFUNCTION("""COMPUTED_VALUE"""),595.0)</f>
        <v>595</v>
      </c>
      <c r="AP596" s="1" t="str">
        <f>IFERROR(__xludf.DUMMYFUNCTION("""COMPUTED_VALUE"""),"FORMULARIO")</f>
        <v>FORMULARIO</v>
      </c>
      <c r="AQ596" s="1" t="str">
        <f>IFERROR(__xludf.DUMMYFUNCTION("""COMPUTED_VALUE"""),"ORGANICO")</f>
        <v>ORGANICO</v>
      </c>
      <c r="AR596" s="1" t="str">
        <f>IFERROR(__xludf.DUMMYFUNCTION("""COMPUTED_VALUE"""),"HEREDADO")</f>
        <v>HEREDADO</v>
      </c>
      <c r="AS596" s="1"/>
      <c r="AT596" s="2">
        <f>IFERROR(__xludf.DUMMYFUNCTION("""COMPUTED_VALUE"""),45734.0)</f>
        <v>45734</v>
      </c>
      <c r="AU596" s="1">
        <f>IFERROR(__xludf.DUMMYFUNCTION("""COMPUTED_VALUE"""),1.0)</f>
        <v>1</v>
      </c>
      <c r="AV596" s="1" t="str">
        <f>IFERROR(__xludf.DUMMYFUNCTION("""COMPUTED_VALUE"""),"NUEVO")</f>
        <v>NUEVO</v>
      </c>
      <c r="AW596" s="1" t="str">
        <f>IFERROR(__xludf.DUMMYFUNCTION("""COMPUTED_VALUE"""),"SI")</f>
        <v>SI</v>
      </c>
      <c r="AX596" s="1"/>
      <c r="AY596" s="1" t="str">
        <f>IFERROR(__xludf.DUMMYFUNCTION("""COMPUTED_VALUE"""),"PAGO COMPLETO")</f>
        <v>PAGO COMPLETO</v>
      </c>
      <c r="AZ596" s="5">
        <f>IFERROR(__xludf.DUMMYFUNCTION("""COMPUTED_VALUE"""),45734.0)</f>
        <v>45734</v>
      </c>
      <c r="BA596" s="1">
        <f>IFERROR(__xludf.DUMMYFUNCTION("""COMPUTED_VALUE"""),0.0)</f>
        <v>0</v>
      </c>
      <c r="BB596" s="1">
        <f>IFERROR(__xludf.DUMMYFUNCTION("""COMPUTED_VALUE"""),0.0)</f>
        <v>0</v>
      </c>
      <c r="BC596" s="4">
        <f>IFERROR(__xludf.DUMMYFUNCTION("""COMPUTED_VALUE"""),0.0)</f>
        <v>0</v>
      </c>
      <c r="BD596" s="4">
        <f>IFERROR(__xludf.DUMMYFUNCTION("""COMPUTED_VALUE"""),850.0)</f>
        <v>850</v>
      </c>
      <c r="BE596" s="1">
        <f>IFERROR(__xludf.DUMMYFUNCTION("""COMPUTED_VALUE"""),3.0)</f>
        <v>3</v>
      </c>
      <c r="BF596" s="6">
        <f>IFERROR(__xludf.DUMMYFUNCTION("""COMPUTED_VALUE"""),1.0)</f>
        <v>1</v>
      </c>
      <c r="BG596" s="1">
        <f>IFERROR(__xludf.DUMMYFUNCTION("""COMPUTED_VALUE"""),1.0)</f>
        <v>1</v>
      </c>
      <c r="BH596" s="1" t="str">
        <f>IFERROR(__xludf.DUMMYFUNCTION("""COMPUTED_VALUE"""),"0")</f>
        <v>0</v>
      </c>
      <c r="BI596" s="4">
        <f>IFERROR(__xludf.DUMMYFUNCTION("""COMPUTED_VALUE"""),850.0)</f>
        <v>850</v>
      </c>
      <c r="BJ596" s="1">
        <f>IFERROR(__xludf.DUMMYFUNCTION("""COMPUTED_VALUE"""),0.0)</f>
        <v>0</v>
      </c>
      <c r="BK596" s="4">
        <f>IFERROR(__xludf.DUMMYFUNCTION("""COMPUTED_VALUE"""),850.0)</f>
        <v>850</v>
      </c>
      <c r="BL596" s="1">
        <f>IFERROR(__xludf.DUMMYFUNCTION("""COMPUTED_VALUE"""),1180.0)</f>
        <v>1180</v>
      </c>
      <c r="BM596" s="1">
        <f>IFERROR(__xludf.DUMMYFUNCTION("""COMPUTED_VALUE"""),12.0)</f>
        <v>12</v>
      </c>
      <c r="BN596" s="2">
        <f>IFERROR(__xludf.DUMMYFUNCTION("""COMPUTED_VALUE"""),45733.0)</f>
        <v>45733</v>
      </c>
      <c r="BO596" s="1">
        <f>IFERROR(__xludf.DUMMYFUNCTION("""COMPUTED_VALUE"""),3.0)</f>
        <v>3</v>
      </c>
      <c r="BP596" s="1">
        <f>IFERROR(__xludf.DUMMYFUNCTION("""COMPUTED_VALUE"""),2025.0)</f>
        <v>2025</v>
      </c>
    </row>
    <row r="597">
      <c r="A597" s="1">
        <f>IFERROR(__xludf.DUMMYFUNCTION("""COMPUTED_VALUE"""),596.0)</f>
        <v>596</v>
      </c>
      <c r="B597" s="1">
        <f>IFERROR(__xludf.DUMMYFUNCTION("""COMPUTED_VALUE"""),5089859.0)</f>
        <v>5089859</v>
      </c>
      <c r="C597" s="1" t="str">
        <f>IFERROR(__xludf.DUMMYFUNCTION("""COMPUTED_VALUE"""),"2025-1")</f>
        <v>2025-1</v>
      </c>
      <c r="D597" s="1" t="str">
        <f>IFERROR(__xludf.DUMMYFUNCTION("""COMPUTED_VALUE"""),"Admisión de Alto Rendimiento")</f>
        <v>Admisión de Alto Rendimiento</v>
      </c>
      <c r="E597" s="2">
        <f>IFERROR(__xludf.DUMMYFUNCTION("""COMPUTED_VALUE"""),45734.0)</f>
        <v>45734</v>
      </c>
      <c r="F597" s="1" t="str">
        <f>IFERROR(__xludf.DUMMYFUNCTION("""COMPUTED_VALUE"""),"TOMAS GABRIEL")</f>
        <v>TOMAS GABRIEL</v>
      </c>
      <c r="G597" s="1" t="str">
        <f>IFERROR(__xludf.DUMMYFUNCTION("""COMPUTED_VALUE"""),"ORDOÑES PAYANO")</f>
        <v>ORDOÑES PAYANO</v>
      </c>
      <c r="H597" s="1" t="str">
        <f>IFERROR(__xludf.DUMMYFUNCTION("""COMPUTED_VALUE"""),"Arquitectura de Interiores")</f>
        <v>Arquitectura de Interiores</v>
      </c>
      <c r="I597" s="1" t="str">
        <f>IFERROR(__xludf.DUMMYFUNCTION("""COMPUTED_VALUE"""),"CARGO")</f>
        <v>CARGO</v>
      </c>
      <c r="J597" s="1" t="str">
        <f>IFERROR(__xludf.DUMMYFUNCTION("""COMPUTED_VALUE"""),"Diurno")</f>
        <v>Diurno</v>
      </c>
      <c r="K597" s="1" t="str">
        <f>IFERROR(__xludf.DUMMYFUNCTION("""COMPUTED_VALUE"""),"NUEVO")</f>
        <v>NUEVO</v>
      </c>
      <c r="L597" s="1">
        <f>IFERROR(__xludf.DUMMYFUNCTION("""COMPUTED_VALUE"""),0.0)</f>
        <v>0</v>
      </c>
      <c r="M597" s="1">
        <f>IFERROR(__xludf.DUMMYFUNCTION("""COMPUTED_VALUE"""),0.0)</f>
        <v>0</v>
      </c>
      <c r="N597" s="1" t="str">
        <f>IFERROR(__xludf.DUMMYFUNCTION("""COMPUTED_VALUE"""),"BECA")</f>
        <v>BECA</v>
      </c>
      <c r="O597" s="1" t="str">
        <f>IFERROR(__xludf.DUMMYFUNCTION("""COMPUTED_VALUE"""),"BECA CARRERAS CORE")</f>
        <v>BECA CARRERAS CORE</v>
      </c>
      <c r="P597" s="4">
        <f>IFERROR(__xludf.DUMMYFUNCTION("""COMPUTED_VALUE"""),100.0)</f>
        <v>100</v>
      </c>
      <c r="Q597" s="4">
        <f>IFERROR(__xludf.DUMMYFUNCTION("""COMPUTED_VALUE"""),237.5)</f>
        <v>237.5</v>
      </c>
      <c r="R597" s="4">
        <f>IFERROR(__xludf.DUMMYFUNCTION("""COMPUTED_VALUE"""),1200.0)</f>
        <v>1200</v>
      </c>
      <c r="S597" s="4">
        <f>IFERROR(__xludf.DUMMYFUNCTION("""COMPUTED_VALUE"""),1050.0)</f>
        <v>1050</v>
      </c>
      <c r="T597" s="1" t="str">
        <f>IFERROR(__xludf.DUMMYFUNCTION("""COMPUTED_VALUE"""),"PALANCA 500 - Referido")</f>
        <v>PALANCA 500 - Referido</v>
      </c>
      <c r="U597" s="1"/>
      <c r="V597" s="1" t="str">
        <f>IFERROR(__xludf.DUMMYFUNCTION("""COMPUTED_VALUE"""),"Ninguno")</f>
        <v>Ninguno</v>
      </c>
      <c r="W597" s="1" t="str">
        <f>IFERROR(__xludf.DUMMYFUNCTION("""COMPUTED_VALUE"""),"Beca")</f>
        <v>Beca</v>
      </c>
      <c r="X597" s="1" t="str">
        <f>IFERROR(__xludf.DUMMYFUNCTION("""COMPUTED_VALUE"""),"REFERIDO DE 2082962 APLICAR DESCUENTOS ")</f>
        <v>REFERIDO DE 2082962 APLICAR DESCUENTOS </v>
      </c>
      <c r="Y597" s="1" t="str">
        <f>IFERROR(__xludf.DUMMYFUNCTION("""COMPUTED_VALUE"""),"PAGO COMPLETO")</f>
        <v>PAGO COMPLETO</v>
      </c>
      <c r="Z597" s="1"/>
      <c r="AA597" s="1"/>
      <c r="AB597" s="1">
        <f>IFERROR(__xludf.DUMMYFUNCTION("""COMPUTED_VALUE"""),1.0)</f>
        <v>1</v>
      </c>
      <c r="AC597" s="1">
        <f>IFERROR(__xludf.DUMMYFUNCTION("""COMPUTED_VALUE"""),0.0)</f>
        <v>0</v>
      </c>
      <c r="AD597" s="1" t="str">
        <f>IFERROR(__xludf.DUMMYFUNCTION("""COMPUTED_VALUE"""),"Daniel Zapata")</f>
        <v>Daniel Zapata</v>
      </c>
      <c r="AE597" s="1" t="str">
        <f>IFERROR(__xludf.DUMMYFUNCTION("""COMPUTED_VALUE"""),"0")</f>
        <v>0</v>
      </c>
      <c r="AF597" s="1">
        <f>IFERROR(__xludf.DUMMYFUNCTION("""COMPUTED_VALUE"""),2023.0)</f>
        <v>2023</v>
      </c>
      <c r="AG597" s="1">
        <f>IFERROR(__xludf.DUMMYFUNCTION("""COMPUTED_VALUE"""),728717.0)</f>
        <v>728717</v>
      </c>
      <c r="AH597" s="1">
        <f>IFERROR(__xludf.DUMMYFUNCTION("""COMPUTED_VALUE"""),19.0)</f>
        <v>19</v>
      </c>
      <c r="AI597" s="1" t="str">
        <f>IFERROR(__xludf.DUMMYFUNCTION("""COMPUTED_VALUE"""),"0000420156")</f>
        <v>0000420156</v>
      </c>
      <c r="AJ597" s="1">
        <f>IFERROR(__xludf.DUMMYFUNCTION("""COMPUTED_VALUE"""),6.0842691E7)</f>
        <v>60842691</v>
      </c>
      <c r="AK597" s="1">
        <f>IFERROR(__xludf.DUMMYFUNCTION("""COMPUTED_VALUE"""),9.63797714E8)</f>
        <v>963797714</v>
      </c>
      <c r="AL597" s="1" t="str">
        <f>IFERROR(__xludf.DUMMYFUNCTION("""COMPUTED_VALUE"""),"tomasordonespayano@gmail.com")</f>
        <v>tomasordonespayano@gmail.com</v>
      </c>
      <c r="AM597" s="1" t="str">
        <f>IFERROR(__xludf.DUMMYFUNCTION("""COMPUTED_VALUE"""),"MASCULINO")</f>
        <v>MASCULINO</v>
      </c>
      <c r="AN597" s="1">
        <f>IFERROR(__xludf.DUMMYFUNCTION("""COMPUTED_VALUE"""),1350.0)</f>
        <v>1350</v>
      </c>
      <c r="AO597" s="1">
        <f>IFERROR(__xludf.DUMMYFUNCTION("""COMPUTED_VALUE"""),0.0)</f>
        <v>0</v>
      </c>
      <c r="AP597" s="1" t="str">
        <f>IFERROR(__xludf.DUMMYFUNCTION("""COMPUTED_VALUE"""),"OUTBOUND")</f>
        <v>OUTBOUND</v>
      </c>
      <c r="AQ597" s="1" t="str">
        <f>IFERROR(__xludf.DUMMYFUNCTION("""COMPUTED_VALUE"""),"OUTBOUND")</f>
        <v>OUTBOUND</v>
      </c>
      <c r="AR597" s="1" t="str">
        <f>IFERROR(__xludf.DUMMYFUNCTION("""COMPUTED_VALUE"""),"HEREDADO")</f>
        <v>HEREDADO</v>
      </c>
      <c r="AS597" s="1"/>
      <c r="AT597" s="2">
        <f>IFERROR(__xludf.DUMMYFUNCTION("""COMPUTED_VALUE"""),45734.0)</f>
        <v>45734</v>
      </c>
      <c r="AU597" s="1">
        <f>IFERROR(__xludf.DUMMYFUNCTION("""COMPUTED_VALUE"""),1.0)</f>
        <v>1</v>
      </c>
      <c r="AV597" s="1" t="str">
        <f>IFERROR(__xludf.DUMMYFUNCTION("""COMPUTED_VALUE"""),"NUEVO")</f>
        <v>NUEVO</v>
      </c>
      <c r="AW597" s="1" t="str">
        <f>IFERROR(__xludf.DUMMYFUNCTION("""COMPUTED_VALUE"""),"SI")</f>
        <v>SI</v>
      </c>
      <c r="AX597" s="1"/>
      <c r="AY597" s="1" t="str">
        <f>IFERROR(__xludf.DUMMYFUNCTION("""COMPUTED_VALUE"""),"PAGO COMPLETO")</f>
        <v>PAGO COMPLETO</v>
      </c>
      <c r="AZ597" s="5">
        <f>IFERROR(__xludf.DUMMYFUNCTION("""COMPUTED_VALUE"""),45734.0)</f>
        <v>45734</v>
      </c>
      <c r="BA597" s="1">
        <f>IFERROR(__xludf.DUMMYFUNCTION("""COMPUTED_VALUE"""),0.0)</f>
        <v>0</v>
      </c>
      <c r="BB597" s="1">
        <f>IFERROR(__xludf.DUMMYFUNCTION("""COMPUTED_VALUE"""),0.0)</f>
        <v>0</v>
      </c>
      <c r="BC597" s="4">
        <f>IFERROR(__xludf.DUMMYFUNCTION("""COMPUTED_VALUE"""),0.0)</f>
        <v>0</v>
      </c>
      <c r="BD597" s="4">
        <f>IFERROR(__xludf.DUMMYFUNCTION("""COMPUTED_VALUE"""),550.0)</f>
        <v>550</v>
      </c>
      <c r="BE597" s="1">
        <f>IFERROR(__xludf.DUMMYFUNCTION("""COMPUTED_VALUE"""),3.0)</f>
        <v>3</v>
      </c>
      <c r="BF597" s="6">
        <f>IFERROR(__xludf.DUMMYFUNCTION("""COMPUTED_VALUE"""),1.0)</f>
        <v>1</v>
      </c>
      <c r="BG597" s="1">
        <f>IFERROR(__xludf.DUMMYFUNCTION("""COMPUTED_VALUE"""),1.0)</f>
        <v>1</v>
      </c>
      <c r="BH597" s="1" t="str">
        <f>IFERROR(__xludf.DUMMYFUNCTION("""COMPUTED_VALUE"""),"0")</f>
        <v>0</v>
      </c>
      <c r="BI597" s="4">
        <f>IFERROR(__xludf.DUMMYFUNCTION("""COMPUTED_VALUE"""),550.0)</f>
        <v>550</v>
      </c>
      <c r="BJ597" s="1">
        <f>IFERROR(__xludf.DUMMYFUNCTION("""COMPUTED_VALUE"""),0.0)</f>
        <v>0</v>
      </c>
      <c r="BK597" s="4">
        <f>IFERROR(__xludf.DUMMYFUNCTION("""COMPUTED_VALUE"""),1075.0)</f>
        <v>1075</v>
      </c>
      <c r="BL597" s="1">
        <f>IFERROR(__xludf.DUMMYFUNCTION("""COMPUTED_VALUE"""),835.0)</f>
        <v>835</v>
      </c>
      <c r="BM597" s="1">
        <f>IFERROR(__xludf.DUMMYFUNCTION("""COMPUTED_VALUE"""),12.0)</f>
        <v>12</v>
      </c>
      <c r="BN597" s="2">
        <f>IFERROR(__xludf.DUMMYFUNCTION("""COMPUTED_VALUE"""),45733.0)</f>
        <v>45733</v>
      </c>
      <c r="BO597" s="1">
        <f>IFERROR(__xludf.DUMMYFUNCTION("""COMPUTED_VALUE"""),3.0)</f>
        <v>3</v>
      </c>
      <c r="BP597" s="1">
        <f>IFERROR(__xludf.DUMMYFUNCTION("""COMPUTED_VALUE"""),2025.0)</f>
        <v>2025</v>
      </c>
    </row>
    <row r="598">
      <c r="A598" s="1">
        <f>IFERROR(__xludf.DUMMYFUNCTION("""COMPUTED_VALUE"""),597.0)</f>
        <v>597</v>
      </c>
      <c r="B598" s="1">
        <f>IFERROR(__xludf.DUMMYFUNCTION("""COMPUTED_VALUE"""),5063935.0)</f>
        <v>5063935</v>
      </c>
      <c r="C598" s="1" t="str">
        <f>IFERROR(__xludf.DUMMYFUNCTION("""COMPUTED_VALUE"""),"2025-1")</f>
        <v>2025-1</v>
      </c>
      <c r="D598" s="1" t="str">
        <f>IFERROR(__xludf.DUMMYFUNCTION("""COMPUTED_VALUE"""),"Admisión Ordinaria")</f>
        <v>Admisión Ordinaria</v>
      </c>
      <c r="E598" s="2">
        <f>IFERROR(__xludf.DUMMYFUNCTION("""COMPUTED_VALUE"""),45734.0)</f>
        <v>45734</v>
      </c>
      <c r="F598" s="1" t="str">
        <f>IFERROR(__xludf.DUMMYFUNCTION("""COMPUTED_VALUE"""),"MICHELA VICTTORIA ")</f>
        <v>MICHELA VICTTORIA </v>
      </c>
      <c r="G598" s="1" t="str">
        <f>IFERROR(__xludf.DUMMYFUNCTION("""COMPUTED_VALUE"""),"CASTRO ZUNINO")</f>
        <v>CASTRO ZUNINO</v>
      </c>
      <c r="H598" s="1" t="str">
        <f>IFERROR(__xludf.DUMMYFUNCTION("""COMPUTED_VALUE"""),"Administración y Marketing")</f>
        <v>Administración y Marketing</v>
      </c>
      <c r="I598" s="1" t="str">
        <f>IFERROR(__xludf.DUMMYFUNCTION("""COMPUTED_VALUE"""),"CARGO")</f>
        <v>CARGO</v>
      </c>
      <c r="J598" s="1" t="str">
        <f>IFERROR(__xludf.DUMMYFUNCTION("""COMPUTED_VALUE"""),"Nocturno - A distancia")</f>
        <v>Nocturno - A distancia</v>
      </c>
      <c r="K598" s="1" t="str">
        <f>IFERROR(__xludf.DUMMYFUNCTION("""COMPUTED_VALUE"""),"NUEVO")</f>
        <v>NUEVO</v>
      </c>
      <c r="L598" s="1">
        <f>IFERROR(__xludf.DUMMYFUNCTION("""COMPUTED_VALUE"""),0.0)</f>
        <v>0</v>
      </c>
      <c r="M598" s="1">
        <f>IFERROR(__xludf.DUMMYFUNCTION("""COMPUTED_VALUE"""),0.0)</f>
        <v>0</v>
      </c>
      <c r="N598" s="1" t="str">
        <f>IFERROR(__xludf.DUMMYFUNCTION("""COMPUTED_VALUE"""),"ESCALA REGULAR")</f>
        <v>ESCALA REGULAR</v>
      </c>
      <c r="O598" s="1" t="str">
        <f>IFERROR(__xludf.DUMMYFUNCTION("""COMPUTED_VALUE"""),"NINGUNO")</f>
        <v>NINGUNO</v>
      </c>
      <c r="P598" s="4">
        <f>IFERROR(__xludf.DUMMYFUNCTION("""COMPUTED_VALUE"""),0.0)</f>
        <v>0</v>
      </c>
      <c r="Q598" s="4">
        <f>IFERROR(__xludf.DUMMYFUNCTION("""COMPUTED_VALUE"""),0.0)</f>
        <v>0</v>
      </c>
      <c r="R598" s="4">
        <f>IFERROR(__xludf.DUMMYFUNCTION("""COMPUTED_VALUE"""),750.0)</f>
        <v>750</v>
      </c>
      <c r="S598" s="4">
        <f>IFERROR(__xludf.DUMMYFUNCTION("""COMPUTED_VALUE"""),750.0)</f>
        <v>750</v>
      </c>
      <c r="T598" s="1" t="str">
        <f>IFERROR(__xludf.DUMMYFUNCTION("""COMPUTED_VALUE"""),"NINGUNO")</f>
        <v>NINGUNO</v>
      </c>
      <c r="U598" s="1" t="str">
        <f>IFERROR(__xludf.DUMMYFUNCTION("""COMPUTED_VALUE"""),"FABIOLA")</f>
        <v>FABIOLA</v>
      </c>
      <c r="V598" s="1" t="str">
        <f>IFERROR(__xludf.DUMMYFUNCTION("""COMPUTED_VALUE"""),"Ninguno")</f>
        <v>Ninguno</v>
      </c>
      <c r="W598" s="1" t="str">
        <f>IFERROR(__xludf.DUMMYFUNCTION("""COMPUTED_VALUE"""),"Flexibilidad de horarios")</f>
        <v>Flexibilidad de horarios</v>
      </c>
      <c r="X598" s="1"/>
      <c r="Y598" s="1" t="str">
        <f>IFERROR(__xludf.DUMMYFUNCTION("""COMPUTED_VALUE"""),"PAGO COMPLETO")</f>
        <v>PAGO COMPLETO</v>
      </c>
      <c r="Z598" s="1"/>
      <c r="AA598" s="1"/>
      <c r="AB598" s="1">
        <f>IFERROR(__xludf.DUMMYFUNCTION("""COMPUTED_VALUE"""),0.0)</f>
        <v>0</v>
      </c>
      <c r="AC598" s="1">
        <f>IFERROR(__xludf.DUMMYFUNCTION("""COMPUTED_VALUE"""),0.0)</f>
        <v>0</v>
      </c>
      <c r="AD598" s="1" t="str">
        <f>IFERROR(__xludf.DUMMYFUNCTION("""COMPUTED_VALUE"""),"Fiorella Lanegra")</f>
        <v>Fiorella Lanegra</v>
      </c>
      <c r="AE598" s="1" t="str">
        <f>IFERROR(__xludf.DUMMYFUNCTION("""COMPUTED_VALUE"""),"0")</f>
        <v>0</v>
      </c>
      <c r="AF598" s="1">
        <f>IFERROR(__xludf.DUMMYFUNCTION("""COMPUTED_VALUE"""),2023.0)</f>
        <v>2023</v>
      </c>
      <c r="AG598" s="1">
        <f>IFERROR(__xludf.DUMMYFUNCTION("""COMPUTED_VALUE"""),601674.0)</f>
        <v>601674</v>
      </c>
      <c r="AH598" s="1">
        <f>IFERROR(__xludf.DUMMYFUNCTION("""COMPUTED_VALUE"""),19.0)</f>
        <v>19</v>
      </c>
      <c r="AI598" s="1" t="str">
        <f>IFERROR(__xludf.DUMMYFUNCTION("""COMPUTED_VALUE"""),"0000418719")</f>
        <v>0000418719</v>
      </c>
      <c r="AJ598" s="1">
        <f>IFERROR(__xludf.DUMMYFUNCTION("""COMPUTED_VALUE"""),7.0492426E7)</f>
        <v>70492426</v>
      </c>
      <c r="AK598" s="1">
        <f>IFERROR(__xludf.DUMMYFUNCTION("""COMPUTED_VALUE"""),9.62343292E8)</f>
        <v>962343292</v>
      </c>
      <c r="AL598" s="1" t="str">
        <f>IFERROR(__xludf.DUMMYFUNCTION("""COMPUTED_VALUE"""),"michelacastro9@gmail.com")</f>
        <v>michelacastro9@gmail.com</v>
      </c>
      <c r="AM598" s="1" t="str">
        <f>IFERROR(__xludf.DUMMYFUNCTION("""COMPUTED_VALUE"""),"FEMENINO")</f>
        <v>FEMENINO</v>
      </c>
      <c r="AN598" s="1">
        <f>IFERROR(__xludf.DUMMYFUNCTION("""COMPUTED_VALUE"""),3200.0)</f>
        <v>3200</v>
      </c>
      <c r="AO598" s="1">
        <f>IFERROR(__xludf.DUMMYFUNCTION("""COMPUTED_VALUE"""),2895.0)</f>
        <v>2895</v>
      </c>
      <c r="AP598" s="1" t="str">
        <f>IFERROR(__xludf.DUMMYFUNCTION("""COMPUTED_VALUE"""),"BIDIRECCIONAL")</f>
        <v>BIDIRECCIONAL</v>
      </c>
      <c r="AQ598" s="1" t="str">
        <f>IFERROR(__xludf.DUMMYFUNCTION("""COMPUTED_VALUE"""),"ORGANICO")</f>
        <v>ORGANICO</v>
      </c>
      <c r="AR598" s="1" t="str">
        <f>IFERROR(__xludf.DUMMYFUNCTION("""COMPUTED_VALUE"""),"NUEVO")</f>
        <v>NUEVO</v>
      </c>
      <c r="AS598" s="1"/>
      <c r="AT598" s="2">
        <f>IFERROR(__xludf.DUMMYFUNCTION("""COMPUTED_VALUE"""),45722.0)</f>
        <v>45722</v>
      </c>
      <c r="AU598" s="1">
        <f>IFERROR(__xludf.DUMMYFUNCTION("""COMPUTED_VALUE"""),1.0)</f>
        <v>1</v>
      </c>
      <c r="AV598" s="1" t="str">
        <f>IFERROR(__xludf.DUMMYFUNCTION("""COMPUTED_VALUE"""),"NUEVO")</f>
        <v>NUEVO</v>
      </c>
      <c r="AW598" s="1" t="str">
        <f>IFERROR(__xludf.DUMMYFUNCTION("""COMPUTED_VALUE"""),"SI")</f>
        <v>SI</v>
      </c>
      <c r="AX598" s="1"/>
      <c r="AY598" s="1" t="str">
        <f>IFERROR(__xludf.DUMMYFUNCTION("""COMPUTED_VALUE"""),"PAGO COMPLETO")</f>
        <v>PAGO COMPLETO</v>
      </c>
      <c r="AZ598" s="5">
        <f>IFERROR(__xludf.DUMMYFUNCTION("""COMPUTED_VALUE"""),45734.0)</f>
        <v>45734</v>
      </c>
      <c r="BA598" s="1">
        <f>IFERROR(__xludf.DUMMYFUNCTION("""COMPUTED_VALUE"""),0.0)</f>
        <v>0</v>
      </c>
      <c r="BB598" s="1">
        <f>IFERROR(__xludf.DUMMYFUNCTION("""COMPUTED_VALUE"""),0.0)</f>
        <v>0</v>
      </c>
      <c r="BC598" s="4">
        <f>IFERROR(__xludf.DUMMYFUNCTION("""COMPUTED_VALUE"""),0.0)</f>
        <v>0</v>
      </c>
      <c r="BD598" s="4">
        <f>IFERROR(__xludf.DUMMYFUNCTION("""COMPUTED_VALUE"""),0.0)</f>
        <v>0</v>
      </c>
      <c r="BE598" s="1">
        <f>IFERROR(__xludf.DUMMYFUNCTION("""COMPUTED_VALUE"""),3.0)</f>
        <v>3</v>
      </c>
      <c r="BF598" s="6">
        <f>IFERROR(__xludf.DUMMYFUNCTION("""COMPUTED_VALUE"""),1.0)</f>
        <v>1</v>
      </c>
      <c r="BG598" s="1">
        <f>IFERROR(__xludf.DUMMYFUNCTION("""COMPUTED_VALUE"""),1.0)</f>
        <v>1</v>
      </c>
      <c r="BH598" s="1" t="str">
        <f>IFERROR(__xludf.DUMMYFUNCTION("""COMPUTED_VALUE"""),"0")</f>
        <v>0</v>
      </c>
      <c r="BI598" s="4">
        <f>IFERROR(__xludf.DUMMYFUNCTION("""COMPUTED_VALUE"""),0.0)</f>
        <v>0</v>
      </c>
      <c r="BJ598" s="1">
        <f>IFERROR(__xludf.DUMMYFUNCTION("""COMPUTED_VALUE"""),0.0)</f>
        <v>0</v>
      </c>
      <c r="BK598" s="4">
        <f>IFERROR(__xludf.DUMMYFUNCTION("""COMPUTED_VALUE"""),0.0)</f>
        <v>0</v>
      </c>
      <c r="BL598" s="1">
        <f>IFERROR(__xludf.DUMMYFUNCTION("""COMPUTED_VALUE"""),750.0)</f>
        <v>750</v>
      </c>
      <c r="BM598" s="1">
        <f>IFERROR(__xludf.DUMMYFUNCTION("""COMPUTED_VALUE"""),12.0)</f>
        <v>12</v>
      </c>
      <c r="BN598" s="2">
        <f>IFERROR(__xludf.DUMMYFUNCTION("""COMPUTED_VALUE"""),45733.0)</f>
        <v>45733</v>
      </c>
      <c r="BO598" s="1">
        <f>IFERROR(__xludf.DUMMYFUNCTION("""COMPUTED_VALUE"""),3.0)</f>
        <v>3</v>
      </c>
      <c r="BP598" s="1">
        <f>IFERROR(__xludf.DUMMYFUNCTION("""COMPUTED_VALUE"""),2025.0)</f>
        <v>2025</v>
      </c>
    </row>
    <row r="599">
      <c r="A599" s="1">
        <f>IFERROR(__xludf.DUMMYFUNCTION("""COMPUTED_VALUE"""),598.0)</f>
        <v>598</v>
      </c>
      <c r="B599" s="1">
        <f>IFERROR(__xludf.DUMMYFUNCTION("""COMPUTED_VALUE"""),1260994.0)</f>
        <v>1260994</v>
      </c>
      <c r="C599" s="1" t="str">
        <f>IFERROR(__xludf.DUMMYFUNCTION("""COMPUTED_VALUE"""),"2025-1")</f>
        <v>2025-1</v>
      </c>
      <c r="D599" s="1" t="str">
        <f>IFERROR(__xludf.DUMMYFUNCTION("""COMPUTED_VALUE"""),"Admisión Ordinaria")</f>
        <v>Admisión Ordinaria</v>
      </c>
      <c r="E599" s="2">
        <f>IFERROR(__xludf.DUMMYFUNCTION("""COMPUTED_VALUE"""),45734.0)</f>
        <v>45734</v>
      </c>
      <c r="F599" s="1" t="str">
        <f>IFERROR(__xludf.DUMMYFUNCTION("""COMPUTED_VALUE"""),"LETIZIA YAJAIRA ")</f>
        <v>LETIZIA YAJAIRA </v>
      </c>
      <c r="G599" s="1" t="str">
        <f>IFERROR(__xludf.DUMMYFUNCTION("""COMPUTED_VALUE"""),"MARTINEZ GRIMALDO")</f>
        <v>MARTINEZ GRIMALDO</v>
      </c>
      <c r="H599" s="1" t="str">
        <f>IFERROR(__xludf.DUMMYFUNCTION("""COMPUTED_VALUE"""),"Administración y Marketing")</f>
        <v>Administración y Marketing</v>
      </c>
      <c r="I599" s="1" t="str">
        <f>IFERROR(__xludf.DUMMYFUNCTION("""COMPUTED_VALUE"""),"CARGO")</f>
        <v>CARGO</v>
      </c>
      <c r="J599" s="1" t="str">
        <f>IFERROR(__xludf.DUMMYFUNCTION("""COMPUTED_VALUE"""),"Nocturno - A distancia")</f>
        <v>Nocturno - A distancia</v>
      </c>
      <c r="K599" s="1" t="str">
        <f>IFERROR(__xludf.DUMMYFUNCTION("""COMPUTED_VALUE"""),"NUEVO")</f>
        <v>NUEVO</v>
      </c>
      <c r="L599" s="1">
        <f>IFERROR(__xludf.DUMMYFUNCTION("""COMPUTED_VALUE"""),0.0)</f>
        <v>0</v>
      </c>
      <c r="M599" s="1">
        <f>IFERROR(__xludf.DUMMYFUNCTION("""COMPUTED_VALUE"""),0.0)</f>
        <v>0</v>
      </c>
      <c r="N599" s="1" t="str">
        <f>IFERROR(__xludf.DUMMYFUNCTION("""COMPUTED_VALUE"""),"ESCALA REGULAR")</f>
        <v>ESCALA REGULAR</v>
      </c>
      <c r="O599" s="1" t="str">
        <f>IFERROR(__xludf.DUMMYFUNCTION("""COMPUTED_VALUE"""),"NINGUNO")</f>
        <v>NINGUNO</v>
      </c>
      <c r="P599" s="4">
        <f>IFERROR(__xludf.DUMMYFUNCTION("""COMPUTED_VALUE"""),0.0)</f>
        <v>0</v>
      </c>
      <c r="Q599" s="4">
        <f>IFERROR(__xludf.DUMMYFUNCTION("""COMPUTED_VALUE"""),0.0)</f>
        <v>0</v>
      </c>
      <c r="R599" s="4">
        <f>IFERROR(__xludf.DUMMYFUNCTION("""COMPUTED_VALUE"""),750.0)</f>
        <v>750</v>
      </c>
      <c r="S599" s="4">
        <f>IFERROR(__xludf.DUMMYFUNCTION("""COMPUTED_VALUE"""),750.0)</f>
        <v>750</v>
      </c>
      <c r="T599" s="1" t="str">
        <f>IFERROR(__xludf.DUMMYFUNCTION("""COMPUTED_VALUE"""),"NINGUNO")</f>
        <v>NINGUNO</v>
      </c>
      <c r="U599" s="1" t="str">
        <f>IFERROR(__xludf.DUMMYFUNCTION("""COMPUTED_VALUE"""),"FABIOLA")</f>
        <v>FABIOLA</v>
      </c>
      <c r="V599" s="1" t="str">
        <f>IFERROR(__xludf.DUMMYFUNCTION("""COMPUTED_VALUE"""),"Ninguno")</f>
        <v>Ninguno</v>
      </c>
      <c r="W599" s="1" t="str">
        <f>IFERROR(__xludf.DUMMYFUNCTION("""COMPUTED_VALUE"""),"Metodología de enseñanza")</f>
        <v>Metodología de enseñanza</v>
      </c>
      <c r="X599" s="1"/>
      <c r="Y599" s="1" t="str">
        <f>IFERROR(__xludf.DUMMYFUNCTION("""COMPUTED_VALUE"""),"PAGO COMPLETO")</f>
        <v>PAGO COMPLETO</v>
      </c>
      <c r="Z599" s="1"/>
      <c r="AA599" s="1"/>
      <c r="AB599" s="1">
        <f>IFERROR(__xludf.DUMMYFUNCTION("""COMPUTED_VALUE"""),0.0)</f>
        <v>0</v>
      </c>
      <c r="AC599" s="1">
        <f>IFERROR(__xludf.DUMMYFUNCTION("""COMPUTED_VALUE"""),0.0)</f>
        <v>0</v>
      </c>
      <c r="AD599" s="1" t="str">
        <f>IFERROR(__xludf.DUMMYFUNCTION("""COMPUTED_VALUE"""),"Fiorella Lanegra")</f>
        <v>Fiorella Lanegra</v>
      </c>
      <c r="AE599" s="1" t="str">
        <f>IFERROR(__xludf.DUMMYFUNCTION("""COMPUTED_VALUE"""),"0")</f>
        <v>0</v>
      </c>
      <c r="AF599" s="1">
        <f>IFERROR(__xludf.DUMMYFUNCTION("""COMPUTED_VALUE"""),2020.0)</f>
        <v>2020</v>
      </c>
      <c r="AG599" s="1">
        <f>IFERROR(__xludf.DUMMYFUNCTION("""COMPUTED_VALUE"""),580779.0)</f>
        <v>580779</v>
      </c>
      <c r="AH599" s="1">
        <f>IFERROR(__xludf.DUMMYFUNCTION("""COMPUTED_VALUE"""),21.0)</f>
        <v>21</v>
      </c>
      <c r="AI599" s="1" t="str">
        <f>IFERROR(__xludf.DUMMYFUNCTION("""COMPUTED_VALUE"""),"2020006583")</f>
        <v>2020006583</v>
      </c>
      <c r="AJ599" s="1">
        <f>IFERROR(__xludf.DUMMYFUNCTION("""COMPUTED_VALUE"""),7.1014737E7)</f>
        <v>71014737</v>
      </c>
      <c r="AK599" s="1">
        <f>IFERROR(__xludf.DUMMYFUNCTION("""COMPUTED_VALUE"""),9.75743919E8)</f>
        <v>975743919</v>
      </c>
      <c r="AL599" s="1" t="str">
        <f>IFERROR(__xludf.DUMMYFUNCTION("""COMPUTED_VALUE"""),"letizia.grimaldo@outlook.es")</f>
        <v>letizia.grimaldo@outlook.es</v>
      </c>
      <c r="AM599" s="1" t="str">
        <f>IFERROR(__xludf.DUMMYFUNCTION("""COMPUTED_VALUE"""),"FEMENINO")</f>
        <v>FEMENINO</v>
      </c>
      <c r="AN599" s="1">
        <f>IFERROR(__xludf.DUMMYFUNCTION("""COMPUTED_VALUE"""),1350.0)</f>
        <v>1350</v>
      </c>
      <c r="AO599" s="1">
        <f>IFERROR(__xludf.DUMMYFUNCTION("""COMPUTED_VALUE"""),0.0)</f>
        <v>0</v>
      </c>
      <c r="AP599" s="1" t="str">
        <f>IFERROR(__xludf.DUMMYFUNCTION("""COMPUTED_VALUE"""),"BIDIRECCIONAL")</f>
        <v>BIDIRECCIONAL</v>
      </c>
      <c r="AQ599" s="1" t="str">
        <f>IFERROR(__xludf.DUMMYFUNCTION("""COMPUTED_VALUE"""),"ORGANICO")</f>
        <v>ORGANICO</v>
      </c>
      <c r="AR599" s="1" t="str">
        <f>IFERROR(__xludf.DUMMYFUNCTION("""COMPUTED_VALUE"""),"HEREDADO")</f>
        <v>HEREDADO</v>
      </c>
      <c r="AS599" s="1"/>
      <c r="AT599" s="2">
        <f>IFERROR(__xludf.DUMMYFUNCTION("""COMPUTED_VALUE"""),45726.0)</f>
        <v>45726</v>
      </c>
      <c r="AU599" s="1">
        <f>IFERROR(__xludf.DUMMYFUNCTION("""COMPUTED_VALUE"""),1.0)</f>
        <v>1</v>
      </c>
      <c r="AV599" s="1" t="str">
        <f>IFERROR(__xludf.DUMMYFUNCTION("""COMPUTED_VALUE"""),"NUEVO")</f>
        <v>NUEVO</v>
      </c>
      <c r="AW599" s="1" t="str">
        <f>IFERROR(__xludf.DUMMYFUNCTION("""COMPUTED_VALUE"""),"SI")</f>
        <v>SI</v>
      </c>
      <c r="AX599" s="1"/>
      <c r="AY599" s="1" t="str">
        <f>IFERROR(__xludf.DUMMYFUNCTION("""COMPUTED_VALUE"""),"PAGO COMPLETO")</f>
        <v>PAGO COMPLETO</v>
      </c>
      <c r="AZ599" s="5">
        <f>IFERROR(__xludf.DUMMYFUNCTION("""COMPUTED_VALUE"""),45734.0)</f>
        <v>45734</v>
      </c>
      <c r="BA599" s="1">
        <f>IFERROR(__xludf.DUMMYFUNCTION("""COMPUTED_VALUE"""),0.0)</f>
        <v>0</v>
      </c>
      <c r="BB599" s="1">
        <f>IFERROR(__xludf.DUMMYFUNCTION("""COMPUTED_VALUE"""),0.0)</f>
        <v>0</v>
      </c>
      <c r="BC599" s="4">
        <f>IFERROR(__xludf.DUMMYFUNCTION("""COMPUTED_VALUE"""),0.0)</f>
        <v>0</v>
      </c>
      <c r="BD599" s="4">
        <f>IFERROR(__xludf.DUMMYFUNCTION("""COMPUTED_VALUE"""),0.0)</f>
        <v>0</v>
      </c>
      <c r="BE599" s="1">
        <f>IFERROR(__xludf.DUMMYFUNCTION("""COMPUTED_VALUE"""),3.0)</f>
        <v>3</v>
      </c>
      <c r="BF599" s="6">
        <f>IFERROR(__xludf.DUMMYFUNCTION("""COMPUTED_VALUE"""),1.0)</f>
        <v>1</v>
      </c>
      <c r="BG599" s="1">
        <f>IFERROR(__xludf.DUMMYFUNCTION("""COMPUTED_VALUE"""),1.0)</f>
        <v>1</v>
      </c>
      <c r="BH599" s="1" t="str">
        <f>IFERROR(__xludf.DUMMYFUNCTION("""COMPUTED_VALUE"""),"0")</f>
        <v>0</v>
      </c>
      <c r="BI599" s="4">
        <f>IFERROR(__xludf.DUMMYFUNCTION("""COMPUTED_VALUE"""),0.0)</f>
        <v>0</v>
      </c>
      <c r="BJ599" s="1">
        <f>IFERROR(__xludf.DUMMYFUNCTION("""COMPUTED_VALUE"""),0.0)</f>
        <v>0</v>
      </c>
      <c r="BK599" s="4">
        <f>IFERROR(__xludf.DUMMYFUNCTION("""COMPUTED_VALUE"""),0.0)</f>
        <v>0</v>
      </c>
      <c r="BL599" s="1">
        <f>IFERROR(__xludf.DUMMYFUNCTION("""COMPUTED_VALUE"""),750.0)</f>
        <v>750</v>
      </c>
      <c r="BM599" s="1">
        <f>IFERROR(__xludf.DUMMYFUNCTION("""COMPUTED_VALUE"""),12.0)</f>
        <v>12</v>
      </c>
      <c r="BN599" s="2">
        <f>IFERROR(__xludf.DUMMYFUNCTION("""COMPUTED_VALUE"""),45733.0)</f>
        <v>45733</v>
      </c>
      <c r="BO599" s="1">
        <f>IFERROR(__xludf.DUMMYFUNCTION("""COMPUTED_VALUE"""),3.0)</f>
        <v>3</v>
      </c>
      <c r="BP599" s="1">
        <f>IFERROR(__xludf.DUMMYFUNCTION("""COMPUTED_VALUE"""),2025.0)</f>
        <v>2025</v>
      </c>
    </row>
    <row r="600">
      <c r="A600" s="1">
        <f>IFERROR(__xludf.DUMMYFUNCTION("""COMPUTED_VALUE"""),599.0)</f>
        <v>599</v>
      </c>
      <c r="B600" s="1">
        <f>IFERROR(__xludf.DUMMYFUNCTION("""COMPUTED_VALUE"""),5089391.0)</f>
        <v>5089391</v>
      </c>
      <c r="C600" s="1" t="str">
        <f>IFERROR(__xludf.DUMMYFUNCTION("""COMPUTED_VALUE"""),"2025-1")</f>
        <v>2025-1</v>
      </c>
      <c r="D600" s="1" t="str">
        <f>IFERROR(__xludf.DUMMYFUNCTION("""COMPUTED_VALUE"""),"Admisión de Alto Rendimiento")</f>
        <v>Admisión de Alto Rendimiento</v>
      </c>
      <c r="E600" s="2">
        <f>IFERROR(__xludf.DUMMYFUNCTION("""COMPUTED_VALUE"""),45734.0)</f>
        <v>45734</v>
      </c>
      <c r="F600" s="1" t="str">
        <f>IFERROR(__xludf.DUMMYFUNCTION("""COMPUTED_VALUE"""),"ILLIAMS LUZBETHLY ")</f>
        <v>ILLIAMS LUZBETHLY </v>
      </c>
      <c r="G600" s="1" t="str">
        <f>IFERROR(__xludf.DUMMYFUNCTION("""COMPUTED_VALUE"""),"ARENAS ORIHUELA")</f>
        <v>ARENAS ORIHUELA</v>
      </c>
      <c r="H600" s="1" t="str">
        <f>IFERROR(__xludf.DUMMYFUNCTION("""COMPUTED_VALUE"""),"Comunicación Audiovisual y Cine")</f>
        <v>Comunicación Audiovisual y Cine</v>
      </c>
      <c r="I600" s="1" t="str">
        <f>IFERROR(__xludf.DUMMYFUNCTION("""COMPUTED_VALUE"""),"CARGO")</f>
        <v>CARGO</v>
      </c>
      <c r="J600" s="1" t="str">
        <f>IFERROR(__xludf.DUMMYFUNCTION("""COMPUTED_VALUE"""),"Diurno")</f>
        <v>Diurno</v>
      </c>
      <c r="K600" s="1" t="str">
        <f>IFERROR(__xludf.DUMMYFUNCTION("""COMPUTED_VALUE"""),"NUEVO")</f>
        <v>NUEVO</v>
      </c>
      <c r="L600" s="1">
        <f>IFERROR(__xludf.DUMMYFUNCTION("""COMPUTED_VALUE"""),0.0)</f>
        <v>0</v>
      </c>
      <c r="M600" s="1">
        <f>IFERROR(__xludf.DUMMYFUNCTION("""COMPUTED_VALUE"""),0.0)</f>
        <v>0</v>
      </c>
      <c r="N600" s="1" t="str">
        <f>IFERROR(__xludf.DUMMYFUNCTION("""COMPUTED_VALUE"""),"BECA")</f>
        <v>BECA</v>
      </c>
      <c r="O600" s="1" t="str">
        <f>IFERROR(__xludf.DUMMYFUNCTION("""COMPUTED_VALUE"""),"BECA CARRERAS CORE")</f>
        <v>BECA CARRERAS CORE</v>
      </c>
      <c r="P600" s="4">
        <f>IFERROR(__xludf.DUMMYFUNCTION("""COMPUTED_VALUE"""),100.0)</f>
        <v>100</v>
      </c>
      <c r="Q600" s="4">
        <f>IFERROR(__xludf.DUMMYFUNCTION("""COMPUTED_VALUE"""),237.5)</f>
        <v>237.5</v>
      </c>
      <c r="R600" s="4">
        <f>IFERROR(__xludf.DUMMYFUNCTION("""COMPUTED_VALUE"""),1200.0)</f>
        <v>1200</v>
      </c>
      <c r="S600" s="4">
        <f>IFERROR(__xludf.DUMMYFUNCTION("""COMPUTED_VALUE"""),1050.0)</f>
        <v>1050</v>
      </c>
      <c r="T600" s="1" t="str">
        <f>IFERROR(__xludf.DUMMYFUNCTION("""COMPUTED_VALUE"""),"PALANCA 500")</f>
        <v>PALANCA 500</v>
      </c>
      <c r="U600" s="1"/>
      <c r="V600" s="1" t="str">
        <f>IFERROR(__xludf.DUMMYFUNCTION("""COMPUTED_VALUE"""),"Daniel Zapata")</f>
        <v>Daniel Zapata</v>
      </c>
      <c r="W600" s="1" t="str">
        <f>IFERROR(__xludf.DUMMYFUNCTION("""COMPUTED_VALUE"""),"Beca")</f>
        <v>Beca</v>
      </c>
      <c r="X600" s="1" t="str">
        <f>IFERROR(__xludf.DUMMYFUNCTION("""COMPUTED_VALUE"""),"LE GUSTA LA MALLA CURRICULAR ")</f>
        <v>LE GUSTA LA MALLA CURRICULAR </v>
      </c>
      <c r="Y600" s="1" t="str">
        <f>IFERROR(__xludf.DUMMYFUNCTION("""COMPUTED_VALUE"""),"PAGO FRACCIONADO")</f>
        <v>PAGO FRACCIONADO</v>
      </c>
      <c r="Z600" s="1">
        <f>IFERROR(__xludf.DUMMYFUNCTION("""COMPUTED_VALUE"""),337.5)</f>
        <v>337.5</v>
      </c>
      <c r="AA600" s="1" t="str">
        <f>IFERROR(__xludf.DUMMYFUNCTION("""COMPUTED_VALUE"""),"19/03/2025")</f>
        <v>19/03/2025</v>
      </c>
      <c r="AB600" s="1">
        <f>IFERROR(__xludf.DUMMYFUNCTION("""COMPUTED_VALUE"""),0.0)</f>
        <v>0</v>
      </c>
      <c r="AC600" s="1">
        <f>IFERROR(__xludf.DUMMYFUNCTION("""COMPUTED_VALUE"""),0.0)</f>
        <v>0</v>
      </c>
      <c r="AD600" s="1" t="str">
        <f>IFERROR(__xludf.DUMMYFUNCTION("""COMPUTED_VALUE"""),"Daniel Zapata")</f>
        <v>Daniel Zapata</v>
      </c>
      <c r="AE600" s="1" t="str">
        <f>IFERROR(__xludf.DUMMYFUNCTION("""COMPUTED_VALUE"""),"0")</f>
        <v>0</v>
      </c>
      <c r="AF600" s="1">
        <f>IFERROR(__xludf.DUMMYFUNCTION("""COMPUTED_VALUE"""),2024.0)</f>
        <v>2024</v>
      </c>
      <c r="AG600" s="1">
        <f>IFERROR(__xludf.DUMMYFUNCTION("""COMPUTED_VALUE"""),501502.0)</f>
        <v>501502</v>
      </c>
      <c r="AH600" s="1">
        <f>IFERROR(__xludf.DUMMYFUNCTION("""COMPUTED_VALUE"""),17.0)</f>
        <v>17</v>
      </c>
      <c r="AI600" s="1" t="str">
        <f>IFERROR(__xludf.DUMMYFUNCTION("""COMPUTED_VALUE"""),"0000420150")</f>
        <v>0000420150</v>
      </c>
      <c r="AJ600" s="1">
        <f>IFERROR(__xludf.DUMMYFUNCTION("""COMPUTED_VALUE"""),8.1879288E7)</f>
        <v>81879288</v>
      </c>
      <c r="AK600" s="1">
        <f>IFERROR(__xludf.DUMMYFUNCTION("""COMPUTED_VALUE"""),9.48035226E8)</f>
        <v>948035226</v>
      </c>
      <c r="AL600" s="1" t="str">
        <f>IFERROR(__xludf.DUMMYFUNCTION("""COMPUTED_VALUE"""),"floliwer.shop@gmail.com")</f>
        <v>floliwer.shop@gmail.com</v>
      </c>
      <c r="AM600" s="1" t="str">
        <f>IFERROR(__xludf.DUMMYFUNCTION("""COMPUTED_VALUE"""),"FEMENINO")</f>
        <v>FEMENINO</v>
      </c>
      <c r="AN600" s="1">
        <f>IFERROR(__xludf.DUMMYFUNCTION("""COMPUTED_VALUE"""),1350.0)</f>
        <v>1350</v>
      </c>
      <c r="AO600" s="1">
        <f>IFERROR(__xludf.DUMMYFUNCTION("""COMPUTED_VALUE"""),0.0)</f>
        <v>0</v>
      </c>
      <c r="AP600" s="1" t="str">
        <f>IFERROR(__xludf.DUMMYFUNCTION("""COMPUTED_VALUE"""),"FORMULARIO")</f>
        <v>FORMULARIO</v>
      </c>
      <c r="AQ600" s="1" t="str">
        <f>IFERROR(__xludf.DUMMYFUNCTION("""COMPUTED_VALUE"""),"SEARCH CARRERA")</f>
        <v>SEARCH CARRERA</v>
      </c>
      <c r="AR600" s="1" t="str">
        <f>IFERROR(__xludf.DUMMYFUNCTION("""COMPUTED_VALUE"""),"NUEVO")</f>
        <v>NUEVO</v>
      </c>
      <c r="AS600" s="1" t="str">
        <f>IFERROR(__xludf.DUMMYFUNCTION("""COMPUTED_VALUE"""),"ucal-pg-performance-sedes-abierta-cpl-search_conversion_carrera_comunicacion_audiovisual_y_cine-20250220")</f>
        <v>ucal-pg-performance-sedes-abierta-cpl-search_conversion_carrera_comunicacion_audiovisual_y_cine-20250220</v>
      </c>
      <c r="AT600" s="2">
        <f>IFERROR(__xludf.DUMMYFUNCTION("""COMPUTED_VALUE"""),45734.0)</f>
        <v>45734</v>
      </c>
      <c r="AU600" s="1">
        <f>IFERROR(__xludf.DUMMYFUNCTION("""COMPUTED_VALUE"""),1.0)</f>
        <v>1</v>
      </c>
      <c r="AV600" s="1" t="str">
        <f>IFERROR(__xludf.DUMMYFUNCTION("""COMPUTED_VALUE"""),"NUEVO")</f>
        <v>NUEVO</v>
      </c>
      <c r="AW600" s="1" t="str">
        <f>IFERROR(__xludf.DUMMYFUNCTION("""COMPUTED_VALUE"""),"SI")</f>
        <v>SI</v>
      </c>
      <c r="AX600" s="1"/>
      <c r="AY600" s="1" t="str">
        <f>IFERROR(__xludf.DUMMYFUNCTION("""COMPUTED_VALUE"""),"PAGO COMPLETO")</f>
        <v>PAGO COMPLETO</v>
      </c>
      <c r="AZ600" s="5">
        <f>IFERROR(__xludf.DUMMYFUNCTION("""COMPUTED_VALUE"""),45735.0)</f>
        <v>45735</v>
      </c>
      <c r="BA600" s="1">
        <f>IFERROR(__xludf.DUMMYFUNCTION("""COMPUTED_VALUE"""),500.0)</f>
        <v>500</v>
      </c>
      <c r="BB600" s="1">
        <f>IFERROR(__xludf.DUMMYFUNCTION("""COMPUTED_VALUE"""),0.0)</f>
        <v>0</v>
      </c>
      <c r="BC600" s="4">
        <f>IFERROR(__xludf.DUMMYFUNCTION("""COMPUTED_VALUE"""),0.0)</f>
        <v>0</v>
      </c>
      <c r="BD600" s="4">
        <f>IFERROR(__xludf.DUMMYFUNCTION("""COMPUTED_VALUE"""),550.0)</f>
        <v>550</v>
      </c>
      <c r="BE600" s="1">
        <f>IFERROR(__xludf.DUMMYFUNCTION("""COMPUTED_VALUE"""),3.0)</f>
        <v>3</v>
      </c>
      <c r="BF600" s="6">
        <f>IFERROR(__xludf.DUMMYFUNCTION("""COMPUTED_VALUE"""),1.0)</f>
        <v>1</v>
      </c>
      <c r="BG600" s="1">
        <f>IFERROR(__xludf.DUMMYFUNCTION("""COMPUTED_VALUE"""),1.0)</f>
        <v>1</v>
      </c>
      <c r="BH600" s="1" t="str">
        <f>IFERROR(__xludf.DUMMYFUNCTION("""COMPUTED_VALUE"""),"0")</f>
        <v>0</v>
      </c>
      <c r="BI600" s="4">
        <f>IFERROR(__xludf.DUMMYFUNCTION("""COMPUTED_VALUE"""),1387.5)</f>
        <v>1387.5</v>
      </c>
      <c r="BJ600" s="1">
        <f>IFERROR(__xludf.DUMMYFUNCTION("""COMPUTED_VALUE"""),0.0)</f>
        <v>0</v>
      </c>
      <c r="BK600" s="4">
        <f>IFERROR(__xludf.DUMMYFUNCTION("""COMPUTED_VALUE"""),550.0)</f>
        <v>550</v>
      </c>
      <c r="BL600" s="1">
        <f>IFERROR(__xludf.DUMMYFUNCTION("""COMPUTED_VALUE"""),940.0)</f>
        <v>940</v>
      </c>
      <c r="BM600" s="1">
        <f>IFERROR(__xludf.DUMMYFUNCTION("""COMPUTED_VALUE"""),12.0)</f>
        <v>12</v>
      </c>
      <c r="BN600" s="2">
        <f>IFERROR(__xludf.DUMMYFUNCTION("""COMPUTED_VALUE"""),45733.0)</f>
        <v>45733</v>
      </c>
      <c r="BO600" s="1">
        <f>IFERROR(__xludf.DUMMYFUNCTION("""COMPUTED_VALUE"""),3.0)</f>
        <v>3</v>
      </c>
      <c r="BP600" s="1">
        <f>IFERROR(__xludf.DUMMYFUNCTION("""COMPUTED_VALUE"""),2025.0)</f>
        <v>2025</v>
      </c>
    </row>
    <row r="601">
      <c r="A601" s="1">
        <f>IFERROR(__xludf.DUMMYFUNCTION("""COMPUTED_VALUE"""),600.0)</f>
        <v>600</v>
      </c>
      <c r="B601" s="1">
        <f>IFERROR(__xludf.DUMMYFUNCTION("""COMPUTED_VALUE"""),1662778.0)</f>
        <v>1662778</v>
      </c>
      <c r="C601" s="1" t="str">
        <f>IFERROR(__xludf.DUMMYFUNCTION("""COMPUTED_VALUE"""),"2025-1")</f>
        <v>2025-1</v>
      </c>
      <c r="D601" s="1" t="str">
        <f>IFERROR(__xludf.DUMMYFUNCTION("""COMPUTED_VALUE"""),"Admisión Ordinaria")</f>
        <v>Admisión Ordinaria</v>
      </c>
      <c r="E601" s="2">
        <f>IFERROR(__xludf.DUMMYFUNCTION("""COMPUTED_VALUE"""),45735.0)</f>
        <v>45735</v>
      </c>
      <c r="F601" s="1" t="str">
        <f>IFERROR(__xludf.DUMMYFUNCTION("""COMPUTED_VALUE"""),"ALMENDRA ALEXANDRA ")</f>
        <v>ALMENDRA ALEXANDRA </v>
      </c>
      <c r="G601" s="1" t="str">
        <f>IFERROR(__xludf.DUMMYFUNCTION("""COMPUTED_VALUE"""),"PACHECO GALLIQUIO")</f>
        <v>PACHECO GALLIQUIO</v>
      </c>
      <c r="H601" s="1" t="str">
        <f>IFERROR(__xludf.DUMMYFUNCTION("""COMPUTED_VALUE"""),"Psicología")</f>
        <v>Psicología</v>
      </c>
      <c r="I601" s="1" t="str">
        <f>IFERROR(__xludf.DUMMYFUNCTION("""COMPUTED_VALUE"""),"CARGO")</f>
        <v>CARGO</v>
      </c>
      <c r="J601" s="1" t="str">
        <f>IFERROR(__xludf.DUMMYFUNCTION("""COMPUTED_VALUE"""),"Nocturno - A distancia")</f>
        <v>Nocturno - A distancia</v>
      </c>
      <c r="K601" s="1" t="str">
        <f>IFERROR(__xludf.DUMMYFUNCTION("""COMPUTED_VALUE"""),"NUEVO")</f>
        <v>NUEVO</v>
      </c>
      <c r="L601" s="1">
        <f>IFERROR(__xludf.DUMMYFUNCTION("""COMPUTED_VALUE"""),0.0)</f>
        <v>0</v>
      </c>
      <c r="M601" s="1">
        <f>IFERROR(__xludf.DUMMYFUNCTION("""COMPUTED_VALUE"""),0.0)</f>
        <v>0</v>
      </c>
      <c r="N601" s="1" t="str">
        <f>IFERROR(__xludf.DUMMYFUNCTION("""COMPUTED_VALUE"""),"ESCALA REGULAR")</f>
        <v>ESCALA REGULAR</v>
      </c>
      <c r="O601" s="1" t="str">
        <f>IFERROR(__xludf.DUMMYFUNCTION("""COMPUTED_VALUE"""),"ESCALA  REG. CONGELADA 2 AÑOS")</f>
        <v>ESCALA  REG. CONGELADA 2 AÑOS</v>
      </c>
      <c r="P601" s="4">
        <f>IFERROR(__xludf.DUMMYFUNCTION("""COMPUTED_VALUE"""),0.0)</f>
        <v>0</v>
      </c>
      <c r="Q601" s="4">
        <f>IFERROR(__xludf.DUMMYFUNCTION("""COMPUTED_VALUE"""),0.0)</f>
        <v>0</v>
      </c>
      <c r="R601" s="4">
        <f>IFERROR(__xludf.DUMMYFUNCTION("""COMPUTED_VALUE"""),750.0)</f>
        <v>750</v>
      </c>
      <c r="S601" s="4">
        <f>IFERROR(__xludf.DUMMYFUNCTION("""COMPUTED_VALUE"""),750.0)</f>
        <v>750</v>
      </c>
      <c r="T601" s="1" t="str">
        <f>IFERROR(__xludf.DUMMYFUNCTION("""COMPUTED_VALUE"""),"NINGUNO")</f>
        <v>NINGUNO</v>
      </c>
      <c r="U601" s="1"/>
      <c r="V601" s="1" t="str">
        <f>IFERROR(__xludf.DUMMYFUNCTION("""COMPUTED_VALUE"""),"Ninguno")</f>
        <v>Ninguno</v>
      </c>
      <c r="W601" s="1" t="str">
        <f>IFERROR(__xludf.DUMMYFUNCTION("""COMPUTED_VALUE"""),"Flexibilidad de horarios")</f>
        <v>Flexibilidad de horarios</v>
      </c>
      <c r="X601" s="1"/>
      <c r="Y601" s="1" t="str">
        <f>IFERROR(__xludf.DUMMYFUNCTION("""COMPUTED_VALUE"""),"PAGO COMPLETO")</f>
        <v>PAGO COMPLETO</v>
      </c>
      <c r="Z601" s="1"/>
      <c r="AA601" s="1"/>
      <c r="AB601" s="1">
        <f>IFERROR(__xludf.DUMMYFUNCTION("""COMPUTED_VALUE"""),0.0)</f>
        <v>0</v>
      </c>
      <c r="AC601" s="1">
        <f>IFERROR(__xludf.DUMMYFUNCTION("""COMPUTED_VALUE"""),0.0)</f>
        <v>0</v>
      </c>
      <c r="AD601" s="1" t="str">
        <f>IFERROR(__xludf.DUMMYFUNCTION("""COMPUTED_VALUE"""),"Ingrid Guillermo Rivera")</f>
        <v>Ingrid Guillermo Rivera</v>
      </c>
      <c r="AE601" s="1" t="str">
        <f>IFERROR(__xludf.DUMMYFUNCTION("""COMPUTED_VALUE"""),"0")</f>
        <v>0</v>
      </c>
      <c r="AF601" s="1">
        <f>IFERROR(__xludf.DUMMYFUNCTION("""COMPUTED_VALUE"""),2022.0)</f>
        <v>2022</v>
      </c>
      <c r="AG601" s="1">
        <f>IFERROR(__xludf.DUMMYFUNCTION("""COMPUTED_VALUE"""),0.0)</f>
        <v>0</v>
      </c>
      <c r="AH601" s="1">
        <f>IFERROR(__xludf.DUMMYFUNCTION("""COMPUTED_VALUE"""),20.0)</f>
        <v>20</v>
      </c>
      <c r="AI601" s="1" t="str">
        <f>IFERROR(__xludf.DUMMYFUNCTION("""COMPUTED_VALUE"""),"0000385831")</f>
        <v>0000385831</v>
      </c>
      <c r="AJ601" s="1">
        <f>IFERROR(__xludf.DUMMYFUNCTION("""COMPUTED_VALUE"""),6.0737138E7)</f>
        <v>60737138</v>
      </c>
      <c r="AK601" s="1">
        <f>IFERROR(__xludf.DUMMYFUNCTION("""COMPUTED_VALUE"""),9.64167978E8)</f>
        <v>964167978</v>
      </c>
      <c r="AL601" s="1" t="str">
        <f>IFERROR(__xludf.DUMMYFUNCTION("""COMPUTED_VALUE"""),"apachecogalliquio@gmail.com")</f>
        <v>apachecogalliquio@gmail.com</v>
      </c>
      <c r="AM601" s="1" t="str">
        <f>IFERROR(__xludf.DUMMYFUNCTION("""COMPUTED_VALUE"""),"FEMENINO")</f>
        <v>FEMENINO</v>
      </c>
      <c r="AN601" s="1">
        <f>IFERROR(__xludf.DUMMYFUNCTION("""COMPUTED_VALUE"""),1350.0)</f>
        <v>1350</v>
      </c>
      <c r="AO601" s="1">
        <f>IFERROR(__xludf.DUMMYFUNCTION("""COMPUTED_VALUE"""),0.0)</f>
        <v>0</v>
      </c>
      <c r="AP601" s="1" t="str">
        <f>IFERROR(__xludf.DUMMYFUNCTION("""COMPUTED_VALUE"""),"FORMULARIO")</f>
        <v>FORMULARIO</v>
      </c>
      <c r="AQ601" s="1" t="str">
        <f>IFERROR(__xludf.DUMMYFUNCTION("""COMPUTED_VALUE"""),"ORGANICO")</f>
        <v>ORGANICO</v>
      </c>
      <c r="AR601" s="1" t="str">
        <f>IFERROR(__xludf.DUMMYFUNCTION("""COMPUTED_VALUE"""),"HEREDADO")</f>
        <v>HEREDADO</v>
      </c>
      <c r="AS601" s="1"/>
      <c r="AT601" s="2">
        <f>IFERROR(__xludf.DUMMYFUNCTION("""COMPUTED_VALUE"""),45707.0)</f>
        <v>45707</v>
      </c>
      <c r="AU601" s="1">
        <f>IFERROR(__xludf.DUMMYFUNCTION("""COMPUTED_VALUE"""),1.0)</f>
        <v>1</v>
      </c>
      <c r="AV601" s="1" t="str">
        <f>IFERROR(__xludf.DUMMYFUNCTION("""COMPUTED_VALUE"""),"NUEVO")</f>
        <v>NUEVO</v>
      </c>
      <c r="AW601" s="1" t="str">
        <f>IFERROR(__xludf.DUMMYFUNCTION("""COMPUTED_VALUE"""),"SI")</f>
        <v>SI</v>
      </c>
      <c r="AX601" s="1"/>
      <c r="AY601" s="1" t="str">
        <f>IFERROR(__xludf.DUMMYFUNCTION("""COMPUTED_VALUE"""),"PAGO COMPLETO")</f>
        <v>PAGO COMPLETO</v>
      </c>
      <c r="AZ601" s="5">
        <f>IFERROR(__xludf.DUMMYFUNCTION("""COMPUTED_VALUE"""),45735.0)</f>
        <v>45735</v>
      </c>
      <c r="BA601" s="1">
        <f>IFERROR(__xludf.DUMMYFUNCTION("""COMPUTED_VALUE"""),0.0)</f>
        <v>0</v>
      </c>
      <c r="BB601" s="1">
        <f>IFERROR(__xludf.DUMMYFUNCTION("""COMPUTED_VALUE"""),0.0)</f>
        <v>0</v>
      </c>
      <c r="BC601" s="4">
        <f>IFERROR(__xludf.DUMMYFUNCTION("""COMPUTED_VALUE"""),0.0)</f>
        <v>0</v>
      </c>
      <c r="BD601" s="4">
        <f>IFERROR(__xludf.DUMMYFUNCTION("""COMPUTED_VALUE"""),0.0)</f>
        <v>0</v>
      </c>
      <c r="BE601" s="1">
        <f>IFERROR(__xludf.DUMMYFUNCTION("""COMPUTED_VALUE"""),3.0)</f>
        <v>3</v>
      </c>
      <c r="BF601" s="6">
        <f>IFERROR(__xludf.DUMMYFUNCTION("""COMPUTED_VALUE"""),1.0)</f>
        <v>1</v>
      </c>
      <c r="BG601" s="1">
        <f>IFERROR(__xludf.DUMMYFUNCTION("""COMPUTED_VALUE"""),1.0)</f>
        <v>1</v>
      </c>
      <c r="BH601" s="1" t="str">
        <f>IFERROR(__xludf.DUMMYFUNCTION("""COMPUTED_VALUE"""),"0")</f>
        <v>0</v>
      </c>
      <c r="BI601" s="4">
        <f>IFERROR(__xludf.DUMMYFUNCTION("""COMPUTED_VALUE"""),0.0)</f>
        <v>0</v>
      </c>
      <c r="BJ601" s="1">
        <f>IFERROR(__xludf.DUMMYFUNCTION("""COMPUTED_VALUE"""),0.0)</f>
        <v>0</v>
      </c>
      <c r="BK601" s="4">
        <f>IFERROR(__xludf.DUMMYFUNCTION("""COMPUTED_VALUE"""),0.0)</f>
        <v>0</v>
      </c>
      <c r="BL601" s="1">
        <f>IFERROR(__xludf.DUMMYFUNCTION("""COMPUTED_VALUE"""),750.0)</f>
        <v>750</v>
      </c>
      <c r="BM601" s="1">
        <f>IFERROR(__xludf.DUMMYFUNCTION("""COMPUTED_VALUE"""),12.0)</f>
        <v>12</v>
      </c>
      <c r="BN601" s="2">
        <f>IFERROR(__xludf.DUMMYFUNCTION("""COMPUTED_VALUE"""),45733.0)</f>
        <v>45733</v>
      </c>
      <c r="BO601" s="1">
        <f>IFERROR(__xludf.DUMMYFUNCTION("""COMPUTED_VALUE"""),3.0)</f>
        <v>3</v>
      </c>
      <c r="BP601" s="1">
        <f>IFERROR(__xludf.DUMMYFUNCTION("""COMPUTED_VALUE"""),2025.0)</f>
        <v>2025</v>
      </c>
    </row>
    <row r="602">
      <c r="A602" s="1">
        <f>IFERROR(__xludf.DUMMYFUNCTION("""COMPUTED_VALUE"""),601.0)</f>
        <v>601</v>
      </c>
      <c r="B602" s="1">
        <f>IFERROR(__xludf.DUMMYFUNCTION("""COMPUTED_VALUE"""),5090615.0)</f>
        <v>5090615</v>
      </c>
      <c r="C602" s="1" t="str">
        <f>IFERROR(__xludf.DUMMYFUNCTION("""COMPUTED_VALUE"""),"2025-1")</f>
        <v>2025-1</v>
      </c>
      <c r="D602" s="1" t="str">
        <f>IFERROR(__xludf.DUMMYFUNCTION("""COMPUTED_VALUE"""),"Admisión Ordinaria")</f>
        <v>Admisión Ordinaria</v>
      </c>
      <c r="E602" s="2">
        <f>IFERROR(__xludf.DUMMYFUNCTION("""COMPUTED_VALUE"""),45735.0)</f>
        <v>45735</v>
      </c>
      <c r="F602" s="1" t="str">
        <f>IFERROR(__xludf.DUMMYFUNCTION("""COMPUTED_VALUE"""),"MARY SUE HELLEN ")</f>
        <v>MARY SUE HELLEN </v>
      </c>
      <c r="G602" s="1" t="str">
        <f>IFERROR(__xludf.DUMMYFUNCTION("""COMPUTED_VALUE"""),"RIVERA ARCE")</f>
        <v>RIVERA ARCE</v>
      </c>
      <c r="H602" s="1" t="str">
        <f>IFERROR(__xludf.DUMMYFUNCTION("""COMPUTED_VALUE"""),"Arquitectura de Interiores")</f>
        <v>Arquitectura de Interiores</v>
      </c>
      <c r="I602" s="1" t="str">
        <f>IFERROR(__xludf.DUMMYFUNCTION("""COMPUTED_VALUE"""),"CARGO")</f>
        <v>CARGO</v>
      </c>
      <c r="J602" s="1" t="str">
        <f>IFERROR(__xludf.DUMMYFUNCTION("""COMPUTED_VALUE"""),"Diurno")</f>
        <v>Diurno</v>
      </c>
      <c r="K602" s="1" t="str">
        <f>IFERROR(__xludf.DUMMYFUNCTION("""COMPUTED_VALUE"""),"NUEVO")</f>
        <v>NUEVO</v>
      </c>
      <c r="L602" s="1">
        <f>IFERROR(__xludf.DUMMYFUNCTION("""COMPUTED_VALUE"""),0.0)</f>
        <v>0</v>
      </c>
      <c r="M602" s="1">
        <f>IFERROR(__xludf.DUMMYFUNCTION("""COMPUTED_VALUE"""),0.0)</f>
        <v>0</v>
      </c>
      <c r="N602" s="1" t="str">
        <f>IFERROR(__xludf.DUMMYFUNCTION("""COMPUTED_VALUE"""),"BECA")</f>
        <v>BECA</v>
      </c>
      <c r="O602" s="1" t="str">
        <f>IFERROR(__xludf.DUMMYFUNCTION("""COMPUTED_VALUE"""),"BECA CARRERAS CORE")</f>
        <v>BECA CARRERAS CORE</v>
      </c>
      <c r="P602" s="4">
        <f>IFERROR(__xludf.DUMMYFUNCTION("""COMPUTED_VALUE"""),100.0)</f>
        <v>100</v>
      </c>
      <c r="Q602" s="4">
        <f>IFERROR(__xludf.DUMMYFUNCTION("""COMPUTED_VALUE"""),237.5)</f>
        <v>237.5</v>
      </c>
      <c r="R602" s="4">
        <f>IFERROR(__xludf.DUMMYFUNCTION("""COMPUTED_VALUE"""),1350.0)</f>
        <v>1350</v>
      </c>
      <c r="S602" s="4">
        <f>IFERROR(__xludf.DUMMYFUNCTION("""COMPUTED_VALUE"""),1150.0)</f>
        <v>1150</v>
      </c>
      <c r="T602" s="1" t="str">
        <f>IFERROR(__xludf.DUMMYFUNCTION("""COMPUTED_VALUE"""),"PALANCA 500")</f>
        <v>PALANCA 500</v>
      </c>
      <c r="U602" s="1" t="str">
        <f>IFERROR(__xludf.DUMMYFUNCTION("""COMPUTED_VALUE"""),"RODRIGO")</f>
        <v>RODRIGO</v>
      </c>
      <c r="V602" s="1" t="str">
        <f>IFERROR(__xludf.DUMMYFUNCTION("""COMPUTED_VALUE"""),"Ninguno")</f>
        <v>Ninguno</v>
      </c>
      <c r="W602" s="1" t="str">
        <f>IFERROR(__xludf.DUMMYFUNCTION("""COMPUTED_VALUE"""),"Beca")</f>
        <v>Beca</v>
      </c>
      <c r="X602" s="1"/>
      <c r="Y602" s="1" t="str">
        <f>IFERROR(__xludf.DUMMYFUNCTION("""COMPUTED_VALUE"""),"PAGO COMPLETO")</f>
        <v>PAGO COMPLETO</v>
      </c>
      <c r="Z602" s="1"/>
      <c r="AA602" s="1"/>
      <c r="AB602" s="1">
        <f>IFERROR(__xludf.DUMMYFUNCTION("""COMPUTED_VALUE"""),0.0)</f>
        <v>0</v>
      </c>
      <c r="AC602" s="1">
        <f>IFERROR(__xludf.DUMMYFUNCTION("""COMPUTED_VALUE"""),0.0)</f>
        <v>0</v>
      </c>
      <c r="AD602" s="1" t="str">
        <f>IFERROR(__xludf.DUMMYFUNCTION("""COMPUTED_VALUE"""),"Erwyn Terie Vital Avila")</f>
        <v>Erwyn Terie Vital Avila</v>
      </c>
      <c r="AE602" s="1" t="str">
        <f>IFERROR(__xludf.DUMMYFUNCTION("""COMPUTED_VALUE"""),"0")</f>
        <v>0</v>
      </c>
      <c r="AF602" s="1">
        <f>IFERROR(__xludf.DUMMYFUNCTION("""COMPUTED_VALUE"""),2022.0)</f>
        <v>2022</v>
      </c>
      <c r="AG602" s="1">
        <f>IFERROR(__xludf.DUMMYFUNCTION("""COMPUTED_VALUE"""),210260.0)</f>
        <v>210260</v>
      </c>
      <c r="AH602" s="1">
        <f>IFERROR(__xludf.DUMMYFUNCTION("""COMPUTED_VALUE"""),19.0)</f>
        <v>19</v>
      </c>
      <c r="AI602" s="1" t="str">
        <f>IFERROR(__xludf.DUMMYFUNCTION("""COMPUTED_VALUE"""),"0000420286")</f>
        <v>0000420286</v>
      </c>
      <c r="AJ602" s="1">
        <f>IFERROR(__xludf.DUMMYFUNCTION("""COMPUTED_VALUE"""),7.7488155E7)</f>
        <v>77488155</v>
      </c>
      <c r="AK602" s="1">
        <f>IFERROR(__xludf.DUMMYFUNCTION("""COMPUTED_VALUE"""),9.53265287E8)</f>
        <v>953265287</v>
      </c>
      <c r="AL602" s="1" t="str">
        <f>IFERROR(__xludf.DUMMYFUNCTION("""COMPUTED_VALUE"""),"ronay_0824@hotmail.com")</f>
        <v>ronay_0824@hotmail.com</v>
      </c>
      <c r="AM602" s="1" t="str">
        <f>IFERROR(__xludf.DUMMYFUNCTION("""COMPUTED_VALUE"""),"FEMENINO")</f>
        <v>FEMENINO</v>
      </c>
      <c r="AN602" s="1">
        <f>IFERROR(__xludf.DUMMYFUNCTION("""COMPUTED_VALUE"""),1775.0)</f>
        <v>1775</v>
      </c>
      <c r="AO602" s="1">
        <f>IFERROR(__xludf.DUMMYFUNCTION("""COMPUTED_VALUE"""),350.0)</f>
        <v>350</v>
      </c>
      <c r="AP602" s="1" t="str">
        <f>IFERROR(__xludf.DUMMYFUNCTION("""COMPUTED_VALUE"""),"FORMULARIO")</f>
        <v>FORMULARIO</v>
      </c>
      <c r="AQ602" s="1" t="str">
        <f>IFERROR(__xludf.DUMMYFUNCTION("""COMPUTED_VALUE"""),"SEARCH MARCA")</f>
        <v>SEARCH MARCA</v>
      </c>
      <c r="AR602" s="1" t="str">
        <f>IFERROR(__xludf.DUMMYFUNCTION("""COMPUTED_VALUE"""),"HEREDADO")</f>
        <v>HEREDADO</v>
      </c>
      <c r="AS602" s="1" t="str">
        <f>IFERROR(__xludf.DUMMYFUNCTION("""COMPUTED_VALUE"""),"ucal-pg-performance-sedes-abierta-cpl-search_conversion_marca-20240401")</f>
        <v>ucal-pg-performance-sedes-abierta-cpl-search_conversion_marca-20240401</v>
      </c>
      <c r="AT602" s="2">
        <f>IFERROR(__xludf.DUMMYFUNCTION("""COMPUTED_VALUE"""),45735.0)</f>
        <v>45735</v>
      </c>
      <c r="AU602" s="1">
        <f>IFERROR(__xludf.DUMMYFUNCTION("""COMPUTED_VALUE"""),1.0)</f>
        <v>1</v>
      </c>
      <c r="AV602" s="1" t="str">
        <f>IFERROR(__xludf.DUMMYFUNCTION("""COMPUTED_VALUE"""),"NUEVO")</f>
        <v>NUEVO</v>
      </c>
      <c r="AW602" s="1" t="str">
        <f>IFERROR(__xludf.DUMMYFUNCTION("""COMPUTED_VALUE"""),"SI")</f>
        <v>SI</v>
      </c>
      <c r="AX602" s="1"/>
      <c r="AY602" s="1" t="str">
        <f>IFERROR(__xludf.DUMMYFUNCTION("""COMPUTED_VALUE"""),"PAGO COMPLETO")</f>
        <v>PAGO COMPLETO</v>
      </c>
      <c r="AZ602" s="5">
        <f>IFERROR(__xludf.DUMMYFUNCTION("""COMPUTED_VALUE"""),45735.0)</f>
        <v>45735</v>
      </c>
      <c r="BA602" s="1">
        <f>IFERROR(__xludf.DUMMYFUNCTION("""COMPUTED_VALUE"""),0.0)</f>
        <v>0</v>
      </c>
      <c r="BB602" s="1">
        <f>IFERROR(__xludf.DUMMYFUNCTION("""COMPUTED_VALUE"""),0.0)</f>
        <v>0</v>
      </c>
      <c r="BC602" s="4">
        <f>IFERROR(__xludf.DUMMYFUNCTION("""COMPUTED_VALUE"""),0.0)</f>
        <v>0</v>
      </c>
      <c r="BD602" s="4">
        <f>IFERROR(__xludf.DUMMYFUNCTION("""COMPUTED_VALUE"""),650.0)</f>
        <v>650</v>
      </c>
      <c r="BE602" s="1">
        <f>IFERROR(__xludf.DUMMYFUNCTION("""COMPUTED_VALUE"""),3.0)</f>
        <v>3</v>
      </c>
      <c r="BF602" s="6">
        <f>IFERROR(__xludf.DUMMYFUNCTION("""COMPUTED_VALUE"""),1.0)</f>
        <v>1</v>
      </c>
      <c r="BG602" s="1">
        <f>IFERROR(__xludf.DUMMYFUNCTION("""COMPUTED_VALUE"""),1.0)</f>
        <v>1</v>
      </c>
      <c r="BH602" s="1" t="str">
        <f>IFERROR(__xludf.DUMMYFUNCTION("""COMPUTED_VALUE"""),"0")</f>
        <v>0</v>
      </c>
      <c r="BI602" s="4">
        <f>IFERROR(__xludf.DUMMYFUNCTION("""COMPUTED_VALUE"""),650.0)</f>
        <v>650</v>
      </c>
      <c r="BJ602" s="1">
        <f>IFERROR(__xludf.DUMMYFUNCTION("""COMPUTED_VALUE"""),0.0)</f>
        <v>0</v>
      </c>
      <c r="BK602" s="4">
        <f>IFERROR(__xludf.DUMMYFUNCTION("""COMPUTED_VALUE"""),650.0)</f>
        <v>650</v>
      </c>
      <c r="BL602" s="1">
        <f>IFERROR(__xludf.DUMMYFUNCTION("""COMPUTED_VALUE"""),1020.0)</f>
        <v>1020</v>
      </c>
      <c r="BM602" s="1">
        <f>IFERROR(__xludf.DUMMYFUNCTION("""COMPUTED_VALUE"""),12.0)</f>
        <v>12</v>
      </c>
      <c r="BN602" s="2">
        <f>IFERROR(__xludf.DUMMYFUNCTION("""COMPUTED_VALUE"""),45733.0)</f>
        <v>45733</v>
      </c>
      <c r="BO602" s="1">
        <f>IFERROR(__xludf.DUMMYFUNCTION("""COMPUTED_VALUE"""),3.0)</f>
        <v>3</v>
      </c>
      <c r="BP602" s="1">
        <f>IFERROR(__xludf.DUMMYFUNCTION("""COMPUTED_VALUE"""),2025.0)</f>
        <v>2025</v>
      </c>
    </row>
    <row r="603">
      <c r="A603" s="1">
        <f>IFERROR(__xludf.DUMMYFUNCTION("""COMPUTED_VALUE"""),602.0)</f>
        <v>602</v>
      </c>
      <c r="B603" s="1">
        <f>IFERROR(__xludf.DUMMYFUNCTION("""COMPUTED_VALUE"""),1029760.0)</f>
        <v>1029760</v>
      </c>
      <c r="C603" s="1" t="str">
        <f>IFERROR(__xludf.DUMMYFUNCTION("""COMPUTED_VALUE"""),"2025-1")</f>
        <v>2025-1</v>
      </c>
      <c r="D603" s="1" t="str">
        <f>IFERROR(__xludf.DUMMYFUNCTION("""COMPUTED_VALUE"""),"Admisión Ordinaria")</f>
        <v>Admisión Ordinaria</v>
      </c>
      <c r="E603" s="2">
        <f>IFERROR(__xludf.DUMMYFUNCTION("""COMPUTED_VALUE"""),45736.0)</f>
        <v>45736</v>
      </c>
      <c r="F603" s="1" t="str">
        <f>IFERROR(__xludf.DUMMYFUNCTION("""COMPUTED_VALUE"""),"OMAR ALEXANDER")</f>
        <v>OMAR ALEXANDER</v>
      </c>
      <c r="G603" s="1" t="str">
        <f>IFERROR(__xludf.DUMMYFUNCTION("""COMPUTED_VALUE"""),"MARTOS MIRANDA")</f>
        <v>MARTOS MIRANDA</v>
      </c>
      <c r="H603" s="1" t="str">
        <f>IFERROR(__xludf.DUMMYFUNCTION("""COMPUTED_VALUE"""),"Comunicación y Publicidad Transmedia")</f>
        <v>Comunicación y Publicidad Transmedia</v>
      </c>
      <c r="I603" s="1" t="str">
        <f>IFERROR(__xludf.DUMMYFUNCTION("""COMPUTED_VALUE"""),"CARGO")</f>
        <v>CARGO</v>
      </c>
      <c r="J603" s="1" t="str">
        <f>IFERROR(__xludf.DUMMYFUNCTION("""COMPUTED_VALUE"""),"Diurno")</f>
        <v>Diurno</v>
      </c>
      <c r="K603" s="1" t="str">
        <f>IFERROR(__xludf.DUMMYFUNCTION("""COMPUTED_VALUE"""),"TRASLADO")</f>
        <v>TRASLADO</v>
      </c>
      <c r="L603" s="1">
        <f>IFERROR(__xludf.DUMMYFUNCTION("""COMPUTED_VALUE"""),0.0)</f>
        <v>0</v>
      </c>
      <c r="M603" s="1">
        <f>IFERROR(__xludf.DUMMYFUNCTION("""COMPUTED_VALUE"""),0.0)</f>
        <v>0</v>
      </c>
      <c r="N603" s="1" t="str">
        <f>IFERROR(__xludf.DUMMYFUNCTION("""COMPUTED_VALUE"""),"BECA")</f>
        <v>BECA</v>
      </c>
      <c r="O603" s="1" t="str">
        <f>IFERROR(__xludf.DUMMYFUNCTION("""COMPUTED_VALUE"""),"BECA CARRERAS CORE")</f>
        <v>BECA CARRERAS CORE</v>
      </c>
      <c r="P603" s="4">
        <f>IFERROR(__xludf.DUMMYFUNCTION("""COMPUTED_VALUE"""),0.0)</f>
        <v>0</v>
      </c>
      <c r="Q603" s="4">
        <f>IFERROR(__xludf.DUMMYFUNCTION("""COMPUTED_VALUE"""),0.0)</f>
        <v>0</v>
      </c>
      <c r="R603" s="4">
        <f>IFERROR(__xludf.DUMMYFUNCTION("""COMPUTED_VALUE"""),1250.0)</f>
        <v>1250</v>
      </c>
      <c r="S603" s="4">
        <f>IFERROR(__xludf.DUMMYFUNCTION("""COMPUTED_VALUE"""),900.0)</f>
        <v>900</v>
      </c>
      <c r="T603" s="1" t="str">
        <f>IFERROR(__xludf.DUMMYFUNCTION("""COMPUTED_VALUE"""),"NINGUNO")</f>
        <v>NINGUNO</v>
      </c>
      <c r="U603" s="1"/>
      <c r="V603" s="1" t="str">
        <f>IFERROR(__xludf.DUMMYFUNCTION("""COMPUTED_VALUE"""),"Ninguno")</f>
        <v>Ninguno</v>
      </c>
      <c r="W603" s="1" t="str">
        <f>IFERROR(__xludf.DUMMYFUNCTION("""COMPUTED_VALUE"""),"Malla curricular")</f>
        <v>Malla curricular</v>
      </c>
      <c r="X603" s="1"/>
      <c r="Y603" s="1" t="str">
        <f>IFERROR(__xludf.DUMMYFUNCTION("""COMPUTED_VALUE"""),"PAGO FRACCIONADO")</f>
        <v>PAGO FRACCIONADO</v>
      </c>
      <c r="Z603" s="1">
        <f>IFERROR(__xludf.DUMMYFUNCTION("""COMPUTED_VALUE"""),550.0)</f>
        <v>550</v>
      </c>
      <c r="AA603" s="1"/>
      <c r="AB603" s="1">
        <f>IFERROR(__xludf.DUMMYFUNCTION("""COMPUTED_VALUE"""),0.0)</f>
        <v>0</v>
      </c>
      <c r="AC603" s="1">
        <f>IFERROR(__xludf.DUMMYFUNCTION("""COMPUTED_VALUE"""),0.0)</f>
        <v>0</v>
      </c>
      <c r="AD603" s="1" t="str">
        <f>IFERROR(__xludf.DUMMYFUNCTION("""COMPUTED_VALUE"""),"Rosa Ugarte")</f>
        <v>Rosa Ugarte</v>
      </c>
      <c r="AE603" s="1" t="str">
        <f>IFERROR(__xludf.DUMMYFUNCTION("""COMPUTED_VALUE"""),"0")</f>
        <v>0</v>
      </c>
      <c r="AF603" s="1">
        <f>IFERROR(__xludf.DUMMYFUNCTION("""COMPUTED_VALUE"""),2011.0)</f>
        <v>2011</v>
      </c>
      <c r="AG603" s="1">
        <f>IFERROR(__xludf.DUMMYFUNCTION("""COMPUTED_VALUE"""),0.0)</f>
        <v>0</v>
      </c>
      <c r="AH603" s="1">
        <f>IFERROR(__xludf.DUMMYFUNCTION("""COMPUTED_VALUE"""),30.0)</f>
        <v>30</v>
      </c>
      <c r="AI603" s="1" t="str">
        <f>IFERROR(__xludf.DUMMYFUNCTION("""COMPUTED_VALUE"""),"0000028351")</f>
        <v>0000028351</v>
      </c>
      <c r="AJ603" s="1">
        <f>IFERROR(__xludf.DUMMYFUNCTION("""COMPUTED_VALUE"""),7.6282386E7)</f>
        <v>76282386</v>
      </c>
      <c r="AK603" s="1">
        <f>IFERROR(__xludf.DUMMYFUNCTION("""COMPUTED_VALUE"""),9.15194165E8)</f>
        <v>915194165</v>
      </c>
      <c r="AL603" s="1" t="str">
        <f>IFERROR(__xludf.DUMMYFUNCTION("""COMPUTED_VALUE"""),"Alexr-8-10@hotmail.com")</f>
        <v>Alexr-8-10@hotmail.com</v>
      </c>
      <c r="AM603" s="1" t="str">
        <f>IFERROR(__xludf.DUMMYFUNCTION("""COMPUTED_VALUE"""),"MASCULINO")</f>
        <v>MASCULINO</v>
      </c>
      <c r="AN603" s="1">
        <f>IFERROR(__xludf.DUMMYFUNCTION("""COMPUTED_VALUE"""),1350.0)</f>
        <v>1350</v>
      </c>
      <c r="AO603" s="1">
        <f>IFERROR(__xludf.DUMMYFUNCTION("""COMPUTED_VALUE"""),0.0)</f>
        <v>0</v>
      </c>
      <c r="AP603" s="1" t="str">
        <f>IFERROR(__xludf.DUMMYFUNCTION("""COMPUTED_VALUE"""),"BIDIRECCIONAL")</f>
        <v>BIDIRECCIONAL</v>
      </c>
      <c r="AQ603" s="1" t="str">
        <f>IFERROR(__xludf.DUMMYFUNCTION("""COMPUTED_VALUE"""),"ORGANICO")</f>
        <v>ORGANICO</v>
      </c>
      <c r="AR603" s="1" t="str">
        <f>IFERROR(__xludf.DUMMYFUNCTION("""COMPUTED_VALUE"""),"HEREDADO")</f>
        <v>HEREDADO</v>
      </c>
      <c r="AS603" s="1"/>
      <c r="AT603" s="2">
        <f>IFERROR(__xludf.DUMMYFUNCTION("""COMPUTED_VALUE"""),45728.0)</f>
        <v>45728</v>
      </c>
      <c r="AU603" s="1">
        <f>IFERROR(__xludf.DUMMYFUNCTION("""COMPUTED_VALUE"""),1.0)</f>
        <v>1</v>
      </c>
      <c r="AV603" s="1" t="str">
        <f>IFERROR(__xludf.DUMMYFUNCTION("""COMPUTED_VALUE"""),"NUEVO")</f>
        <v>NUEVO</v>
      </c>
      <c r="AW603" s="1" t="str">
        <f>IFERROR(__xludf.DUMMYFUNCTION("""COMPUTED_VALUE"""),"SI")</f>
        <v>SI</v>
      </c>
      <c r="AX603" s="1"/>
      <c r="AY603" s="1" t="str">
        <f>IFERROR(__xludf.DUMMYFUNCTION("""COMPUTED_VALUE"""),"PAGO COMPLETO")</f>
        <v>PAGO COMPLETO</v>
      </c>
      <c r="AZ603" s="5">
        <f>IFERROR(__xludf.DUMMYFUNCTION("""COMPUTED_VALUE"""),45736.0)</f>
        <v>45736</v>
      </c>
      <c r="BA603" s="1">
        <f>IFERROR(__xludf.DUMMYFUNCTION("""COMPUTED_VALUE"""),350.0)</f>
        <v>350</v>
      </c>
      <c r="BB603" s="1">
        <f>IFERROR(__xludf.DUMMYFUNCTION("""COMPUTED_VALUE"""),0.0)</f>
        <v>0</v>
      </c>
      <c r="BC603" s="4">
        <f>IFERROR(__xludf.DUMMYFUNCTION("""COMPUTED_VALUE"""),0.0)</f>
        <v>0</v>
      </c>
      <c r="BD603" s="4">
        <f>IFERROR(__xludf.DUMMYFUNCTION("""COMPUTED_VALUE"""),0.0)</f>
        <v>0</v>
      </c>
      <c r="BE603" s="1">
        <f>IFERROR(__xludf.DUMMYFUNCTION("""COMPUTED_VALUE"""),3.0)</f>
        <v>3</v>
      </c>
      <c r="BF603" s="6">
        <f>IFERROR(__xludf.DUMMYFUNCTION("""COMPUTED_VALUE"""),1.0)</f>
        <v>1</v>
      </c>
      <c r="BG603" s="1">
        <f>IFERROR(__xludf.DUMMYFUNCTION("""COMPUTED_VALUE"""),1.0)</f>
        <v>1</v>
      </c>
      <c r="BH603" s="1" t="str">
        <f>IFERROR(__xludf.DUMMYFUNCTION("""COMPUTED_VALUE"""),"0")</f>
        <v>0</v>
      </c>
      <c r="BI603" s="4">
        <f>IFERROR(__xludf.DUMMYFUNCTION("""COMPUTED_VALUE"""),900.0)</f>
        <v>900</v>
      </c>
      <c r="BJ603" s="1">
        <f>IFERROR(__xludf.DUMMYFUNCTION("""COMPUTED_VALUE"""),0.0)</f>
        <v>0</v>
      </c>
      <c r="BK603" s="4">
        <f>IFERROR(__xludf.DUMMYFUNCTION("""COMPUTED_VALUE"""),0.0)</f>
        <v>0</v>
      </c>
      <c r="BL603" s="1">
        <f>IFERROR(__xludf.DUMMYFUNCTION("""COMPUTED_VALUE"""),900.0)</f>
        <v>900</v>
      </c>
      <c r="BM603" s="1">
        <f>IFERROR(__xludf.DUMMYFUNCTION("""COMPUTED_VALUE"""),12.0)</f>
        <v>12</v>
      </c>
      <c r="BN603" s="2">
        <f>IFERROR(__xludf.DUMMYFUNCTION("""COMPUTED_VALUE"""),45733.0)</f>
        <v>45733</v>
      </c>
      <c r="BO603" s="1">
        <f>IFERROR(__xludf.DUMMYFUNCTION("""COMPUTED_VALUE"""),3.0)</f>
        <v>3</v>
      </c>
      <c r="BP603" s="1">
        <f>IFERROR(__xludf.DUMMYFUNCTION("""COMPUTED_VALUE"""),2025.0)</f>
        <v>2025</v>
      </c>
    </row>
    <row r="604">
      <c r="A604" s="1">
        <f>IFERROR(__xludf.DUMMYFUNCTION("""COMPUTED_VALUE"""),603.0)</f>
        <v>603</v>
      </c>
      <c r="B604" s="1">
        <f>IFERROR(__xludf.DUMMYFUNCTION("""COMPUTED_VALUE"""),5090174.0)</f>
        <v>5090174</v>
      </c>
      <c r="C604" s="1" t="str">
        <f>IFERROR(__xludf.DUMMYFUNCTION("""COMPUTED_VALUE"""),"2025-1")</f>
        <v>2025-1</v>
      </c>
      <c r="D604" s="1" t="str">
        <f>IFERROR(__xludf.DUMMYFUNCTION("""COMPUTED_VALUE"""),"Admisión de Alto Rendimiento")</f>
        <v>Admisión de Alto Rendimiento</v>
      </c>
      <c r="E604" s="2">
        <f>IFERROR(__xludf.DUMMYFUNCTION("""COMPUTED_VALUE"""),45736.0)</f>
        <v>45736</v>
      </c>
      <c r="F604" s="1" t="str">
        <f>IFERROR(__xludf.DUMMYFUNCTION("""COMPUTED_VALUE"""),"SANTIAGO GABRIEL")</f>
        <v>SANTIAGO GABRIEL</v>
      </c>
      <c r="G604" s="1" t="str">
        <f>IFERROR(__xludf.DUMMYFUNCTION("""COMPUTED_VALUE"""),"CASTRO ALVINO")</f>
        <v>CASTRO ALVINO</v>
      </c>
      <c r="H604" s="1" t="str">
        <f>IFERROR(__xludf.DUMMYFUNCTION("""COMPUTED_VALUE"""),"Comunicación y Publicidad Transmedia")</f>
        <v>Comunicación y Publicidad Transmedia</v>
      </c>
      <c r="I604" s="1" t="str">
        <f>IFERROR(__xludf.DUMMYFUNCTION("""COMPUTED_VALUE"""),"Pago Link")</f>
        <v>Pago Link</v>
      </c>
      <c r="J604" s="1" t="str">
        <f>IFERROR(__xludf.DUMMYFUNCTION("""COMPUTED_VALUE"""),"Diurno")</f>
        <v>Diurno</v>
      </c>
      <c r="K604" s="1" t="str">
        <f>IFERROR(__xludf.DUMMYFUNCTION("""COMPUTED_VALUE"""),"NUEVO")</f>
        <v>NUEVO</v>
      </c>
      <c r="L604" s="1">
        <f>IFERROR(__xludf.DUMMYFUNCTION("""COMPUTED_VALUE"""),0.0)</f>
        <v>0</v>
      </c>
      <c r="M604" s="1">
        <f>IFERROR(__xludf.DUMMYFUNCTION("""COMPUTED_VALUE"""),0.0)</f>
        <v>0</v>
      </c>
      <c r="N604" s="1" t="str">
        <f>IFERROR(__xludf.DUMMYFUNCTION("""COMPUTED_VALUE"""),"RECA")</f>
        <v>RECA</v>
      </c>
      <c r="O604" s="1" t="str">
        <f>IFERROR(__xludf.DUMMYFUNCTION("""COMPUTED_VALUE"""),"RECATEGORIZACIÓN")</f>
        <v>RECATEGORIZACIÓN</v>
      </c>
      <c r="P604" s="4">
        <f>IFERROR(__xludf.DUMMYFUNCTION("""COMPUTED_VALUE"""),0.0)</f>
        <v>0</v>
      </c>
      <c r="Q604" s="4">
        <f>IFERROR(__xludf.DUMMYFUNCTION("""COMPUTED_VALUE"""),0.0)</f>
        <v>0</v>
      </c>
      <c r="R604" s="4">
        <f>IFERROR(__xludf.DUMMYFUNCTION("""COMPUTED_VALUE"""),1400.0)</f>
        <v>1400</v>
      </c>
      <c r="S604" s="4">
        <f>IFERROR(__xludf.DUMMYFUNCTION("""COMPUTED_VALUE"""),1400.0)</f>
        <v>1400</v>
      </c>
      <c r="T604" s="1" t="str">
        <f>IFERROR(__xludf.DUMMYFUNCTION("""COMPUTED_VALUE"""),"NINGUNO")</f>
        <v>NINGUNO</v>
      </c>
      <c r="U604" s="1" t="str">
        <f>IFERROR(__xludf.DUMMYFUNCTION("""COMPUTED_VALUE"""),"RODRIGO")</f>
        <v>RODRIGO</v>
      </c>
      <c r="V604" s="1" t="str">
        <f>IFERROR(__xludf.DUMMYFUNCTION("""COMPUTED_VALUE"""),"Ninguno")</f>
        <v>Ninguno</v>
      </c>
      <c r="W604" s="1" t="str">
        <f>IFERROR(__xludf.DUMMYFUNCTION("""COMPUTED_VALUE"""),"Beca")</f>
        <v>Beca</v>
      </c>
      <c r="X604" s="1"/>
      <c r="Y604" s="1" t="str">
        <f>IFERROR(__xludf.DUMMYFUNCTION("""COMPUTED_VALUE"""),"PAGO COMPLETO")</f>
        <v>PAGO COMPLETO</v>
      </c>
      <c r="Z604" s="1"/>
      <c r="AA604" s="1"/>
      <c r="AB604" s="1">
        <f>IFERROR(__xludf.DUMMYFUNCTION("""COMPUTED_VALUE"""),0.0)</f>
        <v>0</v>
      </c>
      <c r="AC604" s="1">
        <f>IFERROR(__xludf.DUMMYFUNCTION("""COMPUTED_VALUE"""),0.0)</f>
        <v>0</v>
      </c>
      <c r="AD604" s="1" t="str">
        <f>IFERROR(__xludf.DUMMYFUNCTION("""COMPUTED_VALUE"""),"Erwyn Terie Vital Avila")</f>
        <v>Erwyn Terie Vital Avila</v>
      </c>
      <c r="AE604" s="1" t="str">
        <f>IFERROR(__xludf.DUMMYFUNCTION("""COMPUTED_VALUE"""),"0")</f>
        <v>0</v>
      </c>
      <c r="AF604" s="1">
        <f>IFERROR(__xludf.DUMMYFUNCTION("""COMPUTED_VALUE"""),2024.0)</f>
        <v>2024</v>
      </c>
      <c r="AG604" s="1">
        <f>IFERROR(__xludf.DUMMYFUNCTION("""COMPUTED_VALUE"""),1787654.0)</f>
        <v>1787654</v>
      </c>
      <c r="AH604" s="1">
        <f>IFERROR(__xludf.DUMMYFUNCTION("""COMPUTED_VALUE"""),17.0)</f>
        <v>17</v>
      </c>
      <c r="AI604" s="1" t="str">
        <f>IFERROR(__xludf.DUMMYFUNCTION("""COMPUTED_VALUE"""),"0000420418")</f>
        <v>0000420418</v>
      </c>
      <c r="AJ604" s="1">
        <f>IFERROR(__xludf.DUMMYFUNCTION("""COMPUTED_VALUE"""),7.1192408E7)</f>
        <v>71192408</v>
      </c>
      <c r="AK604" s="1">
        <f>IFERROR(__xludf.DUMMYFUNCTION("""COMPUTED_VALUE"""),9.63895391E8)</f>
        <v>963895391</v>
      </c>
      <c r="AL604" s="1" t="str">
        <f>IFERROR(__xludf.DUMMYFUNCTION("""COMPUTED_VALUE"""),"skeescontact@gmail.com")</f>
        <v>skeescontact@gmail.com</v>
      </c>
      <c r="AM604" s="1" t="str">
        <f>IFERROR(__xludf.DUMMYFUNCTION("""COMPUTED_VALUE"""),"MASCULINO")</f>
        <v>MASCULINO</v>
      </c>
      <c r="AN604" s="1">
        <f>IFERROR(__xludf.DUMMYFUNCTION("""COMPUTED_VALUE"""),1850.0)</f>
        <v>1850</v>
      </c>
      <c r="AO604" s="1">
        <f>IFERROR(__xludf.DUMMYFUNCTION("""COMPUTED_VALUE"""),780.0)</f>
        <v>780</v>
      </c>
      <c r="AP604" s="1" t="str">
        <f>IFERROR(__xludf.DUMMYFUNCTION("""COMPUTED_VALUE"""),"COLEGIOS")</f>
        <v>COLEGIOS</v>
      </c>
      <c r="AQ604" s="1" t="str">
        <f>IFERROR(__xludf.DUMMYFUNCTION("""COMPUTED_VALUE"""),"COLEGIOS")</f>
        <v>COLEGIOS</v>
      </c>
      <c r="AR604" s="1" t="str">
        <f>IFERROR(__xludf.DUMMYFUNCTION("""COMPUTED_VALUE"""),"HEREDADO")</f>
        <v>HEREDADO</v>
      </c>
      <c r="AS604" s="1"/>
      <c r="AT604" s="2">
        <f>IFERROR(__xludf.DUMMYFUNCTION("""COMPUTED_VALUE"""),45558.0)</f>
        <v>45558</v>
      </c>
      <c r="AU604" s="1">
        <f>IFERROR(__xludf.DUMMYFUNCTION("""COMPUTED_VALUE"""),1.0)</f>
        <v>1</v>
      </c>
      <c r="AV604" s="1" t="str">
        <f>IFERROR(__xludf.DUMMYFUNCTION("""COMPUTED_VALUE"""),"NUEVO")</f>
        <v>NUEVO</v>
      </c>
      <c r="AW604" s="1" t="str">
        <f>IFERROR(__xludf.DUMMYFUNCTION("""COMPUTED_VALUE"""),"SI")</f>
        <v>SI</v>
      </c>
      <c r="AX604" s="1"/>
      <c r="AY604" s="1" t="str">
        <f>IFERROR(__xludf.DUMMYFUNCTION("""COMPUTED_VALUE"""),"PAGO COMPLETO")</f>
        <v>PAGO COMPLETO</v>
      </c>
      <c r="AZ604" s="5">
        <f>IFERROR(__xludf.DUMMYFUNCTION("""COMPUTED_VALUE"""),45736.0)</f>
        <v>45736</v>
      </c>
      <c r="BA604" s="1">
        <f>IFERROR(__xludf.DUMMYFUNCTION("""COMPUTED_VALUE"""),0.0)</f>
        <v>0</v>
      </c>
      <c r="BB604" s="1">
        <f>IFERROR(__xludf.DUMMYFUNCTION("""COMPUTED_VALUE"""),0.0)</f>
        <v>0</v>
      </c>
      <c r="BC604" s="4">
        <f>IFERROR(__xludf.DUMMYFUNCTION("""COMPUTED_VALUE"""),0.0)</f>
        <v>0</v>
      </c>
      <c r="BD604" s="4">
        <f>IFERROR(__xludf.DUMMYFUNCTION("""COMPUTED_VALUE"""),0.0)</f>
        <v>0</v>
      </c>
      <c r="BE604" s="1">
        <f>IFERROR(__xludf.DUMMYFUNCTION("""COMPUTED_VALUE"""),3.0)</f>
        <v>3</v>
      </c>
      <c r="BF604" s="6">
        <f>IFERROR(__xludf.DUMMYFUNCTION("""COMPUTED_VALUE"""),1.0)</f>
        <v>1</v>
      </c>
      <c r="BG604" s="1">
        <f>IFERROR(__xludf.DUMMYFUNCTION("""COMPUTED_VALUE"""),1.0)</f>
        <v>1</v>
      </c>
      <c r="BH604" s="1" t="str">
        <f>IFERROR(__xludf.DUMMYFUNCTION("""COMPUTED_VALUE"""),"0")</f>
        <v>0</v>
      </c>
      <c r="BI604" s="4">
        <f>IFERROR(__xludf.DUMMYFUNCTION("""COMPUTED_VALUE"""),0.0)</f>
        <v>0</v>
      </c>
      <c r="BJ604" s="1">
        <f>IFERROR(__xludf.DUMMYFUNCTION("""COMPUTED_VALUE"""),0.0)</f>
        <v>0</v>
      </c>
      <c r="BK604" s="4">
        <f>IFERROR(__xludf.DUMMYFUNCTION("""COMPUTED_VALUE"""),0.0)</f>
        <v>0</v>
      </c>
      <c r="BL604" s="1">
        <f>IFERROR(__xludf.DUMMYFUNCTION("""COMPUTED_VALUE"""),1400.0)</f>
        <v>1400</v>
      </c>
      <c r="BM604" s="1">
        <f>IFERROR(__xludf.DUMMYFUNCTION("""COMPUTED_VALUE"""),12.0)</f>
        <v>12</v>
      </c>
      <c r="BN604" s="2">
        <f>IFERROR(__xludf.DUMMYFUNCTION("""COMPUTED_VALUE"""),45733.0)</f>
        <v>45733</v>
      </c>
      <c r="BO604" s="1">
        <f>IFERROR(__xludf.DUMMYFUNCTION("""COMPUTED_VALUE"""),3.0)</f>
        <v>3</v>
      </c>
      <c r="BP604" s="1">
        <f>IFERROR(__xludf.DUMMYFUNCTION("""COMPUTED_VALUE"""),2025.0)</f>
        <v>2025</v>
      </c>
    </row>
    <row r="605">
      <c r="A605" s="1">
        <f>IFERROR(__xludf.DUMMYFUNCTION("""COMPUTED_VALUE"""),604.0)</f>
        <v>604</v>
      </c>
      <c r="B605" s="1">
        <f>IFERROR(__xludf.DUMMYFUNCTION("""COMPUTED_VALUE"""),5075941.0)</f>
        <v>5075941</v>
      </c>
      <c r="C605" s="1" t="str">
        <f>IFERROR(__xludf.DUMMYFUNCTION("""COMPUTED_VALUE"""),"2025-1")</f>
        <v>2025-1</v>
      </c>
      <c r="D605" s="1" t="str">
        <f>IFERROR(__xludf.DUMMYFUNCTION("""COMPUTED_VALUE"""),"Admisión de Alto Rendimiento")</f>
        <v>Admisión de Alto Rendimiento</v>
      </c>
      <c r="E605" s="2">
        <f>IFERROR(__xludf.DUMMYFUNCTION("""COMPUTED_VALUE"""),45736.0)</f>
        <v>45736</v>
      </c>
      <c r="F605" s="1" t="str">
        <f>IFERROR(__xludf.DUMMYFUNCTION("""COMPUTED_VALUE"""),"LEONARDO CALEB")</f>
        <v>LEONARDO CALEB</v>
      </c>
      <c r="G605" s="1" t="str">
        <f>IFERROR(__xludf.DUMMYFUNCTION("""COMPUTED_VALUE"""),"AZURIN DUARTE")</f>
        <v>AZURIN DUARTE</v>
      </c>
      <c r="H605" s="1" t="str">
        <f>IFERROR(__xludf.DUMMYFUNCTION("""COMPUTED_VALUE"""),"Diseño Gráfico Publicitario")</f>
        <v>Diseño Gráfico Publicitario</v>
      </c>
      <c r="I605" s="1" t="str">
        <f>IFERROR(__xludf.DUMMYFUNCTION("""COMPUTED_VALUE"""),"POS")</f>
        <v>POS</v>
      </c>
      <c r="J605" s="1" t="str">
        <f>IFERROR(__xludf.DUMMYFUNCTION("""COMPUTED_VALUE"""),"Diurno")</f>
        <v>Diurno</v>
      </c>
      <c r="K605" s="1" t="str">
        <f>IFERROR(__xludf.DUMMYFUNCTION("""COMPUTED_VALUE"""),"NUEVO")</f>
        <v>NUEVO</v>
      </c>
      <c r="L605" s="1">
        <f>IFERROR(__xludf.DUMMYFUNCTION("""COMPUTED_VALUE"""),0.0)</f>
        <v>0</v>
      </c>
      <c r="M605" s="1">
        <f>IFERROR(__xludf.DUMMYFUNCTION("""COMPUTED_VALUE"""),0.0)</f>
        <v>0</v>
      </c>
      <c r="N605" s="1" t="str">
        <f>IFERROR(__xludf.DUMMYFUNCTION("""COMPUTED_VALUE"""),"BECA")</f>
        <v>BECA</v>
      </c>
      <c r="O605" s="1" t="str">
        <f>IFERROR(__xludf.DUMMYFUNCTION("""COMPUTED_VALUE"""),"BECA RECUPERO")</f>
        <v>BECA RECUPERO</v>
      </c>
      <c r="P605" s="4">
        <f>IFERROR(__xludf.DUMMYFUNCTION("""COMPUTED_VALUE"""),0.0)</f>
        <v>0</v>
      </c>
      <c r="Q605" s="4">
        <f>IFERROR(__xludf.DUMMYFUNCTION("""COMPUTED_VALUE"""),0.0)</f>
        <v>0</v>
      </c>
      <c r="R605" s="4">
        <f>IFERROR(__xludf.DUMMYFUNCTION("""COMPUTED_VALUE"""),950.0)</f>
        <v>950</v>
      </c>
      <c r="S605" s="4">
        <f>IFERROR(__xludf.DUMMYFUNCTION("""COMPUTED_VALUE"""),800.0)</f>
        <v>800</v>
      </c>
      <c r="T605" s="1" t="str">
        <f>IFERROR(__xludf.DUMMYFUNCTION("""COMPUTED_VALUE"""),"PALANCA 500")</f>
        <v>PALANCA 500</v>
      </c>
      <c r="U605" s="1" t="str">
        <f>IFERROR(__xludf.DUMMYFUNCTION("""COMPUTED_VALUE"""),"RODRIGO")</f>
        <v>RODRIGO</v>
      </c>
      <c r="V605" s="1" t="str">
        <f>IFERROR(__xludf.DUMMYFUNCTION("""COMPUTED_VALUE"""),"Ninguno")</f>
        <v>Ninguno</v>
      </c>
      <c r="W605" s="1" t="str">
        <f>IFERROR(__xludf.DUMMYFUNCTION("""COMPUTED_VALUE"""),"Malla curricular")</f>
        <v>Malla curricular</v>
      </c>
      <c r="X605" s="1"/>
      <c r="Y605" s="1" t="str">
        <f>IFERROR(__xludf.DUMMYFUNCTION("""COMPUTED_VALUE"""),"PAGO COMPLETO")</f>
        <v>PAGO COMPLETO</v>
      </c>
      <c r="Z605" s="1"/>
      <c r="AA605" s="1"/>
      <c r="AB605" s="1">
        <f>IFERROR(__xludf.DUMMYFUNCTION("""COMPUTED_VALUE"""),0.0)</f>
        <v>0</v>
      </c>
      <c r="AC605" s="1">
        <f>IFERROR(__xludf.DUMMYFUNCTION("""COMPUTED_VALUE"""),0.0)</f>
        <v>0</v>
      </c>
      <c r="AD605" s="1" t="str">
        <f>IFERROR(__xludf.DUMMYFUNCTION("""COMPUTED_VALUE"""),"Angelica Iparraguirre")</f>
        <v>Angelica Iparraguirre</v>
      </c>
      <c r="AE605" s="1" t="str">
        <f>IFERROR(__xludf.DUMMYFUNCTION("""COMPUTED_VALUE"""),"0")</f>
        <v>0</v>
      </c>
      <c r="AF605" s="1">
        <f>IFERROR(__xludf.DUMMYFUNCTION("""COMPUTED_VALUE"""),2024.0)</f>
        <v>2024</v>
      </c>
      <c r="AG605" s="1">
        <f>IFERROR(__xludf.DUMMYFUNCTION("""COMPUTED_VALUE"""),1783604.0)</f>
        <v>1783604</v>
      </c>
      <c r="AH605" s="1">
        <f>IFERROR(__xludf.DUMMYFUNCTION("""COMPUTED_VALUE"""),18.0)</f>
        <v>18</v>
      </c>
      <c r="AI605" s="1" t="str">
        <f>IFERROR(__xludf.DUMMYFUNCTION("""COMPUTED_VALUE"""),"0000420567")</f>
        <v>0000420567</v>
      </c>
      <c r="AJ605" s="1">
        <f>IFERROR(__xludf.DUMMYFUNCTION("""COMPUTED_VALUE"""),7.6011719E7)</f>
        <v>76011719</v>
      </c>
      <c r="AK605" s="1">
        <f>IFERROR(__xludf.DUMMYFUNCTION("""COMPUTED_VALUE"""),9.02987967E8)</f>
        <v>902987967</v>
      </c>
      <c r="AL605" s="1" t="str">
        <f>IFERROR(__xludf.DUMMYFUNCTION("""COMPUTED_VALUE"""),"lazurinduarte15@gmail.com")</f>
        <v>lazurinduarte15@gmail.com</v>
      </c>
      <c r="AM605" s="1" t="str">
        <f>IFERROR(__xludf.DUMMYFUNCTION("""COMPUTED_VALUE"""),"MASCULINO")</f>
        <v>MASCULINO</v>
      </c>
      <c r="AN605" s="1">
        <f>IFERROR(__xludf.DUMMYFUNCTION("""COMPUTED_VALUE"""),1350.0)</f>
        <v>1350</v>
      </c>
      <c r="AO605" s="1">
        <f>IFERROR(__xludf.DUMMYFUNCTION("""COMPUTED_VALUE"""),0.0)</f>
        <v>0</v>
      </c>
      <c r="AP605" s="1" t="str">
        <f>IFERROR(__xludf.DUMMYFUNCTION("""COMPUTED_VALUE"""),"FORMULARIO")</f>
        <v>FORMULARIO</v>
      </c>
      <c r="AQ605" s="1" t="str">
        <f>IFERROR(__xludf.DUMMYFUNCTION("""COMPUTED_VALUE"""),"SEARCH MARCA")</f>
        <v>SEARCH MARCA</v>
      </c>
      <c r="AR605" s="1" t="str">
        <f>IFERROR(__xludf.DUMMYFUNCTION("""COMPUTED_VALUE"""),"NUEVO")</f>
        <v>NUEVO</v>
      </c>
      <c r="AS605" s="1" t="str">
        <f>IFERROR(__xludf.DUMMYFUNCTION("""COMPUTED_VALUE"""),"ucal-pg-performance-sedes-abierta-cpl-search_conversion_marca_carreras-20240702")</f>
        <v>ucal-pg-performance-sedes-abierta-cpl-search_conversion_marca_carreras-20240702</v>
      </c>
      <c r="AT605" s="2">
        <f>IFERROR(__xludf.DUMMYFUNCTION("""COMPUTED_VALUE"""),45728.0)</f>
        <v>45728</v>
      </c>
      <c r="AU605" s="1">
        <f>IFERROR(__xludf.DUMMYFUNCTION("""COMPUTED_VALUE"""),1.0)</f>
        <v>1</v>
      </c>
      <c r="AV605" s="1" t="str">
        <f>IFERROR(__xludf.DUMMYFUNCTION("""COMPUTED_VALUE"""),"NUEVO")</f>
        <v>NUEVO</v>
      </c>
      <c r="AW605" s="1" t="str">
        <f>IFERROR(__xludf.DUMMYFUNCTION("""COMPUTED_VALUE"""),"SI")</f>
        <v>SI</v>
      </c>
      <c r="AX605" s="1"/>
      <c r="AY605" s="1" t="str">
        <f>IFERROR(__xludf.DUMMYFUNCTION("""COMPUTED_VALUE"""),"PAGO COMPLETO")</f>
        <v>PAGO COMPLETO</v>
      </c>
      <c r="AZ605" s="5">
        <f>IFERROR(__xludf.DUMMYFUNCTION("""COMPUTED_VALUE"""),45736.0)</f>
        <v>45736</v>
      </c>
      <c r="BA605" s="1">
        <f>IFERROR(__xludf.DUMMYFUNCTION("""COMPUTED_VALUE"""),0.0)</f>
        <v>0</v>
      </c>
      <c r="BB605" s="1">
        <f>IFERROR(__xludf.DUMMYFUNCTION("""COMPUTED_VALUE"""),0.0)</f>
        <v>0</v>
      </c>
      <c r="BC605" s="4">
        <f>IFERROR(__xludf.DUMMYFUNCTION("""COMPUTED_VALUE"""),0.0)</f>
        <v>0</v>
      </c>
      <c r="BD605" s="4">
        <f>IFERROR(__xludf.DUMMYFUNCTION("""COMPUTED_VALUE"""),300.0)</f>
        <v>300</v>
      </c>
      <c r="BE605" s="1">
        <f>IFERROR(__xludf.DUMMYFUNCTION("""COMPUTED_VALUE"""),3.0)</f>
        <v>3</v>
      </c>
      <c r="BF605" s="6">
        <f>IFERROR(__xludf.DUMMYFUNCTION("""COMPUTED_VALUE"""),1.0)</f>
        <v>1</v>
      </c>
      <c r="BG605" s="1">
        <f>IFERROR(__xludf.DUMMYFUNCTION("""COMPUTED_VALUE"""),1.0)</f>
        <v>1</v>
      </c>
      <c r="BH605" s="1" t="str">
        <f>IFERROR(__xludf.DUMMYFUNCTION("""COMPUTED_VALUE"""),"0")</f>
        <v>0</v>
      </c>
      <c r="BI605" s="4">
        <f>IFERROR(__xludf.DUMMYFUNCTION("""COMPUTED_VALUE"""),300.0)</f>
        <v>300</v>
      </c>
      <c r="BJ605" s="1">
        <f>IFERROR(__xludf.DUMMYFUNCTION("""COMPUTED_VALUE"""),0.0)</f>
        <v>0</v>
      </c>
      <c r="BK605" s="4">
        <f>IFERROR(__xludf.DUMMYFUNCTION("""COMPUTED_VALUE"""),300.0)</f>
        <v>300</v>
      </c>
      <c r="BL605" s="1">
        <f>IFERROR(__xludf.DUMMYFUNCTION("""COMPUTED_VALUE"""),740.0)</f>
        <v>740</v>
      </c>
      <c r="BM605" s="1">
        <f>IFERROR(__xludf.DUMMYFUNCTION("""COMPUTED_VALUE"""),12.0)</f>
        <v>12</v>
      </c>
      <c r="BN605" s="2">
        <f>IFERROR(__xludf.DUMMYFUNCTION("""COMPUTED_VALUE"""),45733.0)</f>
        <v>45733</v>
      </c>
      <c r="BO605" s="1">
        <f>IFERROR(__xludf.DUMMYFUNCTION("""COMPUTED_VALUE"""),3.0)</f>
        <v>3</v>
      </c>
      <c r="BP605" s="1">
        <f>IFERROR(__xludf.DUMMYFUNCTION("""COMPUTED_VALUE"""),2025.0)</f>
        <v>2025</v>
      </c>
    </row>
    <row r="606">
      <c r="A606" s="1">
        <f>IFERROR(__xludf.DUMMYFUNCTION("""COMPUTED_VALUE"""),605.0)</f>
        <v>605</v>
      </c>
      <c r="B606" s="1">
        <f>IFERROR(__xludf.DUMMYFUNCTION("""COMPUTED_VALUE"""),1879159.0)</f>
        <v>1879159</v>
      </c>
      <c r="C606" s="1" t="str">
        <f>IFERROR(__xludf.DUMMYFUNCTION("""COMPUTED_VALUE"""),"2025-1")</f>
        <v>2025-1</v>
      </c>
      <c r="D606" s="1" t="str">
        <f>IFERROR(__xludf.DUMMYFUNCTION("""COMPUTED_VALUE"""),"Admisión de Alto Rendimiento")</f>
        <v>Admisión de Alto Rendimiento</v>
      </c>
      <c r="E606" s="2">
        <f>IFERROR(__xludf.DUMMYFUNCTION("""COMPUTED_VALUE"""),45736.0)</f>
        <v>45736</v>
      </c>
      <c r="F606" s="1" t="str">
        <f>IFERROR(__xludf.DUMMYFUNCTION("""COMPUTED_VALUE"""),"FABRIZIO ")</f>
        <v>FABRIZIO </v>
      </c>
      <c r="G606" s="1" t="str">
        <f>IFERROR(__xludf.DUMMYFUNCTION("""COMPUTED_VALUE"""),"GUITTON BURGA")</f>
        <v>GUITTON BURGA</v>
      </c>
      <c r="H606" s="1" t="str">
        <f>IFERROR(__xludf.DUMMYFUNCTION("""COMPUTED_VALUE"""),"Arquitectura de Interiores")</f>
        <v>Arquitectura de Interiores</v>
      </c>
      <c r="I606" s="1" t="str">
        <f>IFERROR(__xludf.DUMMYFUNCTION("""COMPUTED_VALUE"""),"CARGO")</f>
        <v>CARGO</v>
      </c>
      <c r="J606" s="1" t="str">
        <f>IFERROR(__xludf.DUMMYFUNCTION("""COMPUTED_VALUE"""),"Diurno")</f>
        <v>Diurno</v>
      </c>
      <c r="K606" s="1" t="str">
        <f>IFERROR(__xludf.DUMMYFUNCTION("""COMPUTED_VALUE"""),"NUEVO")</f>
        <v>NUEVO</v>
      </c>
      <c r="L606" s="1">
        <f>IFERROR(__xludf.DUMMYFUNCTION("""COMPUTED_VALUE"""),0.0)</f>
        <v>0</v>
      </c>
      <c r="M606" s="1">
        <f>IFERROR(__xludf.DUMMYFUNCTION("""COMPUTED_VALUE"""),0.0)</f>
        <v>0</v>
      </c>
      <c r="N606" s="1" t="str">
        <f>IFERROR(__xludf.DUMMYFUNCTION("""COMPUTED_VALUE"""),"RECA")</f>
        <v>RECA</v>
      </c>
      <c r="O606" s="1" t="str">
        <f>IFERROR(__xludf.DUMMYFUNCTION("""COMPUTED_VALUE"""),"ESCALA  REG. CONGELADA 2 AÑOS")</f>
        <v>ESCALA  REG. CONGELADA 2 AÑOS</v>
      </c>
      <c r="P606" s="4">
        <f>IFERROR(__xludf.DUMMYFUNCTION("""COMPUTED_VALUE"""),100.0)</f>
        <v>100</v>
      </c>
      <c r="Q606" s="4">
        <f>IFERROR(__xludf.DUMMYFUNCTION("""COMPUTED_VALUE"""),237.5)</f>
        <v>237.5</v>
      </c>
      <c r="R606" s="4">
        <f>IFERROR(__xludf.DUMMYFUNCTION("""COMPUTED_VALUE"""),1500.0)</f>
        <v>1500</v>
      </c>
      <c r="S606" s="4">
        <f>IFERROR(__xludf.DUMMYFUNCTION("""COMPUTED_VALUE"""),1500.0)</f>
        <v>1500</v>
      </c>
      <c r="T606" s="1" t="str">
        <f>IFERROR(__xludf.DUMMYFUNCTION("""COMPUTED_VALUE"""),"NINGUNO")</f>
        <v>NINGUNO</v>
      </c>
      <c r="U606" s="1" t="str">
        <f>IFERROR(__xludf.DUMMYFUNCTION("""COMPUTED_VALUE"""),"RODRIGO")</f>
        <v>RODRIGO</v>
      </c>
      <c r="V606" s="1" t="str">
        <f>IFERROR(__xludf.DUMMYFUNCTION("""COMPUTED_VALUE"""),"Ninguno")</f>
        <v>Ninguno</v>
      </c>
      <c r="W606" s="1" t="str">
        <f>IFERROR(__xludf.DUMMYFUNCTION("""COMPUTED_VALUE"""),"Ubicación de sede")</f>
        <v>Ubicación de sede</v>
      </c>
      <c r="X606" s="1"/>
      <c r="Y606" s="1" t="str">
        <f>IFERROR(__xludf.DUMMYFUNCTION("""COMPUTED_VALUE"""),"PAGO COMPLETO")</f>
        <v>PAGO COMPLETO</v>
      </c>
      <c r="Z606" s="1"/>
      <c r="AA606" s="1"/>
      <c r="AB606" s="1">
        <f>IFERROR(__xludf.DUMMYFUNCTION("""COMPUTED_VALUE"""),0.0)</f>
        <v>0</v>
      </c>
      <c r="AC606" s="1">
        <f>IFERROR(__xludf.DUMMYFUNCTION("""COMPUTED_VALUE"""),0.0)</f>
        <v>0</v>
      </c>
      <c r="AD606" s="1" t="str">
        <f>IFERROR(__xludf.DUMMYFUNCTION("""COMPUTED_VALUE"""),"Sergio Valderrama Rodriguez")</f>
        <v>Sergio Valderrama Rodriguez</v>
      </c>
      <c r="AE606" s="1" t="str">
        <f>IFERROR(__xludf.DUMMYFUNCTION("""COMPUTED_VALUE"""),"0")</f>
        <v>0</v>
      </c>
      <c r="AF606" s="1">
        <f>IFERROR(__xludf.DUMMYFUNCTION("""COMPUTED_VALUE"""),2024.0)</f>
        <v>2024</v>
      </c>
      <c r="AG606" s="1">
        <f>IFERROR(__xludf.DUMMYFUNCTION("""COMPUTED_VALUE"""),1188101.0)</f>
        <v>1188101</v>
      </c>
      <c r="AH606" s="1">
        <f>IFERROR(__xludf.DUMMYFUNCTION("""COMPUTED_VALUE"""),18.0)</f>
        <v>18</v>
      </c>
      <c r="AI606" s="1" t="str">
        <f>IFERROR(__xludf.DUMMYFUNCTION("""COMPUTED_VALUE"""),"0000041925")</f>
        <v>0000041925</v>
      </c>
      <c r="AJ606" s="1">
        <f>IFERROR(__xludf.DUMMYFUNCTION("""COMPUTED_VALUE"""),7.0950679E7)</f>
        <v>70950679</v>
      </c>
      <c r="AK606" s="1">
        <f>IFERROR(__xludf.DUMMYFUNCTION("""COMPUTED_VALUE"""),9.98297446E8)</f>
        <v>998297446</v>
      </c>
      <c r="AL606" s="1" t="str">
        <f>IFERROR(__xludf.DUMMYFUNCTION("""COMPUTED_VALUE"""),"brittburga@gmail.com")</f>
        <v>brittburga@gmail.com</v>
      </c>
      <c r="AM606" s="1" t="str">
        <f>IFERROR(__xludf.DUMMYFUNCTION("""COMPUTED_VALUE"""),"MASCULINO")</f>
        <v>MASCULINO</v>
      </c>
      <c r="AN606" s="1">
        <f>IFERROR(__xludf.DUMMYFUNCTION("""COMPUTED_VALUE"""),3200.0)</f>
        <v>3200</v>
      </c>
      <c r="AO606" s="1">
        <f>IFERROR(__xludf.DUMMYFUNCTION("""COMPUTED_VALUE"""),2100.0)</f>
        <v>2100</v>
      </c>
      <c r="AP606" s="1" t="str">
        <f>IFERROR(__xludf.DUMMYFUNCTION("""COMPUTED_VALUE"""),"OUTBOUND")</f>
        <v>OUTBOUND</v>
      </c>
      <c r="AQ606" s="1" t="str">
        <f>IFERROR(__xludf.DUMMYFUNCTION("""COMPUTED_VALUE"""),"OUTBOUND")</f>
        <v>OUTBOUND</v>
      </c>
      <c r="AR606" s="1" t="str">
        <f>IFERROR(__xludf.DUMMYFUNCTION("""COMPUTED_VALUE"""),"NUEVO")</f>
        <v>NUEVO</v>
      </c>
      <c r="AS606" s="1"/>
      <c r="AT606" s="2">
        <f>IFERROR(__xludf.DUMMYFUNCTION("""COMPUTED_VALUE"""),45712.0)</f>
        <v>45712</v>
      </c>
      <c r="AU606" s="1">
        <f>IFERROR(__xludf.DUMMYFUNCTION("""COMPUTED_VALUE"""),1.0)</f>
        <v>1</v>
      </c>
      <c r="AV606" s="1" t="str">
        <f>IFERROR(__xludf.DUMMYFUNCTION("""COMPUTED_VALUE"""),"NUEVO")</f>
        <v>NUEVO</v>
      </c>
      <c r="AW606" s="1" t="str">
        <f>IFERROR(__xludf.DUMMYFUNCTION("""COMPUTED_VALUE"""),"SI")</f>
        <v>SI</v>
      </c>
      <c r="AX606" s="1"/>
      <c r="AY606" s="1" t="str">
        <f>IFERROR(__xludf.DUMMYFUNCTION("""COMPUTED_VALUE"""),"PAGO COMPLETO")</f>
        <v>PAGO COMPLETO</v>
      </c>
      <c r="AZ606" s="5">
        <f>IFERROR(__xludf.DUMMYFUNCTION("""COMPUTED_VALUE"""),45736.0)</f>
        <v>45736</v>
      </c>
      <c r="BA606" s="1">
        <f>IFERROR(__xludf.DUMMYFUNCTION("""COMPUTED_VALUE"""),0.0)</f>
        <v>0</v>
      </c>
      <c r="BB606" s="1">
        <f>IFERROR(__xludf.DUMMYFUNCTION("""COMPUTED_VALUE"""),0.0)</f>
        <v>0</v>
      </c>
      <c r="BC606" s="4">
        <f>IFERROR(__xludf.DUMMYFUNCTION("""COMPUTED_VALUE"""),0.0)</f>
        <v>0</v>
      </c>
      <c r="BD606" s="4">
        <f>IFERROR(__xludf.DUMMYFUNCTION("""COMPUTED_VALUE"""),0.0)</f>
        <v>0</v>
      </c>
      <c r="BE606" s="1">
        <f>IFERROR(__xludf.DUMMYFUNCTION("""COMPUTED_VALUE"""),3.0)</f>
        <v>3</v>
      </c>
      <c r="BF606" s="6">
        <f>IFERROR(__xludf.DUMMYFUNCTION("""COMPUTED_VALUE"""),1.0)</f>
        <v>1</v>
      </c>
      <c r="BG606" s="1">
        <f>IFERROR(__xludf.DUMMYFUNCTION("""COMPUTED_VALUE"""),1.0)</f>
        <v>1</v>
      </c>
      <c r="BH606" s="1" t="str">
        <f>IFERROR(__xludf.DUMMYFUNCTION("""COMPUTED_VALUE"""),"0")</f>
        <v>0</v>
      </c>
      <c r="BI606" s="4">
        <f>IFERROR(__xludf.DUMMYFUNCTION("""COMPUTED_VALUE"""),0.0)</f>
        <v>0</v>
      </c>
      <c r="BJ606" s="1">
        <f>IFERROR(__xludf.DUMMYFUNCTION("""COMPUTED_VALUE"""),0.0)</f>
        <v>0</v>
      </c>
      <c r="BK606" s="4">
        <f>IFERROR(__xludf.DUMMYFUNCTION("""COMPUTED_VALUE"""),0.0)</f>
        <v>0</v>
      </c>
      <c r="BL606" s="1">
        <f>IFERROR(__xludf.DUMMYFUNCTION("""COMPUTED_VALUE"""),1500.0)</f>
        <v>1500</v>
      </c>
      <c r="BM606" s="1">
        <f>IFERROR(__xludf.DUMMYFUNCTION("""COMPUTED_VALUE"""),12.0)</f>
        <v>12</v>
      </c>
      <c r="BN606" s="2">
        <f>IFERROR(__xludf.DUMMYFUNCTION("""COMPUTED_VALUE"""),45733.0)</f>
        <v>45733</v>
      </c>
      <c r="BO606" s="1">
        <f>IFERROR(__xludf.DUMMYFUNCTION("""COMPUTED_VALUE"""),3.0)</f>
        <v>3</v>
      </c>
      <c r="BP606" s="1">
        <f>IFERROR(__xludf.DUMMYFUNCTION("""COMPUTED_VALUE"""),2025.0)</f>
        <v>2025</v>
      </c>
    </row>
    <row r="607">
      <c r="A607" s="1">
        <f>IFERROR(__xludf.DUMMYFUNCTION("""COMPUTED_VALUE"""),606.0)</f>
        <v>606</v>
      </c>
      <c r="B607" s="1">
        <f>IFERROR(__xludf.DUMMYFUNCTION("""COMPUTED_VALUE"""),4786063.0)</f>
        <v>4786063</v>
      </c>
      <c r="C607" s="1" t="str">
        <f>IFERROR(__xludf.DUMMYFUNCTION("""COMPUTED_VALUE"""),"2025-1")</f>
        <v>2025-1</v>
      </c>
      <c r="D607" s="1" t="str">
        <f>IFERROR(__xludf.DUMMYFUNCTION("""COMPUTED_VALUE"""),"Admisión de Alto Rendimiento")</f>
        <v>Admisión de Alto Rendimiento</v>
      </c>
      <c r="E607" s="2">
        <f>IFERROR(__xludf.DUMMYFUNCTION("""COMPUTED_VALUE"""),45737.0)</f>
        <v>45737</v>
      </c>
      <c r="F607" s="1" t="str">
        <f>IFERROR(__xludf.DUMMYFUNCTION("""COMPUTED_VALUE"""),"ALDAIR ANDRE ")</f>
        <v>ALDAIR ANDRE </v>
      </c>
      <c r="G607" s="1" t="str">
        <f>IFERROR(__xludf.DUMMYFUNCTION("""COMPUTED_VALUE"""),"QUILCA QUISPE")</f>
        <v>QUILCA QUISPE</v>
      </c>
      <c r="H607" s="1" t="str">
        <f>IFERROR(__xludf.DUMMYFUNCTION("""COMPUTED_VALUE"""),"Diseño Gráfico Publicitario")</f>
        <v>Diseño Gráfico Publicitario</v>
      </c>
      <c r="I607" s="1" t="str">
        <f>IFERROR(__xludf.DUMMYFUNCTION("""COMPUTED_VALUE"""),"CARGO")</f>
        <v>CARGO</v>
      </c>
      <c r="J607" s="1" t="str">
        <f>IFERROR(__xludf.DUMMYFUNCTION("""COMPUTED_VALUE"""),"Diurno")</f>
        <v>Diurno</v>
      </c>
      <c r="K607" s="1" t="str">
        <f>IFERROR(__xludf.DUMMYFUNCTION("""COMPUTED_VALUE"""),"NUEVO")</f>
        <v>NUEVO</v>
      </c>
      <c r="L607" s="1">
        <f>IFERROR(__xludf.DUMMYFUNCTION("""COMPUTED_VALUE"""),0.0)</f>
        <v>0</v>
      </c>
      <c r="M607" s="1">
        <f>IFERROR(__xludf.DUMMYFUNCTION("""COMPUTED_VALUE"""),0.0)</f>
        <v>0</v>
      </c>
      <c r="N607" s="1" t="str">
        <f>IFERROR(__xludf.DUMMYFUNCTION("""COMPUTED_VALUE"""),"BECA")</f>
        <v>BECA</v>
      </c>
      <c r="O607" s="1" t="str">
        <f>IFERROR(__xludf.DUMMYFUNCTION("""COMPUTED_VALUE"""),"BECA RECUPERO")</f>
        <v>BECA RECUPERO</v>
      </c>
      <c r="P607" s="4">
        <f>IFERROR(__xludf.DUMMYFUNCTION("""COMPUTED_VALUE"""),0.0)</f>
        <v>0</v>
      </c>
      <c r="Q607" s="4">
        <f>IFERROR(__xludf.DUMMYFUNCTION("""COMPUTED_VALUE"""),0.0)</f>
        <v>0</v>
      </c>
      <c r="R607" s="4">
        <f>IFERROR(__xludf.DUMMYFUNCTION("""COMPUTED_VALUE"""),950.0)</f>
        <v>950</v>
      </c>
      <c r="S607" s="4">
        <f>IFERROR(__xludf.DUMMYFUNCTION("""COMPUTED_VALUE"""),800.0)</f>
        <v>800</v>
      </c>
      <c r="T607" s="1" t="str">
        <f>IFERROR(__xludf.DUMMYFUNCTION("""COMPUTED_VALUE"""),"PALANCA 500")</f>
        <v>PALANCA 500</v>
      </c>
      <c r="U607" s="1"/>
      <c r="V607" s="1" t="str">
        <f>IFERROR(__xludf.DUMMYFUNCTION("""COMPUTED_VALUE"""),"Ninguno")</f>
        <v>Ninguno</v>
      </c>
      <c r="W607" s="1" t="str">
        <f>IFERROR(__xludf.DUMMYFUNCTION("""COMPUTED_VALUE"""),"Malla curricular")</f>
        <v>Malla curricular</v>
      </c>
      <c r="X607" s="1" t="str">
        <f>IFERROR(__xludf.DUMMYFUNCTION("""COMPUTED_VALUE"""),"Le gusta la universidad")</f>
        <v>Le gusta la universidad</v>
      </c>
      <c r="Y607" s="1" t="str">
        <f>IFERROR(__xludf.DUMMYFUNCTION("""COMPUTED_VALUE"""),"PAGO COMPLETO")</f>
        <v>PAGO COMPLETO</v>
      </c>
      <c r="Z607" s="1"/>
      <c r="AA607" s="1"/>
      <c r="AB607" s="1">
        <f>IFERROR(__xludf.DUMMYFUNCTION("""COMPUTED_VALUE"""),1.0)</f>
        <v>1</v>
      </c>
      <c r="AC607" s="1">
        <f>IFERROR(__xludf.DUMMYFUNCTION("""COMPUTED_VALUE"""),0.0)</f>
        <v>0</v>
      </c>
      <c r="AD607" s="1" t="str">
        <f>IFERROR(__xludf.DUMMYFUNCTION("""COMPUTED_VALUE"""),"Daniel Zapata")</f>
        <v>Daniel Zapata</v>
      </c>
      <c r="AE607" s="1" t="str">
        <f>IFERROR(__xludf.DUMMYFUNCTION("""COMPUTED_VALUE"""),"0")</f>
        <v>0</v>
      </c>
      <c r="AF607" s="1">
        <f>IFERROR(__xludf.DUMMYFUNCTION("""COMPUTED_VALUE"""),2024.0)</f>
        <v>2024</v>
      </c>
      <c r="AG607" s="1">
        <f>IFERROR(__xludf.DUMMYFUNCTION("""COMPUTED_VALUE"""),1070804.0)</f>
        <v>1070804</v>
      </c>
      <c r="AH607" s="1">
        <f>IFERROR(__xludf.DUMMYFUNCTION("""COMPUTED_VALUE"""),18.0)</f>
        <v>18</v>
      </c>
      <c r="AI607" s="1" t="str">
        <f>IFERROR(__xludf.DUMMYFUNCTION("""COMPUTED_VALUE"""),"0000420712")</f>
        <v>0000420712</v>
      </c>
      <c r="AJ607" s="1">
        <f>IFERROR(__xludf.DUMMYFUNCTION("""COMPUTED_VALUE"""),6.2156415E7)</f>
        <v>62156415</v>
      </c>
      <c r="AK607" s="1">
        <f>IFERROR(__xludf.DUMMYFUNCTION("""COMPUTED_VALUE"""),9.73289018E8)</f>
        <v>973289018</v>
      </c>
      <c r="AL607" s="1" t="str">
        <f>IFERROR(__xludf.DUMMYFUNCTION("""COMPUTED_VALUE"""),"qaldairandre@gmail.com")</f>
        <v>qaldairandre@gmail.com</v>
      </c>
      <c r="AM607" s="1" t="str">
        <f>IFERROR(__xludf.DUMMYFUNCTION("""COMPUTED_VALUE"""),"MASCULINO")</f>
        <v>MASCULINO</v>
      </c>
      <c r="AN607" s="1">
        <f>IFERROR(__xludf.DUMMYFUNCTION("""COMPUTED_VALUE"""),0.0)</f>
        <v>0</v>
      </c>
      <c r="AO607" s="1">
        <f>IFERROR(__xludf.DUMMYFUNCTION("""COMPUTED_VALUE"""),0.0)</f>
        <v>0</v>
      </c>
      <c r="AP607" s="1" t="str">
        <f>IFERROR(__xludf.DUMMYFUNCTION("""COMPUTED_VALUE"""),"COLEGIOS")</f>
        <v>COLEGIOS</v>
      </c>
      <c r="AQ607" s="1" t="str">
        <f>IFERROR(__xludf.DUMMYFUNCTION("""COMPUTED_VALUE"""),"COLEGIOS")</f>
        <v>COLEGIOS</v>
      </c>
      <c r="AR607" s="1" t="str">
        <f>IFERROR(__xludf.DUMMYFUNCTION("""COMPUTED_VALUE"""),"NUEVO")</f>
        <v>NUEVO</v>
      </c>
      <c r="AS607" s="1"/>
      <c r="AT607" s="2">
        <f>IFERROR(__xludf.DUMMYFUNCTION("""COMPUTED_VALUE"""),45600.0)</f>
        <v>45600</v>
      </c>
      <c r="AU607" s="1">
        <f>IFERROR(__xludf.DUMMYFUNCTION("""COMPUTED_VALUE"""),1.0)</f>
        <v>1</v>
      </c>
      <c r="AV607" s="1" t="str">
        <f>IFERROR(__xludf.DUMMYFUNCTION("""COMPUTED_VALUE"""),"NUEVO")</f>
        <v>NUEVO</v>
      </c>
      <c r="AW607" s="1" t="str">
        <f>IFERROR(__xludf.DUMMYFUNCTION("""COMPUTED_VALUE"""),"SI")</f>
        <v>SI</v>
      </c>
      <c r="AX607" s="1"/>
      <c r="AY607" s="1" t="str">
        <f>IFERROR(__xludf.DUMMYFUNCTION("""COMPUTED_VALUE"""),"PAGO COMPLETO")</f>
        <v>PAGO COMPLETO</v>
      </c>
      <c r="AZ607" s="5">
        <f>IFERROR(__xludf.DUMMYFUNCTION("""COMPUTED_VALUE"""),45737.0)</f>
        <v>45737</v>
      </c>
      <c r="BA607" s="1">
        <f>IFERROR(__xludf.DUMMYFUNCTION("""COMPUTED_VALUE"""),0.0)</f>
        <v>0</v>
      </c>
      <c r="BB607" s="1">
        <f>IFERROR(__xludf.DUMMYFUNCTION("""COMPUTED_VALUE"""),0.0)</f>
        <v>0</v>
      </c>
      <c r="BC607" s="4">
        <f>IFERROR(__xludf.DUMMYFUNCTION("""COMPUTED_VALUE"""),0.0)</f>
        <v>0</v>
      </c>
      <c r="BD607" s="4">
        <f>IFERROR(__xludf.DUMMYFUNCTION("""COMPUTED_VALUE"""),300.0)</f>
        <v>300</v>
      </c>
      <c r="BE607" s="1">
        <f>IFERROR(__xludf.DUMMYFUNCTION("""COMPUTED_VALUE"""),3.0)</f>
        <v>3</v>
      </c>
      <c r="BF607" s="6">
        <f>IFERROR(__xludf.DUMMYFUNCTION("""COMPUTED_VALUE"""),1.0)</f>
        <v>1</v>
      </c>
      <c r="BG607" s="1">
        <f>IFERROR(__xludf.DUMMYFUNCTION("""COMPUTED_VALUE"""),1.0)</f>
        <v>1</v>
      </c>
      <c r="BH607" s="1" t="str">
        <f>IFERROR(__xludf.DUMMYFUNCTION("""COMPUTED_VALUE"""),"0")</f>
        <v>0</v>
      </c>
      <c r="BI607" s="4">
        <f>IFERROR(__xludf.DUMMYFUNCTION("""COMPUTED_VALUE"""),300.0)</f>
        <v>300</v>
      </c>
      <c r="BJ607" s="1">
        <f>IFERROR(__xludf.DUMMYFUNCTION("""COMPUTED_VALUE"""),0.0)</f>
        <v>0</v>
      </c>
      <c r="BK607" s="4">
        <f>IFERROR(__xludf.DUMMYFUNCTION("""COMPUTED_VALUE"""),300.0)</f>
        <v>300</v>
      </c>
      <c r="BL607" s="1">
        <f>IFERROR(__xludf.DUMMYFUNCTION("""COMPUTED_VALUE"""),740.0)</f>
        <v>740</v>
      </c>
      <c r="BM607" s="1">
        <f>IFERROR(__xludf.DUMMYFUNCTION("""COMPUTED_VALUE"""),12.0)</f>
        <v>12</v>
      </c>
      <c r="BN607" s="2">
        <f>IFERROR(__xludf.DUMMYFUNCTION("""COMPUTED_VALUE"""),45733.0)</f>
        <v>45733</v>
      </c>
      <c r="BO607" s="1">
        <f>IFERROR(__xludf.DUMMYFUNCTION("""COMPUTED_VALUE"""),3.0)</f>
        <v>3</v>
      </c>
      <c r="BP607" s="1">
        <f>IFERROR(__xludf.DUMMYFUNCTION("""COMPUTED_VALUE"""),2025.0)</f>
        <v>2025</v>
      </c>
    </row>
    <row r="608">
      <c r="A608" s="1">
        <f>IFERROR(__xludf.DUMMYFUNCTION("""COMPUTED_VALUE"""),607.0)</f>
        <v>607</v>
      </c>
      <c r="B608" s="1">
        <f>IFERROR(__xludf.DUMMYFUNCTION("""COMPUTED_VALUE"""),4987192.0)</f>
        <v>4987192</v>
      </c>
      <c r="C608" s="1" t="str">
        <f>IFERROR(__xludf.DUMMYFUNCTION("""COMPUTED_VALUE"""),"2025-1")</f>
        <v>2025-1</v>
      </c>
      <c r="D608" s="1" t="str">
        <f>IFERROR(__xludf.DUMMYFUNCTION("""COMPUTED_VALUE"""),"Admisión Extraordinaria (Traslados)")</f>
        <v>Admisión Extraordinaria (Traslados)</v>
      </c>
      <c r="E608" s="2">
        <f>IFERROR(__xludf.DUMMYFUNCTION("""COMPUTED_VALUE"""),45737.0)</f>
        <v>45737</v>
      </c>
      <c r="F608" s="1" t="str">
        <f>IFERROR(__xludf.DUMMYFUNCTION("""COMPUTED_VALUE"""),"RENZO HENRY ")</f>
        <v>RENZO HENRY </v>
      </c>
      <c r="G608" s="1" t="str">
        <f>IFERROR(__xludf.DUMMYFUNCTION("""COMPUTED_VALUE"""),"TICONA OTÁLORA")</f>
        <v>TICONA OTÁLORA</v>
      </c>
      <c r="H608" s="1" t="str">
        <f>IFERROR(__xludf.DUMMYFUNCTION("""COMPUTED_VALUE"""),"Comunicación Audiovisual y Cine")</f>
        <v>Comunicación Audiovisual y Cine</v>
      </c>
      <c r="I608" s="1" t="str">
        <f>IFERROR(__xludf.DUMMYFUNCTION("""COMPUTED_VALUE"""),"CARGO")</f>
        <v>CARGO</v>
      </c>
      <c r="J608" s="1" t="str">
        <f>IFERROR(__xludf.DUMMYFUNCTION("""COMPUTED_VALUE"""),"Diurno")</f>
        <v>Diurno</v>
      </c>
      <c r="K608" s="1" t="str">
        <f>IFERROR(__xludf.DUMMYFUNCTION("""COMPUTED_VALUE"""),"TRASLADO")</f>
        <v>TRASLADO</v>
      </c>
      <c r="L608" s="1">
        <f>IFERROR(__xludf.DUMMYFUNCTION("""COMPUTED_VALUE"""),1.0)</f>
        <v>1</v>
      </c>
      <c r="M608" s="1">
        <f>IFERROR(__xludf.DUMMYFUNCTION("""COMPUTED_VALUE"""),0.0)</f>
        <v>0</v>
      </c>
      <c r="N608" s="1" t="str">
        <f>IFERROR(__xludf.DUMMYFUNCTION("""COMPUTED_VALUE"""),"RECA")</f>
        <v>RECA</v>
      </c>
      <c r="O608" s="1" t="str">
        <f>IFERROR(__xludf.DUMMYFUNCTION("""COMPUTED_VALUE"""),"RECATEGORIZACIÓN")</f>
        <v>RECATEGORIZACIÓN</v>
      </c>
      <c r="P608" s="4">
        <f>IFERROR(__xludf.DUMMYFUNCTION("""COMPUTED_VALUE"""),0.0)</f>
        <v>0</v>
      </c>
      <c r="Q608" s="4">
        <f>IFERROR(__xludf.DUMMYFUNCTION("""COMPUTED_VALUE"""),0.0)</f>
        <v>0</v>
      </c>
      <c r="R608" s="4">
        <f>IFERROR(__xludf.DUMMYFUNCTION("""COMPUTED_VALUE"""),850.0)</f>
        <v>850</v>
      </c>
      <c r="S608" s="4">
        <f>IFERROR(__xludf.DUMMYFUNCTION("""COMPUTED_VALUE"""),850.0)</f>
        <v>850</v>
      </c>
      <c r="T608" s="1" t="str">
        <f>IFERROR(__xludf.DUMMYFUNCTION("""COMPUTED_VALUE"""),"NINGUNO")</f>
        <v>NINGUNO</v>
      </c>
      <c r="U608" s="1" t="str">
        <f>IFERROR(__xludf.DUMMYFUNCTION("""COMPUTED_VALUE"""),"RODRIGO")</f>
        <v>RODRIGO</v>
      </c>
      <c r="V608" s="1" t="str">
        <f>IFERROR(__xludf.DUMMYFUNCTION("""COMPUTED_VALUE"""),"Ninguno")</f>
        <v>Ninguno</v>
      </c>
      <c r="W608" s="1" t="str">
        <f>IFERROR(__xludf.DUMMYFUNCTION("""COMPUTED_VALUE"""),"Metodología de enseñanza")</f>
        <v>Metodología de enseñanza</v>
      </c>
      <c r="X608" s="1" t="str">
        <f>IFERROR(__xludf.DUMMYFUNCTION("""COMPUTED_VALUE"""),"viene de tls")</f>
        <v>viene de tls</v>
      </c>
      <c r="Y608" s="1" t="str">
        <f>IFERROR(__xludf.DUMMYFUNCTION("""COMPUTED_VALUE"""),"PAGO COMPLETO")</f>
        <v>PAGO COMPLETO</v>
      </c>
      <c r="Z608" s="1"/>
      <c r="AA608" s="1"/>
      <c r="AB608" s="1">
        <f>IFERROR(__xludf.DUMMYFUNCTION("""COMPUTED_VALUE"""),0.0)</f>
        <v>0</v>
      </c>
      <c r="AC608" s="1">
        <f>IFERROR(__xludf.DUMMYFUNCTION("""COMPUTED_VALUE"""),0.0)</f>
        <v>0</v>
      </c>
      <c r="AD608" s="1" t="str">
        <f>IFERROR(__xludf.DUMMYFUNCTION("""COMPUTED_VALUE"""),"Rosa Ugarte")</f>
        <v>Rosa Ugarte</v>
      </c>
      <c r="AE608" s="1" t="str">
        <f>IFERROR(__xludf.DUMMYFUNCTION("""COMPUTED_VALUE"""),"Instituto de Educación Superior Tecnológico Privado Toulouse Lautrec")</f>
        <v>Instituto de Educación Superior Tecnológico Privado Toulouse Lautrec</v>
      </c>
      <c r="AF608" s="1">
        <f>IFERROR(__xludf.DUMMYFUNCTION("""COMPUTED_VALUE"""),2021.0)</f>
        <v>2021</v>
      </c>
      <c r="AG608" s="1">
        <f>IFERROR(__xludf.DUMMYFUNCTION("""COMPUTED_VALUE"""),0.0)</f>
        <v>0</v>
      </c>
      <c r="AH608" s="1">
        <f>IFERROR(__xludf.DUMMYFUNCTION("""COMPUTED_VALUE"""),39.0)</f>
        <v>39</v>
      </c>
      <c r="AI608" s="1" t="str">
        <f>IFERROR(__xludf.DUMMYFUNCTION("""COMPUTED_VALUE"""),"2016000467")</f>
        <v>2016000467</v>
      </c>
      <c r="AJ608" s="1">
        <f>IFERROR(__xludf.DUMMYFUNCTION("""COMPUTED_VALUE"""),4.3716179E7)</f>
        <v>43716179</v>
      </c>
      <c r="AK608" s="1">
        <f>IFERROR(__xludf.DUMMYFUNCTION("""COMPUTED_VALUE"""),9.12151367E8)</f>
        <v>912151367</v>
      </c>
      <c r="AL608" s="1" t="str">
        <f>IFERROR(__xludf.DUMMYFUNCTION("""COMPUTED_VALUE"""),"renzohto@gmail.com")</f>
        <v>renzohto@gmail.com</v>
      </c>
      <c r="AM608" s="1" t="str">
        <f>IFERROR(__xludf.DUMMYFUNCTION("""COMPUTED_VALUE"""),"MASCULINO")</f>
        <v>MASCULINO</v>
      </c>
      <c r="AN608" s="1">
        <f>IFERROR(__xludf.DUMMYFUNCTION("""COMPUTED_VALUE"""),1525.0)</f>
        <v>1525</v>
      </c>
      <c r="AO608" s="1">
        <f>IFERROR(__xludf.DUMMYFUNCTION("""COMPUTED_VALUE"""),200.0)</f>
        <v>200</v>
      </c>
      <c r="AP608" s="1" t="str">
        <f>IFERROR(__xludf.DUMMYFUNCTION("""COMPUTED_VALUE"""),"BIDIRECCIONAL")</f>
        <v>BIDIRECCIONAL</v>
      </c>
      <c r="AQ608" s="1" t="str">
        <f>IFERROR(__xludf.DUMMYFUNCTION("""COMPUTED_VALUE"""),"NO SUFICIENCIA")</f>
        <v>NO SUFICIENCIA</v>
      </c>
      <c r="AR608" s="1" t="str">
        <f>IFERROR(__xludf.DUMMYFUNCTION("""COMPUTED_VALUE"""),"NUEVO")</f>
        <v>NUEVO</v>
      </c>
      <c r="AS608" s="1" t="str">
        <f>IFERROR(__xludf.DUMMYFUNCTION("""COMPUTED_VALUE"""),"ucal-pg-branding-sedes-demografico-cpm-alcance_branding_traslados-20241104")</f>
        <v>ucal-pg-branding-sedes-demografico-cpm-alcance_branding_traslados-20241104</v>
      </c>
      <c r="AT608" s="2">
        <f>IFERROR(__xludf.DUMMYFUNCTION("""COMPUTED_VALUE"""),45688.0)</f>
        <v>45688</v>
      </c>
      <c r="AU608" s="1">
        <f>IFERROR(__xludf.DUMMYFUNCTION("""COMPUTED_VALUE"""),1.0)</f>
        <v>1</v>
      </c>
      <c r="AV608" s="1" t="str">
        <f>IFERROR(__xludf.DUMMYFUNCTION("""COMPUTED_VALUE"""),"TRASLADO")</f>
        <v>TRASLADO</v>
      </c>
      <c r="AW608" s="1" t="str">
        <f>IFERROR(__xludf.DUMMYFUNCTION("""COMPUTED_VALUE"""),"SI")</f>
        <v>SI</v>
      </c>
      <c r="AX608" s="1"/>
      <c r="AY608" s="1" t="str">
        <f>IFERROR(__xludf.DUMMYFUNCTION("""COMPUTED_VALUE"""),"PAGO COMPLETO")</f>
        <v>PAGO COMPLETO</v>
      </c>
      <c r="AZ608" s="5">
        <f>IFERROR(__xludf.DUMMYFUNCTION("""COMPUTED_VALUE"""),45737.0)</f>
        <v>45737</v>
      </c>
      <c r="BA608" s="1">
        <f>IFERROR(__xludf.DUMMYFUNCTION("""COMPUTED_VALUE"""),0.0)</f>
        <v>0</v>
      </c>
      <c r="BB608" s="1">
        <f>IFERROR(__xludf.DUMMYFUNCTION("""COMPUTED_VALUE"""),0.0)</f>
        <v>0</v>
      </c>
      <c r="BC608" s="4">
        <f>IFERROR(__xludf.DUMMYFUNCTION("""COMPUTED_VALUE"""),0.0)</f>
        <v>0</v>
      </c>
      <c r="BD608" s="4">
        <f>IFERROR(__xludf.DUMMYFUNCTION("""COMPUTED_VALUE"""),0.0)</f>
        <v>0</v>
      </c>
      <c r="BE608" s="1">
        <f>IFERROR(__xludf.DUMMYFUNCTION("""COMPUTED_VALUE"""),3.0)</f>
        <v>3</v>
      </c>
      <c r="BF608" s="6">
        <f>IFERROR(__xludf.DUMMYFUNCTION("""COMPUTED_VALUE"""),1.0)</f>
        <v>1</v>
      </c>
      <c r="BG608" s="1">
        <f>IFERROR(__xludf.DUMMYFUNCTION("""COMPUTED_VALUE"""),1.0)</f>
        <v>1</v>
      </c>
      <c r="BH608" s="1" t="str">
        <f>IFERROR(__xludf.DUMMYFUNCTION("""COMPUTED_VALUE"""),"1")</f>
        <v>1</v>
      </c>
      <c r="BI608" s="4">
        <f>IFERROR(__xludf.DUMMYFUNCTION("""COMPUTED_VALUE"""),0.0)</f>
        <v>0</v>
      </c>
      <c r="BJ608" s="1">
        <f>IFERROR(__xludf.DUMMYFUNCTION("""COMPUTED_VALUE"""),0.0)</f>
        <v>0</v>
      </c>
      <c r="BK608" s="4">
        <f>IFERROR(__xludf.DUMMYFUNCTION("""COMPUTED_VALUE"""),0.0)</f>
        <v>0</v>
      </c>
      <c r="BL608" s="1">
        <f>IFERROR(__xludf.DUMMYFUNCTION("""COMPUTED_VALUE"""),850.0)</f>
        <v>850</v>
      </c>
      <c r="BM608" s="1">
        <f>IFERROR(__xludf.DUMMYFUNCTION("""COMPUTED_VALUE"""),12.0)</f>
        <v>12</v>
      </c>
      <c r="BN608" s="2">
        <f>IFERROR(__xludf.DUMMYFUNCTION("""COMPUTED_VALUE"""),45733.0)</f>
        <v>45733</v>
      </c>
      <c r="BO608" s="1">
        <f>IFERROR(__xludf.DUMMYFUNCTION("""COMPUTED_VALUE"""),3.0)</f>
        <v>3</v>
      </c>
      <c r="BP608" s="1">
        <f>IFERROR(__xludf.DUMMYFUNCTION("""COMPUTED_VALUE"""),2025.0)</f>
        <v>2025</v>
      </c>
    </row>
    <row r="609">
      <c r="A609" s="1">
        <f>IFERROR(__xludf.DUMMYFUNCTION("""COMPUTED_VALUE"""),608.0)</f>
        <v>608</v>
      </c>
      <c r="B609" s="1">
        <f>IFERROR(__xludf.DUMMYFUNCTION("""COMPUTED_VALUE"""),1903496.0)</f>
        <v>1903496</v>
      </c>
      <c r="C609" s="1" t="str">
        <f>IFERROR(__xludf.DUMMYFUNCTION("""COMPUTED_VALUE"""),"2025-1")</f>
        <v>2025-1</v>
      </c>
      <c r="D609" s="1" t="str">
        <f>IFERROR(__xludf.DUMMYFUNCTION("""COMPUTED_VALUE"""),"Admisión Ordinaria")</f>
        <v>Admisión Ordinaria</v>
      </c>
      <c r="E609" s="2">
        <f>IFERROR(__xludf.DUMMYFUNCTION("""COMPUTED_VALUE"""),45737.0)</f>
        <v>45737</v>
      </c>
      <c r="F609" s="1" t="str">
        <f>IFERROR(__xludf.DUMMYFUNCTION("""COMPUTED_VALUE"""),"JOSE IGNACIO ")</f>
        <v>JOSE IGNACIO </v>
      </c>
      <c r="G609" s="1" t="str">
        <f>IFERROR(__xludf.DUMMYFUNCTION("""COMPUTED_VALUE"""),"CORZO MORALES")</f>
        <v>CORZO MORALES</v>
      </c>
      <c r="H609" s="1" t="str">
        <f>IFERROR(__xludf.DUMMYFUNCTION("""COMPUTED_VALUE"""),"Administración y Negocios Internacionales")</f>
        <v>Administración y Negocios Internacionales</v>
      </c>
      <c r="I609" s="1" t="str">
        <f>IFERROR(__xludf.DUMMYFUNCTION("""COMPUTED_VALUE"""),"CARGO")</f>
        <v>CARGO</v>
      </c>
      <c r="J609" s="1" t="str">
        <f>IFERROR(__xludf.DUMMYFUNCTION("""COMPUTED_VALUE"""),"Diurno")</f>
        <v>Diurno</v>
      </c>
      <c r="K609" s="1" t="str">
        <f>IFERROR(__xludf.DUMMYFUNCTION("""COMPUTED_VALUE"""),"NUEVO")</f>
        <v>NUEVO</v>
      </c>
      <c r="L609" s="1">
        <f>IFERROR(__xludf.DUMMYFUNCTION("""COMPUTED_VALUE"""),0.0)</f>
        <v>0</v>
      </c>
      <c r="M609" s="1">
        <f>IFERROR(__xludf.DUMMYFUNCTION("""COMPUTED_VALUE"""),0.0)</f>
        <v>0</v>
      </c>
      <c r="N609" s="1" t="str">
        <f>IFERROR(__xludf.DUMMYFUNCTION("""COMPUTED_VALUE"""),"BECA")</f>
        <v>BECA</v>
      </c>
      <c r="O609" s="1" t="str">
        <f>IFERROR(__xludf.DUMMYFUNCTION("""COMPUTED_VALUE"""),"BECA CARRERAS NUEVAS")</f>
        <v>BECA CARRERAS NUEVAS</v>
      </c>
      <c r="P609" s="4">
        <f>IFERROR(__xludf.DUMMYFUNCTION("""COMPUTED_VALUE"""),125.0)</f>
        <v>125</v>
      </c>
      <c r="Q609" s="4">
        <f>IFERROR(__xludf.DUMMYFUNCTION("""COMPUTED_VALUE"""),237.5)</f>
        <v>237.5</v>
      </c>
      <c r="R609" s="4">
        <f>IFERROR(__xludf.DUMMYFUNCTION("""COMPUTED_VALUE"""),1250.0)</f>
        <v>1250</v>
      </c>
      <c r="S609" s="4">
        <f>IFERROR(__xludf.DUMMYFUNCTION("""COMPUTED_VALUE"""),1050.0)</f>
        <v>1050</v>
      </c>
      <c r="T609" s="1" t="str">
        <f>IFERROR(__xludf.DUMMYFUNCTION("""COMPUTED_VALUE"""),"PALANCA 500")</f>
        <v>PALANCA 500</v>
      </c>
      <c r="U609" s="1" t="str">
        <f>IFERROR(__xludf.DUMMYFUNCTION("""COMPUTED_VALUE"""),"FABIOLA")</f>
        <v>FABIOLA</v>
      </c>
      <c r="V609" s="1" t="str">
        <f>IFERROR(__xludf.DUMMYFUNCTION("""COMPUTED_VALUE"""),"Ninguno")</f>
        <v>Ninguno</v>
      </c>
      <c r="W609" s="1" t="str">
        <f>IFERROR(__xludf.DUMMYFUNCTION("""COMPUTED_VALUE"""),"Prestigio de la institución")</f>
        <v>Prestigio de la institución</v>
      </c>
      <c r="X609" s="1" t="str">
        <f>IFERROR(__xludf.DUMMYFUNCTION("""COMPUTED_VALUE"""),"0")</f>
        <v>0</v>
      </c>
      <c r="Y609" s="1" t="str">
        <f>IFERROR(__xludf.DUMMYFUNCTION("""COMPUTED_VALUE"""),"PAGO COMPLETO")</f>
        <v>PAGO COMPLETO</v>
      </c>
      <c r="Z609" s="1"/>
      <c r="AA609" s="1"/>
      <c r="AB609" s="1">
        <f>IFERROR(__xludf.DUMMYFUNCTION("""COMPUTED_VALUE"""),0.0)</f>
        <v>0</v>
      </c>
      <c r="AC609" s="1">
        <f>IFERROR(__xludf.DUMMYFUNCTION("""COMPUTED_VALUE"""),0.0)</f>
        <v>0</v>
      </c>
      <c r="AD609" s="1" t="str">
        <f>IFERROR(__xludf.DUMMYFUNCTION("""COMPUTED_VALUE"""),"Andrea Araujo Antara")</f>
        <v>Andrea Araujo Antara</v>
      </c>
      <c r="AE609" s="1" t="str">
        <f>IFERROR(__xludf.DUMMYFUNCTION("""COMPUTED_VALUE"""),"0")</f>
        <v>0</v>
      </c>
      <c r="AF609" s="1">
        <f>IFERROR(__xludf.DUMMYFUNCTION("""COMPUTED_VALUE"""),2015.0)</f>
        <v>2015</v>
      </c>
      <c r="AG609" s="1">
        <f>IFERROR(__xludf.DUMMYFUNCTION("""COMPUTED_VALUE"""),1539964.0)</f>
        <v>1539964</v>
      </c>
      <c r="AH609" s="1">
        <f>IFERROR(__xludf.DUMMYFUNCTION("""COMPUTED_VALUE"""),27.0)</f>
        <v>27</v>
      </c>
      <c r="AI609" s="1" t="str">
        <f>IFERROR(__xludf.DUMMYFUNCTION("""COMPUTED_VALUE"""),"0000420799")</f>
        <v>0000420799</v>
      </c>
      <c r="AJ609" s="1">
        <f>IFERROR(__xludf.DUMMYFUNCTION("""COMPUTED_VALUE"""),7.4945656E7)</f>
        <v>74945656</v>
      </c>
      <c r="AK609" s="1">
        <f>IFERROR(__xludf.DUMMYFUNCTION("""COMPUTED_VALUE"""),9.59976963E8)</f>
        <v>959976963</v>
      </c>
      <c r="AL609" s="1" t="str">
        <f>IFERROR(__xludf.DUMMYFUNCTION("""COMPUTED_VALUE"""),"cmnachocm@gmail.com")</f>
        <v>cmnachocm@gmail.com</v>
      </c>
      <c r="AM609" s="1" t="str">
        <f>IFERROR(__xludf.DUMMYFUNCTION("""COMPUTED_VALUE"""),"MASCULINO")</f>
        <v>MASCULINO</v>
      </c>
      <c r="AN609" s="1">
        <f>IFERROR(__xludf.DUMMYFUNCTION("""COMPUTED_VALUE"""),1525.0)</f>
        <v>1525</v>
      </c>
      <c r="AO609" s="1">
        <f>IFERROR(__xludf.DUMMYFUNCTION("""COMPUTED_VALUE"""),150.0)</f>
        <v>150</v>
      </c>
      <c r="AP609" s="1" t="str">
        <f>IFERROR(__xludf.DUMMYFUNCTION("""COMPUTED_VALUE"""),"FORMULARIO")</f>
        <v>FORMULARIO</v>
      </c>
      <c r="AQ609" s="1" t="str">
        <f>IFERROR(__xludf.DUMMYFUNCTION("""COMPUTED_VALUE"""),"SEARCH MARCA")</f>
        <v>SEARCH MARCA</v>
      </c>
      <c r="AR609" s="1" t="str">
        <f>IFERROR(__xludf.DUMMYFUNCTION("""COMPUTED_VALUE"""),"HEREDADO")</f>
        <v>HEREDADO</v>
      </c>
      <c r="AS609" s="1" t="str">
        <f>IFERROR(__xludf.DUMMYFUNCTION("""COMPUTED_VALUE"""),"ucal-pg-performance-sedes-abierta-cpl-search_conversion_marca-20240401")</f>
        <v>ucal-pg-performance-sedes-abierta-cpl-search_conversion_marca-20240401</v>
      </c>
      <c r="AT609" s="2">
        <f>IFERROR(__xludf.DUMMYFUNCTION("""COMPUTED_VALUE"""),45737.0)</f>
        <v>45737</v>
      </c>
      <c r="AU609" s="1">
        <f>IFERROR(__xludf.DUMMYFUNCTION("""COMPUTED_VALUE"""),1.0)</f>
        <v>1</v>
      </c>
      <c r="AV609" s="1" t="str">
        <f>IFERROR(__xludf.DUMMYFUNCTION("""COMPUTED_VALUE"""),"NUEVO")</f>
        <v>NUEVO</v>
      </c>
      <c r="AW609" s="1" t="str">
        <f>IFERROR(__xludf.DUMMYFUNCTION("""COMPUTED_VALUE"""),"SI")</f>
        <v>SI</v>
      </c>
      <c r="AX609" s="1"/>
      <c r="AY609" s="1" t="str">
        <f>IFERROR(__xludf.DUMMYFUNCTION("""COMPUTED_VALUE"""),"PAGO COMPLETO")</f>
        <v>PAGO COMPLETO</v>
      </c>
      <c r="AZ609" s="5">
        <f>IFERROR(__xludf.DUMMYFUNCTION("""COMPUTED_VALUE"""),45737.0)</f>
        <v>45737</v>
      </c>
      <c r="BA609" s="1">
        <f>IFERROR(__xludf.DUMMYFUNCTION("""COMPUTED_VALUE"""),0.0)</f>
        <v>0</v>
      </c>
      <c r="BB609" s="1">
        <f>IFERROR(__xludf.DUMMYFUNCTION("""COMPUTED_VALUE"""),0.0)</f>
        <v>0</v>
      </c>
      <c r="BC609" s="4">
        <f>IFERROR(__xludf.DUMMYFUNCTION("""COMPUTED_VALUE"""),0.0)</f>
        <v>0</v>
      </c>
      <c r="BD609" s="4">
        <f>IFERROR(__xludf.DUMMYFUNCTION("""COMPUTED_VALUE"""),550.0)</f>
        <v>550</v>
      </c>
      <c r="BE609" s="1">
        <f>IFERROR(__xludf.DUMMYFUNCTION("""COMPUTED_VALUE"""),3.0)</f>
        <v>3</v>
      </c>
      <c r="BF609" s="6">
        <f>IFERROR(__xludf.DUMMYFUNCTION("""COMPUTED_VALUE"""),1.0)</f>
        <v>1</v>
      </c>
      <c r="BG609" s="1">
        <f>IFERROR(__xludf.DUMMYFUNCTION("""COMPUTED_VALUE"""),1.0)</f>
        <v>1</v>
      </c>
      <c r="BH609" s="1" t="str">
        <f>IFERROR(__xludf.DUMMYFUNCTION("""COMPUTED_VALUE"""),"0")</f>
        <v>0</v>
      </c>
      <c r="BI609" s="4">
        <f>IFERROR(__xludf.DUMMYFUNCTION("""COMPUTED_VALUE"""),550.0)</f>
        <v>550</v>
      </c>
      <c r="BJ609" s="1">
        <f>IFERROR(__xludf.DUMMYFUNCTION("""COMPUTED_VALUE"""),0.0)</f>
        <v>0</v>
      </c>
      <c r="BK609" s="4">
        <f>IFERROR(__xludf.DUMMYFUNCTION("""COMPUTED_VALUE"""),550.0)</f>
        <v>550</v>
      </c>
      <c r="BL609" s="1">
        <f>IFERROR(__xludf.DUMMYFUNCTION("""COMPUTED_VALUE"""),940.0)</f>
        <v>940</v>
      </c>
      <c r="BM609" s="1">
        <f>IFERROR(__xludf.DUMMYFUNCTION("""COMPUTED_VALUE"""),12.0)</f>
        <v>12</v>
      </c>
      <c r="BN609" s="2">
        <f>IFERROR(__xludf.DUMMYFUNCTION("""COMPUTED_VALUE"""),45733.0)</f>
        <v>45733</v>
      </c>
      <c r="BO609" s="1">
        <f>IFERROR(__xludf.DUMMYFUNCTION("""COMPUTED_VALUE"""),3.0)</f>
        <v>3</v>
      </c>
      <c r="BP609" s="1">
        <f>IFERROR(__xludf.DUMMYFUNCTION("""COMPUTED_VALUE"""),2025.0)</f>
        <v>2025</v>
      </c>
    </row>
    <row r="610">
      <c r="A610" s="1">
        <f>IFERROR(__xludf.DUMMYFUNCTION("""COMPUTED_VALUE"""),609.0)</f>
        <v>609</v>
      </c>
      <c r="B610" s="1">
        <f>IFERROR(__xludf.DUMMYFUNCTION("""COMPUTED_VALUE"""),1044964.0)</f>
        <v>1044964</v>
      </c>
      <c r="C610" s="1" t="str">
        <f>IFERROR(__xludf.DUMMYFUNCTION("""COMPUTED_VALUE"""),"2025-1")</f>
        <v>2025-1</v>
      </c>
      <c r="D610" s="1" t="str">
        <f>IFERROR(__xludf.DUMMYFUNCTION("""COMPUTED_VALUE"""),"Admisión Ordinaria")</f>
        <v>Admisión Ordinaria</v>
      </c>
      <c r="E610" s="2">
        <f>IFERROR(__xludf.DUMMYFUNCTION("""COMPUTED_VALUE"""),45737.0)</f>
        <v>45737</v>
      </c>
      <c r="F610" s="1" t="str">
        <f>IFERROR(__xludf.DUMMYFUNCTION("""COMPUTED_VALUE"""),"ADRIAN OMAR ")</f>
        <v>ADRIAN OMAR </v>
      </c>
      <c r="G610" s="1" t="str">
        <f>IFERROR(__xludf.DUMMYFUNCTION("""COMPUTED_VALUE"""),"CARCAUSTO RONDON")</f>
        <v>CARCAUSTO RONDON</v>
      </c>
      <c r="H610" s="1" t="str">
        <f>IFERROR(__xludf.DUMMYFUNCTION("""COMPUTED_VALUE"""),"Administración y Marketing")</f>
        <v>Administración y Marketing</v>
      </c>
      <c r="I610" s="1" t="str">
        <f>IFERROR(__xludf.DUMMYFUNCTION("""COMPUTED_VALUE"""),"CARGO")</f>
        <v>CARGO</v>
      </c>
      <c r="J610" s="1" t="str">
        <f>IFERROR(__xludf.DUMMYFUNCTION("""COMPUTED_VALUE"""),"Nocturno - A distancia")</f>
        <v>Nocturno - A distancia</v>
      </c>
      <c r="K610" s="1" t="str">
        <f>IFERROR(__xludf.DUMMYFUNCTION("""COMPUTED_VALUE"""),"NUEVO")</f>
        <v>NUEVO</v>
      </c>
      <c r="L610" s="1">
        <f>IFERROR(__xludf.DUMMYFUNCTION("""COMPUTED_VALUE"""),0.0)</f>
        <v>0</v>
      </c>
      <c r="M610" s="1">
        <f>IFERROR(__xludf.DUMMYFUNCTION("""COMPUTED_VALUE"""),0.0)</f>
        <v>0</v>
      </c>
      <c r="N610" s="1" t="str">
        <f>IFERROR(__xludf.DUMMYFUNCTION("""COMPUTED_VALUE"""),"ESCALA REGULAR")</f>
        <v>ESCALA REGULAR</v>
      </c>
      <c r="O610" s="1" t="str">
        <f>IFERROR(__xludf.DUMMYFUNCTION("""COMPUTED_VALUE"""),"CARRERAS A DISTANCIA")</f>
        <v>CARRERAS A DISTANCIA</v>
      </c>
      <c r="P610" s="4">
        <f>IFERROR(__xludf.DUMMYFUNCTION("""COMPUTED_VALUE"""),0.0)</f>
        <v>0</v>
      </c>
      <c r="Q610" s="4">
        <f>IFERROR(__xludf.DUMMYFUNCTION("""COMPUTED_VALUE"""),0.0)</f>
        <v>0</v>
      </c>
      <c r="R610" s="4">
        <f>IFERROR(__xludf.DUMMYFUNCTION("""COMPUTED_VALUE"""),750.0)</f>
        <v>750</v>
      </c>
      <c r="S610" s="4">
        <f>IFERROR(__xludf.DUMMYFUNCTION("""COMPUTED_VALUE"""),750.0)</f>
        <v>750</v>
      </c>
      <c r="T610" s="1" t="str">
        <f>IFERROR(__xludf.DUMMYFUNCTION("""COMPUTED_VALUE"""),"NINGUNO")</f>
        <v>NINGUNO</v>
      </c>
      <c r="U610" s="1" t="str">
        <f>IFERROR(__xludf.DUMMYFUNCTION("""COMPUTED_VALUE"""),"RODRIGO")</f>
        <v>RODRIGO</v>
      </c>
      <c r="V610" s="1" t="str">
        <f>IFERROR(__xludf.DUMMYFUNCTION("""COMPUTED_VALUE"""),"Ninguno")</f>
        <v>Ninguno</v>
      </c>
      <c r="W610" s="1" t="str">
        <f>IFERROR(__xludf.DUMMYFUNCTION("""COMPUTED_VALUE"""),"Flexibilidad de horarios")</f>
        <v>Flexibilidad de horarios</v>
      </c>
      <c r="X610" s="1" t="str">
        <f>IFERROR(__xludf.DUMMYFUNCTION("""COMPUTED_VALUE"""),"0")</f>
        <v>0</v>
      </c>
      <c r="Y610" s="1" t="str">
        <f>IFERROR(__xludf.DUMMYFUNCTION("""COMPUTED_VALUE"""),"PAGO COMPLETO")</f>
        <v>PAGO COMPLETO</v>
      </c>
      <c r="Z610" s="1"/>
      <c r="AA610" s="1"/>
      <c r="AB610" s="1">
        <f>IFERROR(__xludf.DUMMYFUNCTION("""COMPUTED_VALUE"""),0.0)</f>
        <v>0</v>
      </c>
      <c r="AC610" s="1">
        <f>IFERROR(__xludf.DUMMYFUNCTION("""COMPUTED_VALUE"""),0.0)</f>
        <v>0</v>
      </c>
      <c r="AD610" s="1" t="str">
        <f>IFERROR(__xludf.DUMMYFUNCTION("""COMPUTED_VALUE"""),"Andrea Araujo Antara")</f>
        <v>Andrea Araujo Antara</v>
      </c>
      <c r="AE610" s="1" t="str">
        <f>IFERROR(__xludf.DUMMYFUNCTION("""COMPUTED_VALUE"""),"0")</f>
        <v>0</v>
      </c>
      <c r="AF610" s="1">
        <f>IFERROR(__xludf.DUMMYFUNCTION("""COMPUTED_VALUE"""),2020.0)</f>
        <v>2020</v>
      </c>
      <c r="AG610" s="1">
        <f>IFERROR(__xludf.DUMMYFUNCTION("""COMPUTED_VALUE"""),0.0)</f>
        <v>0</v>
      </c>
      <c r="AH610" s="1">
        <f>IFERROR(__xludf.DUMMYFUNCTION("""COMPUTED_VALUE"""),36.0)</f>
        <v>36</v>
      </c>
      <c r="AI610" s="1" t="str">
        <f>IFERROR(__xludf.DUMMYFUNCTION("""COMPUTED_VALUE"""),"2018007815")</f>
        <v>2018007815</v>
      </c>
      <c r="AJ610" s="1">
        <f>IFERROR(__xludf.DUMMYFUNCTION("""COMPUTED_VALUE"""),4.5893273E7)</f>
        <v>45893273</v>
      </c>
      <c r="AK610" s="1">
        <f>IFERROR(__xludf.DUMMYFUNCTION("""COMPUTED_VALUE"""),9.74317826E8)</f>
        <v>974317826</v>
      </c>
      <c r="AL610" s="1" t="str">
        <f>IFERROR(__xludf.DUMMYFUNCTION("""COMPUTED_VALUE"""),"adrian.rondon.c09@gmail.com")</f>
        <v>adrian.rondon.c09@gmail.com</v>
      </c>
      <c r="AM610" s="1" t="str">
        <f>IFERROR(__xludf.DUMMYFUNCTION("""COMPUTED_VALUE"""),"MASCULINO")</f>
        <v>MASCULINO</v>
      </c>
      <c r="AN610" s="1">
        <f>IFERROR(__xludf.DUMMYFUNCTION("""COMPUTED_VALUE"""),1350.0)</f>
        <v>1350</v>
      </c>
      <c r="AO610" s="1">
        <f>IFERROR(__xludf.DUMMYFUNCTION("""COMPUTED_VALUE"""),0.0)</f>
        <v>0</v>
      </c>
      <c r="AP610" s="1" t="str">
        <f>IFERROR(__xludf.DUMMYFUNCTION("""COMPUTED_VALUE"""),"FORMULARIO")</f>
        <v>FORMULARIO</v>
      </c>
      <c r="AQ610" s="1" t="str">
        <f>IFERROR(__xludf.DUMMYFUNCTION("""COMPUTED_VALUE"""),"ORGANICO")</f>
        <v>ORGANICO</v>
      </c>
      <c r="AR610" s="1" t="str">
        <f>IFERROR(__xludf.DUMMYFUNCTION("""COMPUTED_VALUE"""),"NUEVO")</f>
        <v>NUEVO</v>
      </c>
      <c r="AS610" s="1"/>
      <c r="AT610" s="2">
        <f>IFERROR(__xludf.DUMMYFUNCTION("""COMPUTED_VALUE"""),45735.0)</f>
        <v>45735</v>
      </c>
      <c r="AU610" s="1">
        <f>IFERROR(__xludf.DUMMYFUNCTION("""COMPUTED_VALUE"""),1.0)</f>
        <v>1</v>
      </c>
      <c r="AV610" s="1" t="str">
        <f>IFERROR(__xludf.DUMMYFUNCTION("""COMPUTED_VALUE"""),"NUEVO")</f>
        <v>NUEVO</v>
      </c>
      <c r="AW610" s="1" t="str">
        <f>IFERROR(__xludf.DUMMYFUNCTION("""COMPUTED_VALUE"""),"SI")</f>
        <v>SI</v>
      </c>
      <c r="AX610" s="1"/>
      <c r="AY610" s="1" t="str">
        <f>IFERROR(__xludf.DUMMYFUNCTION("""COMPUTED_VALUE"""),"PAGO COMPLETO")</f>
        <v>PAGO COMPLETO</v>
      </c>
      <c r="AZ610" s="5">
        <f>IFERROR(__xludf.DUMMYFUNCTION("""COMPUTED_VALUE"""),45737.0)</f>
        <v>45737</v>
      </c>
      <c r="BA610" s="1">
        <f>IFERROR(__xludf.DUMMYFUNCTION("""COMPUTED_VALUE"""),0.0)</f>
        <v>0</v>
      </c>
      <c r="BB610" s="1">
        <f>IFERROR(__xludf.DUMMYFUNCTION("""COMPUTED_VALUE"""),0.0)</f>
        <v>0</v>
      </c>
      <c r="BC610" s="4">
        <f>IFERROR(__xludf.DUMMYFUNCTION("""COMPUTED_VALUE"""),0.0)</f>
        <v>0</v>
      </c>
      <c r="BD610" s="4">
        <f>IFERROR(__xludf.DUMMYFUNCTION("""COMPUTED_VALUE"""),0.0)</f>
        <v>0</v>
      </c>
      <c r="BE610" s="1">
        <f>IFERROR(__xludf.DUMMYFUNCTION("""COMPUTED_VALUE"""),3.0)</f>
        <v>3</v>
      </c>
      <c r="BF610" s="6">
        <f>IFERROR(__xludf.DUMMYFUNCTION("""COMPUTED_VALUE"""),1.0)</f>
        <v>1</v>
      </c>
      <c r="BG610" s="1">
        <f>IFERROR(__xludf.DUMMYFUNCTION("""COMPUTED_VALUE"""),1.0)</f>
        <v>1</v>
      </c>
      <c r="BH610" s="1" t="str">
        <f>IFERROR(__xludf.DUMMYFUNCTION("""COMPUTED_VALUE"""),"0")</f>
        <v>0</v>
      </c>
      <c r="BI610" s="4">
        <f>IFERROR(__xludf.DUMMYFUNCTION("""COMPUTED_VALUE"""),0.0)</f>
        <v>0</v>
      </c>
      <c r="BJ610" s="1">
        <f>IFERROR(__xludf.DUMMYFUNCTION("""COMPUTED_VALUE"""),0.0)</f>
        <v>0</v>
      </c>
      <c r="BK610" s="4">
        <f>IFERROR(__xludf.DUMMYFUNCTION("""COMPUTED_VALUE"""),0.0)</f>
        <v>0</v>
      </c>
      <c r="BL610" s="1">
        <f>IFERROR(__xludf.DUMMYFUNCTION("""COMPUTED_VALUE"""),750.0)</f>
        <v>750</v>
      </c>
      <c r="BM610" s="1">
        <f>IFERROR(__xludf.DUMMYFUNCTION("""COMPUTED_VALUE"""),12.0)</f>
        <v>12</v>
      </c>
      <c r="BN610" s="2">
        <f>IFERROR(__xludf.DUMMYFUNCTION("""COMPUTED_VALUE"""),45733.0)</f>
        <v>45733</v>
      </c>
      <c r="BO610" s="1">
        <f>IFERROR(__xludf.DUMMYFUNCTION("""COMPUTED_VALUE"""),3.0)</f>
        <v>3</v>
      </c>
      <c r="BP610" s="1">
        <f>IFERROR(__xludf.DUMMYFUNCTION("""COMPUTED_VALUE"""),2025.0)</f>
        <v>2025</v>
      </c>
    </row>
    <row r="611">
      <c r="A611" s="1">
        <f>IFERROR(__xludf.DUMMYFUNCTION("""COMPUTED_VALUE"""),610.0)</f>
        <v>610</v>
      </c>
      <c r="B611" s="1">
        <f>IFERROR(__xludf.DUMMYFUNCTION("""COMPUTED_VALUE"""),5097970.0)</f>
        <v>5097970</v>
      </c>
      <c r="C611" s="1" t="str">
        <f>IFERROR(__xludf.DUMMYFUNCTION("""COMPUTED_VALUE"""),"2025-1")</f>
        <v>2025-1</v>
      </c>
      <c r="D611" s="1" t="str">
        <f>IFERROR(__xludf.DUMMYFUNCTION("""COMPUTED_VALUE"""),"Admisión Ordinaria")</f>
        <v>Admisión Ordinaria</v>
      </c>
      <c r="E611" s="2">
        <f>IFERROR(__xludf.DUMMYFUNCTION("""COMPUTED_VALUE"""),45737.0)</f>
        <v>45737</v>
      </c>
      <c r="F611" s="1" t="str">
        <f>IFERROR(__xludf.DUMMYFUNCTION("""COMPUTED_VALUE"""),"REGINA LILIANA ")</f>
        <v>REGINA LILIANA </v>
      </c>
      <c r="G611" s="1" t="str">
        <f>IFERROR(__xludf.DUMMYFUNCTION("""COMPUTED_VALUE"""),"SOLANO SANCHEZ")</f>
        <v>SOLANO SANCHEZ</v>
      </c>
      <c r="H611" s="1" t="str">
        <f>IFERROR(__xludf.DUMMYFUNCTION("""COMPUTED_VALUE"""),"Diseño Gráfico Publicitario")</f>
        <v>Diseño Gráfico Publicitario</v>
      </c>
      <c r="I611" s="1" t="str">
        <f>IFERROR(__xludf.DUMMYFUNCTION("""COMPUTED_VALUE"""),"CARGO")</f>
        <v>CARGO</v>
      </c>
      <c r="J611" s="1" t="str">
        <f>IFERROR(__xludf.DUMMYFUNCTION("""COMPUTED_VALUE"""),"Diurno")</f>
        <v>Diurno</v>
      </c>
      <c r="K611" s="1" t="str">
        <f>IFERROR(__xludf.DUMMYFUNCTION("""COMPUTED_VALUE"""),"NUEVO")</f>
        <v>NUEVO</v>
      </c>
      <c r="L611" s="1">
        <f>IFERROR(__xludf.DUMMYFUNCTION("""COMPUTED_VALUE"""),0.0)</f>
        <v>0</v>
      </c>
      <c r="M611" s="1">
        <f>IFERROR(__xludf.DUMMYFUNCTION("""COMPUTED_VALUE"""),0.0)</f>
        <v>0</v>
      </c>
      <c r="N611" s="1" t="str">
        <f>IFERROR(__xludf.DUMMYFUNCTION("""COMPUTED_VALUE"""),"BECA")</f>
        <v>BECA</v>
      </c>
      <c r="O611" s="1" t="str">
        <f>IFERROR(__xludf.DUMMYFUNCTION("""COMPUTED_VALUE"""),"BECA CARRERAS CORE")</f>
        <v>BECA CARRERAS CORE</v>
      </c>
      <c r="P611" s="4">
        <f>IFERROR(__xludf.DUMMYFUNCTION("""COMPUTED_VALUE"""),125.0)</f>
        <v>125</v>
      </c>
      <c r="Q611" s="4">
        <f>IFERROR(__xludf.DUMMYFUNCTION("""COMPUTED_VALUE"""),237.5)</f>
        <v>237.5</v>
      </c>
      <c r="R611" s="4">
        <f>IFERROR(__xludf.DUMMYFUNCTION("""COMPUTED_VALUE"""),1100.0)</f>
        <v>1100</v>
      </c>
      <c r="S611" s="4">
        <f>IFERROR(__xludf.DUMMYFUNCTION("""COMPUTED_VALUE"""),950.0)</f>
        <v>950</v>
      </c>
      <c r="T611" s="1" t="str">
        <f>IFERROR(__xludf.DUMMYFUNCTION("""COMPUTED_VALUE"""),"PALANCA 500")</f>
        <v>PALANCA 500</v>
      </c>
      <c r="U611" s="1" t="str">
        <f>IFERROR(__xludf.DUMMYFUNCTION("""COMPUTED_VALUE"""),"RODRIGO")</f>
        <v>RODRIGO</v>
      </c>
      <c r="V611" s="1" t="str">
        <f>IFERROR(__xludf.DUMMYFUNCTION("""COMPUTED_VALUE"""),"Ninguno")</f>
        <v>Ninguno</v>
      </c>
      <c r="W611" s="1" t="str">
        <f>IFERROR(__xludf.DUMMYFUNCTION("""COMPUTED_VALUE"""),"Prestigio de la institución")</f>
        <v>Prestigio de la institución</v>
      </c>
      <c r="X611" s="1" t="str">
        <f>IFERROR(__xludf.DUMMYFUNCTION("""COMPUTED_VALUE"""),"0")</f>
        <v>0</v>
      </c>
      <c r="Y611" s="1" t="str">
        <f>IFERROR(__xludf.DUMMYFUNCTION("""COMPUTED_VALUE"""),"PAGO COMPLETO")</f>
        <v>PAGO COMPLETO</v>
      </c>
      <c r="Z611" s="1"/>
      <c r="AA611" s="1"/>
      <c r="AB611" s="1">
        <f>IFERROR(__xludf.DUMMYFUNCTION("""COMPUTED_VALUE"""),0.0)</f>
        <v>0</v>
      </c>
      <c r="AC611" s="1">
        <f>IFERROR(__xludf.DUMMYFUNCTION("""COMPUTED_VALUE"""),0.0)</f>
        <v>0</v>
      </c>
      <c r="AD611" s="1" t="str">
        <f>IFERROR(__xludf.DUMMYFUNCTION("""COMPUTED_VALUE"""),"Andrea Araujo Antara")</f>
        <v>Andrea Araujo Antara</v>
      </c>
      <c r="AE611" s="1" t="str">
        <f>IFERROR(__xludf.DUMMYFUNCTION("""COMPUTED_VALUE"""),"0")</f>
        <v>0</v>
      </c>
      <c r="AF611" s="1">
        <f>IFERROR(__xludf.DUMMYFUNCTION("""COMPUTED_VALUE"""),2023.0)</f>
        <v>2023</v>
      </c>
      <c r="AG611" s="1">
        <f>IFERROR(__xludf.DUMMYFUNCTION("""COMPUTED_VALUE"""),874222.0)</f>
        <v>874222</v>
      </c>
      <c r="AH611" s="1">
        <f>IFERROR(__xludf.DUMMYFUNCTION("""COMPUTED_VALUE"""),20.0)</f>
        <v>20</v>
      </c>
      <c r="AI611" s="1" t="str">
        <f>IFERROR(__xludf.DUMMYFUNCTION("""COMPUTED_VALUE"""),"0000420788")</f>
        <v>0000420788</v>
      </c>
      <c r="AJ611" s="1">
        <f>IFERROR(__xludf.DUMMYFUNCTION("""COMPUTED_VALUE"""),7.8377177E7)</f>
        <v>78377177</v>
      </c>
      <c r="AK611" s="1">
        <f>IFERROR(__xludf.DUMMYFUNCTION("""COMPUTED_VALUE"""),9.31168994E8)</f>
        <v>931168994</v>
      </c>
      <c r="AL611" s="1" t="str">
        <f>IFERROR(__xludf.DUMMYFUNCTION("""COMPUTED_VALUE"""),"regina.solano.sanchez@gmail.com")</f>
        <v>regina.solano.sanchez@gmail.com</v>
      </c>
      <c r="AM611" s="1" t="str">
        <f>IFERROR(__xludf.DUMMYFUNCTION("""COMPUTED_VALUE"""),"FEMENINO")</f>
        <v>FEMENINO</v>
      </c>
      <c r="AN611" s="1">
        <f>IFERROR(__xludf.DUMMYFUNCTION("""COMPUTED_VALUE"""),1350.0)</f>
        <v>1350</v>
      </c>
      <c r="AO611" s="1">
        <f>IFERROR(__xludf.DUMMYFUNCTION("""COMPUTED_VALUE"""),0.0)</f>
        <v>0</v>
      </c>
      <c r="AP611" s="1" t="str">
        <f>IFERROR(__xludf.DUMMYFUNCTION("""COMPUTED_VALUE"""),"OUTBOUND")</f>
        <v>OUTBOUND</v>
      </c>
      <c r="AQ611" s="1" t="str">
        <f>IFERROR(__xludf.DUMMYFUNCTION("""COMPUTED_VALUE"""),"OUTBOUND")</f>
        <v>OUTBOUND</v>
      </c>
      <c r="AR611" s="1" t="str">
        <f>IFERROR(__xludf.DUMMYFUNCTION("""COMPUTED_VALUE"""),"NUEVO")</f>
        <v>NUEVO</v>
      </c>
      <c r="AS611" s="1"/>
      <c r="AT611" s="2">
        <f>IFERROR(__xludf.DUMMYFUNCTION("""COMPUTED_VALUE"""),45737.0)</f>
        <v>45737</v>
      </c>
      <c r="AU611" s="1">
        <f>IFERROR(__xludf.DUMMYFUNCTION("""COMPUTED_VALUE"""),1.0)</f>
        <v>1</v>
      </c>
      <c r="AV611" s="1" t="str">
        <f>IFERROR(__xludf.DUMMYFUNCTION("""COMPUTED_VALUE"""),"NUEVO")</f>
        <v>NUEVO</v>
      </c>
      <c r="AW611" s="1" t="str">
        <f>IFERROR(__xludf.DUMMYFUNCTION("""COMPUTED_VALUE"""),"SI")</f>
        <v>SI</v>
      </c>
      <c r="AX611" s="1"/>
      <c r="AY611" s="1" t="str">
        <f>IFERROR(__xludf.DUMMYFUNCTION("""COMPUTED_VALUE"""),"PAGO COMPLETO")</f>
        <v>PAGO COMPLETO</v>
      </c>
      <c r="AZ611" s="5">
        <f>IFERROR(__xludf.DUMMYFUNCTION("""COMPUTED_VALUE"""),45737.0)</f>
        <v>45737</v>
      </c>
      <c r="BA611" s="1">
        <f>IFERROR(__xludf.DUMMYFUNCTION("""COMPUTED_VALUE"""),0.0)</f>
        <v>0</v>
      </c>
      <c r="BB611" s="1">
        <f>IFERROR(__xludf.DUMMYFUNCTION("""COMPUTED_VALUE"""),0.0)</f>
        <v>0</v>
      </c>
      <c r="BC611" s="4">
        <f>IFERROR(__xludf.DUMMYFUNCTION("""COMPUTED_VALUE"""),0.0)</f>
        <v>0</v>
      </c>
      <c r="BD611" s="4">
        <f>IFERROR(__xludf.DUMMYFUNCTION("""COMPUTED_VALUE"""),450.0)</f>
        <v>450</v>
      </c>
      <c r="BE611" s="1">
        <f>IFERROR(__xludf.DUMMYFUNCTION("""COMPUTED_VALUE"""),3.0)</f>
        <v>3</v>
      </c>
      <c r="BF611" s="6">
        <f>IFERROR(__xludf.DUMMYFUNCTION("""COMPUTED_VALUE"""),1.0)</f>
        <v>1</v>
      </c>
      <c r="BG611" s="1">
        <f>IFERROR(__xludf.DUMMYFUNCTION("""COMPUTED_VALUE"""),1.0)</f>
        <v>1</v>
      </c>
      <c r="BH611" s="1" t="str">
        <f>IFERROR(__xludf.DUMMYFUNCTION("""COMPUTED_VALUE"""),"0")</f>
        <v>0</v>
      </c>
      <c r="BI611" s="4">
        <f>IFERROR(__xludf.DUMMYFUNCTION("""COMPUTED_VALUE"""),450.0)</f>
        <v>450</v>
      </c>
      <c r="BJ611" s="1">
        <f>IFERROR(__xludf.DUMMYFUNCTION("""COMPUTED_VALUE"""),0.0)</f>
        <v>0</v>
      </c>
      <c r="BK611" s="4">
        <f>IFERROR(__xludf.DUMMYFUNCTION("""COMPUTED_VALUE"""),450.0)</f>
        <v>450</v>
      </c>
      <c r="BL611" s="1">
        <f>IFERROR(__xludf.DUMMYFUNCTION("""COMPUTED_VALUE"""),860.0)</f>
        <v>860</v>
      </c>
      <c r="BM611" s="1">
        <f>IFERROR(__xludf.DUMMYFUNCTION("""COMPUTED_VALUE"""),12.0)</f>
        <v>12</v>
      </c>
      <c r="BN611" s="2">
        <f>IFERROR(__xludf.DUMMYFUNCTION("""COMPUTED_VALUE"""),45733.0)</f>
        <v>45733</v>
      </c>
      <c r="BO611" s="1">
        <f>IFERROR(__xludf.DUMMYFUNCTION("""COMPUTED_VALUE"""),3.0)</f>
        <v>3</v>
      </c>
      <c r="BP611" s="1">
        <f>IFERROR(__xludf.DUMMYFUNCTION("""COMPUTED_VALUE"""),2025.0)</f>
        <v>2025</v>
      </c>
    </row>
    <row r="612">
      <c r="A612" s="1">
        <f>IFERROR(__xludf.DUMMYFUNCTION("""COMPUTED_VALUE"""),611.0)</f>
        <v>611</v>
      </c>
      <c r="B612" s="1">
        <f>IFERROR(__xludf.DUMMYFUNCTION("""COMPUTED_VALUE"""),2674093.0)</f>
        <v>2674093</v>
      </c>
      <c r="C612" s="1" t="str">
        <f>IFERROR(__xludf.DUMMYFUNCTION("""COMPUTED_VALUE"""),"2025-1")</f>
        <v>2025-1</v>
      </c>
      <c r="D612" s="1" t="str">
        <f>IFERROR(__xludf.DUMMYFUNCTION("""COMPUTED_VALUE"""),"Admisión Ordinaria")</f>
        <v>Admisión Ordinaria</v>
      </c>
      <c r="E612" s="2">
        <f>IFERROR(__xludf.DUMMYFUNCTION("""COMPUTED_VALUE"""),45737.0)</f>
        <v>45737</v>
      </c>
      <c r="F612" s="1" t="str">
        <f>IFERROR(__xludf.DUMMYFUNCTION("""COMPUTED_VALUE"""),"AMPARO DE LOS ANGELES ")</f>
        <v>AMPARO DE LOS ANGELES </v>
      </c>
      <c r="G612" s="1" t="str">
        <f>IFERROR(__xludf.DUMMYFUNCTION("""COMPUTED_VALUE"""),"SOLANO SANCHEZ")</f>
        <v>SOLANO SANCHEZ</v>
      </c>
      <c r="H612" s="1" t="str">
        <f>IFERROR(__xludf.DUMMYFUNCTION("""COMPUTED_VALUE"""),"Administración y Marketing")</f>
        <v>Administración y Marketing</v>
      </c>
      <c r="I612" s="1" t="str">
        <f>IFERROR(__xludf.DUMMYFUNCTION("""COMPUTED_VALUE"""),"CARGO")</f>
        <v>CARGO</v>
      </c>
      <c r="J612" s="1" t="str">
        <f>IFERROR(__xludf.DUMMYFUNCTION("""COMPUTED_VALUE"""),"Diurno")</f>
        <v>Diurno</v>
      </c>
      <c r="K612" s="1" t="str">
        <f>IFERROR(__xludf.DUMMYFUNCTION("""COMPUTED_VALUE"""),"NUEVO")</f>
        <v>NUEVO</v>
      </c>
      <c r="L612" s="1">
        <f>IFERROR(__xludf.DUMMYFUNCTION("""COMPUTED_VALUE"""),0.0)</f>
        <v>0</v>
      </c>
      <c r="M612" s="1">
        <f>IFERROR(__xludf.DUMMYFUNCTION("""COMPUTED_VALUE"""),0.0)</f>
        <v>0</v>
      </c>
      <c r="N612" s="1" t="str">
        <f>IFERROR(__xludf.DUMMYFUNCTION("""COMPUTED_VALUE"""),"BECA")</f>
        <v>BECA</v>
      </c>
      <c r="O612" s="1" t="str">
        <f>IFERROR(__xludf.DUMMYFUNCTION("""COMPUTED_VALUE"""),"BECA CARRERAS NUEVAS")</f>
        <v>BECA CARRERAS NUEVAS</v>
      </c>
      <c r="P612" s="4">
        <f>IFERROR(__xludf.DUMMYFUNCTION("""COMPUTED_VALUE"""),125.0)</f>
        <v>125</v>
      </c>
      <c r="Q612" s="4">
        <f>IFERROR(__xludf.DUMMYFUNCTION("""COMPUTED_VALUE"""),237.5)</f>
        <v>237.5</v>
      </c>
      <c r="R612" s="4">
        <f>IFERROR(__xludf.DUMMYFUNCTION("""COMPUTED_VALUE"""),1100.0)</f>
        <v>1100</v>
      </c>
      <c r="S612" s="4">
        <f>IFERROR(__xludf.DUMMYFUNCTION("""COMPUTED_VALUE"""),950.0)</f>
        <v>950</v>
      </c>
      <c r="T612" s="1" t="str">
        <f>IFERROR(__xludf.DUMMYFUNCTION("""COMPUTED_VALUE"""),"PALANCA 500")</f>
        <v>PALANCA 500</v>
      </c>
      <c r="U612" s="1" t="str">
        <f>IFERROR(__xludf.DUMMYFUNCTION("""COMPUTED_VALUE"""),"RODRIGO")</f>
        <v>RODRIGO</v>
      </c>
      <c r="V612" s="1" t="str">
        <f>IFERROR(__xludf.DUMMYFUNCTION("""COMPUTED_VALUE"""),"Ninguno")</f>
        <v>Ninguno</v>
      </c>
      <c r="W612" s="1" t="str">
        <f>IFERROR(__xludf.DUMMYFUNCTION("""COMPUTED_VALUE"""),"Prestigio de la institución")</f>
        <v>Prestigio de la institución</v>
      </c>
      <c r="X612" s="1" t="str">
        <f>IFERROR(__xludf.DUMMYFUNCTION("""COMPUTED_VALUE"""),"0")</f>
        <v>0</v>
      </c>
      <c r="Y612" s="1" t="str">
        <f>IFERROR(__xludf.DUMMYFUNCTION("""COMPUTED_VALUE"""),"PAGO COMPLETO")</f>
        <v>PAGO COMPLETO</v>
      </c>
      <c r="Z612" s="1"/>
      <c r="AA612" s="1"/>
      <c r="AB612" s="1">
        <f>IFERROR(__xludf.DUMMYFUNCTION("""COMPUTED_VALUE"""),0.0)</f>
        <v>0</v>
      </c>
      <c r="AC612" s="1">
        <f>IFERROR(__xludf.DUMMYFUNCTION("""COMPUTED_VALUE"""),0.0)</f>
        <v>0</v>
      </c>
      <c r="AD612" s="1" t="str">
        <f>IFERROR(__xludf.DUMMYFUNCTION("""COMPUTED_VALUE"""),"Andrea Araujo Antara")</f>
        <v>Andrea Araujo Antara</v>
      </c>
      <c r="AE612" s="1" t="str">
        <f>IFERROR(__xludf.DUMMYFUNCTION("""COMPUTED_VALUE"""),"0")</f>
        <v>0</v>
      </c>
      <c r="AF612" s="1">
        <f>IFERROR(__xludf.DUMMYFUNCTION("""COMPUTED_VALUE"""),2015.0)</f>
        <v>2015</v>
      </c>
      <c r="AG612" s="1">
        <f>IFERROR(__xludf.DUMMYFUNCTION("""COMPUTED_VALUE"""),0.0)</f>
        <v>0</v>
      </c>
      <c r="AH612" s="1">
        <f>IFERROR(__xludf.DUMMYFUNCTION("""COMPUTED_VALUE"""),21.0)</f>
        <v>21</v>
      </c>
      <c r="AI612" s="1" t="str">
        <f>IFERROR(__xludf.DUMMYFUNCTION("""COMPUTED_VALUE"""),"0000420775")</f>
        <v>0000420775</v>
      </c>
      <c r="AJ612" s="1">
        <f>IFERROR(__xludf.DUMMYFUNCTION("""COMPUTED_VALUE"""),7.8377176E7)</f>
        <v>78377176</v>
      </c>
      <c r="AK612" s="1">
        <f>IFERROR(__xludf.DUMMYFUNCTION("""COMPUTED_VALUE"""),9.59976963E8)</f>
        <v>959976963</v>
      </c>
      <c r="AL612" s="1" t="str">
        <f>IFERROR(__xludf.DUMMYFUNCTION("""COMPUTED_VALUE"""),"amparo.solano.sanchez@gmail.com")</f>
        <v>amparo.solano.sanchez@gmail.com</v>
      </c>
      <c r="AM612" s="1" t="str">
        <f>IFERROR(__xludf.DUMMYFUNCTION("""COMPUTED_VALUE"""),"FEMENINO")</f>
        <v>FEMENINO</v>
      </c>
      <c r="AN612" s="1">
        <f>IFERROR(__xludf.DUMMYFUNCTION("""COMPUTED_VALUE"""),1350.0)</f>
        <v>1350</v>
      </c>
      <c r="AO612" s="1">
        <f>IFERROR(__xludf.DUMMYFUNCTION("""COMPUTED_VALUE"""),0.0)</f>
        <v>0</v>
      </c>
      <c r="AP612" s="1" t="str">
        <f>IFERROR(__xludf.DUMMYFUNCTION("""COMPUTED_VALUE"""),"OUTBOUND")</f>
        <v>OUTBOUND</v>
      </c>
      <c r="AQ612" s="1" t="str">
        <f>IFERROR(__xludf.DUMMYFUNCTION("""COMPUTED_VALUE"""),"OUTBOUND")</f>
        <v>OUTBOUND</v>
      </c>
      <c r="AR612" s="1" t="str">
        <f>IFERROR(__xludf.DUMMYFUNCTION("""COMPUTED_VALUE"""),"NUEVO")</f>
        <v>NUEVO</v>
      </c>
      <c r="AS612" s="1"/>
      <c r="AT612" s="2">
        <f>IFERROR(__xludf.DUMMYFUNCTION("""COMPUTED_VALUE"""),45425.0)</f>
        <v>45425</v>
      </c>
      <c r="AU612" s="1">
        <f>IFERROR(__xludf.DUMMYFUNCTION("""COMPUTED_VALUE"""),1.0)</f>
        <v>1</v>
      </c>
      <c r="AV612" s="1" t="str">
        <f>IFERROR(__xludf.DUMMYFUNCTION("""COMPUTED_VALUE"""),"NUEVO")</f>
        <v>NUEVO</v>
      </c>
      <c r="AW612" s="1" t="str">
        <f>IFERROR(__xludf.DUMMYFUNCTION("""COMPUTED_VALUE"""),"SI")</f>
        <v>SI</v>
      </c>
      <c r="AX612" s="1"/>
      <c r="AY612" s="1" t="str">
        <f>IFERROR(__xludf.DUMMYFUNCTION("""COMPUTED_VALUE"""),"PAGO COMPLETO")</f>
        <v>PAGO COMPLETO</v>
      </c>
      <c r="AZ612" s="5">
        <f>IFERROR(__xludf.DUMMYFUNCTION("""COMPUTED_VALUE"""),45737.0)</f>
        <v>45737</v>
      </c>
      <c r="BA612" s="1">
        <f>IFERROR(__xludf.DUMMYFUNCTION("""COMPUTED_VALUE"""),0.0)</f>
        <v>0</v>
      </c>
      <c r="BB612" s="1">
        <f>IFERROR(__xludf.DUMMYFUNCTION("""COMPUTED_VALUE"""),0.0)</f>
        <v>0</v>
      </c>
      <c r="BC612" s="4">
        <f>IFERROR(__xludf.DUMMYFUNCTION("""COMPUTED_VALUE"""),0.0)</f>
        <v>0</v>
      </c>
      <c r="BD612" s="4">
        <f>IFERROR(__xludf.DUMMYFUNCTION("""COMPUTED_VALUE"""),450.0)</f>
        <v>450</v>
      </c>
      <c r="BE612" s="1">
        <f>IFERROR(__xludf.DUMMYFUNCTION("""COMPUTED_VALUE"""),3.0)</f>
        <v>3</v>
      </c>
      <c r="BF612" s="6">
        <f>IFERROR(__xludf.DUMMYFUNCTION("""COMPUTED_VALUE"""),1.0)</f>
        <v>1</v>
      </c>
      <c r="BG612" s="1">
        <f>IFERROR(__xludf.DUMMYFUNCTION("""COMPUTED_VALUE"""),1.0)</f>
        <v>1</v>
      </c>
      <c r="BH612" s="1" t="str">
        <f>IFERROR(__xludf.DUMMYFUNCTION("""COMPUTED_VALUE"""),"0")</f>
        <v>0</v>
      </c>
      <c r="BI612" s="4">
        <f>IFERROR(__xludf.DUMMYFUNCTION("""COMPUTED_VALUE"""),450.0)</f>
        <v>450</v>
      </c>
      <c r="BJ612" s="1">
        <f>IFERROR(__xludf.DUMMYFUNCTION("""COMPUTED_VALUE"""),0.0)</f>
        <v>0</v>
      </c>
      <c r="BK612" s="4">
        <f>IFERROR(__xludf.DUMMYFUNCTION("""COMPUTED_VALUE"""),450.0)</f>
        <v>450</v>
      </c>
      <c r="BL612" s="1">
        <f>IFERROR(__xludf.DUMMYFUNCTION("""COMPUTED_VALUE"""),860.0)</f>
        <v>860</v>
      </c>
      <c r="BM612" s="1">
        <f>IFERROR(__xludf.DUMMYFUNCTION("""COMPUTED_VALUE"""),12.0)</f>
        <v>12</v>
      </c>
      <c r="BN612" s="2">
        <f>IFERROR(__xludf.DUMMYFUNCTION("""COMPUTED_VALUE"""),45733.0)</f>
        <v>45733</v>
      </c>
      <c r="BO612" s="1">
        <f>IFERROR(__xludf.DUMMYFUNCTION("""COMPUTED_VALUE"""),3.0)</f>
        <v>3</v>
      </c>
      <c r="BP612" s="1">
        <f>IFERROR(__xludf.DUMMYFUNCTION("""COMPUTED_VALUE"""),2025.0)</f>
        <v>2025</v>
      </c>
    </row>
    <row r="613">
      <c r="A613" s="1">
        <f>IFERROR(__xludf.DUMMYFUNCTION("""COMPUTED_VALUE"""),612.0)</f>
        <v>612</v>
      </c>
      <c r="B613" s="1">
        <f>IFERROR(__xludf.DUMMYFUNCTION("""COMPUTED_VALUE"""),5077648.0)</f>
        <v>5077648</v>
      </c>
      <c r="C613" s="1" t="str">
        <f>IFERROR(__xludf.DUMMYFUNCTION("""COMPUTED_VALUE"""),"2025-1")</f>
        <v>2025-1</v>
      </c>
      <c r="D613" s="1" t="str">
        <f>IFERROR(__xludf.DUMMYFUNCTION("""COMPUTED_VALUE"""),"Admisión Ordinaria")</f>
        <v>Admisión Ordinaria</v>
      </c>
      <c r="E613" s="2">
        <f>IFERROR(__xludf.DUMMYFUNCTION("""COMPUTED_VALUE"""),45738.0)</f>
        <v>45738</v>
      </c>
      <c r="F613" s="1" t="str">
        <f>IFERROR(__xludf.DUMMYFUNCTION("""COMPUTED_VALUE"""),"XIOMARA CAMILA ")</f>
        <v>XIOMARA CAMILA </v>
      </c>
      <c r="G613" s="1" t="str">
        <f>IFERROR(__xludf.DUMMYFUNCTION("""COMPUTED_VALUE"""),"PALACIOS GUERRERO")</f>
        <v>PALACIOS GUERRERO</v>
      </c>
      <c r="H613" s="1" t="str">
        <f>IFERROR(__xludf.DUMMYFUNCTION("""COMPUTED_VALUE"""),"Administración y Negocios Internacionales")</f>
        <v>Administración y Negocios Internacionales</v>
      </c>
      <c r="I613" s="1" t="str">
        <f>IFERROR(__xludf.DUMMYFUNCTION("""COMPUTED_VALUE"""),"CARGO")</f>
        <v>CARGO</v>
      </c>
      <c r="J613" s="1" t="str">
        <f>IFERROR(__xludf.DUMMYFUNCTION("""COMPUTED_VALUE"""),"Diurno")</f>
        <v>Diurno</v>
      </c>
      <c r="K613" s="1" t="str">
        <f>IFERROR(__xludf.DUMMYFUNCTION("""COMPUTED_VALUE"""),"NUEVO")</f>
        <v>NUEVO</v>
      </c>
      <c r="L613" s="1">
        <f>IFERROR(__xludf.DUMMYFUNCTION("""COMPUTED_VALUE"""),0.0)</f>
        <v>0</v>
      </c>
      <c r="M613" s="1">
        <f>IFERROR(__xludf.DUMMYFUNCTION("""COMPUTED_VALUE"""),0.0)</f>
        <v>0</v>
      </c>
      <c r="N613" s="1" t="str">
        <f>IFERROR(__xludf.DUMMYFUNCTION("""COMPUTED_VALUE"""),"BECA")</f>
        <v>BECA</v>
      </c>
      <c r="O613" s="1" t="str">
        <f>IFERROR(__xludf.DUMMYFUNCTION("""COMPUTED_VALUE"""),"BECA CARRERAS NUEVAS")</f>
        <v>BECA CARRERAS NUEVAS</v>
      </c>
      <c r="P613" s="4">
        <f>IFERROR(__xludf.DUMMYFUNCTION("""COMPUTED_VALUE"""),100.0)</f>
        <v>100</v>
      </c>
      <c r="Q613" s="4">
        <f>IFERROR(__xludf.DUMMYFUNCTION("""COMPUTED_VALUE"""),237.5)</f>
        <v>237.5</v>
      </c>
      <c r="R613" s="4">
        <f>IFERROR(__xludf.DUMMYFUNCTION("""COMPUTED_VALUE"""),1100.0)</f>
        <v>1100</v>
      </c>
      <c r="S613" s="4">
        <f>IFERROR(__xludf.DUMMYFUNCTION("""COMPUTED_VALUE"""),950.0)</f>
        <v>950</v>
      </c>
      <c r="T613" s="1" t="str">
        <f>IFERROR(__xludf.DUMMYFUNCTION("""COMPUTED_VALUE"""),"PALANCA 500")</f>
        <v>PALANCA 500</v>
      </c>
      <c r="U613" s="1" t="str">
        <f>IFERROR(__xludf.DUMMYFUNCTION("""COMPUTED_VALUE"""),"RODRIGO")</f>
        <v>RODRIGO</v>
      </c>
      <c r="V613" s="1" t="str">
        <f>IFERROR(__xludf.DUMMYFUNCTION("""COMPUTED_VALUE"""),"Ninguno")</f>
        <v>Ninguno</v>
      </c>
      <c r="W613" s="1" t="str">
        <f>IFERROR(__xludf.DUMMYFUNCTION("""COMPUTED_VALUE"""),"Beca")</f>
        <v>Beca</v>
      </c>
      <c r="X613" s="1"/>
      <c r="Y613" s="1" t="str">
        <f>IFERROR(__xludf.DUMMYFUNCTION("""COMPUTED_VALUE"""),"PAGO COMPLETO")</f>
        <v>PAGO COMPLETO</v>
      </c>
      <c r="Z613" s="1"/>
      <c r="AA613" s="1"/>
      <c r="AB613" s="1">
        <f>IFERROR(__xludf.DUMMYFUNCTION("""COMPUTED_VALUE"""),0.0)</f>
        <v>0</v>
      </c>
      <c r="AC613" s="1">
        <f>IFERROR(__xludf.DUMMYFUNCTION("""COMPUTED_VALUE"""),0.0)</f>
        <v>0</v>
      </c>
      <c r="AD613" s="1" t="str">
        <f>IFERROR(__xludf.DUMMYFUNCTION("""COMPUTED_VALUE"""),"Rosa Ugarte")</f>
        <v>Rosa Ugarte</v>
      </c>
      <c r="AE613" s="1" t="str">
        <f>IFERROR(__xludf.DUMMYFUNCTION("""COMPUTED_VALUE"""),"0")</f>
        <v>0</v>
      </c>
      <c r="AF613" s="1">
        <f>IFERROR(__xludf.DUMMYFUNCTION("""COMPUTED_VALUE"""),2022.0)</f>
        <v>2022</v>
      </c>
      <c r="AG613" s="1">
        <f>IFERROR(__xludf.DUMMYFUNCTION("""COMPUTED_VALUE"""),523621.0)</f>
        <v>523621</v>
      </c>
      <c r="AH613" s="1">
        <f>IFERROR(__xludf.DUMMYFUNCTION("""COMPUTED_VALUE"""),19.0)</f>
        <v>19</v>
      </c>
      <c r="AI613" s="1" t="str">
        <f>IFERROR(__xludf.DUMMYFUNCTION("""COMPUTED_VALUE"""),"0000419576")</f>
        <v>0000419576</v>
      </c>
      <c r="AJ613" s="1">
        <f>IFERROR(__xludf.DUMMYFUNCTION("""COMPUTED_VALUE"""),7.0487036E7)</f>
        <v>70487036</v>
      </c>
      <c r="AK613" s="1">
        <f>IFERROR(__xludf.DUMMYFUNCTION("""COMPUTED_VALUE"""),9.51375238E8)</f>
        <v>951375238</v>
      </c>
      <c r="AL613" s="1" t="str">
        <f>IFERROR(__xludf.DUMMYFUNCTION("""COMPUTED_VALUE"""),"xiomarapg18@gmail.com")</f>
        <v>xiomarapg18@gmail.com</v>
      </c>
      <c r="AM613" s="1" t="str">
        <f>IFERROR(__xludf.DUMMYFUNCTION("""COMPUTED_VALUE"""),"FEMENINO")</f>
        <v>FEMENINO</v>
      </c>
      <c r="AN613" s="1">
        <f>IFERROR(__xludf.DUMMYFUNCTION("""COMPUTED_VALUE"""),1350.0)</f>
        <v>1350</v>
      </c>
      <c r="AO613" s="1">
        <f>IFERROR(__xludf.DUMMYFUNCTION("""COMPUTED_VALUE"""),0.0)</f>
        <v>0</v>
      </c>
      <c r="AP613" s="1" t="str">
        <f>IFERROR(__xludf.DUMMYFUNCTION("""COMPUTED_VALUE"""),"FORMULARIO")</f>
        <v>FORMULARIO</v>
      </c>
      <c r="AQ613" s="1" t="str">
        <f>IFERROR(__xludf.DUMMYFUNCTION("""COMPUTED_VALUE"""),"SEARCH MARCA")</f>
        <v>SEARCH MARCA</v>
      </c>
      <c r="AR613" s="1" t="str">
        <f>IFERROR(__xludf.DUMMYFUNCTION("""COMPUTED_VALUE"""),"NUEVO")</f>
        <v>NUEVO</v>
      </c>
      <c r="AS613" s="1" t="str">
        <f>IFERROR(__xludf.DUMMYFUNCTION("""COMPUTED_VALUE"""),"ucal-pg-performance-sedes-abierta-cpl-search_conversion_marca-20240401")</f>
        <v>ucal-pg-performance-sedes-abierta-cpl-search_conversion_marca-20240401</v>
      </c>
      <c r="AT613" s="2">
        <f>IFERROR(__xludf.DUMMYFUNCTION("""COMPUTED_VALUE"""),45729.0)</f>
        <v>45729</v>
      </c>
      <c r="AU613" s="1">
        <f>IFERROR(__xludf.DUMMYFUNCTION("""COMPUTED_VALUE"""),1.0)</f>
        <v>1</v>
      </c>
      <c r="AV613" s="1" t="str">
        <f>IFERROR(__xludf.DUMMYFUNCTION("""COMPUTED_VALUE"""),"NUEVO")</f>
        <v>NUEVO</v>
      </c>
      <c r="AW613" s="1" t="str">
        <f>IFERROR(__xludf.DUMMYFUNCTION("""COMPUTED_VALUE"""),"SI")</f>
        <v>SI</v>
      </c>
      <c r="AX613" s="1"/>
      <c r="AY613" s="1" t="str">
        <f>IFERROR(__xludf.DUMMYFUNCTION("""COMPUTED_VALUE"""),"PAGO COMPLETO")</f>
        <v>PAGO COMPLETO</v>
      </c>
      <c r="AZ613" s="5">
        <f>IFERROR(__xludf.DUMMYFUNCTION("""COMPUTED_VALUE"""),45738.0)</f>
        <v>45738</v>
      </c>
      <c r="BA613" s="1">
        <f>IFERROR(__xludf.DUMMYFUNCTION("""COMPUTED_VALUE"""),0.0)</f>
        <v>0</v>
      </c>
      <c r="BB613" s="1">
        <f>IFERROR(__xludf.DUMMYFUNCTION("""COMPUTED_VALUE"""),0.0)</f>
        <v>0</v>
      </c>
      <c r="BC613" s="4">
        <f>IFERROR(__xludf.DUMMYFUNCTION("""COMPUTED_VALUE"""),0.0)</f>
        <v>0</v>
      </c>
      <c r="BD613" s="4">
        <f>IFERROR(__xludf.DUMMYFUNCTION("""COMPUTED_VALUE"""),450.0)</f>
        <v>450</v>
      </c>
      <c r="BE613" s="1">
        <f>IFERROR(__xludf.DUMMYFUNCTION("""COMPUTED_VALUE"""),3.0)</f>
        <v>3</v>
      </c>
      <c r="BF613" s="6">
        <f>IFERROR(__xludf.DUMMYFUNCTION("""COMPUTED_VALUE"""),1.0)</f>
        <v>1</v>
      </c>
      <c r="BG613" s="1">
        <f>IFERROR(__xludf.DUMMYFUNCTION("""COMPUTED_VALUE"""),1.0)</f>
        <v>1</v>
      </c>
      <c r="BH613" s="1" t="str">
        <f>IFERROR(__xludf.DUMMYFUNCTION("""COMPUTED_VALUE"""),"0")</f>
        <v>0</v>
      </c>
      <c r="BI613" s="4">
        <f>IFERROR(__xludf.DUMMYFUNCTION("""COMPUTED_VALUE"""),450.0)</f>
        <v>450</v>
      </c>
      <c r="BJ613" s="1">
        <f>IFERROR(__xludf.DUMMYFUNCTION("""COMPUTED_VALUE"""),0.0)</f>
        <v>0</v>
      </c>
      <c r="BK613" s="4">
        <f>IFERROR(__xludf.DUMMYFUNCTION("""COMPUTED_VALUE"""),450.0)</f>
        <v>450</v>
      </c>
      <c r="BL613" s="1">
        <f>IFERROR(__xludf.DUMMYFUNCTION("""COMPUTED_VALUE"""),860.0)</f>
        <v>860</v>
      </c>
      <c r="BM613" s="1">
        <f>IFERROR(__xludf.DUMMYFUNCTION("""COMPUTED_VALUE"""),12.0)</f>
        <v>12</v>
      </c>
      <c r="BN613" s="2">
        <f>IFERROR(__xludf.DUMMYFUNCTION("""COMPUTED_VALUE"""),45733.0)</f>
        <v>45733</v>
      </c>
      <c r="BO613" s="1">
        <f>IFERROR(__xludf.DUMMYFUNCTION("""COMPUTED_VALUE"""),3.0)</f>
        <v>3</v>
      </c>
      <c r="BP613" s="1">
        <f>IFERROR(__xludf.DUMMYFUNCTION("""COMPUTED_VALUE"""),2025.0)</f>
        <v>2025</v>
      </c>
    </row>
    <row r="614">
      <c r="A614" s="1">
        <f>IFERROR(__xludf.DUMMYFUNCTION("""COMPUTED_VALUE"""),613.0)</f>
        <v>613</v>
      </c>
      <c r="B614" s="1">
        <f>IFERROR(__xludf.DUMMYFUNCTION("""COMPUTED_VALUE"""),4951218.0)</f>
        <v>4951218</v>
      </c>
      <c r="C614" s="1" t="str">
        <f>IFERROR(__xludf.DUMMYFUNCTION("""COMPUTED_VALUE"""),"2025-1")</f>
        <v>2025-1</v>
      </c>
      <c r="D614" s="1" t="str">
        <f>IFERROR(__xludf.DUMMYFUNCTION("""COMPUTED_VALUE"""),"Admisión Ordinaria")</f>
        <v>Admisión Ordinaria</v>
      </c>
      <c r="E614" s="2">
        <f>IFERROR(__xludf.DUMMYFUNCTION("""COMPUTED_VALUE"""),45738.0)</f>
        <v>45738</v>
      </c>
      <c r="F614" s="1" t="str">
        <f>IFERROR(__xludf.DUMMYFUNCTION("""COMPUTED_VALUE"""),"BEXY SANDY ")</f>
        <v>BEXY SANDY </v>
      </c>
      <c r="G614" s="1" t="str">
        <f>IFERROR(__xludf.DUMMYFUNCTION("""COMPUTED_VALUE"""),"ALBERCO CAPISTRANO")</f>
        <v>ALBERCO CAPISTRANO</v>
      </c>
      <c r="H614" s="1" t="str">
        <f>IFERROR(__xludf.DUMMYFUNCTION("""COMPUTED_VALUE"""),"Psicología")</f>
        <v>Psicología</v>
      </c>
      <c r="I614" s="1" t="str">
        <f>IFERROR(__xludf.DUMMYFUNCTION("""COMPUTED_VALUE"""),"CARGO")</f>
        <v>CARGO</v>
      </c>
      <c r="J614" s="1" t="str">
        <f>IFERROR(__xludf.DUMMYFUNCTION("""COMPUTED_VALUE"""),"Nocturno - A distancia")</f>
        <v>Nocturno - A distancia</v>
      </c>
      <c r="K614" s="1" t="str">
        <f>IFERROR(__xludf.DUMMYFUNCTION("""COMPUTED_VALUE"""),"NUEVO")</f>
        <v>NUEVO</v>
      </c>
      <c r="L614" s="1">
        <f>IFERROR(__xludf.DUMMYFUNCTION("""COMPUTED_VALUE"""),0.0)</f>
        <v>0</v>
      </c>
      <c r="M614" s="1">
        <f>IFERROR(__xludf.DUMMYFUNCTION("""COMPUTED_VALUE"""),0.0)</f>
        <v>0</v>
      </c>
      <c r="N614" s="1" t="str">
        <f>IFERROR(__xludf.DUMMYFUNCTION("""COMPUTED_VALUE"""),"ESCALA REGULAR")</f>
        <v>ESCALA REGULAR</v>
      </c>
      <c r="O614" s="1" t="str">
        <f>IFERROR(__xludf.DUMMYFUNCTION("""COMPUTED_VALUE"""),"ESCALA  REG. CONGELADA 2 AÑOS")</f>
        <v>ESCALA  REG. CONGELADA 2 AÑOS</v>
      </c>
      <c r="P614" s="4">
        <f>IFERROR(__xludf.DUMMYFUNCTION("""COMPUTED_VALUE"""),0.0)</f>
        <v>0</v>
      </c>
      <c r="Q614" s="4">
        <f>IFERROR(__xludf.DUMMYFUNCTION("""COMPUTED_VALUE"""),0.0)</f>
        <v>0</v>
      </c>
      <c r="R614" s="4">
        <f>IFERROR(__xludf.DUMMYFUNCTION("""COMPUTED_VALUE"""),750.0)</f>
        <v>750</v>
      </c>
      <c r="S614" s="4">
        <f>IFERROR(__xludf.DUMMYFUNCTION("""COMPUTED_VALUE"""),750.0)</f>
        <v>750</v>
      </c>
      <c r="T614" s="1" t="str">
        <f>IFERROR(__xludf.DUMMYFUNCTION("""COMPUTED_VALUE"""),"NINGUNO")</f>
        <v>NINGUNO</v>
      </c>
      <c r="U614" s="1" t="str">
        <f>IFERROR(__xludf.DUMMYFUNCTION("""COMPUTED_VALUE"""),"FABIOLA")</f>
        <v>FABIOLA</v>
      </c>
      <c r="V614" s="1" t="str">
        <f>IFERROR(__xludf.DUMMYFUNCTION("""COMPUTED_VALUE"""),"Ninguno")</f>
        <v>Ninguno</v>
      </c>
      <c r="W614" s="1" t="str">
        <f>IFERROR(__xludf.DUMMYFUNCTION("""COMPUTED_VALUE"""),"Flexibilidad de horarios")</f>
        <v>Flexibilidad de horarios</v>
      </c>
      <c r="X614" s="1" t="str">
        <f>IFERROR(__xludf.DUMMYFUNCTION("""COMPUTED_VALUE"""),"PAGO ANDREA CRISANTO")</f>
        <v>PAGO ANDREA CRISANTO</v>
      </c>
      <c r="Y614" s="1" t="str">
        <f>IFERROR(__xludf.DUMMYFUNCTION("""COMPUTED_VALUE"""),"PAGO COMPLETO")</f>
        <v>PAGO COMPLETO</v>
      </c>
      <c r="Z614" s="1"/>
      <c r="AA614" s="1"/>
      <c r="AB614" s="1">
        <f>IFERROR(__xludf.DUMMYFUNCTION("""COMPUTED_VALUE"""),0.0)</f>
        <v>0</v>
      </c>
      <c r="AC614" s="1">
        <f>IFERROR(__xludf.DUMMYFUNCTION("""COMPUTED_VALUE"""),0.0)</f>
        <v>0</v>
      </c>
      <c r="AD614" s="1" t="str">
        <f>IFERROR(__xludf.DUMMYFUNCTION("""COMPUTED_VALUE"""),"Andrea Crisanto")</f>
        <v>Andrea Crisanto</v>
      </c>
      <c r="AE614" s="1" t="str">
        <f>IFERROR(__xludf.DUMMYFUNCTION("""COMPUTED_VALUE"""),"0")</f>
        <v>0</v>
      </c>
      <c r="AF614" s="1">
        <f>IFERROR(__xludf.DUMMYFUNCTION("""COMPUTED_VALUE"""),2009.0)</f>
        <v>2009</v>
      </c>
      <c r="AG614" s="1">
        <f>IFERROR(__xludf.DUMMYFUNCTION("""COMPUTED_VALUE"""),334748.0)</f>
        <v>334748</v>
      </c>
      <c r="AH614" s="1">
        <f>IFERROR(__xludf.DUMMYFUNCTION("""COMPUTED_VALUE"""),32.0)</f>
        <v>32</v>
      </c>
      <c r="AI614" s="1" t="str">
        <f>IFERROR(__xludf.DUMMYFUNCTION("""COMPUTED_VALUE"""),"0000420830")</f>
        <v>0000420830</v>
      </c>
      <c r="AJ614" s="1">
        <f>IFERROR(__xludf.DUMMYFUNCTION("""COMPUTED_VALUE"""),4.8348318E7)</f>
        <v>48348318</v>
      </c>
      <c r="AK614" s="1">
        <f>IFERROR(__xludf.DUMMYFUNCTION("""COMPUTED_VALUE"""),9.56718891E8)</f>
        <v>956718891</v>
      </c>
      <c r="AL614" s="1" t="str">
        <f>IFERROR(__xludf.DUMMYFUNCTION("""COMPUTED_VALUE"""),"bexy.alberco@gmail.com")</f>
        <v>bexy.alberco@gmail.com</v>
      </c>
      <c r="AM614" s="1" t="str">
        <f>IFERROR(__xludf.DUMMYFUNCTION("""COMPUTED_VALUE"""),"FEMENINO")</f>
        <v>FEMENINO</v>
      </c>
      <c r="AN614" s="1">
        <f>IFERROR(__xludf.DUMMYFUNCTION("""COMPUTED_VALUE"""),1350.0)</f>
        <v>1350</v>
      </c>
      <c r="AO614" s="1">
        <f>IFERROR(__xludf.DUMMYFUNCTION("""COMPUTED_VALUE"""),0.0)</f>
        <v>0</v>
      </c>
      <c r="AP614" s="1" t="str">
        <f>IFERROR(__xludf.DUMMYFUNCTION("""COMPUTED_VALUE"""),"FORMULARIO")</f>
        <v>FORMULARIO</v>
      </c>
      <c r="AQ614" s="1" t="str">
        <f>IFERROR(__xludf.DUMMYFUNCTION("""COMPUTED_VALUE"""),"SEARCH MARCA")</f>
        <v>SEARCH MARCA</v>
      </c>
      <c r="AR614" s="1" t="str">
        <f>IFERROR(__xludf.DUMMYFUNCTION("""COMPUTED_VALUE"""),"NUEVO")</f>
        <v>NUEVO</v>
      </c>
      <c r="AS614" s="1" t="str">
        <f>IFERROR(__xludf.DUMMYFUNCTION("""COMPUTED_VALUE"""),"ucal-pg-performance-sedes-abierta-cpl-search_conversion_marca-20240401")</f>
        <v>ucal-pg-performance-sedes-abierta-cpl-search_conversion_marca-20240401</v>
      </c>
      <c r="AT614" s="2">
        <f>IFERROR(__xludf.DUMMYFUNCTION("""COMPUTED_VALUE"""),45672.0)</f>
        <v>45672</v>
      </c>
      <c r="AU614" s="1">
        <f>IFERROR(__xludf.DUMMYFUNCTION("""COMPUTED_VALUE"""),1.0)</f>
        <v>1</v>
      </c>
      <c r="AV614" s="1" t="str">
        <f>IFERROR(__xludf.DUMMYFUNCTION("""COMPUTED_VALUE"""),"NUEVO")</f>
        <v>NUEVO</v>
      </c>
      <c r="AW614" s="1" t="str">
        <f>IFERROR(__xludf.DUMMYFUNCTION("""COMPUTED_VALUE"""),"SI")</f>
        <v>SI</v>
      </c>
      <c r="AX614" s="1"/>
      <c r="AY614" s="1" t="str">
        <f>IFERROR(__xludf.DUMMYFUNCTION("""COMPUTED_VALUE"""),"PAGO COMPLETO")</f>
        <v>PAGO COMPLETO</v>
      </c>
      <c r="AZ614" s="5">
        <f>IFERROR(__xludf.DUMMYFUNCTION("""COMPUTED_VALUE"""),45738.0)</f>
        <v>45738</v>
      </c>
      <c r="BA614" s="1">
        <f>IFERROR(__xludf.DUMMYFUNCTION("""COMPUTED_VALUE"""),0.0)</f>
        <v>0</v>
      </c>
      <c r="BB614" s="1">
        <f>IFERROR(__xludf.DUMMYFUNCTION("""COMPUTED_VALUE"""),0.0)</f>
        <v>0</v>
      </c>
      <c r="BC614" s="4">
        <f>IFERROR(__xludf.DUMMYFUNCTION("""COMPUTED_VALUE"""),0.0)</f>
        <v>0</v>
      </c>
      <c r="BD614" s="4">
        <f>IFERROR(__xludf.DUMMYFUNCTION("""COMPUTED_VALUE"""),0.0)</f>
        <v>0</v>
      </c>
      <c r="BE614" s="1">
        <f>IFERROR(__xludf.DUMMYFUNCTION("""COMPUTED_VALUE"""),3.0)</f>
        <v>3</v>
      </c>
      <c r="BF614" s="6">
        <f>IFERROR(__xludf.DUMMYFUNCTION("""COMPUTED_VALUE"""),1.0)</f>
        <v>1</v>
      </c>
      <c r="BG614" s="1">
        <f>IFERROR(__xludf.DUMMYFUNCTION("""COMPUTED_VALUE"""),1.0)</f>
        <v>1</v>
      </c>
      <c r="BH614" s="1" t="str">
        <f>IFERROR(__xludf.DUMMYFUNCTION("""COMPUTED_VALUE"""),"0")</f>
        <v>0</v>
      </c>
      <c r="BI614" s="4">
        <f>IFERROR(__xludf.DUMMYFUNCTION("""COMPUTED_VALUE"""),0.0)</f>
        <v>0</v>
      </c>
      <c r="BJ614" s="1">
        <f>IFERROR(__xludf.DUMMYFUNCTION("""COMPUTED_VALUE"""),0.0)</f>
        <v>0</v>
      </c>
      <c r="BK614" s="4">
        <f>IFERROR(__xludf.DUMMYFUNCTION("""COMPUTED_VALUE"""),0.0)</f>
        <v>0</v>
      </c>
      <c r="BL614" s="1">
        <f>IFERROR(__xludf.DUMMYFUNCTION("""COMPUTED_VALUE"""),750.0)</f>
        <v>750</v>
      </c>
      <c r="BM614" s="1">
        <f>IFERROR(__xludf.DUMMYFUNCTION("""COMPUTED_VALUE"""),12.0)</f>
        <v>12</v>
      </c>
      <c r="BN614" s="2">
        <f>IFERROR(__xludf.DUMMYFUNCTION("""COMPUTED_VALUE"""),45733.0)</f>
        <v>45733</v>
      </c>
      <c r="BO614" s="1">
        <f>IFERROR(__xludf.DUMMYFUNCTION("""COMPUTED_VALUE"""),3.0)</f>
        <v>3</v>
      </c>
      <c r="BP614" s="1">
        <f>IFERROR(__xludf.DUMMYFUNCTION("""COMPUTED_VALUE"""),2025.0)</f>
        <v>2025</v>
      </c>
    </row>
    <row r="615">
      <c r="A615" s="1">
        <f>IFERROR(__xludf.DUMMYFUNCTION("""COMPUTED_VALUE"""),614.0)</f>
        <v>614</v>
      </c>
      <c r="B615" s="1">
        <f>IFERROR(__xludf.DUMMYFUNCTION("""COMPUTED_VALUE"""),3317969.0)</f>
        <v>3317969</v>
      </c>
      <c r="C615" s="1" t="str">
        <f>IFERROR(__xludf.DUMMYFUNCTION("""COMPUTED_VALUE"""),"2025-1")</f>
        <v>2025-1</v>
      </c>
      <c r="D615" s="1" t="str">
        <f>IFERROR(__xludf.DUMMYFUNCTION("""COMPUTED_VALUE"""),"Admisión Ordinaria")</f>
        <v>Admisión Ordinaria</v>
      </c>
      <c r="E615" s="2">
        <f>IFERROR(__xludf.DUMMYFUNCTION("""COMPUTED_VALUE"""),45738.0)</f>
        <v>45738</v>
      </c>
      <c r="F615" s="1" t="str">
        <f>IFERROR(__xludf.DUMMYFUNCTION("""COMPUTED_VALUE"""),"JORGE RODRIGO MATIAS ")</f>
        <v>JORGE RODRIGO MATIAS </v>
      </c>
      <c r="G615" s="1" t="str">
        <f>IFERROR(__xludf.DUMMYFUNCTION("""COMPUTED_VALUE"""),"CASAS MONTESINOS")</f>
        <v>CASAS MONTESINOS</v>
      </c>
      <c r="H615" s="1" t="str">
        <f>IFERROR(__xludf.DUMMYFUNCTION("""COMPUTED_VALUE"""),"Arquitectura")</f>
        <v>Arquitectura</v>
      </c>
      <c r="I615" s="1" t="str">
        <f>IFERROR(__xludf.DUMMYFUNCTION("""COMPUTED_VALUE"""),"CARGO")</f>
        <v>CARGO</v>
      </c>
      <c r="J615" s="1" t="str">
        <f>IFERROR(__xludf.DUMMYFUNCTION("""COMPUTED_VALUE"""),"Diurno")</f>
        <v>Diurno</v>
      </c>
      <c r="K615" s="1" t="str">
        <f>IFERROR(__xludf.DUMMYFUNCTION("""COMPUTED_VALUE"""),"NUEVO")</f>
        <v>NUEVO</v>
      </c>
      <c r="L615" s="1">
        <f>IFERROR(__xludf.DUMMYFUNCTION("""COMPUTED_VALUE"""),0.0)</f>
        <v>0</v>
      </c>
      <c r="M615" s="1">
        <f>IFERROR(__xludf.DUMMYFUNCTION("""COMPUTED_VALUE"""),0.0)</f>
        <v>0</v>
      </c>
      <c r="N615" s="1" t="str">
        <f>IFERROR(__xludf.DUMMYFUNCTION("""COMPUTED_VALUE"""),"BECA")</f>
        <v>BECA</v>
      </c>
      <c r="O615" s="1" t="str">
        <f>IFERROR(__xludf.DUMMYFUNCTION("""COMPUTED_VALUE"""),"BECA RECUPERO")</f>
        <v>BECA RECUPERO</v>
      </c>
      <c r="P615" s="4">
        <f>IFERROR(__xludf.DUMMYFUNCTION("""COMPUTED_VALUE"""),0.0)</f>
        <v>0</v>
      </c>
      <c r="Q615" s="4">
        <f>IFERROR(__xludf.DUMMYFUNCTION("""COMPUTED_VALUE"""),0.0)</f>
        <v>0</v>
      </c>
      <c r="R615" s="4">
        <f>IFERROR(__xludf.DUMMYFUNCTION("""COMPUTED_VALUE"""),950.0)</f>
        <v>950</v>
      </c>
      <c r="S615" s="4">
        <f>IFERROR(__xludf.DUMMYFUNCTION("""COMPUTED_VALUE"""),800.0)</f>
        <v>800</v>
      </c>
      <c r="T615" s="1" t="str">
        <f>IFERROR(__xludf.DUMMYFUNCTION("""COMPUTED_VALUE"""),"PALANCA 500")</f>
        <v>PALANCA 500</v>
      </c>
      <c r="U615" s="1" t="str">
        <f>IFERROR(__xludf.DUMMYFUNCTION("""COMPUTED_VALUE"""),"RODRIGO")</f>
        <v>RODRIGO</v>
      </c>
      <c r="V615" s="1" t="str">
        <f>IFERROR(__xludf.DUMMYFUNCTION("""COMPUTED_VALUE"""),"Ninguno")</f>
        <v>Ninguno</v>
      </c>
      <c r="W615" s="1" t="str">
        <f>IFERROR(__xludf.DUMMYFUNCTION("""COMPUTED_VALUE"""),"Metodología de enseñanza")</f>
        <v>Metodología de enseñanza</v>
      </c>
      <c r="X615" s="1" t="str">
        <f>IFERROR(__xludf.DUMMYFUNCTION("""COMPUTED_VALUE"""),"0")</f>
        <v>0</v>
      </c>
      <c r="Y615" s="1" t="str">
        <f>IFERROR(__xludf.DUMMYFUNCTION("""COMPUTED_VALUE"""),"PAGO COMPLETO")</f>
        <v>PAGO COMPLETO</v>
      </c>
      <c r="Z615" s="1"/>
      <c r="AA615" s="1"/>
      <c r="AB615" s="1">
        <f>IFERROR(__xludf.DUMMYFUNCTION("""COMPUTED_VALUE"""),0.0)</f>
        <v>0</v>
      </c>
      <c r="AC615" s="1">
        <f>IFERROR(__xludf.DUMMYFUNCTION("""COMPUTED_VALUE"""),0.0)</f>
        <v>0</v>
      </c>
      <c r="AD615" s="1" t="str">
        <f>IFERROR(__xludf.DUMMYFUNCTION("""COMPUTED_VALUE"""),"Andrea Araujo Antara")</f>
        <v>Andrea Araujo Antara</v>
      </c>
      <c r="AE615" s="1" t="str">
        <f>IFERROR(__xludf.DUMMYFUNCTION("""COMPUTED_VALUE"""),"0")</f>
        <v>0</v>
      </c>
      <c r="AF615" s="1">
        <f>IFERROR(__xludf.DUMMYFUNCTION("""COMPUTED_VALUE"""),2024.0)</f>
        <v>2024</v>
      </c>
      <c r="AG615" s="1">
        <f>IFERROR(__xludf.DUMMYFUNCTION("""COMPUTED_VALUE"""),1548155.0)</f>
        <v>1548155</v>
      </c>
      <c r="AH615" s="1">
        <f>IFERROR(__xludf.DUMMYFUNCTION("""COMPUTED_VALUE"""),17.0)</f>
        <v>17</v>
      </c>
      <c r="AI615" s="1" t="str">
        <f>IFERROR(__xludf.DUMMYFUNCTION("""COMPUTED_VALUE"""),"0000420819")</f>
        <v>0000420819</v>
      </c>
      <c r="AJ615" s="1">
        <f>IFERROR(__xludf.DUMMYFUNCTION("""COMPUTED_VALUE"""),7.1191797E7)</f>
        <v>71191797</v>
      </c>
      <c r="AK615" s="1">
        <f>IFERROR(__xludf.DUMMYFUNCTION("""COMPUTED_VALUE"""),9.70886511E8)</f>
        <v>970886511</v>
      </c>
      <c r="AL615" s="1" t="str">
        <f>IFERROR(__xludf.DUMMYFUNCTION("""COMPUTED_VALUE"""),"rodrigo.cmontes3@gmail.com")</f>
        <v>rodrigo.cmontes3@gmail.com</v>
      </c>
      <c r="AM615" s="1" t="str">
        <f>IFERROR(__xludf.DUMMYFUNCTION("""COMPUTED_VALUE"""),"MASCULINO")</f>
        <v>MASCULINO</v>
      </c>
      <c r="AN615" s="1">
        <f>IFERROR(__xludf.DUMMYFUNCTION("""COMPUTED_VALUE"""),1600.0)</f>
        <v>1600</v>
      </c>
      <c r="AO615" s="1">
        <f>IFERROR(__xludf.DUMMYFUNCTION("""COMPUTED_VALUE"""),250.0)</f>
        <v>250</v>
      </c>
      <c r="AP615" s="1" t="str">
        <f>IFERROR(__xludf.DUMMYFUNCTION("""COMPUTED_VALUE"""),"BIDIRECCIONAL")</f>
        <v>BIDIRECCIONAL</v>
      </c>
      <c r="AQ615" s="1" t="str">
        <f>IFERROR(__xludf.DUMMYFUNCTION("""COMPUTED_VALUE"""),"SEARCH MARCA")</f>
        <v>SEARCH MARCA</v>
      </c>
      <c r="AR615" s="1" t="str">
        <f>IFERROR(__xludf.DUMMYFUNCTION("""COMPUTED_VALUE"""),"NUEVO")</f>
        <v>NUEVO</v>
      </c>
      <c r="AS615" s="1" t="str">
        <f>IFERROR(__xludf.DUMMYFUNCTION("""COMPUTED_VALUE"""),"ucal-pg-performance-sedes-abierta-cpl-extensiones_bea_marca-20240917")</f>
        <v>ucal-pg-performance-sedes-abierta-cpl-extensiones_bea_marca-20240917</v>
      </c>
      <c r="AT615" s="2">
        <f>IFERROR(__xludf.DUMMYFUNCTION("""COMPUTED_VALUE"""),45736.0)</f>
        <v>45736</v>
      </c>
      <c r="AU615" s="1">
        <f>IFERROR(__xludf.DUMMYFUNCTION("""COMPUTED_VALUE"""),1.0)</f>
        <v>1</v>
      </c>
      <c r="AV615" s="1" t="str">
        <f>IFERROR(__xludf.DUMMYFUNCTION("""COMPUTED_VALUE"""),"NUEVO")</f>
        <v>NUEVO</v>
      </c>
      <c r="AW615" s="1" t="str">
        <f>IFERROR(__xludf.DUMMYFUNCTION("""COMPUTED_VALUE"""),"SI")</f>
        <v>SI</v>
      </c>
      <c r="AX615" s="1"/>
      <c r="AY615" s="1" t="str">
        <f>IFERROR(__xludf.DUMMYFUNCTION("""COMPUTED_VALUE"""),"PAGO COMPLETO")</f>
        <v>PAGO COMPLETO</v>
      </c>
      <c r="AZ615" s="5">
        <f>IFERROR(__xludf.DUMMYFUNCTION("""COMPUTED_VALUE"""),45738.0)</f>
        <v>45738</v>
      </c>
      <c r="BA615" s="1">
        <f>IFERROR(__xludf.DUMMYFUNCTION("""COMPUTED_VALUE"""),0.0)</f>
        <v>0</v>
      </c>
      <c r="BB615" s="1">
        <f>IFERROR(__xludf.DUMMYFUNCTION("""COMPUTED_VALUE"""),0.0)</f>
        <v>0</v>
      </c>
      <c r="BC615" s="4">
        <f>IFERROR(__xludf.DUMMYFUNCTION("""COMPUTED_VALUE"""),0.0)</f>
        <v>0</v>
      </c>
      <c r="BD615" s="4">
        <f>IFERROR(__xludf.DUMMYFUNCTION("""COMPUTED_VALUE"""),300.0)</f>
        <v>300</v>
      </c>
      <c r="BE615" s="1">
        <f>IFERROR(__xludf.DUMMYFUNCTION("""COMPUTED_VALUE"""),3.0)</f>
        <v>3</v>
      </c>
      <c r="BF615" s="6">
        <f>IFERROR(__xludf.DUMMYFUNCTION("""COMPUTED_VALUE"""),1.0)</f>
        <v>1</v>
      </c>
      <c r="BG615" s="1">
        <f>IFERROR(__xludf.DUMMYFUNCTION("""COMPUTED_VALUE"""),1.0)</f>
        <v>1</v>
      </c>
      <c r="BH615" s="1" t="str">
        <f>IFERROR(__xludf.DUMMYFUNCTION("""COMPUTED_VALUE"""),"0")</f>
        <v>0</v>
      </c>
      <c r="BI615" s="4">
        <f>IFERROR(__xludf.DUMMYFUNCTION("""COMPUTED_VALUE"""),300.0)</f>
        <v>300</v>
      </c>
      <c r="BJ615" s="1">
        <f>IFERROR(__xludf.DUMMYFUNCTION("""COMPUTED_VALUE"""),0.0)</f>
        <v>0</v>
      </c>
      <c r="BK615" s="4">
        <f>IFERROR(__xludf.DUMMYFUNCTION("""COMPUTED_VALUE"""),300.0)</f>
        <v>300</v>
      </c>
      <c r="BL615" s="1">
        <f>IFERROR(__xludf.DUMMYFUNCTION("""COMPUTED_VALUE"""),740.0)</f>
        <v>740</v>
      </c>
      <c r="BM615" s="1">
        <f>IFERROR(__xludf.DUMMYFUNCTION("""COMPUTED_VALUE"""),12.0)</f>
        <v>12</v>
      </c>
      <c r="BN615" s="2">
        <f>IFERROR(__xludf.DUMMYFUNCTION("""COMPUTED_VALUE"""),45733.0)</f>
        <v>45733</v>
      </c>
      <c r="BO615" s="1">
        <f>IFERROR(__xludf.DUMMYFUNCTION("""COMPUTED_VALUE"""),3.0)</f>
        <v>3</v>
      </c>
      <c r="BP615" s="1">
        <f>IFERROR(__xludf.DUMMYFUNCTION("""COMPUTED_VALUE"""),2025.0)</f>
        <v>2025</v>
      </c>
    </row>
    <row r="616">
      <c r="A616" s="1">
        <f>IFERROR(__xludf.DUMMYFUNCTION("""COMPUTED_VALUE"""),615.0)</f>
        <v>615</v>
      </c>
      <c r="B616" s="1">
        <f>IFERROR(__xludf.DUMMYFUNCTION("""COMPUTED_VALUE"""),4991860.0)</f>
        <v>4991860</v>
      </c>
      <c r="C616" s="1" t="str">
        <f>IFERROR(__xludf.DUMMYFUNCTION("""COMPUTED_VALUE"""),"2025-1")</f>
        <v>2025-1</v>
      </c>
      <c r="D616" s="1" t="str">
        <f>IFERROR(__xludf.DUMMYFUNCTION("""COMPUTED_VALUE"""),"Admisión Ordinaria")</f>
        <v>Admisión Ordinaria</v>
      </c>
      <c r="E616" s="2">
        <f>IFERROR(__xludf.DUMMYFUNCTION("""COMPUTED_VALUE"""),45739.0)</f>
        <v>45739</v>
      </c>
      <c r="F616" s="1" t="str">
        <f>IFERROR(__xludf.DUMMYFUNCTION("""COMPUTED_VALUE"""),"ARIANA CRISTINA")</f>
        <v>ARIANA CRISTINA</v>
      </c>
      <c r="G616" s="1" t="str">
        <f>IFERROR(__xludf.DUMMYFUNCTION("""COMPUTED_VALUE"""),"JARA MORALES")</f>
        <v>JARA MORALES</v>
      </c>
      <c r="H616" s="1" t="str">
        <f>IFERROR(__xludf.DUMMYFUNCTION("""COMPUTED_VALUE"""),"Comunicación y Publicidad Transmedia")</f>
        <v>Comunicación y Publicidad Transmedia</v>
      </c>
      <c r="I616" s="1" t="str">
        <f>IFERROR(__xludf.DUMMYFUNCTION("""COMPUTED_VALUE"""),"CARGO")</f>
        <v>CARGO</v>
      </c>
      <c r="J616" s="1" t="str">
        <f>IFERROR(__xludf.DUMMYFUNCTION("""COMPUTED_VALUE"""),"Diurno")</f>
        <v>Diurno</v>
      </c>
      <c r="K616" s="1" t="str">
        <f>IFERROR(__xludf.DUMMYFUNCTION("""COMPUTED_VALUE"""),"NUEVO")</f>
        <v>NUEVO</v>
      </c>
      <c r="L616" s="1">
        <f>IFERROR(__xludf.DUMMYFUNCTION("""COMPUTED_VALUE"""),0.0)</f>
        <v>0</v>
      </c>
      <c r="M616" s="1">
        <f>IFERROR(__xludf.DUMMYFUNCTION("""COMPUTED_VALUE"""),0.0)</f>
        <v>0</v>
      </c>
      <c r="N616" s="1" t="str">
        <f>IFERROR(__xludf.DUMMYFUNCTION("""COMPUTED_VALUE"""),"ESCALA REGULAR")</f>
        <v>ESCALA REGULAR</v>
      </c>
      <c r="O616" s="1" t="str">
        <f>IFERROR(__xludf.DUMMYFUNCTION("""COMPUTED_VALUE"""),"ESCALA  REG. CONGELADA 2 AÑOS")</f>
        <v>ESCALA  REG. CONGELADA 2 AÑOS</v>
      </c>
      <c r="P616" s="4">
        <f>IFERROR(__xludf.DUMMYFUNCTION("""COMPUTED_VALUE"""),125.0)</f>
        <v>125</v>
      </c>
      <c r="Q616" s="4">
        <f>IFERROR(__xludf.DUMMYFUNCTION("""COMPUTED_VALUE"""),237.5)</f>
        <v>237.5</v>
      </c>
      <c r="R616" s="4">
        <f>IFERROR(__xludf.DUMMYFUNCTION("""COMPUTED_VALUE"""),1200.0)</f>
        <v>1200</v>
      </c>
      <c r="S616" s="4">
        <f>IFERROR(__xludf.DUMMYFUNCTION("""COMPUTED_VALUE"""),1200.0)</f>
        <v>1200</v>
      </c>
      <c r="T616" s="1" t="str">
        <f>IFERROR(__xludf.DUMMYFUNCTION("""COMPUTED_VALUE"""),"PALANCA 500")</f>
        <v>PALANCA 500</v>
      </c>
      <c r="U616" s="1"/>
      <c r="V616" s="1" t="str">
        <f>IFERROR(__xludf.DUMMYFUNCTION("""COMPUTED_VALUE"""),"Ninguno")</f>
        <v>Ninguno</v>
      </c>
      <c r="W616" s="1" t="str">
        <f>IFERROR(__xludf.DUMMYFUNCTION("""COMPUTED_VALUE"""),"Metodología de enseñanza")</f>
        <v>Metodología de enseñanza</v>
      </c>
      <c r="X616" s="1"/>
      <c r="Y616" s="1" t="str">
        <f>IFERROR(__xludf.DUMMYFUNCTION("""COMPUTED_VALUE"""),"PAGO COMPLETO")</f>
        <v>PAGO COMPLETO</v>
      </c>
      <c r="Z616" s="1"/>
      <c r="AA616" s="1"/>
      <c r="AB616" s="1">
        <f>IFERROR(__xludf.DUMMYFUNCTION("""COMPUTED_VALUE"""),0.0)</f>
        <v>0</v>
      </c>
      <c r="AC616" s="1">
        <f>IFERROR(__xludf.DUMMYFUNCTION("""COMPUTED_VALUE"""),0.0)</f>
        <v>0</v>
      </c>
      <c r="AD616" s="1" t="str">
        <f>IFERROR(__xludf.DUMMYFUNCTION("""COMPUTED_VALUE"""),"Ingrid Guillermo Rivera")</f>
        <v>Ingrid Guillermo Rivera</v>
      </c>
      <c r="AE616" s="1" t="str">
        <f>IFERROR(__xludf.DUMMYFUNCTION("""COMPUTED_VALUE"""),"0")</f>
        <v>0</v>
      </c>
      <c r="AF616" s="1">
        <f>IFERROR(__xludf.DUMMYFUNCTION("""COMPUTED_VALUE"""),2021.0)</f>
        <v>2021</v>
      </c>
      <c r="AG616" s="1">
        <f>IFERROR(__xludf.DUMMYFUNCTION("""COMPUTED_VALUE"""),340323.0)</f>
        <v>340323</v>
      </c>
      <c r="AH616" s="1">
        <f>IFERROR(__xludf.DUMMYFUNCTION("""COMPUTED_VALUE"""),20.0)</f>
        <v>20</v>
      </c>
      <c r="AI616" s="1" t="str">
        <f>IFERROR(__xludf.DUMMYFUNCTION("""COMPUTED_VALUE"""),"0000420888")</f>
        <v>0000420888</v>
      </c>
      <c r="AJ616" s="1">
        <f>IFERROR(__xludf.DUMMYFUNCTION("""COMPUTED_VALUE"""),6.0780545E7)</f>
        <v>60780545</v>
      </c>
      <c r="AK616" s="1">
        <f>IFERROR(__xludf.DUMMYFUNCTION("""COMPUTED_VALUE"""),9.35549267E8)</f>
        <v>935549267</v>
      </c>
      <c r="AL616" s="1" t="str">
        <f>IFERROR(__xludf.DUMMYFUNCTION("""COMPUTED_VALUE"""),"ARIANAJARAMORALES10@gmail.com")</f>
        <v>ARIANAJARAMORALES10@gmail.com</v>
      </c>
      <c r="AM616" s="1" t="str">
        <f>IFERROR(__xludf.DUMMYFUNCTION("""COMPUTED_VALUE"""),"FEMENINO")</f>
        <v>FEMENINO</v>
      </c>
      <c r="AN616" s="1">
        <f>IFERROR(__xludf.DUMMYFUNCTION("""COMPUTED_VALUE"""),1350.0)</f>
        <v>1350</v>
      </c>
      <c r="AO616" s="1">
        <f>IFERROR(__xludf.DUMMYFUNCTION("""COMPUTED_VALUE"""),0.0)</f>
        <v>0</v>
      </c>
      <c r="AP616" s="1" t="str">
        <f>IFERROR(__xludf.DUMMYFUNCTION("""COMPUTED_VALUE"""),"FORMULARIO")</f>
        <v>FORMULARIO</v>
      </c>
      <c r="AQ616" s="1" t="str">
        <f>IFERROR(__xludf.DUMMYFUNCTION("""COMPUTED_VALUE"""),"SEARCH MARCA")</f>
        <v>SEARCH MARCA</v>
      </c>
      <c r="AR616" s="1" t="str">
        <f>IFERROR(__xludf.DUMMYFUNCTION("""COMPUTED_VALUE"""),"NUEVO")</f>
        <v>NUEVO</v>
      </c>
      <c r="AS616" s="1" t="str">
        <f>IFERROR(__xludf.DUMMYFUNCTION("""COMPUTED_VALUE"""),"ucal-pg-performance-sedes-abierta-cpl-search_conversion_marca-20240401")</f>
        <v>ucal-pg-performance-sedes-abierta-cpl-search_conversion_marca-20240401</v>
      </c>
      <c r="AT616" s="2">
        <f>IFERROR(__xludf.DUMMYFUNCTION("""COMPUTED_VALUE"""),45691.0)</f>
        <v>45691</v>
      </c>
      <c r="AU616" s="1">
        <f>IFERROR(__xludf.DUMMYFUNCTION("""COMPUTED_VALUE"""),1.0)</f>
        <v>1</v>
      </c>
      <c r="AV616" s="1" t="str">
        <f>IFERROR(__xludf.DUMMYFUNCTION("""COMPUTED_VALUE"""),"NUEVO")</f>
        <v>NUEVO</v>
      </c>
      <c r="AW616" s="1" t="str">
        <f>IFERROR(__xludf.DUMMYFUNCTION("""COMPUTED_VALUE"""),"SI")</f>
        <v>SI</v>
      </c>
      <c r="AX616" s="1"/>
      <c r="AY616" s="1" t="str">
        <f>IFERROR(__xludf.DUMMYFUNCTION("""COMPUTED_VALUE"""),"PAGO COMPLETO")</f>
        <v>PAGO COMPLETO</v>
      </c>
      <c r="AZ616" s="5">
        <f>IFERROR(__xludf.DUMMYFUNCTION("""COMPUTED_VALUE"""),45739.0)</f>
        <v>45739</v>
      </c>
      <c r="BA616" s="1">
        <f>IFERROR(__xludf.DUMMYFUNCTION("""COMPUTED_VALUE"""),0.0)</f>
        <v>0</v>
      </c>
      <c r="BB616" s="1">
        <f>IFERROR(__xludf.DUMMYFUNCTION("""COMPUTED_VALUE"""),0.0)</f>
        <v>0</v>
      </c>
      <c r="BC616" s="4">
        <f>IFERROR(__xludf.DUMMYFUNCTION("""COMPUTED_VALUE"""),0.0)</f>
        <v>0</v>
      </c>
      <c r="BD616" s="4">
        <f>IFERROR(__xludf.DUMMYFUNCTION("""COMPUTED_VALUE"""),700.0)</f>
        <v>700</v>
      </c>
      <c r="BE616" s="1">
        <f>IFERROR(__xludf.DUMMYFUNCTION("""COMPUTED_VALUE"""),3.0)</f>
        <v>3</v>
      </c>
      <c r="BF616" s="6">
        <f>IFERROR(__xludf.DUMMYFUNCTION("""COMPUTED_VALUE"""),1.0)</f>
        <v>1</v>
      </c>
      <c r="BG616" s="1">
        <f>IFERROR(__xludf.DUMMYFUNCTION("""COMPUTED_VALUE"""),1.0)</f>
        <v>1</v>
      </c>
      <c r="BH616" s="1" t="str">
        <f>IFERROR(__xludf.DUMMYFUNCTION("""COMPUTED_VALUE"""),"0")</f>
        <v>0</v>
      </c>
      <c r="BI616" s="4">
        <f>IFERROR(__xludf.DUMMYFUNCTION("""COMPUTED_VALUE"""),700.0)</f>
        <v>700</v>
      </c>
      <c r="BJ616" s="1">
        <f>IFERROR(__xludf.DUMMYFUNCTION("""COMPUTED_VALUE"""),0.0)</f>
        <v>0</v>
      </c>
      <c r="BK616" s="4">
        <f>IFERROR(__xludf.DUMMYFUNCTION("""COMPUTED_VALUE"""),700.0)</f>
        <v>700</v>
      </c>
      <c r="BL616" s="1">
        <f>IFERROR(__xludf.DUMMYFUNCTION("""COMPUTED_VALUE"""),1060.0)</f>
        <v>1060</v>
      </c>
      <c r="BM616" s="1">
        <f>IFERROR(__xludf.DUMMYFUNCTION("""COMPUTED_VALUE"""),12.0)</f>
        <v>12</v>
      </c>
      <c r="BN616" s="2">
        <f>IFERROR(__xludf.DUMMYFUNCTION("""COMPUTED_VALUE"""),45733.0)</f>
        <v>45733</v>
      </c>
      <c r="BO616" s="1">
        <f>IFERROR(__xludf.DUMMYFUNCTION("""COMPUTED_VALUE"""),3.0)</f>
        <v>3</v>
      </c>
      <c r="BP616" s="1">
        <f>IFERROR(__xludf.DUMMYFUNCTION("""COMPUTED_VALUE"""),2025.0)</f>
        <v>2025</v>
      </c>
    </row>
    <row r="617">
      <c r="A617" s="1">
        <f>IFERROR(__xludf.DUMMYFUNCTION("""COMPUTED_VALUE"""),616.0)</f>
        <v>616</v>
      </c>
      <c r="B617" s="1">
        <f>IFERROR(__xludf.DUMMYFUNCTION("""COMPUTED_VALUE"""),5008016.0)</f>
        <v>5008016</v>
      </c>
      <c r="C617" s="1" t="str">
        <f>IFERROR(__xludf.DUMMYFUNCTION("""COMPUTED_VALUE"""),"2025-1")</f>
        <v>2025-1</v>
      </c>
      <c r="D617" s="1" t="str">
        <f>IFERROR(__xludf.DUMMYFUNCTION("""COMPUTED_VALUE"""),"Admisión Ordinaria")</f>
        <v>Admisión Ordinaria</v>
      </c>
      <c r="E617" s="2">
        <f>IFERROR(__xludf.DUMMYFUNCTION("""COMPUTED_VALUE"""),45739.0)</f>
        <v>45739</v>
      </c>
      <c r="F617" s="1" t="str">
        <f>IFERROR(__xludf.DUMMYFUNCTION("""COMPUTED_VALUE"""),"ALEXANDER")</f>
        <v>ALEXANDER</v>
      </c>
      <c r="G617" s="1" t="str">
        <f>IFERROR(__xludf.DUMMYFUNCTION("""COMPUTED_VALUE"""),"ACUÑA FILLERIA")</f>
        <v>ACUÑA FILLERIA</v>
      </c>
      <c r="H617" s="1" t="str">
        <f>IFERROR(__xludf.DUMMYFUNCTION("""COMPUTED_VALUE"""),"Comunicación Audiovisual y Cine")</f>
        <v>Comunicación Audiovisual y Cine</v>
      </c>
      <c r="I617" s="1" t="str">
        <f>IFERROR(__xludf.DUMMYFUNCTION("""COMPUTED_VALUE"""),"CARGO")</f>
        <v>CARGO</v>
      </c>
      <c r="J617" s="1" t="str">
        <f>IFERROR(__xludf.DUMMYFUNCTION("""COMPUTED_VALUE"""),"Diurno")</f>
        <v>Diurno</v>
      </c>
      <c r="K617" s="1" t="str">
        <f>IFERROR(__xludf.DUMMYFUNCTION("""COMPUTED_VALUE"""),"NUEVO")</f>
        <v>NUEVO</v>
      </c>
      <c r="L617" s="1">
        <f>IFERROR(__xludf.DUMMYFUNCTION("""COMPUTED_VALUE"""),0.0)</f>
        <v>0</v>
      </c>
      <c r="M617" s="1">
        <f>IFERROR(__xludf.DUMMYFUNCTION("""COMPUTED_VALUE"""),0.0)</f>
        <v>0</v>
      </c>
      <c r="N617" s="1" t="str">
        <f>IFERROR(__xludf.DUMMYFUNCTION("""COMPUTED_VALUE"""),"BECA")</f>
        <v>BECA</v>
      </c>
      <c r="O617" s="1" t="str">
        <f>IFERROR(__xludf.DUMMYFUNCTION("""COMPUTED_VALUE"""),"BECA CARRERAS CORE")</f>
        <v>BECA CARRERAS CORE</v>
      </c>
      <c r="P617" s="4">
        <f>IFERROR(__xludf.DUMMYFUNCTION("""COMPUTED_VALUE"""),0.0)</f>
        <v>0</v>
      </c>
      <c r="Q617" s="4">
        <f>IFERROR(__xludf.DUMMYFUNCTION("""COMPUTED_VALUE"""),0.0)</f>
        <v>0</v>
      </c>
      <c r="R617" s="4">
        <f>IFERROR(__xludf.DUMMYFUNCTION("""COMPUTED_VALUE"""),1200.0)</f>
        <v>1200</v>
      </c>
      <c r="S617" s="4">
        <f>IFERROR(__xludf.DUMMYFUNCTION("""COMPUTED_VALUE"""),1050.0)</f>
        <v>1050</v>
      </c>
      <c r="T617" s="1" t="str">
        <f>IFERROR(__xludf.DUMMYFUNCTION("""COMPUTED_VALUE"""),"PALANCA 500")</f>
        <v>PALANCA 500</v>
      </c>
      <c r="U617" s="1" t="str">
        <f>IFERROR(__xludf.DUMMYFUNCTION("""COMPUTED_VALUE"""),"RODRIGO")</f>
        <v>RODRIGO</v>
      </c>
      <c r="V617" s="1" t="str">
        <f>IFERROR(__xludf.DUMMYFUNCTION("""COMPUTED_VALUE"""),"Ninguno")</f>
        <v>Ninguno</v>
      </c>
      <c r="W617" s="1" t="str">
        <f>IFERROR(__xludf.DUMMYFUNCTION("""COMPUTED_VALUE"""),"Prestigio de la institución")</f>
        <v>Prestigio de la institución</v>
      </c>
      <c r="X617" s="1" t="str">
        <f>IFERROR(__xludf.DUMMYFUNCTION("""COMPUTED_VALUE"""),"0")</f>
        <v>0</v>
      </c>
      <c r="Y617" s="1" t="str">
        <f>IFERROR(__xludf.DUMMYFUNCTION("""COMPUTED_VALUE"""),"PAGO COMPLETO")</f>
        <v>PAGO COMPLETO</v>
      </c>
      <c r="Z617" s="1"/>
      <c r="AA617" s="1"/>
      <c r="AB617" s="1">
        <f>IFERROR(__xludf.DUMMYFUNCTION("""COMPUTED_VALUE"""),1.0)</f>
        <v>1</v>
      </c>
      <c r="AC617" s="1">
        <f>IFERROR(__xludf.DUMMYFUNCTION("""COMPUTED_VALUE"""),0.0)</f>
        <v>0</v>
      </c>
      <c r="AD617" s="1" t="str">
        <f>IFERROR(__xludf.DUMMYFUNCTION("""COMPUTED_VALUE"""),"Andrea Araujo Antara")</f>
        <v>Andrea Araujo Antara</v>
      </c>
      <c r="AE617" s="1" t="str">
        <f>IFERROR(__xludf.DUMMYFUNCTION("""COMPUTED_VALUE"""),"0")</f>
        <v>0</v>
      </c>
      <c r="AF617" s="1">
        <f>IFERROR(__xludf.DUMMYFUNCTION("""COMPUTED_VALUE"""),2021.0)</f>
        <v>2021</v>
      </c>
      <c r="AG617" s="1">
        <f>IFERROR(__xludf.DUMMYFUNCTION("""COMPUTED_VALUE"""),833897.0)</f>
        <v>833897</v>
      </c>
      <c r="AH617" s="1">
        <f>IFERROR(__xludf.DUMMYFUNCTION("""COMPUTED_VALUE"""),29.0)</f>
        <v>29</v>
      </c>
      <c r="AI617" s="1" t="str">
        <f>IFERROR(__xludf.DUMMYFUNCTION("""COMPUTED_VALUE"""),"0000420748")</f>
        <v>0000420748</v>
      </c>
      <c r="AJ617" s="1">
        <f>IFERROR(__xludf.DUMMYFUNCTION("""COMPUTED_VALUE"""),8.1236746E7)</f>
        <v>81236746</v>
      </c>
      <c r="AK617" s="1">
        <f>IFERROR(__xludf.DUMMYFUNCTION("""COMPUTED_VALUE"""),9.55713814E8)</f>
        <v>955713814</v>
      </c>
      <c r="AL617" s="1" t="str">
        <f>IFERROR(__xludf.DUMMYFUNCTION("""COMPUTED_VALUE"""),"xander2001xc@gmail.com")</f>
        <v>xander2001xc@gmail.com</v>
      </c>
      <c r="AM617" s="1" t="str">
        <f>IFERROR(__xludf.DUMMYFUNCTION("""COMPUTED_VALUE"""),"MASCULINO")</f>
        <v>MASCULINO</v>
      </c>
      <c r="AN617" s="1">
        <f>IFERROR(__xludf.DUMMYFUNCTION("""COMPUTED_VALUE"""),1350.0)</f>
        <v>1350</v>
      </c>
      <c r="AO617" s="1">
        <f>IFERROR(__xludf.DUMMYFUNCTION("""COMPUTED_VALUE"""),0.0)</f>
        <v>0</v>
      </c>
      <c r="AP617" s="1" t="str">
        <f>IFERROR(__xludf.DUMMYFUNCTION("""COMPUTED_VALUE"""),"BIDIRECCIONAL")</f>
        <v>BIDIRECCIONAL</v>
      </c>
      <c r="AQ617" s="1" t="str">
        <f>IFERROR(__xludf.DUMMYFUNCTION("""COMPUTED_VALUE"""),"ORGANICO")</f>
        <v>ORGANICO</v>
      </c>
      <c r="AR617" s="1" t="str">
        <f>IFERROR(__xludf.DUMMYFUNCTION("""COMPUTED_VALUE"""),"NUEVO")</f>
        <v>NUEVO</v>
      </c>
      <c r="AS617" s="1"/>
      <c r="AT617" s="2">
        <f>IFERROR(__xludf.DUMMYFUNCTION("""COMPUTED_VALUE"""),45695.0)</f>
        <v>45695</v>
      </c>
      <c r="AU617" s="1">
        <f>IFERROR(__xludf.DUMMYFUNCTION("""COMPUTED_VALUE"""),1.0)</f>
        <v>1</v>
      </c>
      <c r="AV617" s="1" t="str">
        <f>IFERROR(__xludf.DUMMYFUNCTION("""COMPUTED_VALUE"""),"NUEVO")</f>
        <v>NUEVO</v>
      </c>
      <c r="AW617" s="1" t="str">
        <f>IFERROR(__xludf.DUMMYFUNCTION("""COMPUTED_VALUE"""),"SI")</f>
        <v>SI</v>
      </c>
      <c r="AX617" s="1"/>
      <c r="AY617" s="1" t="str">
        <f>IFERROR(__xludf.DUMMYFUNCTION("""COMPUTED_VALUE"""),"PAGO COMPLETO")</f>
        <v>PAGO COMPLETO</v>
      </c>
      <c r="AZ617" s="5">
        <f>IFERROR(__xludf.DUMMYFUNCTION("""COMPUTED_VALUE"""),45739.0)</f>
        <v>45739</v>
      </c>
      <c r="BA617" s="1">
        <f>IFERROR(__xludf.DUMMYFUNCTION("""COMPUTED_VALUE"""),0.0)</f>
        <v>0</v>
      </c>
      <c r="BB617" s="1">
        <f>IFERROR(__xludf.DUMMYFUNCTION("""COMPUTED_VALUE"""),0.0)</f>
        <v>0</v>
      </c>
      <c r="BC617" s="4">
        <f>IFERROR(__xludf.DUMMYFUNCTION("""COMPUTED_VALUE"""),0.0)</f>
        <v>0</v>
      </c>
      <c r="BD617" s="4">
        <f>IFERROR(__xludf.DUMMYFUNCTION("""COMPUTED_VALUE"""),550.0)</f>
        <v>550</v>
      </c>
      <c r="BE617" s="1">
        <f>IFERROR(__xludf.DUMMYFUNCTION("""COMPUTED_VALUE"""),3.0)</f>
        <v>3</v>
      </c>
      <c r="BF617" s="6">
        <f>IFERROR(__xludf.DUMMYFUNCTION("""COMPUTED_VALUE"""),1.0)</f>
        <v>1</v>
      </c>
      <c r="BG617" s="1">
        <f>IFERROR(__xludf.DUMMYFUNCTION("""COMPUTED_VALUE"""),1.0)</f>
        <v>1</v>
      </c>
      <c r="BH617" s="1" t="str">
        <f>IFERROR(__xludf.DUMMYFUNCTION("""COMPUTED_VALUE"""),"0")</f>
        <v>0</v>
      </c>
      <c r="BI617" s="4">
        <f>IFERROR(__xludf.DUMMYFUNCTION("""COMPUTED_VALUE"""),550.0)</f>
        <v>550</v>
      </c>
      <c r="BJ617" s="1">
        <f>IFERROR(__xludf.DUMMYFUNCTION("""COMPUTED_VALUE"""),0.0)</f>
        <v>0</v>
      </c>
      <c r="BK617" s="4">
        <f>IFERROR(__xludf.DUMMYFUNCTION("""COMPUTED_VALUE"""),550.0)</f>
        <v>550</v>
      </c>
      <c r="BL617" s="1">
        <f>IFERROR(__xludf.DUMMYFUNCTION("""COMPUTED_VALUE"""),940.0)</f>
        <v>940</v>
      </c>
      <c r="BM617" s="1">
        <f>IFERROR(__xludf.DUMMYFUNCTION("""COMPUTED_VALUE"""),12.0)</f>
        <v>12</v>
      </c>
      <c r="BN617" s="2">
        <f>IFERROR(__xludf.DUMMYFUNCTION("""COMPUTED_VALUE"""),45733.0)</f>
        <v>45733</v>
      </c>
      <c r="BO617" s="1">
        <f>IFERROR(__xludf.DUMMYFUNCTION("""COMPUTED_VALUE"""),3.0)</f>
        <v>3</v>
      </c>
      <c r="BP617" s="1">
        <f>IFERROR(__xludf.DUMMYFUNCTION("""COMPUTED_VALUE"""),2025.0)</f>
        <v>2025</v>
      </c>
    </row>
    <row r="618">
      <c r="A618" s="1">
        <f>IFERROR(__xludf.DUMMYFUNCTION("""COMPUTED_VALUE"""),617.0)</f>
        <v>617</v>
      </c>
      <c r="B618" s="1">
        <f>IFERROR(__xludf.DUMMYFUNCTION("""COMPUTED_VALUE"""),4401744.0)</f>
        <v>4401744</v>
      </c>
      <c r="C618" s="1" t="str">
        <f>IFERROR(__xludf.DUMMYFUNCTION("""COMPUTED_VALUE"""),"2025-1")</f>
        <v>2025-1</v>
      </c>
      <c r="D618" s="1" t="str">
        <f>IFERROR(__xludf.DUMMYFUNCTION("""COMPUTED_VALUE"""),"Admisión Ordinaria")</f>
        <v>Admisión Ordinaria</v>
      </c>
      <c r="E618" s="2">
        <f>IFERROR(__xludf.DUMMYFUNCTION("""COMPUTED_VALUE"""),45740.0)</f>
        <v>45740</v>
      </c>
      <c r="F618" s="1" t="str">
        <f>IFERROR(__xludf.DUMMYFUNCTION("""COMPUTED_VALUE"""),"JULIO ALEJANDRO")</f>
        <v>JULIO ALEJANDRO</v>
      </c>
      <c r="G618" s="1" t="str">
        <f>IFERROR(__xludf.DUMMYFUNCTION("""COMPUTED_VALUE"""),"CISNEROS BANDRES")</f>
        <v>CISNEROS BANDRES</v>
      </c>
      <c r="H618" s="1" t="str">
        <f>IFERROR(__xludf.DUMMYFUNCTION("""COMPUTED_VALUE"""),"Administración y Negocios Internacionales")</f>
        <v>Administración y Negocios Internacionales</v>
      </c>
      <c r="I618" s="1" t="str">
        <f>IFERROR(__xludf.DUMMYFUNCTION("""COMPUTED_VALUE"""),"POS")</f>
        <v>POS</v>
      </c>
      <c r="J618" s="1" t="str">
        <f>IFERROR(__xludf.DUMMYFUNCTION("""COMPUTED_VALUE"""),"Nocturno - A distancia")</f>
        <v>Nocturno - A distancia</v>
      </c>
      <c r="K618" s="1" t="str">
        <f>IFERROR(__xludf.DUMMYFUNCTION("""COMPUTED_VALUE"""),"NUEVO")</f>
        <v>NUEVO</v>
      </c>
      <c r="L618" s="1">
        <f>IFERROR(__xludf.DUMMYFUNCTION("""COMPUTED_VALUE"""),0.0)</f>
        <v>0</v>
      </c>
      <c r="M618" s="1">
        <f>IFERROR(__xludf.DUMMYFUNCTION("""COMPUTED_VALUE"""),0.0)</f>
        <v>0</v>
      </c>
      <c r="N618" s="1" t="str">
        <f>IFERROR(__xludf.DUMMYFUNCTION("""COMPUTED_VALUE"""),"RECA")</f>
        <v>RECA</v>
      </c>
      <c r="O618" s="1" t="str">
        <f>IFERROR(__xludf.DUMMYFUNCTION("""COMPUTED_VALUE"""),"RECATEGORIZACIÓN")</f>
        <v>RECATEGORIZACIÓN</v>
      </c>
      <c r="P618" s="4">
        <f>IFERROR(__xludf.DUMMYFUNCTION("""COMPUTED_VALUE"""),0.0)</f>
        <v>0</v>
      </c>
      <c r="Q618" s="4">
        <f>IFERROR(__xludf.DUMMYFUNCTION("""COMPUTED_VALUE"""),0.0)</f>
        <v>0</v>
      </c>
      <c r="R618" s="4">
        <f>IFERROR(__xludf.DUMMYFUNCTION("""COMPUTED_VALUE"""),750.0)</f>
        <v>750</v>
      </c>
      <c r="S618" s="4">
        <f>IFERROR(__xludf.DUMMYFUNCTION("""COMPUTED_VALUE"""),375.0)</f>
        <v>375</v>
      </c>
      <c r="T618" s="1" t="str">
        <f>IFERROR(__xludf.DUMMYFUNCTION("""COMPUTED_VALUE"""),"NINGUNO")</f>
        <v>NINGUNO</v>
      </c>
      <c r="U618" s="1" t="str">
        <f>IFERROR(__xludf.DUMMYFUNCTION("""COMPUTED_VALUE"""),"RODRIGO")</f>
        <v>RODRIGO</v>
      </c>
      <c r="V618" s="1" t="str">
        <f>IFERROR(__xludf.DUMMYFUNCTION("""COMPUTED_VALUE"""),"Ninguno")</f>
        <v>Ninguno</v>
      </c>
      <c r="W618" s="1" t="str">
        <f>IFERROR(__xludf.DUMMYFUNCTION("""COMPUTED_VALUE"""),"Flexibilidad de horarios")</f>
        <v>Flexibilidad de horarios</v>
      </c>
      <c r="X618" s="1"/>
      <c r="Y618" s="1" t="str">
        <f>IFERROR(__xludf.DUMMYFUNCTION("""COMPUTED_VALUE"""),"PAGO COMPLETO")</f>
        <v>PAGO COMPLETO</v>
      </c>
      <c r="Z618" s="1"/>
      <c r="AA618" s="1"/>
      <c r="AB618" s="1">
        <f>IFERROR(__xludf.DUMMYFUNCTION("""COMPUTED_VALUE"""),0.0)</f>
        <v>0</v>
      </c>
      <c r="AC618" s="1">
        <f>IFERROR(__xludf.DUMMYFUNCTION("""COMPUTED_VALUE"""),0.0)</f>
        <v>0</v>
      </c>
      <c r="AD618" s="1" t="str">
        <f>IFERROR(__xludf.DUMMYFUNCTION("""COMPUTED_VALUE"""),"Fabiola Galindo")</f>
        <v>Fabiola Galindo</v>
      </c>
      <c r="AE618" s="1" t="str">
        <f>IFERROR(__xludf.DUMMYFUNCTION("""COMPUTED_VALUE"""),"0")</f>
        <v>0</v>
      </c>
      <c r="AF618" s="1">
        <f>IFERROR(__xludf.DUMMYFUNCTION("""COMPUTED_VALUE"""),0.0)</f>
        <v>0</v>
      </c>
      <c r="AG618" s="1">
        <f>IFERROR(__xludf.DUMMYFUNCTION("""COMPUTED_VALUE"""),0.0)</f>
        <v>0</v>
      </c>
      <c r="AH618" s="1">
        <f>IFERROR(__xludf.DUMMYFUNCTION("""COMPUTED_VALUE"""),27.0)</f>
        <v>27</v>
      </c>
      <c r="AI618" s="1" t="str">
        <f>IFERROR(__xludf.DUMMYFUNCTION("""COMPUTED_VALUE"""),"0000421108")</f>
        <v>0000421108</v>
      </c>
      <c r="AJ618" s="1">
        <f>IFERROR(__xludf.DUMMYFUNCTION("""COMPUTED_VALUE"""),4.901012E7)</f>
        <v>49010120</v>
      </c>
      <c r="AK618" s="1">
        <f>IFERROR(__xludf.DUMMYFUNCTION("""COMPUTED_VALUE"""),9.97145726E8)</f>
        <v>997145726</v>
      </c>
      <c r="AL618" s="1" t="str">
        <f>IFERROR(__xludf.DUMMYFUNCTION("""COMPUTED_VALUE"""),"juliocisneros062@gmail.com")</f>
        <v>juliocisneros062@gmail.com</v>
      </c>
      <c r="AM618" s="1" t="str">
        <f>IFERROR(__xludf.DUMMYFUNCTION("""COMPUTED_VALUE"""),"MASCULINO")</f>
        <v>MASCULINO</v>
      </c>
      <c r="AN618" s="1">
        <f>IFERROR(__xludf.DUMMYFUNCTION("""COMPUTED_VALUE"""),0.0)</f>
        <v>0</v>
      </c>
      <c r="AO618" s="1">
        <f>IFERROR(__xludf.DUMMYFUNCTION("""COMPUTED_VALUE"""),0.0)</f>
        <v>0</v>
      </c>
      <c r="AP618" s="1" t="str">
        <f>IFERROR(__xludf.DUMMYFUNCTION("""COMPUTED_VALUE"""),"OUTBOUND")</f>
        <v>OUTBOUND</v>
      </c>
      <c r="AQ618" s="1" t="str">
        <f>IFERROR(__xludf.DUMMYFUNCTION("""COMPUTED_VALUE"""),"OUTBOUND")</f>
        <v>OUTBOUND</v>
      </c>
      <c r="AR618" s="1" t="str">
        <f>IFERROR(__xludf.DUMMYFUNCTION("""COMPUTED_VALUE"""),"NUEVO")</f>
        <v>NUEVO</v>
      </c>
      <c r="AS618" s="1"/>
      <c r="AT618" s="2">
        <f>IFERROR(__xludf.DUMMYFUNCTION("""COMPUTED_VALUE"""),45740.0)</f>
        <v>45740</v>
      </c>
      <c r="AU618" s="1">
        <f>IFERROR(__xludf.DUMMYFUNCTION("""COMPUTED_VALUE"""),1.0)</f>
        <v>1</v>
      </c>
      <c r="AV618" s="1" t="str">
        <f>IFERROR(__xludf.DUMMYFUNCTION("""COMPUTED_VALUE"""),"NUEVO")</f>
        <v>NUEVO</v>
      </c>
      <c r="AW618" s="1" t="str">
        <f>IFERROR(__xludf.DUMMYFUNCTION("""COMPUTED_VALUE"""),"SI")</f>
        <v>SI</v>
      </c>
      <c r="AX618" s="1"/>
      <c r="AY618" s="1" t="str">
        <f>IFERROR(__xludf.DUMMYFUNCTION("""COMPUTED_VALUE"""),"PAGO COMPLETO")</f>
        <v>PAGO COMPLETO</v>
      </c>
      <c r="AZ618" s="5">
        <f>IFERROR(__xludf.DUMMYFUNCTION("""COMPUTED_VALUE"""),45740.0)</f>
        <v>45740</v>
      </c>
      <c r="BA618" s="1">
        <f>IFERROR(__xludf.DUMMYFUNCTION("""COMPUTED_VALUE"""),0.0)</f>
        <v>0</v>
      </c>
      <c r="BB618" s="1">
        <f>IFERROR(__xludf.DUMMYFUNCTION("""COMPUTED_VALUE"""),0.0)</f>
        <v>0</v>
      </c>
      <c r="BC618" s="4">
        <f>IFERROR(__xludf.DUMMYFUNCTION("""COMPUTED_VALUE"""),0.0)</f>
        <v>0</v>
      </c>
      <c r="BD618" s="4">
        <f>IFERROR(__xludf.DUMMYFUNCTION("""COMPUTED_VALUE"""),0.0)</f>
        <v>0</v>
      </c>
      <c r="BE618" s="1">
        <f>IFERROR(__xludf.DUMMYFUNCTION("""COMPUTED_VALUE"""),3.0)</f>
        <v>3</v>
      </c>
      <c r="BF618" s="6">
        <f>IFERROR(__xludf.DUMMYFUNCTION("""COMPUTED_VALUE"""),1.0)</f>
        <v>1</v>
      </c>
      <c r="BG618" s="1">
        <f>IFERROR(__xludf.DUMMYFUNCTION("""COMPUTED_VALUE"""),1.0)</f>
        <v>1</v>
      </c>
      <c r="BH618" s="1" t="str">
        <f>IFERROR(__xludf.DUMMYFUNCTION("""COMPUTED_VALUE"""),"0")</f>
        <v>0</v>
      </c>
      <c r="BI618" s="4">
        <f>IFERROR(__xludf.DUMMYFUNCTION("""COMPUTED_VALUE"""),0.0)</f>
        <v>0</v>
      </c>
      <c r="BJ618" s="1">
        <f>IFERROR(__xludf.DUMMYFUNCTION("""COMPUTED_VALUE"""),0.0)</f>
        <v>0</v>
      </c>
      <c r="BK618" s="4">
        <f>IFERROR(__xludf.DUMMYFUNCTION("""COMPUTED_VALUE"""),0.0)</f>
        <v>0</v>
      </c>
      <c r="BL618" s="1">
        <f>IFERROR(__xludf.DUMMYFUNCTION("""COMPUTED_VALUE"""),375.0)</f>
        <v>375</v>
      </c>
      <c r="BM618" s="1">
        <f>IFERROR(__xludf.DUMMYFUNCTION("""COMPUTED_VALUE"""),13.0)</f>
        <v>13</v>
      </c>
      <c r="BN618" s="2">
        <f>IFERROR(__xludf.DUMMYFUNCTION("""COMPUTED_VALUE"""),45740.0)</f>
        <v>45740</v>
      </c>
      <c r="BO618" s="1">
        <f>IFERROR(__xludf.DUMMYFUNCTION("""COMPUTED_VALUE"""),3.0)</f>
        <v>3</v>
      </c>
      <c r="BP618" s="1">
        <f>IFERROR(__xludf.DUMMYFUNCTION("""COMPUTED_VALUE"""),2025.0)</f>
        <v>2025</v>
      </c>
    </row>
    <row r="619">
      <c r="A619" s="1">
        <f>IFERROR(__xludf.DUMMYFUNCTION("""COMPUTED_VALUE"""),618.0)</f>
        <v>618</v>
      </c>
      <c r="B619" s="1">
        <f>IFERROR(__xludf.DUMMYFUNCTION("""COMPUTED_VALUE"""),3056192.0)</f>
        <v>3056192</v>
      </c>
      <c r="C619" s="1" t="str">
        <f>IFERROR(__xludf.DUMMYFUNCTION("""COMPUTED_VALUE"""),"2025-1")</f>
        <v>2025-1</v>
      </c>
      <c r="D619" s="1" t="str">
        <f>IFERROR(__xludf.DUMMYFUNCTION("""COMPUTED_VALUE"""),"Admisión Ordinaria")</f>
        <v>Admisión Ordinaria</v>
      </c>
      <c r="E619" s="2">
        <f>IFERROR(__xludf.DUMMYFUNCTION("""COMPUTED_VALUE"""),45740.0)</f>
        <v>45740</v>
      </c>
      <c r="F619" s="1" t="str">
        <f>IFERROR(__xludf.DUMMYFUNCTION("""COMPUTED_VALUE"""),"DINA VERONICA")</f>
        <v>DINA VERONICA</v>
      </c>
      <c r="G619" s="1" t="str">
        <f>IFERROR(__xludf.DUMMYFUNCTION("""COMPUTED_VALUE"""),"CHUQUIPOMA VEGA")</f>
        <v>CHUQUIPOMA VEGA</v>
      </c>
      <c r="H619" s="1" t="str">
        <f>IFERROR(__xludf.DUMMYFUNCTION("""COMPUTED_VALUE"""),"Administración y Marketing")</f>
        <v>Administración y Marketing</v>
      </c>
      <c r="I619" s="1" t="str">
        <f>IFERROR(__xludf.DUMMYFUNCTION("""COMPUTED_VALUE"""),"POS")</f>
        <v>POS</v>
      </c>
      <c r="J619" s="1" t="str">
        <f>IFERROR(__xludf.DUMMYFUNCTION("""COMPUTED_VALUE"""),"Nocturno - A distancia")</f>
        <v>Nocturno - A distancia</v>
      </c>
      <c r="K619" s="1" t="str">
        <f>IFERROR(__xludf.DUMMYFUNCTION("""COMPUTED_VALUE"""),"NUEVO")</f>
        <v>NUEVO</v>
      </c>
      <c r="L619" s="1">
        <f>IFERROR(__xludf.DUMMYFUNCTION("""COMPUTED_VALUE"""),0.0)</f>
        <v>0</v>
      </c>
      <c r="M619" s="1">
        <f>IFERROR(__xludf.DUMMYFUNCTION("""COMPUTED_VALUE"""),0.0)</f>
        <v>0</v>
      </c>
      <c r="N619" s="1" t="str">
        <f>IFERROR(__xludf.DUMMYFUNCTION("""COMPUTED_VALUE"""),"RECA")</f>
        <v>RECA</v>
      </c>
      <c r="O619" s="1" t="str">
        <f>IFERROR(__xludf.DUMMYFUNCTION("""COMPUTED_VALUE"""),"RECATEGORIZACIÓN")</f>
        <v>RECATEGORIZACIÓN</v>
      </c>
      <c r="P619" s="4">
        <f>IFERROR(__xludf.DUMMYFUNCTION("""COMPUTED_VALUE"""),0.0)</f>
        <v>0</v>
      </c>
      <c r="Q619" s="4">
        <f>IFERROR(__xludf.DUMMYFUNCTION("""COMPUTED_VALUE"""),0.0)</f>
        <v>0</v>
      </c>
      <c r="R619" s="4">
        <f>IFERROR(__xludf.DUMMYFUNCTION("""COMPUTED_VALUE"""),750.0)</f>
        <v>750</v>
      </c>
      <c r="S619" s="4">
        <f>IFERROR(__xludf.DUMMYFUNCTION("""COMPUTED_VALUE"""),375.0)</f>
        <v>375</v>
      </c>
      <c r="T619" s="1" t="str">
        <f>IFERROR(__xludf.DUMMYFUNCTION("""COMPUTED_VALUE"""),"NINGUNO")</f>
        <v>NINGUNO</v>
      </c>
      <c r="U619" s="1" t="str">
        <f>IFERROR(__xludf.DUMMYFUNCTION("""COMPUTED_VALUE"""),"RODRIGO")</f>
        <v>RODRIGO</v>
      </c>
      <c r="V619" s="1" t="str">
        <f>IFERROR(__xludf.DUMMYFUNCTION("""COMPUTED_VALUE"""),"Ninguno")</f>
        <v>Ninguno</v>
      </c>
      <c r="W619" s="1" t="str">
        <f>IFERROR(__xludf.DUMMYFUNCTION("""COMPUTED_VALUE"""),"Flexibilidad de horarios")</f>
        <v>Flexibilidad de horarios</v>
      </c>
      <c r="X619" s="1"/>
      <c r="Y619" s="1" t="str">
        <f>IFERROR(__xludf.DUMMYFUNCTION("""COMPUTED_VALUE"""),"PAGO COMPLETO")</f>
        <v>PAGO COMPLETO</v>
      </c>
      <c r="Z619" s="1"/>
      <c r="AA619" s="1"/>
      <c r="AB619" s="1">
        <f>IFERROR(__xludf.DUMMYFUNCTION("""COMPUTED_VALUE"""),0.0)</f>
        <v>0</v>
      </c>
      <c r="AC619" s="1">
        <f>IFERROR(__xludf.DUMMYFUNCTION("""COMPUTED_VALUE"""),0.0)</f>
        <v>0</v>
      </c>
      <c r="AD619" s="1" t="str">
        <f>IFERROR(__xludf.DUMMYFUNCTION("""COMPUTED_VALUE"""),"Fabiola Galindo")</f>
        <v>Fabiola Galindo</v>
      </c>
      <c r="AE619" s="1" t="str">
        <f>IFERROR(__xludf.DUMMYFUNCTION("""COMPUTED_VALUE"""),"0")</f>
        <v>0</v>
      </c>
      <c r="AF619" s="1">
        <f>IFERROR(__xludf.DUMMYFUNCTION("""COMPUTED_VALUE"""),2020.0)</f>
        <v>2020</v>
      </c>
      <c r="AG619" s="1">
        <f>IFERROR(__xludf.DUMMYFUNCTION("""COMPUTED_VALUE"""),0.0)</f>
        <v>0</v>
      </c>
      <c r="AH619" s="1">
        <f>IFERROR(__xludf.DUMMYFUNCTION("""COMPUTED_VALUE"""),27.0)</f>
        <v>27</v>
      </c>
      <c r="AI619" s="1" t="str">
        <f>IFERROR(__xludf.DUMMYFUNCTION("""COMPUTED_VALUE"""),"0000380694")</f>
        <v>0000380694</v>
      </c>
      <c r="AJ619" s="1">
        <f>IFERROR(__xludf.DUMMYFUNCTION("""COMPUTED_VALUE"""),7.5084294E7)</f>
        <v>75084294</v>
      </c>
      <c r="AK619" s="1">
        <f>IFERROR(__xludf.DUMMYFUNCTION("""COMPUTED_VALUE"""),9.67424786E8)</f>
        <v>967424786</v>
      </c>
      <c r="AL619" s="1" t="str">
        <f>IFERROR(__xludf.DUMMYFUNCTION("""COMPUTED_VALUE"""),"vchuquiv@gmail.com")</f>
        <v>vchuquiv@gmail.com</v>
      </c>
      <c r="AM619" s="1" t="str">
        <f>IFERROR(__xludf.DUMMYFUNCTION("""COMPUTED_VALUE"""),"FEMENINO")</f>
        <v>FEMENINO</v>
      </c>
      <c r="AN619" s="1">
        <f>IFERROR(__xludf.DUMMYFUNCTION("""COMPUTED_VALUE"""),1350.0)</f>
        <v>1350</v>
      </c>
      <c r="AO619" s="1">
        <f>IFERROR(__xludf.DUMMYFUNCTION("""COMPUTED_VALUE"""),0.0)</f>
        <v>0</v>
      </c>
      <c r="AP619" s="1" t="str">
        <f>IFERROR(__xludf.DUMMYFUNCTION("""COMPUTED_VALUE"""),"OUTBOUND")</f>
        <v>OUTBOUND</v>
      </c>
      <c r="AQ619" s="1" t="str">
        <f>IFERROR(__xludf.DUMMYFUNCTION("""COMPUTED_VALUE"""),"OUTBOUND")</f>
        <v>OUTBOUND</v>
      </c>
      <c r="AR619" s="1" t="str">
        <f>IFERROR(__xludf.DUMMYFUNCTION("""COMPUTED_VALUE"""),"NUEVO")</f>
        <v>NUEVO</v>
      </c>
      <c r="AS619" s="1"/>
      <c r="AT619" s="2">
        <f>IFERROR(__xludf.DUMMYFUNCTION("""COMPUTED_VALUE"""),45740.0)</f>
        <v>45740</v>
      </c>
      <c r="AU619" s="1">
        <f>IFERROR(__xludf.DUMMYFUNCTION("""COMPUTED_VALUE"""),1.0)</f>
        <v>1</v>
      </c>
      <c r="AV619" s="1" t="str">
        <f>IFERROR(__xludf.DUMMYFUNCTION("""COMPUTED_VALUE"""),"NUEVO")</f>
        <v>NUEVO</v>
      </c>
      <c r="AW619" s="1" t="str">
        <f>IFERROR(__xludf.DUMMYFUNCTION("""COMPUTED_VALUE"""),"SI")</f>
        <v>SI</v>
      </c>
      <c r="AX619" s="1"/>
      <c r="AY619" s="1" t="str">
        <f>IFERROR(__xludf.DUMMYFUNCTION("""COMPUTED_VALUE"""),"PAGO COMPLETO")</f>
        <v>PAGO COMPLETO</v>
      </c>
      <c r="AZ619" s="5">
        <f>IFERROR(__xludf.DUMMYFUNCTION("""COMPUTED_VALUE"""),45740.0)</f>
        <v>45740</v>
      </c>
      <c r="BA619" s="1">
        <f>IFERROR(__xludf.DUMMYFUNCTION("""COMPUTED_VALUE"""),0.0)</f>
        <v>0</v>
      </c>
      <c r="BB619" s="1">
        <f>IFERROR(__xludf.DUMMYFUNCTION("""COMPUTED_VALUE"""),0.0)</f>
        <v>0</v>
      </c>
      <c r="BC619" s="4">
        <f>IFERROR(__xludf.DUMMYFUNCTION("""COMPUTED_VALUE"""),0.0)</f>
        <v>0</v>
      </c>
      <c r="BD619" s="4">
        <f>IFERROR(__xludf.DUMMYFUNCTION("""COMPUTED_VALUE"""),0.0)</f>
        <v>0</v>
      </c>
      <c r="BE619" s="1">
        <f>IFERROR(__xludf.DUMMYFUNCTION("""COMPUTED_VALUE"""),3.0)</f>
        <v>3</v>
      </c>
      <c r="BF619" s="6">
        <f>IFERROR(__xludf.DUMMYFUNCTION("""COMPUTED_VALUE"""),1.0)</f>
        <v>1</v>
      </c>
      <c r="BG619" s="1">
        <f>IFERROR(__xludf.DUMMYFUNCTION("""COMPUTED_VALUE"""),1.0)</f>
        <v>1</v>
      </c>
      <c r="BH619" s="1" t="str">
        <f>IFERROR(__xludf.DUMMYFUNCTION("""COMPUTED_VALUE"""),"0")</f>
        <v>0</v>
      </c>
      <c r="BI619" s="4">
        <f>IFERROR(__xludf.DUMMYFUNCTION("""COMPUTED_VALUE"""),0.0)</f>
        <v>0</v>
      </c>
      <c r="BJ619" s="1">
        <f>IFERROR(__xludf.DUMMYFUNCTION("""COMPUTED_VALUE"""),0.0)</f>
        <v>0</v>
      </c>
      <c r="BK619" s="4">
        <f>IFERROR(__xludf.DUMMYFUNCTION("""COMPUTED_VALUE"""),0.0)</f>
        <v>0</v>
      </c>
      <c r="BL619" s="1">
        <f>IFERROR(__xludf.DUMMYFUNCTION("""COMPUTED_VALUE"""),375.0)</f>
        <v>375</v>
      </c>
      <c r="BM619" s="1">
        <f>IFERROR(__xludf.DUMMYFUNCTION("""COMPUTED_VALUE"""),13.0)</f>
        <v>13</v>
      </c>
      <c r="BN619" s="2">
        <f>IFERROR(__xludf.DUMMYFUNCTION("""COMPUTED_VALUE"""),45740.0)</f>
        <v>45740</v>
      </c>
      <c r="BO619" s="1">
        <f>IFERROR(__xludf.DUMMYFUNCTION("""COMPUTED_VALUE"""),3.0)</f>
        <v>3</v>
      </c>
      <c r="BP619" s="1">
        <f>IFERROR(__xludf.DUMMYFUNCTION("""COMPUTED_VALUE"""),2025.0)</f>
        <v>2025</v>
      </c>
    </row>
    <row r="620">
      <c r="A620" s="1">
        <f>IFERROR(__xludf.DUMMYFUNCTION("""COMPUTED_VALUE"""),619.0)</f>
        <v>619</v>
      </c>
      <c r="B620" s="1">
        <f>IFERROR(__xludf.DUMMYFUNCTION("""COMPUTED_VALUE"""),4945766.0)</f>
        <v>4945766</v>
      </c>
      <c r="C620" s="1" t="str">
        <f>IFERROR(__xludf.DUMMYFUNCTION("""COMPUTED_VALUE"""),"2025-1")</f>
        <v>2025-1</v>
      </c>
      <c r="D620" s="1" t="str">
        <f>IFERROR(__xludf.DUMMYFUNCTION("""COMPUTED_VALUE"""),"Admisión Ordinaria")</f>
        <v>Admisión Ordinaria</v>
      </c>
      <c r="E620" s="2">
        <f>IFERROR(__xludf.DUMMYFUNCTION("""COMPUTED_VALUE"""),45740.0)</f>
        <v>45740</v>
      </c>
      <c r="F620" s="1" t="str">
        <f>IFERROR(__xludf.DUMMYFUNCTION("""COMPUTED_VALUE"""),"SANDRO ")</f>
        <v>SANDRO </v>
      </c>
      <c r="G620" s="1" t="str">
        <f>IFERROR(__xludf.DUMMYFUNCTION("""COMPUTED_VALUE"""),"NARVAEZ BENDEZU")</f>
        <v>NARVAEZ BENDEZU</v>
      </c>
      <c r="H620" s="1" t="str">
        <f>IFERROR(__xludf.DUMMYFUNCTION("""COMPUTED_VALUE"""),"Diseño Gráfico Publicitario")</f>
        <v>Diseño Gráfico Publicitario</v>
      </c>
      <c r="I620" s="1" t="str">
        <f>IFERROR(__xludf.DUMMYFUNCTION("""COMPUTED_VALUE"""),"CARGO")</f>
        <v>CARGO</v>
      </c>
      <c r="J620" s="1" t="str">
        <f>IFERROR(__xludf.DUMMYFUNCTION("""COMPUTED_VALUE"""),"Diurno")</f>
        <v>Diurno</v>
      </c>
      <c r="K620" s="1" t="str">
        <f>IFERROR(__xludf.DUMMYFUNCTION("""COMPUTED_VALUE"""),"NUEVO")</f>
        <v>NUEVO</v>
      </c>
      <c r="L620" s="1">
        <f>IFERROR(__xludf.DUMMYFUNCTION("""COMPUTED_VALUE"""),0.0)</f>
        <v>0</v>
      </c>
      <c r="M620" s="1">
        <f>IFERROR(__xludf.DUMMYFUNCTION("""COMPUTED_VALUE"""),0.0)</f>
        <v>0</v>
      </c>
      <c r="N620" s="1" t="str">
        <f>IFERROR(__xludf.DUMMYFUNCTION("""COMPUTED_VALUE"""),"BECA")</f>
        <v>BECA</v>
      </c>
      <c r="O620" s="1" t="str">
        <f>IFERROR(__xludf.DUMMYFUNCTION("""COMPUTED_VALUE"""),"BECA CARRERAS CORE")</f>
        <v>BECA CARRERAS CORE</v>
      </c>
      <c r="P620" s="4">
        <f>IFERROR(__xludf.DUMMYFUNCTION("""COMPUTED_VALUE"""),100.0)</f>
        <v>100</v>
      </c>
      <c r="Q620" s="4">
        <f>IFERROR(__xludf.DUMMYFUNCTION("""COMPUTED_VALUE"""),237.5)</f>
        <v>237.5</v>
      </c>
      <c r="R620" s="4">
        <f>IFERROR(__xludf.DUMMYFUNCTION("""COMPUTED_VALUE"""),1250.0)</f>
        <v>1250</v>
      </c>
      <c r="S620" s="4">
        <f>IFERROR(__xludf.DUMMYFUNCTION("""COMPUTED_VALUE"""),1050.0)</f>
        <v>1050</v>
      </c>
      <c r="T620" s="1" t="str">
        <f>IFERROR(__xludf.DUMMYFUNCTION("""COMPUTED_VALUE"""),"PALANCA 500")</f>
        <v>PALANCA 500</v>
      </c>
      <c r="U620" s="1" t="str">
        <f>IFERROR(__xludf.DUMMYFUNCTION("""COMPUTED_VALUE"""),"RODRIGO")</f>
        <v>RODRIGO</v>
      </c>
      <c r="V620" s="1" t="str">
        <f>IFERROR(__xludf.DUMMYFUNCTION("""COMPUTED_VALUE"""),"Ninguno")</f>
        <v>Ninguno</v>
      </c>
      <c r="W620" s="1" t="str">
        <f>IFERROR(__xludf.DUMMYFUNCTION("""COMPUTED_VALUE"""),"Beca")</f>
        <v>Beca</v>
      </c>
      <c r="X620" s="1" t="str">
        <f>IFERROR(__xludf.DUMMYFUNCTION("""COMPUTED_VALUE"""),"ninguno ")</f>
        <v>ninguno </v>
      </c>
      <c r="Y620" s="1" t="str">
        <f>IFERROR(__xludf.DUMMYFUNCTION("""COMPUTED_VALUE"""),"PAGO COMPLETO")</f>
        <v>PAGO COMPLETO</v>
      </c>
      <c r="Z620" s="1"/>
      <c r="AA620" s="1"/>
      <c r="AB620" s="1">
        <f>IFERROR(__xludf.DUMMYFUNCTION("""COMPUTED_VALUE"""),0.0)</f>
        <v>0</v>
      </c>
      <c r="AC620" s="1">
        <f>IFERROR(__xludf.DUMMYFUNCTION("""COMPUTED_VALUE"""),0.0)</f>
        <v>0</v>
      </c>
      <c r="AD620" s="1" t="str">
        <f>IFERROR(__xludf.DUMMYFUNCTION("""COMPUTED_VALUE"""),"Rosa Ugarte")</f>
        <v>Rosa Ugarte</v>
      </c>
      <c r="AE620" s="1" t="str">
        <f>IFERROR(__xludf.DUMMYFUNCTION("""COMPUTED_VALUE"""),"0")</f>
        <v>0</v>
      </c>
      <c r="AF620" s="1">
        <f>IFERROR(__xludf.DUMMYFUNCTION("""COMPUTED_VALUE"""),2020.0)</f>
        <v>2020</v>
      </c>
      <c r="AG620" s="1">
        <f>IFERROR(__xludf.DUMMYFUNCTION("""COMPUTED_VALUE"""),1467968.0)</f>
        <v>1467968</v>
      </c>
      <c r="AH620" s="1">
        <f>IFERROR(__xludf.DUMMYFUNCTION("""COMPUTED_VALUE"""),22.0)</f>
        <v>22</v>
      </c>
      <c r="AI620" s="1" t="str">
        <f>IFERROR(__xludf.DUMMYFUNCTION("""COMPUTED_VALUE"""),"0000013733")</f>
        <v>0000013733</v>
      </c>
      <c r="AJ620" s="1">
        <f>IFERROR(__xludf.DUMMYFUNCTION("""COMPUTED_VALUE"""),7.9270421E7)</f>
        <v>79270421</v>
      </c>
      <c r="AK620" s="1">
        <f>IFERROR(__xludf.DUMMYFUNCTION("""COMPUTED_VALUE"""),9.6098562E8)</f>
        <v>960985620</v>
      </c>
      <c r="AL620" s="1" t="str">
        <f>IFERROR(__xludf.DUMMYFUNCTION("""COMPUTED_VALUE"""),"snarvaez.bendezu@gmail.com")</f>
        <v>snarvaez.bendezu@gmail.com</v>
      </c>
      <c r="AM620" s="1" t="str">
        <f>IFERROR(__xludf.DUMMYFUNCTION("""COMPUTED_VALUE"""),"MASCULINO")</f>
        <v>MASCULINO</v>
      </c>
      <c r="AN620" s="1">
        <f>IFERROR(__xludf.DUMMYFUNCTION("""COMPUTED_VALUE"""),1775.0)</f>
        <v>1775</v>
      </c>
      <c r="AO620" s="1">
        <f>IFERROR(__xludf.DUMMYFUNCTION("""COMPUTED_VALUE"""),350.0)</f>
        <v>350</v>
      </c>
      <c r="AP620" s="1" t="str">
        <f>IFERROR(__xludf.DUMMYFUNCTION("""COMPUTED_VALUE"""),"FORMULARIO")</f>
        <v>FORMULARIO</v>
      </c>
      <c r="AQ620" s="1" t="str">
        <f>IFERROR(__xludf.DUMMYFUNCTION("""COMPUTED_VALUE"""),"SEARCH MARCA")</f>
        <v>SEARCH MARCA</v>
      </c>
      <c r="AR620" s="1" t="str">
        <f>IFERROR(__xludf.DUMMYFUNCTION("""COMPUTED_VALUE"""),"NUEVO")</f>
        <v>NUEVO</v>
      </c>
      <c r="AS620" s="1" t="str">
        <f>IFERROR(__xludf.DUMMYFUNCTION("""COMPUTED_VALUE"""),"ucal-pg-performance-sedes-abierta-cpl-search_conversion_marca-20240401")</f>
        <v>ucal-pg-performance-sedes-abierta-cpl-search_conversion_marca-20240401</v>
      </c>
      <c r="AT620" s="2">
        <f>IFERROR(__xludf.DUMMYFUNCTION("""COMPUTED_VALUE"""),45730.0)</f>
        <v>45730</v>
      </c>
      <c r="AU620" s="1">
        <f>IFERROR(__xludf.DUMMYFUNCTION("""COMPUTED_VALUE"""),1.0)</f>
        <v>1</v>
      </c>
      <c r="AV620" s="1" t="str">
        <f>IFERROR(__xludf.DUMMYFUNCTION("""COMPUTED_VALUE"""),"NUEVO")</f>
        <v>NUEVO</v>
      </c>
      <c r="AW620" s="1" t="str">
        <f>IFERROR(__xludf.DUMMYFUNCTION("""COMPUTED_VALUE"""),"SI")</f>
        <v>SI</v>
      </c>
      <c r="AX620" s="1"/>
      <c r="AY620" s="1" t="str">
        <f>IFERROR(__xludf.DUMMYFUNCTION("""COMPUTED_VALUE"""),"PAGO COMPLETO")</f>
        <v>PAGO COMPLETO</v>
      </c>
      <c r="AZ620" s="5">
        <f>IFERROR(__xludf.DUMMYFUNCTION("""COMPUTED_VALUE"""),45740.0)</f>
        <v>45740</v>
      </c>
      <c r="BA620" s="1">
        <f>IFERROR(__xludf.DUMMYFUNCTION("""COMPUTED_VALUE"""),0.0)</f>
        <v>0</v>
      </c>
      <c r="BB620" s="1">
        <f>IFERROR(__xludf.DUMMYFUNCTION("""COMPUTED_VALUE"""),0.0)</f>
        <v>0</v>
      </c>
      <c r="BC620" s="4">
        <f>IFERROR(__xludf.DUMMYFUNCTION("""COMPUTED_VALUE"""),0.0)</f>
        <v>0</v>
      </c>
      <c r="BD620" s="4">
        <f>IFERROR(__xludf.DUMMYFUNCTION("""COMPUTED_VALUE"""),550.0)</f>
        <v>550</v>
      </c>
      <c r="BE620" s="1">
        <f>IFERROR(__xludf.DUMMYFUNCTION("""COMPUTED_VALUE"""),3.0)</f>
        <v>3</v>
      </c>
      <c r="BF620" s="6">
        <f>IFERROR(__xludf.DUMMYFUNCTION("""COMPUTED_VALUE"""),1.0)</f>
        <v>1</v>
      </c>
      <c r="BG620" s="1">
        <f>IFERROR(__xludf.DUMMYFUNCTION("""COMPUTED_VALUE"""),1.0)</f>
        <v>1</v>
      </c>
      <c r="BH620" s="1" t="str">
        <f>IFERROR(__xludf.DUMMYFUNCTION("""COMPUTED_VALUE"""),"0")</f>
        <v>0</v>
      </c>
      <c r="BI620" s="4">
        <f>IFERROR(__xludf.DUMMYFUNCTION("""COMPUTED_VALUE"""),550.0)</f>
        <v>550</v>
      </c>
      <c r="BJ620" s="1">
        <f>IFERROR(__xludf.DUMMYFUNCTION("""COMPUTED_VALUE"""),0.0)</f>
        <v>0</v>
      </c>
      <c r="BK620" s="4">
        <f>IFERROR(__xludf.DUMMYFUNCTION("""COMPUTED_VALUE"""),550.0)</f>
        <v>550</v>
      </c>
      <c r="BL620" s="1">
        <f>IFERROR(__xludf.DUMMYFUNCTION("""COMPUTED_VALUE"""),940.0)</f>
        <v>940</v>
      </c>
      <c r="BM620" s="1">
        <f>IFERROR(__xludf.DUMMYFUNCTION("""COMPUTED_VALUE"""),13.0)</f>
        <v>13</v>
      </c>
      <c r="BN620" s="2">
        <f>IFERROR(__xludf.DUMMYFUNCTION("""COMPUTED_VALUE"""),45740.0)</f>
        <v>45740</v>
      </c>
      <c r="BO620" s="1">
        <f>IFERROR(__xludf.DUMMYFUNCTION("""COMPUTED_VALUE"""),3.0)</f>
        <v>3</v>
      </c>
      <c r="BP620" s="1">
        <f>IFERROR(__xludf.DUMMYFUNCTION("""COMPUTED_VALUE"""),2025.0)</f>
        <v>2025</v>
      </c>
    </row>
    <row r="621">
      <c r="A621" s="1">
        <f>IFERROR(__xludf.DUMMYFUNCTION("""COMPUTED_VALUE"""),620.0)</f>
        <v>620</v>
      </c>
      <c r="B621" s="1">
        <f>IFERROR(__xludf.DUMMYFUNCTION("""COMPUTED_VALUE"""),4615279.0)</f>
        <v>4615279</v>
      </c>
      <c r="C621" s="1" t="str">
        <f>IFERROR(__xludf.DUMMYFUNCTION("""COMPUTED_VALUE"""),"2025-1")</f>
        <v>2025-1</v>
      </c>
      <c r="D621" s="1" t="str">
        <f>IFERROR(__xludf.DUMMYFUNCTION("""COMPUTED_VALUE"""),"Admisión de Alto Rendimiento")</f>
        <v>Admisión de Alto Rendimiento</v>
      </c>
      <c r="E621" s="2">
        <f>IFERROR(__xludf.DUMMYFUNCTION("""COMPUTED_VALUE"""),45740.0)</f>
        <v>45740</v>
      </c>
      <c r="F621" s="1" t="str">
        <f>IFERROR(__xludf.DUMMYFUNCTION("""COMPUTED_VALUE"""),"ASHLEY DAISUKINA ")</f>
        <v>ASHLEY DAISUKINA </v>
      </c>
      <c r="G621" s="1" t="str">
        <f>IFERROR(__xludf.DUMMYFUNCTION("""COMPUTED_VALUE"""),"LAZO RAURAU")</f>
        <v>LAZO RAURAU</v>
      </c>
      <c r="H621" s="1" t="str">
        <f>IFERROR(__xludf.DUMMYFUNCTION("""COMPUTED_VALUE"""),"Psicología")</f>
        <v>Psicología</v>
      </c>
      <c r="I621" s="1" t="str">
        <f>IFERROR(__xludf.DUMMYFUNCTION("""COMPUTED_VALUE"""),"Pago Link")</f>
        <v>Pago Link</v>
      </c>
      <c r="J621" s="1" t="str">
        <f>IFERROR(__xludf.DUMMYFUNCTION("""COMPUTED_VALUE"""),"Diurno")</f>
        <v>Diurno</v>
      </c>
      <c r="K621" s="1" t="str">
        <f>IFERROR(__xludf.DUMMYFUNCTION("""COMPUTED_VALUE"""),"NUEVO")</f>
        <v>NUEVO</v>
      </c>
      <c r="L621" s="1">
        <f>IFERROR(__xludf.DUMMYFUNCTION("""COMPUTED_VALUE"""),0.0)</f>
        <v>0</v>
      </c>
      <c r="M621" s="1">
        <f>IFERROR(__xludf.DUMMYFUNCTION("""COMPUTED_VALUE"""),0.0)</f>
        <v>0</v>
      </c>
      <c r="N621" s="1" t="str">
        <f>IFERROR(__xludf.DUMMYFUNCTION("""COMPUTED_VALUE"""),"BECA")</f>
        <v>BECA</v>
      </c>
      <c r="O621" s="1" t="str">
        <f>IFERROR(__xludf.DUMMYFUNCTION("""COMPUTED_VALUE"""),"BECA RECUPERO")</f>
        <v>BECA RECUPERO</v>
      </c>
      <c r="P621" s="4">
        <f>IFERROR(__xludf.DUMMYFUNCTION("""COMPUTED_VALUE"""),0.0)</f>
        <v>0</v>
      </c>
      <c r="Q621" s="4">
        <f>IFERROR(__xludf.DUMMYFUNCTION("""COMPUTED_VALUE"""),0.0)</f>
        <v>0</v>
      </c>
      <c r="R621" s="4">
        <f>IFERROR(__xludf.DUMMYFUNCTION("""COMPUTED_VALUE"""),1000.0)</f>
        <v>1000</v>
      </c>
      <c r="S621" s="4">
        <f>IFERROR(__xludf.DUMMYFUNCTION("""COMPUTED_VALUE"""),850.0)</f>
        <v>850</v>
      </c>
      <c r="T621" s="1" t="str">
        <f>IFERROR(__xludf.DUMMYFUNCTION("""COMPUTED_VALUE"""),"Ninguno")</f>
        <v>Ninguno</v>
      </c>
      <c r="U621" s="1" t="str">
        <f>IFERROR(__xludf.DUMMYFUNCTION("""COMPUTED_VALUE"""),"FABIOLA")</f>
        <v>FABIOLA</v>
      </c>
      <c r="V621" s="1" t="str">
        <f>IFERROR(__xludf.DUMMYFUNCTION("""COMPUTED_VALUE"""),"Ninguno")</f>
        <v>Ninguno</v>
      </c>
      <c r="W621" s="1" t="str">
        <f>IFERROR(__xludf.DUMMYFUNCTION("""COMPUTED_VALUE"""),"Metodología de enseñanza")</f>
        <v>Metodología de enseñanza</v>
      </c>
      <c r="X621" s="1" t="str">
        <f>IFERROR(__xludf.DUMMYFUNCTION("""COMPUTED_VALUE"""),"0")</f>
        <v>0</v>
      </c>
      <c r="Y621" s="1" t="str">
        <f>IFERROR(__xludf.DUMMYFUNCTION("""COMPUTED_VALUE"""),"PAGO COMPLETO")</f>
        <v>PAGO COMPLETO</v>
      </c>
      <c r="Z621" s="1"/>
      <c r="AA621" s="1"/>
      <c r="AB621" s="1">
        <f>IFERROR(__xludf.DUMMYFUNCTION("""COMPUTED_VALUE"""),0.0)</f>
        <v>0</v>
      </c>
      <c r="AC621" s="1">
        <f>IFERROR(__xludf.DUMMYFUNCTION("""COMPUTED_VALUE"""),0.0)</f>
        <v>0</v>
      </c>
      <c r="AD621" s="1" t="str">
        <f>IFERROR(__xludf.DUMMYFUNCTION("""COMPUTED_VALUE"""),"Sergio Valderrama Rodriguez")</f>
        <v>Sergio Valderrama Rodriguez</v>
      </c>
      <c r="AE621" s="1" t="str">
        <f>IFERROR(__xludf.DUMMYFUNCTION("""COMPUTED_VALUE"""),"0")</f>
        <v>0</v>
      </c>
      <c r="AF621" s="1">
        <f>IFERROR(__xludf.DUMMYFUNCTION("""COMPUTED_VALUE"""),2024.0)</f>
        <v>2024</v>
      </c>
      <c r="AG621" s="1">
        <f>IFERROR(__xludf.DUMMYFUNCTION("""COMPUTED_VALUE"""),0.0)</f>
        <v>0</v>
      </c>
      <c r="AH621" s="1">
        <f>IFERROR(__xludf.DUMMYFUNCTION("""COMPUTED_VALUE"""),18.0)</f>
        <v>18</v>
      </c>
      <c r="AI621" s="1" t="str">
        <f>IFERROR(__xludf.DUMMYFUNCTION("""COMPUTED_VALUE"""),"0000420274")</f>
        <v>0000420274</v>
      </c>
      <c r="AJ621" s="1">
        <f>IFERROR(__xludf.DUMMYFUNCTION("""COMPUTED_VALUE"""),6.1181531E7)</f>
        <v>61181531</v>
      </c>
      <c r="AK621" s="1">
        <f>IFERROR(__xludf.DUMMYFUNCTION("""COMPUTED_VALUE"""),9.4196974E8)</f>
        <v>941969740</v>
      </c>
      <c r="AL621" s="1" t="str">
        <f>IFERROR(__xludf.DUMMYFUNCTION("""COMPUTED_VALUE"""),"alazoraurau@gmail.com")</f>
        <v>alazoraurau@gmail.com</v>
      </c>
      <c r="AM621" s="1" t="str">
        <f>IFERROR(__xludf.DUMMYFUNCTION("""COMPUTED_VALUE"""),"FEMENINO")</f>
        <v>FEMENINO</v>
      </c>
      <c r="AN621" s="1">
        <f>IFERROR(__xludf.DUMMYFUNCTION("""COMPUTED_VALUE"""),1350.0)</f>
        <v>1350</v>
      </c>
      <c r="AO621" s="1">
        <f>IFERROR(__xludf.DUMMYFUNCTION("""COMPUTED_VALUE"""),0.0)</f>
        <v>0</v>
      </c>
      <c r="AP621" s="1" t="str">
        <f>IFERROR(__xludf.DUMMYFUNCTION("""COMPUTED_VALUE"""),"COLEGIOS")</f>
        <v>COLEGIOS</v>
      </c>
      <c r="AQ621" s="1" t="str">
        <f>IFERROR(__xludf.DUMMYFUNCTION("""COMPUTED_VALUE"""),"COLEGIOS")</f>
        <v>COLEGIOS</v>
      </c>
      <c r="AR621" s="1" t="str">
        <f>IFERROR(__xludf.DUMMYFUNCTION("""COMPUTED_VALUE"""),"NUEVO")</f>
        <v>NUEVO</v>
      </c>
      <c r="AS621" s="1"/>
      <c r="AT621" s="2">
        <f>IFERROR(__xludf.DUMMYFUNCTION("""COMPUTED_VALUE"""),45558.0)</f>
        <v>45558</v>
      </c>
      <c r="AU621" s="1">
        <f>IFERROR(__xludf.DUMMYFUNCTION("""COMPUTED_VALUE"""),1.0)</f>
        <v>1</v>
      </c>
      <c r="AV621" s="1" t="str">
        <f>IFERROR(__xludf.DUMMYFUNCTION("""COMPUTED_VALUE"""),"NUEVO")</f>
        <v>NUEVO</v>
      </c>
      <c r="AW621" s="1" t="str">
        <f>IFERROR(__xludf.DUMMYFUNCTION("""COMPUTED_VALUE"""),"SI")</f>
        <v>SI</v>
      </c>
      <c r="AX621" s="1"/>
      <c r="AY621" s="1" t="str">
        <f>IFERROR(__xludf.DUMMYFUNCTION("""COMPUTED_VALUE"""),"PAGO COMPLETO")</f>
        <v>PAGO COMPLETO</v>
      </c>
      <c r="AZ621" s="5">
        <f>IFERROR(__xludf.DUMMYFUNCTION("""COMPUTED_VALUE"""),45740.0)</f>
        <v>45740</v>
      </c>
      <c r="BA621" s="1">
        <f>IFERROR(__xludf.DUMMYFUNCTION("""COMPUTED_VALUE"""),0.0)</f>
        <v>0</v>
      </c>
      <c r="BB621" s="1">
        <f>IFERROR(__xludf.DUMMYFUNCTION("""COMPUTED_VALUE"""),0.0)</f>
        <v>0</v>
      </c>
      <c r="BC621" s="4">
        <f>IFERROR(__xludf.DUMMYFUNCTION("""COMPUTED_VALUE"""),0.0)</f>
        <v>0</v>
      </c>
      <c r="BD621" s="4">
        <f>IFERROR(__xludf.DUMMYFUNCTION("""COMPUTED_VALUE"""),0.0)</f>
        <v>0</v>
      </c>
      <c r="BE621" s="1">
        <f>IFERROR(__xludf.DUMMYFUNCTION("""COMPUTED_VALUE"""),3.0)</f>
        <v>3</v>
      </c>
      <c r="BF621" s="6">
        <f>IFERROR(__xludf.DUMMYFUNCTION("""COMPUTED_VALUE"""),1.0)</f>
        <v>1</v>
      </c>
      <c r="BG621" s="1">
        <f>IFERROR(__xludf.DUMMYFUNCTION("""COMPUTED_VALUE"""),1.0)</f>
        <v>1</v>
      </c>
      <c r="BH621" s="1" t="str">
        <f>IFERROR(__xludf.DUMMYFUNCTION("""COMPUTED_VALUE"""),"0")</f>
        <v>0</v>
      </c>
      <c r="BI621" s="4">
        <f>IFERROR(__xludf.DUMMYFUNCTION("""COMPUTED_VALUE"""),0.0)</f>
        <v>0</v>
      </c>
      <c r="BJ621" s="1">
        <f>IFERROR(__xludf.DUMMYFUNCTION("""COMPUTED_VALUE"""),0.0)</f>
        <v>0</v>
      </c>
      <c r="BK621" s="4">
        <f>IFERROR(__xludf.DUMMYFUNCTION("""COMPUTED_VALUE"""),0.0)</f>
        <v>0</v>
      </c>
      <c r="BL621" s="1">
        <f>IFERROR(__xludf.DUMMYFUNCTION("""COMPUTED_VALUE"""),850.0)</f>
        <v>850</v>
      </c>
      <c r="BM621" s="1">
        <f>IFERROR(__xludf.DUMMYFUNCTION("""COMPUTED_VALUE"""),13.0)</f>
        <v>13</v>
      </c>
      <c r="BN621" s="2">
        <f>IFERROR(__xludf.DUMMYFUNCTION("""COMPUTED_VALUE"""),45740.0)</f>
        <v>45740</v>
      </c>
      <c r="BO621" s="1">
        <f>IFERROR(__xludf.DUMMYFUNCTION("""COMPUTED_VALUE"""),3.0)</f>
        <v>3</v>
      </c>
      <c r="BP621" s="1">
        <f>IFERROR(__xludf.DUMMYFUNCTION("""COMPUTED_VALUE"""),2025.0)</f>
        <v>2025</v>
      </c>
    </row>
    <row r="622">
      <c r="A622" s="1">
        <f>IFERROR(__xludf.DUMMYFUNCTION("""COMPUTED_VALUE"""),621.0)</f>
        <v>621</v>
      </c>
      <c r="B622" s="1">
        <f>IFERROR(__xludf.DUMMYFUNCTION("""COMPUTED_VALUE"""),5103208.0)</f>
        <v>5103208</v>
      </c>
      <c r="C622" s="1" t="str">
        <f>IFERROR(__xludf.DUMMYFUNCTION("""COMPUTED_VALUE"""),"2025-1")</f>
        <v>2025-1</v>
      </c>
      <c r="D622" s="1" t="str">
        <f>IFERROR(__xludf.DUMMYFUNCTION("""COMPUTED_VALUE"""),"Admisión Extraordinaria (Traslados)")</f>
        <v>Admisión Extraordinaria (Traslados)</v>
      </c>
      <c r="E622" s="2">
        <f>IFERROR(__xludf.DUMMYFUNCTION("""COMPUTED_VALUE"""),45740.0)</f>
        <v>45740</v>
      </c>
      <c r="F622" s="1" t="str">
        <f>IFERROR(__xludf.DUMMYFUNCTION("""COMPUTED_VALUE"""),"CHRISTOPHER BRUCE ")</f>
        <v>CHRISTOPHER BRUCE </v>
      </c>
      <c r="G622" s="1" t="str">
        <f>IFERROR(__xludf.DUMMYFUNCTION("""COMPUTED_VALUE"""),"GONZALES SANCHEZ")</f>
        <v>GONZALES SANCHEZ</v>
      </c>
      <c r="H622" s="1" t="str">
        <f>IFERROR(__xludf.DUMMYFUNCTION("""COMPUTED_VALUE"""),"Diseño Gráfico Publicitario")</f>
        <v>Diseño Gráfico Publicitario</v>
      </c>
      <c r="I622" s="1" t="str">
        <f>IFERROR(__xludf.DUMMYFUNCTION("""COMPUTED_VALUE"""),"CARGO")</f>
        <v>CARGO</v>
      </c>
      <c r="J622" s="1" t="str">
        <f>IFERROR(__xludf.DUMMYFUNCTION("""COMPUTED_VALUE"""),"Diurno")</f>
        <v>Diurno</v>
      </c>
      <c r="K622" s="1" t="str">
        <f>IFERROR(__xludf.DUMMYFUNCTION("""COMPUTED_VALUE"""),"TRASLADO")</f>
        <v>TRASLADO</v>
      </c>
      <c r="L622" s="1">
        <f>IFERROR(__xludf.DUMMYFUNCTION("""COMPUTED_VALUE"""),0.0)</f>
        <v>0</v>
      </c>
      <c r="M622" s="1">
        <f>IFERROR(__xludf.DUMMYFUNCTION("""COMPUTED_VALUE"""),0.0)</f>
        <v>0</v>
      </c>
      <c r="N622" s="1" t="str">
        <f>IFERROR(__xludf.DUMMYFUNCTION("""COMPUTED_VALUE"""),"ESCALA REGULAR")</f>
        <v>ESCALA REGULAR</v>
      </c>
      <c r="O622" s="1" t="str">
        <f>IFERROR(__xludf.DUMMYFUNCTION("""COMPUTED_VALUE"""),"NINGUNO")</f>
        <v>NINGUNO</v>
      </c>
      <c r="P622" s="4">
        <f>IFERROR(__xludf.DUMMYFUNCTION("""COMPUTED_VALUE"""),100.0)</f>
        <v>100</v>
      </c>
      <c r="Q622" s="4">
        <f>IFERROR(__xludf.DUMMYFUNCTION("""COMPUTED_VALUE"""),250.0)</f>
        <v>250</v>
      </c>
      <c r="R622" s="4">
        <f>IFERROR(__xludf.DUMMYFUNCTION("""COMPUTED_VALUE"""),850.0)</f>
        <v>850</v>
      </c>
      <c r="S622" s="4">
        <f>IFERROR(__xludf.DUMMYFUNCTION("""COMPUTED_VALUE"""),850.0)</f>
        <v>850</v>
      </c>
      <c r="T622" s="1" t="str">
        <f>IFERROR(__xludf.DUMMYFUNCTION("""COMPUTED_VALUE"""),"Reconocemos tu primera boleta")</f>
        <v>Reconocemos tu primera boleta</v>
      </c>
      <c r="U622" s="1" t="str">
        <f>IFERROR(__xludf.DUMMYFUNCTION("""COMPUTED_VALUE"""),"FABIOLA")</f>
        <v>FABIOLA</v>
      </c>
      <c r="V622" s="1" t="str">
        <f>IFERROR(__xludf.DUMMYFUNCTION("""COMPUTED_VALUE"""),"Ninguno")</f>
        <v>Ninguno</v>
      </c>
      <c r="W622" s="1" t="str">
        <f>IFERROR(__xludf.DUMMYFUNCTION("""COMPUTED_VALUE"""),"Equipos e instalaciones")</f>
        <v>Equipos e instalaciones</v>
      </c>
      <c r="X622" s="1" t="str">
        <f>IFERROR(__xludf.DUMMYFUNCTION("""COMPUTED_VALUE"""),"Te reconocemos tu primera boleta")</f>
        <v>Te reconocemos tu primera boleta</v>
      </c>
      <c r="Y622" s="1" t="str">
        <f>IFERROR(__xludf.DUMMYFUNCTION("""COMPUTED_VALUE"""),"PAGO COMPLETO")</f>
        <v>PAGO COMPLETO</v>
      </c>
      <c r="Z622" s="1"/>
      <c r="AA622" s="1"/>
      <c r="AB622" s="1">
        <f>IFERROR(__xludf.DUMMYFUNCTION("""COMPUTED_VALUE"""),0.0)</f>
        <v>0</v>
      </c>
      <c r="AC622" s="1">
        <f>IFERROR(__xludf.DUMMYFUNCTION("""COMPUTED_VALUE"""),0.0)</f>
        <v>0</v>
      </c>
      <c r="AD622" s="1" t="str">
        <f>IFERROR(__xludf.DUMMYFUNCTION("""COMPUTED_VALUE"""),"Fiorella Lanegra")</f>
        <v>Fiorella Lanegra</v>
      </c>
      <c r="AE622" s="1" t="str">
        <f>IFERROR(__xludf.DUMMYFUNCTION("""COMPUTED_VALUE"""),"Universidad Continental (Huancayo)")</f>
        <v>Universidad Continental (Huancayo)</v>
      </c>
      <c r="AF622" s="1">
        <f>IFERROR(__xludf.DUMMYFUNCTION("""COMPUTED_VALUE"""),2024.0)</f>
        <v>2024</v>
      </c>
      <c r="AG622" s="1">
        <f>IFERROR(__xludf.DUMMYFUNCTION("""COMPUTED_VALUE"""),1070804.0)</f>
        <v>1070804</v>
      </c>
      <c r="AH622" s="1">
        <f>IFERROR(__xludf.DUMMYFUNCTION("""COMPUTED_VALUE"""),17.0)</f>
        <v>17</v>
      </c>
      <c r="AI622" s="1" t="str">
        <f>IFERROR(__xludf.DUMMYFUNCTION("""COMPUTED_VALUE"""),"0000420997")</f>
        <v>0000420997</v>
      </c>
      <c r="AJ622" s="1">
        <f>IFERROR(__xludf.DUMMYFUNCTION("""COMPUTED_VALUE"""),7.1153309E7)</f>
        <v>71153309</v>
      </c>
      <c r="AK622" s="1">
        <f>IFERROR(__xludf.DUMMYFUNCTION("""COMPUTED_VALUE"""),9.50379226E8)</f>
        <v>950379226</v>
      </c>
      <c r="AL622" s="1" t="str">
        <f>IFERROR(__xludf.DUMMYFUNCTION("""COMPUTED_VALUE"""),"christophergonzalessanches@gmail.com")</f>
        <v>christophergonzalessanches@gmail.com</v>
      </c>
      <c r="AM622" s="1" t="str">
        <f>IFERROR(__xludf.DUMMYFUNCTION("""COMPUTED_VALUE"""),"MASCULINO")</f>
        <v>MASCULINO</v>
      </c>
      <c r="AN622" s="1">
        <f>IFERROR(__xludf.DUMMYFUNCTION("""COMPUTED_VALUE"""),1350.0)</f>
        <v>1350</v>
      </c>
      <c r="AO622" s="1">
        <f>IFERROR(__xludf.DUMMYFUNCTION("""COMPUTED_VALUE"""),0.0)</f>
        <v>0</v>
      </c>
      <c r="AP622" s="1" t="str">
        <f>IFERROR(__xludf.DUMMYFUNCTION("""COMPUTED_VALUE"""),"COLEGIOS")</f>
        <v>COLEGIOS</v>
      </c>
      <c r="AQ622" s="1" t="str">
        <f>IFERROR(__xludf.DUMMYFUNCTION("""COMPUTED_VALUE"""),"COLEGIOS")</f>
        <v>COLEGIOS</v>
      </c>
      <c r="AR622" s="1" t="str">
        <f>IFERROR(__xludf.DUMMYFUNCTION("""COMPUTED_VALUE"""),"HEREDADO")</f>
        <v>HEREDADO</v>
      </c>
      <c r="AS622" s="1"/>
      <c r="AT622" s="2">
        <f>IFERROR(__xludf.DUMMYFUNCTION("""COMPUTED_VALUE"""),45600.0)</f>
        <v>45600</v>
      </c>
      <c r="AU622" s="1">
        <f>IFERROR(__xludf.DUMMYFUNCTION("""COMPUTED_VALUE"""),1.0)</f>
        <v>1</v>
      </c>
      <c r="AV622" s="1" t="str">
        <f>IFERROR(__xludf.DUMMYFUNCTION("""COMPUTED_VALUE"""),"NUEVO")</f>
        <v>NUEVO</v>
      </c>
      <c r="AW622" s="1" t="str">
        <f>IFERROR(__xludf.DUMMYFUNCTION("""COMPUTED_VALUE"""),"SI")</f>
        <v>SI</v>
      </c>
      <c r="AX622" s="1"/>
      <c r="AY622" s="1" t="str">
        <f>IFERROR(__xludf.DUMMYFUNCTION("""COMPUTED_VALUE"""),"PAGO COMPLETO")</f>
        <v>PAGO COMPLETO</v>
      </c>
      <c r="AZ622" s="5">
        <f>IFERROR(__xludf.DUMMYFUNCTION("""COMPUTED_VALUE"""),45740.0)</f>
        <v>45740</v>
      </c>
      <c r="BA622" s="1">
        <f>IFERROR(__xludf.DUMMYFUNCTION("""COMPUTED_VALUE"""),0.0)</f>
        <v>0</v>
      </c>
      <c r="BB622" s="1">
        <f>IFERROR(__xludf.DUMMYFUNCTION("""COMPUTED_VALUE"""),0.0)</f>
        <v>0</v>
      </c>
      <c r="BC622" s="4">
        <f>IFERROR(__xludf.DUMMYFUNCTION("""COMPUTED_VALUE"""),0.0)</f>
        <v>0</v>
      </c>
      <c r="BD622" s="4">
        <f>IFERROR(__xludf.DUMMYFUNCTION("""COMPUTED_VALUE"""),850.0)</f>
        <v>850</v>
      </c>
      <c r="BE622" s="1">
        <f>IFERROR(__xludf.DUMMYFUNCTION("""COMPUTED_VALUE"""),3.0)</f>
        <v>3</v>
      </c>
      <c r="BF622" s="6">
        <f>IFERROR(__xludf.DUMMYFUNCTION("""COMPUTED_VALUE"""),1.0)</f>
        <v>1</v>
      </c>
      <c r="BG622" s="1"/>
      <c r="BH622" s="1" t="str">
        <f>IFERROR(__xludf.DUMMYFUNCTION("""COMPUTED_VALUE"""),"0")</f>
        <v>0</v>
      </c>
      <c r="BI622" s="4">
        <f>IFERROR(__xludf.DUMMYFUNCTION("""COMPUTED_VALUE"""),850.0)</f>
        <v>850</v>
      </c>
      <c r="BJ622" s="1">
        <f>IFERROR(__xludf.DUMMYFUNCTION("""COMPUTED_VALUE"""),0.0)</f>
        <v>0</v>
      </c>
      <c r="BK622" s="4">
        <f>IFERROR(__xludf.DUMMYFUNCTION("""COMPUTED_VALUE"""),850.0)</f>
        <v>850</v>
      </c>
      <c r="BL622" s="1">
        <f>IFERROR(__xludf.DUMMYFUNCTION("""COMPUTED_VALUE"""),680.0)</f>
        <v>680</v>
      </c>
      <c r="BM622" s="1">
        <f>IFERROR(__xludf.DUMMYFUNCTION("""COMPUTED_VALUE"""),13.0)</f>
        <v>13</v>
      </c>
      <c r="BN622" s="2">
        <f>IFERROR(__xludf.DUMMYFUNCTION("""COMPUTED_VALUE"""),45740.0)</f>
        <v>45740</v>
      </c>
      <c r="BO622" s="1">
        <f>IFERROR(__xludf.DUMMYFUNCTION("""COMPUTED_VALUE"""),3.0)</f>
        <v>3</v>
      </c>
      <c r="BP622" s="1">
        <f>IFERROR(__xludf.DUMMYFUNCTION("""COMPUTED_VALUE"""),2025.0)</f>
        <v>2025</v>
      </c>
    </row>
    <row r="623">
      <c r="A623" s="1">
        <f>IFERROR(__xludf.DUMMYFUNCTION("""COMPUTED_VALUE"""),622.0)</f>
        <v>622</v>
      </c>
      <c r="B623" s="1">
        <f>IFERROR(__xludf.DUMMYFUNCTION("""COMPUTED_VALUE"""),5104655.0)</f>
        <v>5104655</v>
      </c>
      <c r="C623" s="1" t="str">
        <f>IFERROR(__xludf.DUMMYFUNCTION("""COMPUTED_VALUE"""),"2025-1")</f>
        <v>2025-1</v>
      </c>
      <c r="D623" s="1" t="str">
        <f>IFERROR(__xludf.DUMMYFUNCTION("""COMPUTED_VALUE"""),"Admisión de Alto Rendimiento")</f>
        <v>Admisión de Alto Rendimiento</v>
      </c>
      <c r="E623" s="2">
        <f>IFERROR(__xludf.DUMMYFUNCTION("""COMPUTED_VALUE"""),45741.0)</f>
        <v>45741</v>
      </c>
      <c r="F623" s="1" t="str">
        <f>IFERROR(__xludf.DUMMYFUNCTION("""COMPUTED_VALUE"""),"ANJALI CAMILA ")</f>
        <v>ANJALI CAMILA </v>
      </c>
      <c r="G623" s="1" t="str">
        <f>IFERROR(__xludf.DUMMYFUNCTION("""COMPUTED_VALUE"""),"PERAMAS CALLO")</f>
        <v>PERAMAS CALLO</v>
      </c>
      <c r="H623" s="1" t="str">
        <f>IFERROR(__xludf.DUMMYFUNCTION("""COMPUTED_VALUE"""),"Psicología")</f>
        <v>Psicología</v>
      </c>
      <c r="I623" s="1" t="str">
        <f>IFERROR(__xludf.DUMMYFUNCTION("""COMPUTED_VALUE"""),"CARGO")</f>
        <v>CARGO</v>
      </c>
      <c r="J623" s="1" t="str">
        <f>IFERROR(__xludf.DUMMYFUNCTION("""COMPUTED_VALUE"""),"Diurno")</f>
        <v>Diurno</v>
      </c>
      <c r="K623" s="1" t="str">
        <f>IFERROR(__xludf.DUMMYFUNCTION("""COMPUTED_VALUE"""),"NUEVO")</f>
        <v>NUEVO</v>
      </c>
      <c r="L623" s="1">
        <f>IFERROR(__xludf.DUMMYFUNCTION("""COMPUTED_VALUE"""),0.0)</f>
        <v>0</v>
      </c>
      <c r="M623" s="1">
        <f>IFERROR(__xludf.DUMMYFUNCTION("""COMPUTED_VALUE"""),0.0)</f>
        <v>0</v>
      </c>
      <c r="N623" s="1" t="str">
        <f>IFERROR(__xludf.DUMMYFUNCTION("""COMPUTED_VALUE"""),"BECA")</f>
        <v>BECA</v>
      </c>
      <c r="O623" s="1" t="str">
        <f>IFERROR(__xludf.DUMMYFUNCTION("""COMPUTED_VALUE"""),"BECA RECUPERO")</f>
        <v>BECA RECUPERO</v>
      </c>
      <c r="P623" s="4">
        <f>IFERROR(__xludf.DUMMYFUNCTION("""COMPUTED_VALUE"""),0.0)</f>
        <v>0</v>
      </c>
      <c r="Q623" s="4">
        <f>IFERROR(__xludf.DUMMYFUNCTION("""COMPUTED_VALUE"""),0.0)</f>
        <v>0</v>
      </c>
      <c r="R623" s="4">
        <f>IFERROR(__xludf.DUMMYFUNCTION("""COMPUTED_VALUE"""),950.0)</f>
        <v>950</v>
      </c>
      <c r="S623" s="4">
        <f>IFERROR(__xludf.DUMMYFUNCTION("""COMPUTED_VALUE"""),800.0)</f>
        <v>800</v>
      </c>
      <c r="T623" s="1" t="str">
        <f>IFERROR(__xludf.DUMMYFUNCTION("""COMPUTED_VALUE"""),"PALANCA 500")</f>
        <v>PALANCA 500</v>
      </c>
      <c r="U623" s="1"/>
      <c r="V623" s="1" t="str">
        <f>IFERROR(__xludf.DUMMYFUNCTION("""COMPUTED_VALUE"""),"Ninguno")</f>
        <v>Ninguno</v>
      </c>
      <c r="W623" s="1" t="str">
        <f>IFERROR(__xludf.DUMMYFUNCTION("""COMPUTED_VALUE"""),"Prestigio de la institución")</f>
        <v>Prestigio de la institución</v>
      </c>
      <c r="X623" s="1"/>
      <c r="Y623" s="1" t="str">
        <f>IFERROR(__xludf.DUMMYFUNCTION("""COMPUTED_VALUE"""),"PAGO COMPLETO")</f>
        <v>PAGO COMPLETO</v>
      </c>
      <c r="Z623" s="1"/>
      <c r="AA623" s="1"/>
      <c r="AB623" s="1">
        <f>IFERROR(__xludf.DUMMYFUNCTION("""COMPUTED_VALUE"""),0.0)</f>
        <v>0</v>
      </c>
      <c r="AC623" s="1">
        <f>IFERROR(__xludf.DUMMYFUNCTION("""COMPUTED_VALUE"""),0.0)</f>
        <v>0</v>
      </c>
      <c r="AD623" s="1" t="str">
        <f>IFERROR(__xludf.DUMMYFUNCTION("""COMPUTED_VALUE"""),"Ingrid Guillermo Rivera")</f>
        <v>Ingrid Guillermo Rivera</v>
      </c>
      <c r="AE623" s="1" t="str">
        <f>IFERROR(__xludf.DUMMYFUNCTION("""COMPUTED_VALUE"""),"0")</f>
        <v>0</v>
      </c>
      <c r="AF623" s="1">
        <f>IFERROR(__xludf.DUMMYFUNCTION("""COMPUTED_VALUE"""),2023.0)</f>
        <v>2023</v>
      </c>
      <c r="AG623" s="1">
        <f>IFERROR(__xludf.DUMMYFUNCTION("""COMPUTED_VALUE"""),1070036.0)</f>
        <v>1070036</v>
      </c>
      <c r="AH623" s="1">
        <f>IFERROR(__xludf.DUMMYFUNCTION("""COMPUTED_VALUE"""),18.0)</f>
        <v>18</v>
      </c>
      <c r="AI623" s="1" t="str">
        <f>IFERROR(__xludf.DUMMYFUNCTION("""COMPUTED_VALUE"""),"0000421175")</f>
        <v>0000421175</v>
      </c>
      <c r="AJ623" s="1">
        <f>IFERROR(__xludf.DUMMYFUNCTION("""COMPUTED_VALUE"""),7.0626971E7)</f>
        <v>70626971</v>
      </c>
      <c r="AK623" s="1">
        <f>IFERROR(__xludf.DUMMYFUNCTION("""COMPUTED_VALUE"""),9.64584273E8)</f>
        <v>964584273</v>
      </c>
      <c r="AL623" s="1" t="str">
        <f>IFERROR(__xludf.DUMMYFUNCTION("""COMPUTED_VALUE"""),"Anjaliperamas@gmail.com")</f>
        <v>Anjaliperamas@gmail.com</v>
      </c>
      <c r="AM623" s="1" t="str">
        <f>IFERROR(__xludf.DUMMYFUNCTION("""COMPUTED_VALUE"""),"FEMENINO")</f>
        <v>FEMENINO</v>
      </c>
      <c r="AN623" s="1">
        <f>IFERROR(__xludf.DUMMYFUNCTION("""COMPUTED_VALUE"""),1350.0)</f>
        <v>1350</v>
      </c>
      <c r="AO623" s="1">
        <f>IFERROR(__xludf.DUMMYFUNCTION("""COMPUTED_VALUE"""),0.0)</f>
        <v>0</v>
      </c>
      <c r="AP623" s="1" t="str">
        <f>IFERROR(__xludf.DUMMYFUNCTION("""COMPUTED_VALUE"""),"FORMULARIO")</f>
        <v>FORMULARIO</v>
      </c>
      <c r="AQ623" s="1" t="str">
        <f>IFERROR(__xludf.DUMMYFUNCTION("""COMPUTED_VALUE"""),"SEARCH MARCA")</f>
        <v>SEARCH MARCA</v>
      </c>
      <c r="AR623" s="1" t="str">
        <f>IFERROR(__xludf.DUMMYFUNCTION("""COMPUTED_VALUE"""),"NUEVO")</f>
        <v>NUEVO</v>
      </c>
      <c r="AS623" s="1" t="str">
        <f>IFERROR(__xludf.DUMMYFUNCTION("""COMPUTED_VALUE"""),"ucal-pg-performance-sedes-abierta-cpl-search_conversion_marca-20240401")</f>
        <v>ucal-pg-performance-sedes-abierta-cpl-search_conversion_marca-20240401</v>
      </c>
      <c r="AT623" s="2">
        <f>IFERROR(__xludf.DUMMYFUNCTION("""COMPUTED_VALUE"""),45741.0)</f>
        <v>45741</v>
      </c>
      <c r="AU623" s="1">
        <f>IFERROR(__xludf.DUMMYFUNCTION("""COMPUTED_VALUE"""),1.0)</f>
        <v>1</v>
      </c>
      <c r="AV623" s="1" t="str">
        <f>IFERROR(__xludf.DUMMYFUNCTION("""COMPUTED_VALUE"""),"NUEVO")</f>
        <v>NUEVO</v>
      </c>
      <c r="AW623" s="1" t="str">
        <f>IFERROR(__xludf.DUMMYFUNCTION("""COMPUTED_VALUE"""),"SI")</f>
        <v>SI</v>
      </c>
      <c r="AX623" s="1"/>
      <c r="AY623" s="1" t="str">
        <f>IFERROR(__xludf.DUMMYFUNCTION("""COMPUTED_VALUE"""),"PAGO COMPLETO")</f>
        <v>PAGO COMPLETO</v>
      </c>
      <c r="AZ623" s="5">
        <f>IFERROR(__xludf.DUMMYFUNCTION("""COMPUTED_VALUE"""),45741.0)</f>
        <v>45741</v>
      </c>
      <c r="BA623" s="1">
        <f>IFERROR(__xludf.DUMMYFUNCTION("""COMPUTED_VALUE"""),0.0)</f>
        <v>0</v>
      </c>
      <c r="BB623" s="1">
        <f>IFERROR(__xludf.DUMMYFUNCTION("""COMPUTED_VALUE"""),0.0)</f>
        <v>0</v>
      </c>
      <c r="BC623" s="4">
        <f>IFERROR(__xludf.DUMMYFUNCTION("""COMPUTED_VALUE"""),0.0)</f>
        <v>0</v>
      </c>
      <c r="BD623" s="4">
        <f>IFERROR(__xludf.DUMMYFUNCTION("""COMPUTED_VALUE"""),300.0)</f>
        <v>300</v>
      </c>
      <c r="BE623" s="1">
        <f>IFERROR(__xludf.DUMMYFUNCTION("""COMPUTED_VALUE"""),3.0)</f>
        <v>3</v>
      </c>
      <c r="BF623" s="6">
        <f>IFERROR(__xludf.DUMMYFUNCTION("""COMPUTED_VALUE"""),1.0)</f>
        <v>1</v>
      </c>
      <c r="BG623" s="1">
        <f>IFERROR(__xludf.DUMMYFUNCTION("""COMPUTED_VALUE"""),1.0)</f>
        <v>1</v>
      </c>
      <c r="BH623" s="1" t="str">
        <f>IFERROR(__xludf.DUMMYFUNCTION("""COMPUTED_VALUE"""),"0")</f>
        <v>0</v>
      </c>
      <c r="BI623" s="4">
        <f>IFERROR(__xludf.DUMMYFUNCTION("""COMPUTED_VALUE"""),300.0)</f>
        <v>300</v>
      </c>
      <c r="BJ623" s="1">
        <f>IFERROR(__xludf.DUMMYFUNCTION("""COMPUTED_VALUE"""),0.0)</f>
        <v>0</v>
      </c>
      <c r="BK623" s="4">
        <f>IFERROR(__xludf.DUMMYFUNCTION("""COMPUTED_VALUE"""),300.0)</f>
        <v>300</v>
      </c>
      <c r="BL623" s="1">
        <f>IFERROR(__xludf.DUMMYFUNCTION("""COMPUTED_VALUE"""),740.0)</f>
        <v>740</v>
      </c>
      <c r="BM623" s="1">
        <f>IFERROR(__xludf.DUMMYFUNCTION("""COMPUTED_VALUE"""),13.0)</f>
        <v>13</v>
      </c>
      <c r="BN623" s="2">
        <f>IFERROR(__xludf.DUMMYFUNCTION("""COMPUTED_VALUE"""),45740.0)</f>
        <v>45740</v>
      </c>
      <c r="BO623" s="1">
        <f>IFERROR(__xludf.DUMMYFUNCTION("""COMPUTED_VALUE"""),3.0)</f>
        <v>3</v>
      </c>
      <c r="BP623" s="1">
        <f>IFERROR(__xludf.DUMMYFUNCTION("""COMPUTED_VALUE"""),2025.0)</f>
        <v>2025</v>
      </c>
    </row>
    <row r="624">
      <c r="A624" s="1">
        <f>IFERROR(__xludf.DUMMYFUNCTION("""COMPUTED_VALUE"""),623.0)</f>
        <v>623</v>
      </c>
      <c r="B624" s="1">
        <f>IFERROR(__xludf.DUMMYFUNCTION("""COMPUTED_VALUE"""),1035059.0)</f>
        <v>1035059</v>
      </c>
      <c r="C624" s="1" t="str">
        <f>IFERROR(__xludf.DUMMYFUNCTION("""COMPUTED_VALUE"""),"2025-1")</f>
        <v>2025-1</v>
      </c>
      <c r="D624" s="1" t="str">
        <f>IFERROR(__xludf.DUMMYFUNCTION("""COMPUTED_VALUE"""),"Admisión Extraordinaria (Traslados)")</f>
        <v>Admisión Extraordinaria (Traslados)</v>
      </c>
      <c r="E624" s="2">
        <f>IFERROR(__xludf.DUMMYFUNCTION("""COMPUTED_VALUE"""),45741.0)</f>
        <v>45741</v>
      </c>
      <c r="F624" s="1" t="str">
        <f>IFERROR(__xludf.DUMMYFUNCTION("""COMPUTED_VALUE"""),"DANNA FRESSIA VERONICA ")</f>
        <v>DANNA FRESSIA VERONICA </v>
      </c>
      <c r="G624" s="1" t="str">
        <f>IFERROR(__xludf.DUMMYFUNCTION("""COMPUTED_VALUE"""),"ETCHEBARNE VALDIVIA")</f>
        <v>ETCHEBARNE VALDIVIA</v>
      </c>
      <c r="H624" s="1" t="str">
        <f>IFERROR(__xludf.DUMMYFUNCTION("""COMPUTED_VALUE"""),"Diseño Gráfico Publicitario")</f>
        <v>Diseño Gráfico Publicitario</v>
      </c>
      <c r="I624" s="1" t="str">
        <f>IFERROR(__xludf.DUMMYFUNCTION("""COMPUTED_VALUE"""),"POS")</f>
        <v>POS</v>
      </c>
      <c r="J624" s="1" t="str">
        <f>IFERROR(__xludf.DUMMYFUNCTION("""COMPUTED_VALUE"""),"Diurno")</f>
        <v>Diurno</v>
      </c>
      <c r="K624" s="1" t="str">
        <f>IFERROR(__xludf.DUMMYFUNCTION("""COMPUTED_VALUE"""),"TRASLADO")</f>
        <v>TRASLADO</v>
      </c>
      <c r="L624" s="1">
        <f>IFERROR(__xludf.DUMMYFUNCTION("""COMPUTED_VALUE"""),1.0)</f>
        <v>1</v>
      </c>
      <c r="M624" s="1">
        <f>IFERROR(__xludf.DUMMYFUNCTION("""COMPUTED_VALUE"""),0.0)</f>
        <v>0</v>
      </c>
      <c r="N624" s="1" t="str">
        <f>IFERROR(__xludf.DUMMYFUNCTION("""COMPUTED_VALUE"""),"RECA")</f>
        <v>RECA</v>
      </c>
      <c r="O624" s="1" t="str">
        <f>IFERROR(__xludf.DUMMYFUNCTION("""COMPUTED_VALUE"""),"RECATEGORIZACIÓN")</f>
        <v>RECATEGORIZACIÓN</v>
      </c>
      <c r="P624" s="4">
        <f>IFERROR(__xludf.DUMMYFUNCTION("""COMPUTED_VALUE"""),100.0)</f>
        <v>100</v>
      </c>
      <c r="Q624" s="4">
        <f>IFERROR(__xludf.DUMMYFUNCTION("""COMPUTED_VALUE"""),250.0)</f>
        <v>250</v>
      </c>
      <c r="R624" s="4">
        <f>IFERROR(__xludf.DUMMYFUNCTION("""COMPUTED_VALUE"""),1050.0)</f>
        <v>1050</v>
      </c>
      <c r="S624" s="4">
        <f>IFERROR(__xludf.DUMMYFUNCTION("""COMPUTED_VALUE"""),1050.0)</f>
        <v>1050</v>
      </c>
      <c r="T624" s="1" t="str">
        <f>IFERROR(__xludf.DUMMYFUNCTION("""COMPUTED_VALUE"""),"Reconocemos tu primera boleta - Referido")</f>
        <v>Reconocemos tu primera boleta - Referido</v>
      </c>
      <c r="U624" s="1" t="str">
        <f>IFERROR(__xludf.DUMMYFUNCTION("""COMPUTED_VALUE"""),"FABIOLA")</f>
        <v>FABIOLA</v>
      </c>
      <c r="V624" s="1" t="str">
        <f>IFERROR(__xludf.DUMMYFUNCTION("""COMPUTED_VALUE"""),"Ninguno")</f>
        <v>Ninguno</v>
      </c>
      <c r="W624" s="1" t="str">
        <f>IFERROR(__xludf.DUMMYFUNCTION("""COMPUTED_VALUE"""),"Metodología de enseñanza")</f>
        <v>Metodología de enseñanza</v>
      </c>
      <c r="X624" s="1" t="str">
        <f>IFERROR(__xludf.DUMMYFUNCTION("""COMPUTED_VALUE"""),"referido:NOMBRE Y APELLIDO: OMAR  CHINININ ARREDONDO DNI 73149863/9no ciclo")</f>
        <v>referido:NOMBRE Y APELLIDO: OMAR  CHINININ ARREDONDO DNI 73149863/9no ciclo</v>
      </c>
      <c r="Y624" s="1" t="str">
        <f>IFERROR(__xludf.DUMMYFUNCTION("""COMPUTED_VALUE"""),"PAGO COMPLETO")</f>
        <v>PAGO COMPLETO</v>
      </c>
      <c r="Z624" s="1"/>
      <c r="AA624" s="1"/>
      <c r="AB624" s="1">
        <f>IFERROR(__xludf.DUMMYFUNCTION("""COMPUTED_VALUE"""),1.0)</f>
        <v>1</v>
      </c>
      <c r="AC624" s="1">
        <f>IFERROR(__xludf.DUMMYFUNCTION("""COMPUTED_VALUE"""),1.0)</f>
        <v>1</v>
      </c>
      <c r="AD624" s="1" t="str">
        <f>IFERROR(__xludf.DUMMYFUNCTION("""COMPUTED_VALUE"""),"Cinthia Mariella Orosco")</f>
        <v>Cinthia Mariella Orosco</v>
      </c>
      <c r="AE624" s="1" t="str">
        <f>IFERROR(__xludf.DUMMYFUNCTION("""COMPUTED_VALUE"""),"Instituto de Educación Superior Tecnológico Privado Toulouse Lautrec")</f>
        <v>Instituto de Educación Superior Tecnológico Privado Toulouse Lautrec</v>
      </c>
      <c r="AF624" s="1">
        <f>IFERROR(__xludf.DUMMYFUNCTION("""COMPUTED_VALUE"""),2022.0)</f>
        <v>2022</v>
      </c>
      <c r="AG624" s="1">
        <f>IFERROR(__xludf.DUMMYFUNCTION("""COMPUTED_VALUE"""),0.0)</f>
        <v>0</v>
      </c>
      <c r="AH624" s="1">
        <f>IFERROR(__xludf.DUMMYFUNCTION("""COMPUTED_VALUE"""),22.0)</f>
        <v>22</v>
      </c>
      <c r="AI624" s="1" t="str">
        <f>IFERROR(__xludf.DUMMYFUNCTION("""COMPUTED_VALUE"""),"0000026969")</f>
        <v>0000026969</v>
      </c>
      <c r="AJ624" s="1">
        <f>IFERROR(__xludf.DUMMYFUNCTION("""COMPUTED_VALUE"""),7.0263987E7)</f>
        <v>70263987</v>
      </c>
      <c r="AK624" s="1">
        <f>IFERROR(__xludf.DUMMYFUNCTION("""COMPUTED_VALUE"""),9.80532041E8)</f>
        <v>980532041</v>
      </c>
      <c r="AL624" s="1" t="str">
        <f>IFERROR(__xludf.DUMMYFUNCTION("""COMPUTED_VALUE"""),"fressia.d.v@gmail.com")</f>
        <v>fressia.d.v@gmail.com</v>
      </c>
      <c r="AM624" s="1" t="str">
        <f>IFERROR(__xludf.DUMMYFUNCTION("""COMPUTED_VALUE"""),"FEMENINO")</f>
        <v>FEMENINO</v>
      </c>
      <c r="AN624" s="1">
        <f>IFERROR(__xludf.DUMMYFUNCTION("""COMPUTED_VALUE"""),1350.0)</f>
        <v>1350</v>
      </c>
      <c r="AO624" s="1">
        <f>IFERROR(__xludf.DUMMYFUNCTION("""COMPUTED_VALUE"""),0.0)</f>
        <v>0</v>
      </c>
      <c r="AP624" s="1" t="str">
        <f>IFERROR(__xludf.DUMMYFUNCTION("""COMPUTED_VALUE"""),"OUTBOUND")</f>
        <v>OUTBOUND</v>
      </c>
      <c r="AQ624" s="1" t="str">
        <f>IFERROR(__xludf.DUMMYFUNCTION("""COMPUTED_VALUE"""),"OUTBOUND")</f>
        <v>OUTBOUND</v>
      </c>
      <c r="AR624" s="1" t="str">
        <f>IFERROR(__xludf.DUMMYFUNCTION("""COMPUTED_VALUE"""),"HEREDADO")</f>
        <v>HEREDADO</v>
      </c>
      <c r="AS624" s="1"/>
      <c r="AT624" s="2">
        <f>IFERROR(__xludf.DUMMYFUNCTION("""COMPUTED_VALUE"""),45741.0)</f>
        <v>45741</v>
      </c>
      <c r="AU624" s="1">
        <f>IFERROR(__xludf.DUMMYFUNCTION("""COMPUTED_VALUE"""),1.0)</f>
        <v>1</v>
      </c>
      <c r="AV624" s="1" t="str">
        <f>IFERROR(__xludf.DUMMYFUNCTION("""COMPUTED_VALUE"""),"TRASLADO")</f>
        <v>TRASLADO</v>
      </c>
      <c r="AW624" s="1" t="str">
        <f>IFERROR(__xludf.DUMMYFUNCTION("""COMPUTED_VALUE"""),"SI")</f>
        <v>SI</v>
      </c>
      <c r="AX624" s="1"/>
      <c r="AY624" s="1" t="str">
        <f>IFERROR(__xludf.DUMMYFUNCTION("""COMPUTED_VALUE"""),"PAGO COMPLETO")</f>
        <v>PAGO COMPLETO</v>
      </c>
      <c r="AZ624" s="5">
        <f>IFERROR(__xludf.DUMMYFUNCTION("""COMPUTED_VALUE"""),45741.0)</f>
        <v>45741</v>
      </c>
      <c r="BA624" s="1">
        <f>IFERROR(__xludf.DUMMYFUNCTION("""COMPUTED_VALUE"""),0.0)</f>
        <v>0</v>
      </c>
      <c r="BB624" s="1">
        <f>IFERROR(__xludf.DUMMYFUNCTION("""COMPUTED_VALUE"""),0.0)</f>
        <v>0</v>
      </c>
      <c r="BC624" s="4">
        <f>IFERROR(__xludf.DUMMYFUNCTION("""COMPUTED_VALUE"""),0.0)</f>
        <v>0</v>
      </c>
      <c r="BD624" s="4">
        <f>IFERROR(__xludf.DUMMYFUNCTION("""COMPUTED_VALUE"""),1050.0)</f>
        <v>1050</v>
      </c>
      <c r="BE624" s="1">
        <f>IFERROR(__xludf.DUMMYFUNCTION("""COMPUTED_VALUE"""),3.0)</f>
        <v>3</v>
      </c>
      <c r="BF624" s="6">
        <f>IFERROR(__xludf.DUMMYFUNCTION("""COMPUTED_VALUE"""),1.0)</f>
        <v>1</v>
      </c>
      <c r="BG624" s="1"/>
      <c r="BH624" s="1" t="str">
        <f>IFERROR(__xludf.DUMMYFUNCTION("""COMPUTED_VALUE"""),"1")</f>
        <v>1</v>
      </c>
      <c r="BI624" s="4">
        <f>IFERROR(__xludf.DUMMYFUNCTION("""COMPUTED_VALUE"""),1050.0)</f>
        <v>1050</v>
      </c>
      <c r="BJ624" s="1">
        <f>IFERROR(__xludf.DUMMYFUNCTION("""COMPUTED_VALUE"""),0.0)</f>
        <v>0</v>
      </c>
      <c r="BK624" s="4">
        <f>IFERROR(__xludf.DUMMYFUNCTION("""COMPUTED_VALUE"""),1575.0)</f>
        <v>1575</v>
      </c>
      <c r="BL624" s="1">
        <f>IFERROR(__xludf.DUMMYFUNCTION("""COMPUTED_VALUE"""),735.0)</f>
        <v>735</v>
      </c>
      <c r="BM624" s="1" t="str">
        <f>IFERROR(__xludf.DUMMYFUNCTION("""COMPUTED_VALUE"""),"#REF!")</f>
        <v>#REF!</v>
      </c>
      <c r="BN624" s="1" t="str">
        <f>IFERROR(__xludf.DUMMYFUNCTION("""COMPUTED_VALUE"""),"#REF!")</f>
        <v>#REF!</v>
      </c>
      <c r="BO624" s="1" t="str">
        <f>IFERROR(__xludf.DUMMYFUNCTION("""COMPUTED_VALUE"""),"#REF!")</f>
        <v>#REF!</v>
      </c>
      <c r="BP624" s="1" t="str">
        <f>IFERROR(__xludf.DUMMYFUNCTION("""COMPUTED_VALUE"""),"#REF!")</f>
        <v>#REF!</v>
      </c>
    </row>
    <row r="625">
      <c r="A625" s="1">
        <f>IFERROR(__xludf.DUMMYFUNCTION("""COMPUTED_VALUE"""),624.0)</f>
        <v>624</v>
      </c>
      <c r="B625" s="1">
        <f>IFERROR(__xludf.DUMMYFUNCTION("""COMPUTED_VALUE"""),1832514.0)</f>
        <v>1832514</v>
      </c>
      <c r="C625" s="1" t="str">
        <f>IFERROR(__xludf.DUMMYFUNCTION("""COMPUTED_VALUE"""),"2025-1")</f>
        <v>2025-1</v>
      </c>
      <c r="D625" s="1" t="str">
        <f>IFERROR(__xludf.DUMMYFUNCTION("""COMPUTED_VALUE"""),"Admisión Ordinaria")</f>
        <v>Admisión Ordinaria</v>
      </c>
      <c r="E625" s="2">
        <f>IFERROR(__xludf.DUMMYFUNCTION("""COMPUTED_VALUE"""),45741.0)</f>
        <v>45741</v>
      </c>
      <c r="F625" s="1" t="str">
        <f>IFERROR(__xludf.DUMMYFUNCTION("""COMPUTED_VALUE"""),"JUAN ")</f>
        <v>JUAN </v>
      </c>
      <c r="G625" s="1" t="str">
        <f>IFERROR(__xludf.DUMMYFUNCTION("""COMPUTED_VALUE"""),"HINOSTROZA CERRON")</f>
        <v>HINOSTROZA CERRON</v>
      </c>
      <c r="H625" s="1" t="str">
        <f>IFERROR(__xludf.DUMMYFUNCTION("""COMPUTED_VALUE"""),"Administración y Negocios Internacionales")</f>
        <v>Administración y Negocios Internacionales</v>
      </c>
      <c r="I625" s="1" t="str">
        <f>IFERROR(__xludf.DUMMYFUNCTION("""COMPUTED_VALUE"""),"CARGO")</f>
        <v>CARGO</v>
      </c>
      <c r="J625" s="1" t="str">
        <f>IFERROR(__xludf.DUMMYFUNCTION("""COMPUTED_VALUE"""),"Diurno")</f>
        <v>Diurno</v>
      </c>
      <c r="K625" s="1" t="str">
        <f>IFERROR(__xludf.DUMMYFUNCTION("""COMPUTED_VALUE"""),"NUEVO")</f>
        <v>NUEVO</v>
      </c>
      <c r="L625" s="1">
        <f>IFERROR(__xludf.DUMMYFUNCTION("""COMPUTED_VALUE"""),0.0)</f>
        <v>0</v>
      </c>
      <c r="M625" s="1">
        <f>IFERROR(__xludf.DUMMYFUNCTION("""COMPUTED_VALUE"""),0.0)</f>
        <v>0</v>
      </c>
      <c r="N625" s="1" t="str">
        <f>IFERROR(__xludf.DUMMYFUNCTION("""COMPUTED_VALUE"""),"RECA-BECA")</f>
        <v>RECA-BECA</v>
      </c>
      <c r="O625" s="1" t="str">
        <f>IFERROR(__xludf.DUMMYFUNCTION("""COMPUTED_VALUE"""),"BECA RECUPERO")</f>
        <v>BECA RECUPERO</v>
      </c>
      <c r="P625" s="4">
        <f>IFERROR(__xludf.DUMMYFUNCTION("""COMPUTED_VALUE"""),0.0)</f>
        <v>0</v>
      </c>
      <c r="Q625" s="4">
        <f>IFERROR(__xludf.DUMMYFUNCTION("""COMPUTED_VALUE"""),0.0)</f>
        <v>0</v>
      </c>
      <c r="R625" s="4">
        <f>IFERROR(__xludf.DUMMYFUNCTION("""COMPUTED_VALUE"""),950.0)</f>
        <v>950</v>
      </c>
      <c r="S625" s="4">
        <f>IFERROR(__xludf.DUMMYFUNCTION("""COMPUTED_VALUE"""),800.0)</f>
        <v>800</v>
      </c>
      <c r="T625" s="1" t="str">
        <f>IFERROR(__xludf.DUMMYFUNCTION("""COMPUTED_VALUE"""),"Ninguno")</f>
        <v>Ninguno</v>
      </c>
      <c r="U625" s="1" t="str">
        <f>IFERROR(__xludf.DUMMYFUNCTION("""COMPUTED_VALUE"""),"RODRIGO")</f>
        <v>RODRIGO</v>
      </c>
      <c r="V625" s="1" t="str">
        <f>IFERROR(__xludf.DUMMYFUNCTION("""COMPUTED_VALUE"""),"Ninguno")</f>
        <v>Ninguno</v>
      </c>
      <c r="W625" s="1" t="str">
        <f>IFERROR(__xludf.DUMMYFUNCTION("""COMPUTED_VALUE"""),"Metodología de enseñanza")</f>
        <v>Metodología de enseñanza</v>
      </c>
      <c r="X625" s="1" t="str">
        <f>IFERROR(__xludf.DUMMYFUNCTION("""COMPUTED_VALUE"""),"metodologia")</f>
        <v>metodologia</v>
      </c>
      <c r="Y625" s="1" t="str">
        <f>IFERROR(__xludf.DUMMYFUNCTION("""COMPUTED_VALUE"""),"PAGO COMPLETO")</f>
        <v>PAGO COMPLETO</v>
      </c>
      <c r="Z625" s="1"/>
      <c r="AA625" s="1"/>
      <c r="AB625" s="1">
        <f>IFERROR(__xludf.DUMMYFUNCTION("""COMPUTED_VALUE"""),0.0)</f>
        <v>0</v>
      </c>
      <c r="AC625" s="1">
        <f>IFERROR(__xludf.DUMMYFUNCTION("""COMPUTED_VALUE"""),0.0)</f>
        <v>0</v>
      </c>
      <c r="AD625" s="1" t="str">
        <f>IFERROR(__xludf.DUMMYFUNCTION("""COMPUTED_VALUE"""),"Cinthia Mariella Orosco")</f>
        <v>Cinthia Mariella Orosco</v>
      </c>
      <c r="AE625" s="1" t="str">
        <f>IFERROR(__xludf.DUMMYFUNCTION("""COMPUTED_VALUE"""),"0")</f>
        <v>0</v>
      </c>
      <c r="AF625" s="1">
        <f>IFERROR(__xludf.DUMMYFUNCTION("""COMPUTED_VALUE"""),2022.0)</f>
        <v>2022</v>
      </c>
      <c r="AG625" s="1">
        <f>IFERROR(__xludf.DUMMYFUNCTION("""COMPUTED_VALUE"""),1398148.0)</f>
        <v>1398148</v>
      </c>
      <c r="AH625" s="1">
        <f>IFERROR(__xludf.DUMMYFUNCTION("""COMPUTED_VALUE"""),20.0)</f>
        <v>20</v>
      </c>
      <c r="AI625" s="1" t="str">
        <f>IFERROR(__xludf.DUMMYFUNCTION("""COMPUTED_VALUE"""),"0000413064")</f>
        <v>0000413064</v>
      </c>
      <c r="AJ625" s="1">
        <f>IFERROR(__xludf.DUMMYFUNCTION("""COMPUTED_VALUE"""),7.5804022E7)</f>
        <v>75804022</v>
      </c>
      <c r="AK625" s="1">
        <f>IFERROR(__xludf.DUMMYFUNCTION("""COMPUTED_VALUE"""),9.32409711E8)</f>
        <v>932409711</v>
      </c>
      <c r="AL625" s="1" t="str">
        <f>IFERROR(__xludf.DUMMYFUNCTION("""COMPUTED_VALUE"""),"juanhinostrozacerron@gmail.com")</f>
        <v>juanhinostrozacerron@gmail.com</v>
      </c>
      <c r="AM625" s="1" t="str">
        <f>IFERROR(__xludf.DUMMYFUNCTION("""COMPUTED_VALUE"""),"MASCULINO")</f>
        <v>MASCULINO</v>
      </c>
      <c r="AN625" s="1">
        <f>IFERROR(__xludf.DUMMYFUNCTION("""COMPUTED_VALUE"""),1350.0)</f>
        <v>1350</v>
      </c>
      <c r="AO625" s="1">
        <f>IFERROR(__xludf.DUMMYFUNCTION("""COMPUTED_VALUE"""),0.0)</f>
        <v>0</v>
      </c>
      <c r="AP625" s="1" t="str">
        <f>IFERROR(__xludf.DUMMYFUNCTION("""COMPUTED_VALUE"""),"OUTBOUND")</f>
        <v>OUTBOUND</v>
      </c>
      <c r="AQ625" s="1" t="str">
        <f>IFERROR(__xludf.DUMMYFUNCTION("""COMPUTED_VALUE"""),"OUTBOUND")</f>
        <v>OUTBOUND</v>
      </c>
      <c r="AR625" s="1" t="str">
        <f>IFERROR(__xludf.DUMMYFUNCTION("""COMPUTED_VALUE"""),"HEREDADO")</f>
        <v>HEREDADO</v>
      </c>
      <c r="AS625" s="1"/>
      <c r="AT625" s="2">
        <f>IFERROR(__xludf.DUMMYFUNCTION("""COMPUTED_VALUE"""),45741.0)</f>
        <v>45741</v>
      </c>
      <c r="AU625" s="1">
        <f>IFERROR(__xludf.DUMMYFUNCTION("""COMPUTED_VALUE"""),1.0)</f>
        <v>1</v>
      </c>
      <c r="AV625" s="1" t="str">
        <f>IFERROR(__xludf.DUMMYFUNCTION("""COMPUTED_VALUE"""),"NUEVO")</f>
        <v>NUEVO</v>
      </c>
      <c r="AW625" s="1" t="str">
        <f>IFERROR(__xludf.DUMMYFUNCTION("""COMPUTED_VALUE"""),"SI")</f>
        <v>SI</v>
      </c>
      <c r="AX625" s="1"/>
      <c r="AY625" s="1" t="str">
        <f>IFERROR(__xludf.DUMMYFUNCTION("""COMPUTED_VALUE"""),"PAGO COMPLETO")</f>
        <v>PAGO COMPLETO</v>
      </c>
      <c r="AZ625" s="5">
        <f>IFERROR(__xludf.DUMMYFUNCTION("""COMPUTED_VALUE"""),45741.0)</f>
        <v>45741</v>
      </c>
      <c r="BA625" s="1">
        <f>IFERROR(__xludf.DUMMYFUNCTION("""COMPUTED_VALUE"""),0.0)</f>
        <v>0</v>
      </c>
      <c r="BB625" s="1">
        <f>IFERROR(__xludf.DUMMYFUNCTION("""COMPUTED_VALUE"""),0.0)</f>
        <v>0</v>
      </c>
      <c r="BC625" s="4">
        <f>IFERROR(__xludf.DUMMYFUNCTION("""COMPUTED_VALUE"""),0.0)</f>
        <v>0</v>
      </c>
      <c r="BD625" s="4">
        <f>IFERROR(__xludf.DUMMYFUNCTION("""COMPUTED_VALUE"""),0.0)</f>
        <v>0</v>
      </c>
      <c r="BE625" s="1">
        <f>IFERROR(__xludf.DUMMYFUNCTION("""COMPUTED_VALUE"""),3.0)</f>
        <v>3</v>
      </c>
      <c r="BF625" s="6">
        <f>IFERROR(__xludf.DUMMYFUNCTION("""COMPUTED_VALUE"""),1.0)</f>
        <v>1</v>
      </c>
      <c r="BG625" s="1">
        <f>IFERROR(__xludf.DUMMYFUNCTION("""COMPUTED_VALUE"""),1.0)</f>
        <v>1</v>
      </c>
      <c r="BH625" s="1" t="str">
        <f>IFERROR(__xludf.DUMMYFUNCTION("""COMPUTED_VALUE"""),"0")</f>
        <v>0</v>
      </c>
      <c r="BI625" s="4">
        <f>IFERROR(__xludf.DUMMYFUNCTION("""COMPUTED_VALUE"""),0.0)</f>
        <v>0</v>
      </c>
      <c r="BJ625" s="1">
        <f>IFERROR(__xludf.DUMMYFUNCTION("""COMPUTED_VALUE"""),0.0)</f>
        <v>0</v>
      </c>
      <c r="BK625" s="4">
        <f>IFERROR(__xludf.DUMMYFUNCTION("""COMPUTED_VALUE"""),0.0)</f>
        <v>0</v>
      </c>
      <c r="BL625" s="1">
        <f>IFERROR(__xludf.DUMMYFUNCTION("""COMPUTED_VALUE"""),800.0)</f>
        <v>800</v>
      </c>
      <c r="BM625" s="1">
        <f>IFERROR(__xludf.DUMMYFUNCTION("""COMPUTED_VALUE"""),13.0)</f>
        <v>13</v>
      </c>
      <c r="BN625" s="2">
        <f>IFERROR(__xludf.DUMMYFUNCTION("""COMPUTED_VALUE"""),45740.0)</f>
        <v>45740</v>
      </c>
      <c r="BO625" s="1">
        <f>IFERROR(__xludf.DUMMYFUNCTION("""COMPUTED_VALUE"""),3.0)</f>
        <v>3</v>
      </c>
      <c r="BP625" s="1">
        <f>IFERROR(__xludf.DUMMYFUNCTION("""COMPUTED_VALUE"""),2025.0)</f>
        <v>2025</v>
      </c>
    </row>
    <row r="626">
      <c r="A626" s="1">
        <f>IFERROR(__xludf.DUMMYFUNCTION("""COMPUTED_VALUE"""),625.0)</f>
        <v>625</v>
      </c>
      <c r="B626" s="1">
        <f>IFERROR(__xludf.DUMMYFUNCTION("""COMPUTED_VALUE"""),664037.0)</f>
        <v>664037</v>
      </c>
      <c r="C626" s="1" t="str">
        <f>IFERROR(__xludf.DUMMYFUNCTION("""COMPUTED_VALUE"""),"2025-1")</f>
        <v>2025-1</v>
      </c>
      <c r="D626" s="1" t="str">
        <f>IFERROR(__xludf.DUMMYFUNCTION("""COMPUTED_VALUE"""),"Admisión Ordinaria")</f>
        <v>Admisión Ordinaria</v>
      </c>
      <c r="E626" s="2">
        <f>IFERROR(__xludf.DUMMYFUNCTION("""COMPUTED_VALUE"""),45741.0)</f>
        <v>45741</v>
      </c>
      <c r="F626" s="1" t="str">
        <f>IFERROR(__xludf.DUMMYFUNCTION("""COMPUTED_VALUE"""),"STEFANIA GRACIEL ")</f>
        <v>STEFANIA GRACIEL </v>
      </c>
      <c r="G626" s="1" t="str">
        <f>IFERROR(__xludf.DUMMYFUNCTION("""COMPUTED_VALUE"""),"CAMPOS VALLEJO")</f>
        <v>CAMPOS VALLEJO</v>
      </c>
      <c r="H626" s="1" t="str">
        <f>IFERROR(__xludf.DUMMYFUNCTION("""COMPUTED_VALUE"""),"Arquitectura de Interiores")</f>
        <v>Arquitectura de Interiores</v>
      </c>
      <c r="I626" s="1" t="str">
        <f>IFERROR(__xludf.DUMMYFUNCTION("""COMPUTED_VALUE"""),"CARGO")</f>
        <v>CARGO</v>
      </c>
      <c r="J626" s="1" t="str">
        <f>IFERROR(__xludf.DUMMYFUNCTION("""COMPUTED_VALUE"""),"Diurno")</f>
        <v>Diurno</v>
      </c>
      <c r="K626" s="1" t="str">
        <f>IFERROR(__xludf.DUMMYFUNCTION("""COMPUTED_VALUE"""),"NUEVO")</f>
        <v>NUEVO</v>
      </c>
      <c r="L626" s="1">
        <f>IFERROR(__xludf.DUMMYFUNCTION("""COMPUTED_VALUE"""),0.0)</f>
        <v>0</v>
      </c>
      <c r="M626" s="1">
        <f>IFERROR(__xludf.DUMMYFUNCTION("""COMPUTED_VALUE"""),0.0)</f>
        <v>0</v>
      </c>
      <c r="N626" s="1" t="str">
        <f>IFERROR(__xludf.DUMMYFUNCTION("""COMPUTED_VALUE"""),"BECA")</f>
        <v>BECA</v>
      </c>
      <c r="O626" s="1" t="str">
        <f>IFERROR(__xludf.DUMMYFUNCTION("""COMPUTED_VALUE"""),"BECA RECUPERO")</f>
        <v>BECA RECUPERO</v>
      </c>
      <c r="P626" s="4">
        <f>IFERROR(__xludf.DUMMYFUNCTION("""COMPUTED_VALUE"""),0.0)</f>
        <v>0</v>
      </c>
      <c r="Q626" s="4">
        <f>IFERROR(__xludf.DUMMYFUNCTION("""COMPUTED_VALUE"""),0.0)</f>
        <v>0</v>
      </c>
      <c r="R626" s="4">
        <f>IFERROR(__xludf.DUMMYFUNCTION("""COMPUTED_VALUE"""),950.0)</f>
        <v>950</v>
      </c>
      <c r="S626" s="4">
        <f>IFERROR(__xludf.DUMMYFUNCTION("""COMPUTED_VALUE"""),800.0)</f>
        <v>800</v>
      </c>
      <c r="T626" s="1" t="str">
        <f>IFERROR(__xludf.DUMMYFUNCTION("""COMPUTED_VALUE"""),"Referido")</f>
        <v>Referido</v>
      </c>
      <c r="U626" s="1" t="str">
        <f>IFERROR(__xludf.DUMMYFUNCTION("""COMPUTED_VALUE"""),"RODRIGO")</f>
        <v>RODRIGO</v>
      </c>
      <c r="V626" s="1" t="str">
        <f>IFERROR(__xludf.DUMMYFUNCTION("""COMPUTED_VALUE"""),"Ninguno")</f>
        <v>Ninguno</v>
      </c>
      <c r="W626" s="1" t="str">
        <f>IFERROR(__xludf.DUMMYFUNCTION("""COMPUTED_VALUE"""),"Beca")</f>
        <v>Beca</v>
      </c>
      <c r="X626" s="1" t="str">
        <f>IFERROR(__xludf.DUMMYFUNCTION("""COMPUTED_VALUE"""),"FUE REFERIDA POR  MARIO RAUL MERGOZA BRAVO id 4814550        ")</f>
        <v>FUE REFERIDA POR  MARIO RAUL MERGOZA BRAVO id 4814550        </v>
      </c>
      <c r="Y626" s="1" t="str">
        <f>IFERROR(__xludf.DUMMYFUNCTION("""COMPUTED_VALUE"""),"PAGO COMPLETO")</f>
        <v>PAGO COMPLETO</v>
      </c>
      <c r="Z626" s="1"/>
      <c r="AA626" s="1"/>
      <c r="AB626" s="1">
        <f>IFERROR(__xludf.DUMMYFUNCTION("""COMPUTED_VALUE"""),0.0)</f>
        <v>0</v>
      </c>
      <c r="AC626" s="1">
        <f>IFERROR(__xludf.DUMMYFUNCTION("""COMPUTED_VALUE"""),0.0)</f>
        <v>0</v>
      </c>
      <c r="AD626" s="1" t="str">
        <f>IFERROR(__xludf.DUMMYFUNCTION("""COMPUTED_VALUE"""),"Rosa Ugarte")</f>
        <v>Rosa Ugarte</v>
      </c>
      <c r="AE626" s="1" t="str">
        <f>IFERROR(__xludf.DUMMYFUNCTION("""COMPUTED_VALUE"""),"0")</f>
        <v>0</v>
      </c>
      <c r="AF626" s="1">
        <f>IFERROR(__xludf.DUMMYFUNCTION("""COMPUTED_VALUE"""),2010.0)</f>
        <v>2010</v>
      </c>
      <c r="AG626" s="1">
        <f>IFERROR(__xludf.DUMMYFUNCTION("""COMPUTED_VALUE"""),583591.0)</f>
        <v>583591</v>
      </c>
      <c r="AH626" s="1">
        <f>IFERROR(__xludf.DUMMYFUNCTION("""COMPUTED_VALUE"""),32.0)</f>
        <v>32</v>
      </c>
      <c r="AI626" s="1" t="str">
        <f>IFERROR(__xludf.DUMMYFUNCTION("""COMPUTED_VALUE"""),"0000421279")</f>
        <v>0000421279</v>
      </c>
      <c r="AJ626" s="1">
        <f>IFERROR(__xludf.DUMMYFUNCTION("""COMPUTED_VALUE"""),4.7618484E7)</f>
        <v>47618484</v>
      </c>
      <c r="AK626" s="1">
        <f>IFERROR(__xludf.DUMMYFUNCTION("""COMPUTED_VALUE"""),9.49264081E8)</f>
        <v>949264081</v>
      </c>
      <c r="AL626" s="1" t="str">
        <f>IFERROR(__xludf.DUMMYFUNCTION("""COMPUTED_VALUE"""),"stefania_2006@hotmail.com")</f>
        <v>stefania_2006@hotmail.com</v>
      </c>
      <c r="AM626" s="1" t="str">
        <f>IFERROR(__xludf.DUMMYFUNCTION("""COMPUTED_VALUE"""),"FEMENINO")</f>
        <v>FEMENINO</v>
      </c>
      <c r="AN626" s="1">
        <f>IFERROR(__xludf.DUMMYFUNCTION("""COMPUTED_VALUE"""),1350.0)</f>
        <v>1350</v>
      </c>
      <c r="AO626" s="1">
        <f>IFERROR(__xludf.DUMMYFUNCTION("""COMPUTED_VALUE"""),0.0)</f>
        <v>0</v>
      </c>
      <c r="AP626" s="1" t="str">
        <f>IFERROR(__xludf.DUMMYFUNCTION("""COMPUTED_VALUE"""),"BIDIRECCIONAL")</f>
        <v>BIDIRECCIONAL</v>
      </c>
      <c r="AQ626" s="1" t="str">
        <f>IFERROR(__xludf.DUMMYFUNCTION("""COMPUTED_VALUE"""),"ORGANICO")</f>
        <v>ORGANICO</v>
      </c>
      <c r="AR626" s="1" t="str">
        <f>IFERROR(__xludf.DUMMYFUNCTION("""COMPUTED_VALUE"""),"NUEVO")</f>
        <v>NUEVO</v>
      </c>
      <c r="AS626" s="1"/>
      <c r="AT626" s="2">
        <f>IFERROR(__xludf.DUMMYFUNCTION("""COMPUTED_VALUE"""),45737.0)</f>
        <v>45737</v>
      </c>
      <c r="AU626" s="1">
        <f>IFERROR(__xludf.DUMMYFUNCTION("""COMPUTED_VALUE"""),1.0)</f>
        <v>1</v>
      </c>
      <c r="AV626" s="1" t="str">
        <f>IFERROR(__xludf.DUMMYFUNCTION("""COMPUTED_VALUE"""),"NUEVO")</f>
        <v>NUEVO</v>
      </c>
      <c r="AW626" s="1" t="str">
        <f>IFERROR(__xludf.DUMMYFUNCTION("""COMPUTED_VALUE"""),"SI")</f>
        <v>SI</v>
      </c>
      <c r="AX626" s="1"/>
      <c r="AY626" s="1" t="str">
        <f>IFERROR(__xludf.DUMMYFUNCTION("""COMPUTED_VALUE"""),"PAGO COMPLETO")</f>
        <v>PAGO COMPLETO</v>
      </c>
      <c r="AZ626" s="5">
        <f>IFERROR(__xludf.DUMMYFUNCTION("""COMPUTED_VALUE"""),45741.0)</f>
        <v>45741</v>
      </c>
      <c r="BA626" s="1">
        <f>IFERROR(__xludf.DUMMYFUNCTION("""COMPUTED_VALUE"""),0.0)</f>
        <v>0</v>
      </c>
      <c r="BB626" s="1">
        <f>IFERROR(__xludf.DUMMYFUNCTION("""COMPUTED_VALUE"""),0.0)</f>
        <v>0</v>
      </c>
      <c r="BC626" s="4">
        <f>IFERROR(__xludf.DUMMYFUNCTION("""COMPUTED_VALUE"""),0.0)</f>
        <v>0</v>
      </c>
      <c r="BD626" s="4">
        <f>IFERROR(__xludf.DUMMYFUNCTION("""COMPUTED_VALUE"""),0.0)</f>
        <v>0</v>
      </c>
      <c r="BE626" s="1">
        <f>IFERROR(__xludf.DUMMYFUNCTION("""COMPUTED_VALUE"""),3.0)</f>
        <v>3</v>
      </c>
      <c r="BF626" s="6">
        <f>IFERROR(__xludf.DUMMYFUNCTION("""COMPUTED_VALUE"""),1.0)</f>
        <v>1</v>
      </c>
      <c r="BG626" s="1">
        <f>IFERROR(__xludf.DUMMYFUNCTION("""COMPUTED_VALUE"""),1.0)</f>
        <v>1</v>
      </c>
      <c r="BH626" s="1" t="str">
        <f>IFERROR(__xludf.DUMMYFUNCTION("""COMPUTED_VALUE"""),"0")</f>
        <v>0</v>
      </c>
      <c r="BI626" s="4">
        <f>IFERROR(__xludf.DUMMYFUNCTION("""COMPUTED_VALUE"""),0.0)</f>
        <v>0</v>
      </c>
      <c r="BJ626" s="1">
        <f>IFERROR(__xludf.DUMMYFUNCTION("""COMPUTED_VALUE"""),0.0)</f>
        <v>0</v>
      </c>
      <c r="BK626" s="4">
        <f>IFERROR(__xludf.DUMMYFUNCTION("""COMPUTED_VALUE"""),400.0)</f>
        <v>400</v>
      </c>
      <c r="BL626" s="1">
        <f>IFERROR(__xludf.DUMMYFUNCTION("""COMPUTED_VALUE"""),720.0)</f>
        <v>720</v>
      </c>
      <c r="BM626" s="1">
        <f>IFERROR(__xludf.DUMMYFUNCTION("""COMPUTED_VALUE"""),13.0)</f>
        <v>13</v>
      </c>
      <c r="BN626" s="2">
        <f>IFERROR(__xludf.DUMMYFUNCTION("""COMPUTED_VALUE"""),45740.0)</f>
        <v>45740</v>
      </c>
      <c r="BO626" s="1">
        <f>IFERROR(__xludf.DUMMYFUNCTION("""COMPUTED_VALUE"""),3.0)</f>
        <v>3</v>
      </c>
      <c r="BP626" s="1">
        <f>IFERROR(__xludf.DUMMYFUNCTION("""COMPUTED_VALUE"""),2025.0)</f>
        <v>2025</v>
      </c>
    </row>
    <row r="627">
      <c r="A627" s="1">
        <f>IFERROR(__xludf.DUMMYFUNCTION("""COMPUTED_VALUE"""),626.0)</f>
        <v>626</v>
      </c>
      <c r="B627" s="1">
        <f>IFERROR(__xludf.DUMMYFUNCTION("""COMPUTED_VALUE"""),5106110.0)</f>
        <v>5106110</v>
      </c>
      <c r="C627" s="1" t="str">
        <f>IFERROR(__xludf.DUMMYFUNCTION("""COMPUTED_VALUE"""),"2025-1")</f>
        <v>2025-1</v>
      </c>
      <c r="D627" s="1" t="str">
        <f>IFERROR(__xludf.DUMMYFUNCTION("""COMPUTED_VALUE"""),"Admisión de Alto Rendimiento")</f>
        <v>Admisión de Alto Rendimiento</v>
      </c>
      <c r="E627" s="2">
        <f>IFERROR(__xludf.DUMMYFUNCTION("""COMPUTED_VALUE"""),45742.0)</f>
        <v>45742</v>
      </c>
      <c r="F627" s="1" t="str">
        <f>IFERROR(__xludf.DUMMYFUNCTION("""COMPUTED_VALUE"""),"JOSEP MARIA ")</f>
        <v>JOSEP MARIA </v>
      </c>
      <c r="G627" s="1" t="str">
        <f>IFERROR(__xludf.DUMMYFUNCTION("""COMPUTED_VALUE"""),"ARRESE FARJE")</f>
        <v>ARRESE FARJE</v>
      </c>
      <c r="H627" s="1" t="str">
        <f>IFERROR(__xludf.DUMMYFUNCTION("""COMPUTED_VALUE"""),"Arquitectura de Interiores")</f>
        <v>Arquitectura de Interiores</v>
      </c>
      <c r="I627" s="1" t="str">
        <f>IFERROR(__xludf.DUMMYFUNCTION("""COMPUTED_VALUE"""),"POS")</f>
        <v>POS</v>
      </c>
      <c r="J627" s="1" t="str">
        <f>IFERROR(__xludf.DUMMYFUNCTION("""COMPUTED_VALUE"""),"Diurno")</f>
        <v>Diurno</v>
      </c>
      <c r="K627" s="1" t="str">
        <f>IFERROR(__xludf.DUMMYFUNCTION("""COMPUTED_VALUE"""),"NUEVO")</f>
        <v>NUEVO</v>
      </c>
      <c r="L627" s="1">
        <f>IFERROR(__xludf.DUMMYFUNCTION("""COMPUTED_VALUE"""),0.0)</f>
        <v>0</v>
      </c>
      <c r="M627" s="1">
        <f>IFERROR(__xludf.DUMMYFUNCTION("""COMPUTED_VALUE"""),0.0)</f>
        <v>0</v>
      </c>
      <c r="N627" s="1" t="str">
        <f>IFERROR(__xludf.DUMMYFUNCTION("""COMPUTED_VALUE"""),"BECA")</f>
        <v>BECA</v>
      </c>
      <c r="O627" s="1" t="str">
        <f>IFERROR(__xludf.DUMMYFUNCTION("""COMPUTED_VALUE"""),"BECA CARRERAS CORE")</f>
        <v>BECA CARRERAS CORE</v>
      </c>
      <c r="P627" s="4">
        <f>IFERROR(__xludf.DUMMYFUNCTION("""COMPUTED_VALUE"""),100.0)</f>
        <v>100</v>
      </c>
      <c r="Q627" s="4">
        <f>IFERROR(__xludf.DUMMYFUNCTION("""COMPUTED_VALUE"""),237.5)</f>
        <v>237.5</v>
      </c>
      <c r="R627" s="4">
        <f>IFERROR(__xludf.DUMMYFUNCTION("""COMPUTED_VALUE"""),1500.0)</f>
        <v>1500</v>
      </c>
      <c r="S627" s="4">
        <f>IFERROR(__xludf.DUMMYFUNCTION("""COMPUTED_VALUE"""),1300.0)</f>
        <v>1300</v>
      </c>
      <c r="T627" s="1" t="str">
        <f>IFERROR(__xludf.DUMMYFUNCTION("""COMPUTED_VALUE"""),"PALANCA 500")</f>
        <v>PALANCA 500</v>
      </c>
      <c r="U627" s="1"/>
      <c r="V627" s="1" t="str">
        <f>IFERROR(__xludf.DUMMYFUNCTION("""COMPUTED_VALUE"""),"Ninguno")</f>
        <v>Ninguno</v>
      </c>
      <c r="W627" s="1" t="str">
        <f>IFERROR(__xludf.DUMMYFUNCTION("""COMPUTED_VALUE"""),"Beca")</f>
        <v>Beca</v>
      </c>
      <c r="X627" s="1" t="str">
        <f>IFERROR(__xludf.DUMMYFUNCTION("""COMPUTED_VALUE"""),"LE GUSTA LA UNIVERSIDAD")</f>
        <v>LE GUSTA LA UNIVERSIDAD</v>
      </c>
      <c r="Y627" s="1" t="str">
        <f>IFERROR(__xludf.DUMMYFUNCTION("""COMPUTED_VALUE"""),"PAGO COMPLETO")</f>
        <v>PAGO COMPLETO</v>
      </c>
      <c r="Z627" s="1"/>
      <c r="AA627" s="1"/>
      <c r="AB627" s="1">
        <f>IFERROR(__xludf.DUMMYFUNCTION("""COMPUTED_VALUE"""),0.0)</f>
        <v>0</v>
      </c>
      <c r="AC627" s="1">
        <f>IFERROR(__xludf.DUMMYFUNCTION("""COMPUTED_VALUE"""),0.0)</f>
        <v>0</v>
      </c>
      <c r="AD627" s="1" t="str">
        <f>IFERROR(__xludf.DUMMYFUNCTION("""COMPUTED_VALUE"""),"Daniel Zapata")</f>
        <v>Daniel Zapata</v>
      </c>
      <c r="AE627" s="1" t="str">
        <f>IFERROR(__xludf.DUMMYFUNCTION("""COMPUTED_VALUE"""),"0")</f>
        <v>0</v>
      </c>
      <c r="AF627" s="1">
        <f>IFERROR(__xludf.DUMMYFUNCTION("""COMPUTED_VALUE"""),2024.0)</f>
        <v>2024</v>
      </c>
      <c r="AG627" s="1">
        <f>IFERROR(__xludf.DUMMYFUNCTION("""COMPUTED_VALUE"""),1525146.0)</f>
        <v>1525146</v>
      </c>
      <c r="AH627" s="1">
        <f>IFERROR(__xludf.DUMMYFUNCTION("""COMPUTED_VALUE"""),22.0)</f>
        <v>22</v>
      </c>
      <c r="AI627" s="1" t="str">
        <f>IFERROR(__xludf.DUMMYFUNCTION("""COMPUTED_VALUE"""),"0000421336")</f>
        <v>0000421336</v>
      </c>
      <c r="AJ627" s="1">
        <f>IFERROR(__xludf.DUMMYFUNCTION("""COMPUTED_VALUE"""),7.1160246E7)</f>
        <v>71160246</v>
      </c>
      <c r="AK627" s="1">
        <f>IFERROR(__xludf.DUMMYFUNCTION("""COMPUTED_VALUE"""),9.36786439E8)</f>
        <v>936786439</v>
      </c>
      <c r="AL627" s="1" t="str">
        <f>IFERROR(__xludf.DUMMYFUNCTION("""COMPUTED_VALUE"""),"Joseparrese28@gmail.com")</f>
        <v>Joseparrese28@gmail.com</v>
      </c>
      <c r="AM627" s="1" t="str">
        <f>IFERROR(__xludf.DUMMYFUNCTION("""COMPUTED_VALUE"""),"MASCULINO")</f>
        <v>MASCULINO</v>
      </c>
      <c r="AN627" s="1">
        <f>IFERROR(__xludf.DUMMYFUNCTION("""COMPUTED_VALUE"""),1775.0)</f>
        <v>1775</v>
      </c>
      <c r="AO627" s="1">
        <f>IFERROR(__xludf.DUMMYFUNCTION("""COMPUTED_VALUE"""),320.0)</f>
        <v>320</v>
      </c>
      <c r="AP627" s="1" t="str">
        <f>IFERROR(__xludf.DUMMYFUNCTION("""COMPUTED_VALUE"""),"INBOUND")</f>
        <v>INBOUND</v>
      </c>
      <c r="AQ627" s="1" t="str">
        <f>IFERROR(__xludf.DUMMYFUNCTION("""COMPUTED_VALUE"""),"INBOUND")</f>
        <v>INBOUND</v>
      </c>
      <c r="AR627" s="1" t="str">
        <f>IFERROR(__xludf.DUMMYFUNCTION("""COMPUTED_VALUE"""),"NUEVO")</f>
        <v>NUEVO</v>
      </c>
      <c r="AS627" s="1"/>
      <c r="AT627" s="2">
        <f>IFERROR(__xludf.DUMMYFUNCTION("""COMPUTED_VALUE"""),45741.0)</f>
        <v>45741</v>
      </c>
      <c r="AU627" s="1">
        <f>IFERROR(__xludf.DUMMYFUNCTION("""COMPUTED_VALUE"""),1.0)</f>
        <v>1</v>
      </c>
      <c r="AV627" s="1" t="str">
        <f>IFERROR(__xludf.DUMMYFUNCTION("""COMPUTED_VALUE"""),"NUEVO")</f>
        <v>NUEVO</v>
      </c>
      <c r="AW627" s="1" t="str">
        <f>IFERROR(__xludf.DUMMYFUNCTION("""COMPUTED_VALUE"""),"SI")</f>
        <v>SI</v>
      </c>
      <c r="AX627" s="1"/>
      <c r="AY627" s="1" t="str">
        <f>IFERROR(__xludf.DUMMYFUNCTION("""COMPUTED_VALUE"""),"PAGO COMPLETO")</f>
        <v>PAGO COMPLETO</v>
      </c>
      <c r="AZ627" s="5">
        <f>IFERROR(__xludf.DUMMYFUNCTION("""COMPUTED_VALUE"""),45742.0)</f>
        <v>45742</v>
      </c>
      <c r="BA627" s="1">
        <f>IFERROR(__xludf.DUMMYFUNCTION("""COMPUTED_VALUE"""),0.0)</f>
        <v>0</v>
      </c>
      <c r="BB627" s="1">
        <f>IFERROR(__xludf.DUMMYFUNCTION("""COMPUTED_VALUE"""),0.0)</f>
        <v>0</v>
      </c>
      <c r="BC627" s="4">
        <f>IFERROR(__xludf.DUMMYFUNCTION("""COMPUTED_VALUE"""),0.0)</f>
        <v>0</v>
      </c>
      <c r="BD627" s="4">
        <f>IFERROR(__xludf.DUMMYFUNCTION("""COMPUTED_VALUE"""),800.0)</f>
        <v>800</v>
      </c>
      <c r="BE627" s="1">
        <f>IFERROR(__xludf.DUMMYFUNCTION("""COMPUTED_VALUE"""),3.0)</f>
        <v>3</v>
      </c>
      <c r="BF627" s="6">
        <f>IFERROR(__xludf.DUMMYFUNCTION("""COMPUTED_VALUE"""),1.0)</f>
        <v>1</v>
      </c>
      <c r="BG627" s="1">
        <f>IFERROR(__xludf.DUMMYFUNCTION("""COMPUTED_VALUE"""),1.0)</f>
        <v>1</v>
      </c>
      <c r="BH627" s="1" t="str">
        <f>IFERROR(__xludf.DUMMYFUNCTION("""COMPUTED_VALUE"""),"0")</f>
        <v>0</v>
      </c>
      <c r="BI627" s="4">
        <f>IFERROR(__xludf.DUMMYFUNCTION("""COMPUTED_VALUE"""),800.0)</f>
        <v>800</v>
      </c>
      <c r="BJ627" s="1">
        <f>IFERROR(__xludf.DUMMYFUNCTION("""COMPUTED_VALUE"""),0.0)</f>
        <v>0</v>
      </c>
      <c r="BK627" s="4">
        <f>IFERROR(__xludf.DUMMYFUNCTION("""COMPUTED_VALUE"""),800.0)</f>
        <v>800</v>
      </c>
      <c r="BL627" s="1">
        <f>IFERROR(__xludf.DUMMYFUNCTION("""COMPUTED_VALUE"""),1140.0)</f>
        <v>1140</v>
      </c>
      <c r="BM627" s="1">
        <f>IFERROR(__xludf.DUMMYFUNCTION("""COMPUTED_VALUE"""),13.0)</f>
        <v>13</v>
      </c>
      <c r="BN627" s="2">
        <f>IFERROR(__xludf.DUMMYFUNCTION("""COMPUTED_VALUE"""),45740.0)</f>
        <v>45740</v>
      </c>
      <c r="BO627" s="1">
        <f>IFERROR(__xludf.DUMMYFUNCTION("""COMPUTED_VALUE"""),3.0)</f>
        <v>3</v>
      </c>
      <c r="BP627" s="1">
        <f>IFERROR(__xludf.DUMMYFUNCTION("""COMPUTED_VALUE"""),2025.0)</f>
        <v>2025</v>
      </c>
    </row>
    <row r="628">
      <c r="A628" s="1">
        <f>IFERROR(__xludf.DUMMYFUNCTION("""COMPUTED_VALUE"""),627.0)</f>
        <v>627</v>
      </c>
      <c r="B628" s="1">
        <f>IFERROR(__xludf.DUMMYFUNCTION("""COMPUTED_VALUE"""),2573303.0)</f>
        <v>2573303</v>
      </c>
      <c r="C628" s="1" t="str">
        <f>IFERROR(__xludf.DUMMYFUNCTION("""COMPUTED_VALUE"""),"2025-1")</f>
        <v>2025-1</v>
      </c>
      <c r="D628" s="1" t="str">
        <f>IFERROR(__xludf.DUMMYFUNCTION("""COMPUTED_VALUE"""),"Admisión Ordinaria")</f>
        <v>Admisión Ordinaria</v>
      </c>
      <c r="E628" s="2">
        <f>IFERROR(__xludf.DUMMYFUNCTION("""COMPUTED_VALUE"""),45742.0)</f>
        <v>45742</v>
      </c>
      <c r="F628" s="1" t="str">
        <f>IFERROR(__xludf.DUMMYFUNCTION("""COMPUTED_VALUE"""),"JANETH ANGELA")</f>
        <v>JANETH ANGELA</v>
      </c>
      <c r="G628" s="1" t="str">
        <f>IFERROR(__xludf.DUMMYFUNCTION("""COMPUTED_VALUE"""),"ESPINOZA DIAZ")</f>
        <v>ESPINOZA DIAZ</v>
      </c>
      <c r="H628" s="1" t="str">
        <f>IFERROR(__xludf.DUMMYFUNCTION("""COMPUTED_VALUE"""),"Psicología")</f>
        <v>Psicología</v>
      </c>
      <c r="I628" s="1" t="str">
        <f>IFERROR(__xludf.DUMMYFUNCTION("""COMPUTED_VALUE"""),"CARGO")</f>
        <v>CARGO</v>
      </c>
      <c r="J628" s="1" t="str">
        <f>IFERROR(__xludf.DUMMYFUNCTION("""COMPUTED_VALUE"""),"Nocturno - A distancia")</f>
        <v>Nocturno - A distancia</v>
      </c>
      <c r="K628" s="1" t="str">
        <f>IFERROR(__xludf.DUMMYFUNCTION("""COMPUTED_VALUE"""),"NUEVO")</f>
        <v>NUEVO</v>
      </c>
      <c r="L628" s="1">
        <f>IFERROR(__xludf.DUMMYFUNCTION("""COMPUTED_VALUE"""),0.0)</f>
        <v>0</v>
      </c>
      <c r="M628" s="1">
        <f>IFERROR(__xludf.DUMMYFUNCTION("""COMPUTED_VALUE"""),0.0)</f>
        <v>0</v>
      </c>
      <c r="N628" s="1" t="str">
        <f>IFERROR(__xludf.DUMMYFUNCTION("""COMPUTED_VALUE"""),"ESCALA REGULAR")</f>
        <v>ESCALA REGULAR</v>
      </c>
      <c r="O628" s="1" t="str">
        <f>IFERROR(__xludf.DUMMYFUNCTION("""COMPUTED_VALUE"""),"ESCALA  REG. CONGELADA 2 AÑOS")</f>
        <v>ESCALA  REG. CONGELADA 2 AÑOS</v>
      </c>
      <c r="P628" s="4">
        <f>IFERROR(__xludf.DUMMYFUNCTION("""COMPUTED_VALUE"""),0.0)</f>
        <v>0</v>
      </c>
      <c r="Q628" s="4">
        <f>IFERROR(__xludf.DUMMYFUNCTION("""COMPUTED_VALUE"""),0.0)</f>
        <v>0</v>
      </c>
      <c r="R628" s="4">
        <f>IFERROR(__xludf.DUMMYFUNCTION("""COMPUTED_VALUE"""),750.0)</f>
        <v>750</v>
      </c>
      <c r="S628" s="4">
        <f>IFERROR(__xludf.DUMMYFUNCTION("""COMPUTED_VALUE"""),750.0)</f>
        <v>750</v>
      </c>
      <c r="T628" s="1" t="str">
        <f>IFERROR(__xludf.DUMMYFUNCTION("""COMPUTED_VALUE"""),"Ninguno")</f>
        <v>Ninguno</v>
      </c>
      <c r="U628" s="1" t="str">
        <f>IFERROR(__xludf.DUMMYFUNCTION("""COMPUTED_VALUE"""),"FABIOLA")</f>
        <v>FABIOLA</v>
      </c>
      <c r="V628" s="1" t="str">
        <f>IFERROR(__xludf.DUMMYFUNCTION("""COMPUTED_VALUE"""),"Ninguno")</f>
        <v>Ninguno</v>
      </c>
      <c r="W628" s="1" t="str">
        <f>IFERROR(__xludf.DUMMYFUNCTION("""COMPUTED_VALUE"""),"Flexibilidad de horarios")</f>
        <v>Flexibilidad de horarios</v>
      </c>
      <c r="X628" s="1" t="str">
        <f>IFERROR(__xludf.DUMMYFUNCTION("""COMPUTED_VALUE"""),"VENTA ANDREA CRISANTO")</f>
        <v>VENTA ANDREA CRISANTO</v>
      </c>
      <c r="Y628" s="1" t="str">
        <f>IFERROR(__xludf.DUMMYFUNCTION("""COMPUTED_VALUE"""),"PAGO COMPLETO")</f>
        <v>PAGO COMPLETO</v>
      </c>
      <c r="Z628" s="1"/>
      <c r="AA628" s="1"/>
      <c r="AB628" s="1">
        <f>IFERROR(__xludf.DUMMYFUNCTION("""COMPUTED_VALUE"""),0.0)</f>
        <v>0</v>
      </c>
      <c r="AC628" s="1">
        <f>IFERROR(__xludf.DUMMYFUNCTION("""COMPUTED_VALUE"""),0.0)</f>
        <v>0</v>
      </c>
      <c r="AD628" s="1" t="str">
        <f>IFERROR(__xludf.DUMMYFUNCTION("""COMPUTED_VALUE"""),"Andrea Crisanto")</f>
        <v>Andrea Crisanto</v>
      </c>
      <c r="AE628" s="1" t="str">
        <f>IFERROR(__xludf.DUMMYFUNCTION("""COMPUTED_VALUE"""),"0")</f>
        <v>0</v>
      </c>
      <c r="AF628" s="1">
        <f>IFERROR(__xludf.DUMMYFUNCTION("""COMPUTED_VALUE"""),2008.0)</f>
        <v>2008</v>
      </c>
      <c r="AG628" s="1">
        <f>IFERROR(__xludf.DUMMYFUNCTION("""COMPUTED_VALUE"""),728717.0)</f>
        <v>728717</v>
      </c>
      <c r="AH628" s="1">
        <f>IFERROR(__xludf.DUMMYFUNCTION("""COMPUTED_VALUE"""),33.0)</f>
        <v>33</v>
      </c>
      <c r="AI628" s="1" t="str">
        <f>IFERROR(__xludf.DUMMYFUNCTION("""COMPUTED_VALUE"""),"0000421417")</f>
        <v>0000421417</v>
      </c>
      <c r="AJ628" s="1">
        <f>IFERROR(__xludf.DUMMYFUNCTION("""COMPUTED_VALUE"""),4.6991518E7)</f>
        <v>46991518</v>
      </c>
      <c r="AK628" s="1">
        <f>IFERROR(__xludf.DUMMYFUNCTION("""COMPUTED_VALUE"""),9.27904713E8)</f>
        <v>927904713</v>
      </c>
      <c r="AL628" s="1" t="str">
        <f>IFERROR(__xludf.DUMMYFUNCTION("""COMPUTED_VALUE"""),"Janethed41@gmail.com")</f>
        <v>Janethed41@gmail.com</v>
      </c>
      <c r="AM628" s="1" t="str">
        <f>IFERROR(__xludf.DUMMYFUNCTION("""COMPUTED_VALUE"""),"FEMENINO")</f>
        <v>FEMENINO</v>
      </c>
      <c r="AN628" s="1">
        <f>IFERROR(__xludf.DUMMYFUNCTION("""COMPUTED_VALUE"""),1350.0)</f>
        <v>1350</v>
      </c>
      <c r="AO628" s="1">
        <f>IFERROR(__xludf.DUMMYFUNCTION("""COMPUTED_VALUE"""),0.0)</f>
        <v>0</v>
      </c>
      <c r="AP628" s="1" t="str">
        <f>IFERROR(__xludf.DUMMYFUNCTION("""COMPUTED_VALUE"""),"FORMULARIO")</f>
        <v>FORMULARIO</v>
      </c>
      <c r="AQ628" s="1" t="str">
        <f>IFERROR(__xludf.DUMMYFUNCTION("""COMPUTED_VALUE"""),"SEARCH CARRERA")</f>
        <v>SEARCH CARRERA</v>
      </c>
      <c r="AR628" s="1" t="str">
        <f>IFERROR(__xludf.DUMMYFUNCTION("""COMPUTED_VALUE"""),"HEREDADO")</f>
        <v>HEREDADO</v>
      </c>
      <c r="AS628" s="1" t="str">
        <f>IFERROR(__xludf.DUMMYFUNCTION("""COMPUTED_VALUE"""),"ucal-pg-performance-sedes-abierta-cpl-extensiones_beca_30_psi-20240520")</f>
        <v>ucal-pg-performance-sedes-abierta-cpl-extensiones_beca_30_psi-20240520</v>
      </c>
      <c r="AT628" s="2">
        <f>IFERROR(__xludf.DUMMYFUNCTION("""COMPUTED_VALUE"""),45644.0)</f>
        <v>45644</v>
      </c>
      <c r="AU628" s="1">
        <f>IFERROR(__xludf.DUMMYFUNCTION("""COMPUTED_VALUE"""),1.0)</f>
        <v>1</v>
      </c>
      <c r="AV628" s="1" t="str">
        <f>IFERROR(__xludf.DUMMYFUNCTION("""COMPUTED_VALUE"""),"NUEVO")</f>
        <v>NUEVO</v>
      </c>
      <c r="AW628" s="1" t="str">
        <f>IFERROR(__xludf.DUMMYFUNCTION("""COMPUTED_VALUE"""),"SI")</f>
        <v>SI</v>
      </c>
      <c r="AX628" s="1"/>
      <c r="AY628" s="1" t="str">
        <f>IFERROR(__xludf.DUMMYFUNCTION("""COMPUTED_VALUE"""),"PAGO COMPLETO")</f>
        <v>PAGO COMPLETO</v>
      </c>
      <c r="AZ628" s="5">
        <f>IFERROR(__xludf.DUMMYFUNCTION("""COMPUTED_VALUE"""),45742.0)</f>
        <v>45742</v>
      </c>
      <c r="BA628" s="1">
        <f>IFERROR(__xludf.DUMMYFUNCTION("""COMPUTED_VALUE"""),0.0)</f>
        <v>0</v>
      </c>
      <c r="BB628" s="1">
        <f>IFERROR(__xludf.DUMMYFUNCTION("""COMPUTED_VALUE"""),0.0)</f>
        <v>0</v>
      </c>
      <c r="BC628" s="4">
        <f>IFERROR(__xludf.DUMMYFUNCTION("""COMPUTED_VALUE"""),0.0)</f>
        <v>0</v>
      </c>
      <c r="BD628" s="4">
        <f>IFERROR(__xludf.DUMMYFUNCTION("""COMPUTED_VALUE"""),0.0)</f>
        <v>0</v>
      </c>
      <c r="BE628" s="1">
        <f>IFERROR(__xludf.DUMMYFUNCTION("""COMPUTED_VALUE"""),3.0)</f>
        <v>3</v>
      </c>
      <c r="BF628" s="6">
        <f>IFERROR(__xludf.DUMMYFUNCTION("""COMPUTED_VALUE"""),1.0)</f>
        <v>1</v>
      </c>
      <c r="BG628" s="1">
        <f>IFERROR(__xludf.DUMMYFUNCTION("""COMPUTED_VALUE"""),1.0)</f>
        <v>1</v>
      </c>
      <c r="BH628" s="1" t="str">
        <f>IFERROR(__xludf.DUMMYFUNCTION("""COMPUTED_VALUE"""),"0")</f>
        <v>0</v>
      </c>
      <c r="BI628" s="4">
        <f>IFERROR(__xludf.DUMMYFUNCTION("""COMPUTED_VALUE"""),0.0)</f>
        <v>0</v>
      </c>
      <c r="BJ628" s="1">
        <f>IFERROR(__xludf.DUMMYFUNCTION("""COMPUTED_VALUE"""),0.0)</f>
        <v>0</v>
      </c>
      <c r="BK628" s="4">
        <f>IFERROR(__xludf.DUMMYFUNCTION("""COMPUTED_VALUE"""),0.0)</f>
        <v>0</v>
      </c>
      <c r="BL628" s="1">
        <f>IFERROR(__xludf.DUMMYFUNCTION("""COMPUTED_VALUE"""),750.0)</f>
        <v>750</v>
      </c>
      <c r="BM628" s="1">
        <f>IFERROR(__xludf.DUMMYFUNCTION("""COMPUTED_VALUE"""),13.0)</f>
        <v>13</v>
      </c>
      <c r="BN628" s="2">
        <f>IFERROR(__xludf.DUMMYFUNCTION("""COMPUTED_VALUE"""),45740.0)</f>
        <v>45740</v>
      </c>
      <c r="BO628" s="1">
        <f>IFERROR(__xludf.DUMMYFUNCTION("""COMPUTED_VALUE"""),3.0)</f>
        <v>3</v>
      </c>
      <c r="BP628" s="1">
        <f>IFERROR(__xludf.DUMMYFUNCTION("""COMPUTED_VALUE"""),2025.0)</f>
        <v>2025</v>
      </c>
    </row>
    <row r="629">
      <c r="A629" s="1">
        <f>IFERROR(__xludf.DUMMYFUNCTION("""COMPUTED_VALUE"""),628.0)</f>
        <v>628</v>
      </c>
      <c r="B629" s="1">
        <f>IFERROR(__xludf.DUMMYFUNCTION("""COMPUTED_VALUE"""),5109218.0)</f>
        <v>5109218</v>
      </c>
      <c r="C629" s="1" t="str">
        <f>IFERROR(__xludf.DUMMYFUNCTION("""COMPUTED_VALUE"""),"2025-1")</f>
        <v>2025-1</v>
      </c>
      <c r="D629" s="1" t="str">
        <f>IFERROR(__xludf.DUMMYFUNCTION("""COMPUTED_VALUE"""),"Admisión Extraordinaria (Traslados)")</f>
        <v>Admisión Extraordinaria (Traslados)</v>
      </c>
      <c r="E629" s="2">
        <f>IFERROR(__xludf.DUMMYFUNCTION("""COMPUTED_VALUE"""),45743.0)</f>
        <v>45743</v>
      </c>
      <c r="F629" s="1" t="str">
        <f>IFERROR(__xludf.DUMMYFUNCTION("""COMPUTED_VALUE"""),"MARTHA XIMENA")</f>
        <v>MARTHA XIMENA</v>
      </c>
      <c r="G629" s="1" t="str">
        <f>IFERROR(__xludf.DUMMYFUNCTION("""COMPUTED_VALUE"""),"ALCAZAR OLIVERA")</f>
        <v>ALCAZAR OLIVERA</v>
      </c>
      <c r="H629" s="1" t="str">
        <f>IFERROR(__xludf.DUMMYFUNCTION("""COMPUTED_VALUE"""),"Psicología")</f>
        <v>Psicología</v>
      </c>
      <c r="I629" s="1" t="str">
        <f>IFERROR(__xludf.DUMMYFUNCTION("""COMPUTED_VALUE"""),"POS")</f>
        <v>POS</v>
      </c>
      <c r="J629" s="1" t="str">
        <f>IFERROR(__xludf.DUMMYFUNCTION("""COMPUTED_VALUE"""),"Diurno")</f>
        <v>Diurno</v>
      </c>
      <c r="K629" s="1" t="str">
        <f>IFERROR(__xludf.DUMMYFUNCTION("""COMPUTED_VALUE"""),"TRASLADO")</f>
        <v>TRASLADO</v>
      </c>
      <c r="L629" s="1">
        <f>IFERROR(__xludf.DUMMYFUNCTION("""COMPUTED_VALUE"""),1.0)</f>
        <v>1</v>
      </c>
      <c r="M629" s="1">
        <f>IFERROR(__xludf.DUMMYFUNCTION("""COMPUTED_VALUE"""),0.0)</f>
        <v>0</v>
      </c>
      <c r="N629" s="1" t="str">
        <f>IFERROR(__xludf.DUMMYFUNCTION("""COMPUTED_VALUE"""),"RECA")</f>
        <v>RECA</v>
      </c>
      <c r="O629" s="1" t="str">
        <f>IFERROR(__xludf.DUMMYFUNCTION("""COMPUTED_VALUE"""),"RECATEGORIZACIÓN")</f>
        <v>RECATEGORIZACIÓN</v>
      </c>
      <c r="P629" s="4">
        <f>IFERROR(__xludf.DUMMYFUNCTION("""COMPUTED_VALUE"""),0.0)</f>
        <v>0</v>
      </c>
      <c r="Q629" s="4">
        <f>IFERROR(__xludf.DUMMYFUNCTION("""COMPUTED_VALUE"""),0.0)</f>
        <v>0</v>
      </c>
      <c r="R629" s="4">
        <f>IFERROR(__xludf.DUMMYFUNCTION("""COMPUTED_VALUE"""),1500.0)</f>
        <v>1500</v>
      </c>
      <c r="S629" s="4">
        <f>IFERROR(__xludf.DUMMYFUNCTION("""COMPUTED_VALUE"""),1500.0)</f>
        <v>1500</v>
      </c>
      <c r="T629" s="1" t="str">
        <f>IFERROR(__xludf.DUMMYFUNCTION("""COMPUTED_VALUE"""),"Ninguno")</f>
        <v>Ninguno</v>
      </c>
      <c r="U629" s="1" t="str">
        <f>IFERROR(__xludf.DUMMYFUNCTION("""COMPUTED_VALUE"""),"RODRIGO")</f>
        <v>RODRIGO</v>
      </c>
      <c r="V629" s="1" t="str">
        <f>IFERROR(__xludf.DUMMYFUNCTION("""COMPUTED_VALUE"""),"Ninguno")</f>
        <v>Ninguno</v>
      </c>
      <c r="W629" s="1" t="str">
        <f>IFERROR(__xludf.DUMMYFUNCTION("""COMPUTED_VALUE"""),"Malla curricular")</f>
        <v>Malla curricular</v>
      </c>
      <c r="X629" s="1"/>
      <c r="Y629" s="1" t="str">
        <f>IFERROR(__xludf.DUMMYFUNCTION("""COMPUTED_VALUE"""),"PAGO COMPLETO")</f>
        <v>PAGO COMPLETO</v>
      </c>
      <c r="Z629" s="1"/>
      <c r="AA629" s="1"/>
      <c r="AB629" s="1">
        <f>IFERROR(__xludf.DUMMYFUNCTION("""COMPUTED_VALUE"""),1.0)</f>
        <v>1</v>
      </c>
      <c r="AC629" s="1">
        <f>IFERROR(__xludf.DUMMYFUNCTION("""COMPUTED_VALUE"""),0.0)</f>
        <v>0</v>
      </c>
      <c r="AD629" s="1" t="str">
        <f>IFERROR(__xludf.DUMMYFUNCTION("""COMPUTED_VALUE"""),"Angelica Iparraguirre")</f>
        <v>Angelica Iparraguirre</v>
      </c>
      <c r="AE629" s="1" t="str">
        <f>IFERROR(__xludf.DUMMYFUNCTION("""COMPUTED_VALUE"""),"Universidad Peruana De Ciencias Aplicadas(UPC)")</f>
        <v>Universidad Peruana De Ciencias Aplicadas(UPC)</v>
      </c>
      <c r="AF629" s="1">
        <f>IFERROR(__xludf.DUMMYFUNCTION("""COMPUTED_VALUE"""),2019.0)</f>
        <v>2019</v>
      </c>
      <c r="AG629" s="1">
        <f>IFERROR(__xludf.DUMMYFUNCTION("""COMPUTED_VALUE"""),0.0)</f>
        <v>0</v>
      </c>
      <c r="AH629" s="1">
        <f>IFERROR(__xludf.DUMMYFUNCTION("""COMPUTED_VALUE"""),22.0)</f>
        <v>22</v>
      </c>
      <c r="AI629" s="1" t="str">
        <f>IFERROR(__xludf.DUMMYFUNCTION("""COMPUTED_VALUE"""),"0000421499")</f>
        <v>0000421499</v>
      </c>
      <c r="AJ629" s="1">
        <f>IFERROR(__xludf.DUMMYFUNCTION("""COMPUTED_VALUE"""),7.537236E7)</f>
        <v>75372360</v>
      </c>
      <c r="AK629" s="1">
        <f>IFERROR(__xludf.DUMMYFUNCTION("""COMPUTED_VALUE"""),9.04012551E8)</f>
        <v>904012551</v>
      </c>
      <c r="AL629" s="1" t="str">
        <f>IFERROR(__xludf.DUMMYFUNCTION("""COMPUTED_VALUE"""),"xime.alcazar16@gmail.com")</f>
        <v>xime.alcazar16@gmail.com</v>
      </c>
      <c r="AM629" s="1" t="str">
        <f>IFERROR(__xludf.DUMMYFUNCTION("""COMPUTED_VALUE"""),"FEMENINO")</f>
        <v>FEMENINO</v>
      </c>
      <c r="AN629" s="1">
        <f>IFERROR(__xludf.DUMMYFUNCTION("""COMPUTED_VALUE"""),2200.0)</f>
        <v>2200</v>
      </c>
      <c r="AO629" s="1">
        <f>IFERROR(__xludf.DUMMYFUNCTION("""COMPUTED_VALUE"""),820.0)</f>
        <v>820</v>
      </c>
      <c r="AP629" s="1" t="str">
        <f>IFERROR(__xludf.DUMMYFUNCTION("""COMPUTED_VALUE"""),"BIDIRECCIONAL")</f>
        <v>BIDIRECCIONAL</v>
      </c>
      <c r="AQ629" s="1" t="str">
        <f>IFERROR(__xludf.DUMMYFUNCTION("""COMPUTED_VALUE"""),"ORGANICO")</f>
        <v>ORGANICO</v>
      </c>
      <c r="AR629" s="1" t="str">
        <f>IFERROR(__xludf.DUMMYFUNCTION("""COMPUTED_VALUE"""),"HEREDADO")</f>
        <v>HEREDADO</v>
      </c>
      <c r="AS629" s="1"/>
      <c r="AT629" s="2">
        <f>IFERROR(__xludf.DUMMYFUNCTION("""COMPUTED_VALUE"""),45743.0)</f>
        <v>45743</v>
      </c>
      <c r="AU629" s="1">
        <f>IFERROR(__xludf.DUMMYFUNCTION("""COMPUTED_VALUE"""),1.0)</f>
        <v>1</v>
      </c>
      <c r="AV629" s="1" t="str">
        <f>IFERROR(__xludf.DUMMYFUNCTION("""COMPUTED_VALUE"""),"TRASLADO")</f>
        <v>TRASLADO</v>
      </c>
      <c r="AW629" s="1" t="str">
        <f>IFERROR(__xludf.DUMMYFUNCTION("""COMPUTED_VALUE"""),"SI")</f>
        <v>SI</v>
      </c>
      <c r="AX629" s="1"/>
      <c r="AY629" s="1" t="str">
        <f>IFERROR(__xludf.DUMMYFUNCTION("""COMPUTED_VALUE"""),"PAGO COMPLETO")</f>
        <v>PAGO COMPLETO</v>
      </c>
      <c r="AZ629" s="5">
        <f>IFERROR(__xludf.DUMMYFUNCTION("""COMPUTED_VALUE"""),45743.0)</f>
        <v>45743</v>
      </c>
      <c r="BA629" s="1">
        <f>IFERROR(__xludf.DUMMYFUNCTION("""COMPUTED_VALUE"""),0.0)</f>
        <v>0</v>
      </c>
      <c r="BB629" s="1">
        <f>IFERROR(__xludf.DUMMYFUNCTION("""COMPUTED_VALUE"""),0.0)</f>
        <v>0</v>
      </c>
      <c r="BC629" s="4">
        <f>IFERROR(__xludf.DUMMYFUNCTION("""COMPUTED_VALUE"""),0.0)</f>
        <v>0</v>
      </c>
      <c r="BD629" s="4">
        <f>IFERROR(__xludf.DUMMYFUNCTION("""COMPUTED_VALUE"""),0.0)</f>
        <v>0</v>
      </c>
      <c r="BE629" s="1">
        <f>IFERROR(__xludf.DUMMYFUNCTION("""COMPUTED_VALUE"""),3.0)</f>
        <v>3</v>
      </c>
      <c r="BF629" s="6">
        <f>IFERROR(__xludf.DUMMYFUNCTION("""COMPUTED_VALUE"""),1.0)</f>
        <v>1</v>
      </c>
      <c r="BG629" s="1">
        <f>IFERROR(__xludf.DUMMYFUNCTION("""COMPUTED_VALUE"""),1.0)</f>
        <v>1</v>
      </c>
      <c r="BH629" s="1" t="str">
        <f>IFERROR(__xludf.DUMMYFUNCTION("""COMPUTED_VALUE"""),"0")</f>
        <v>0</v>
      </c>
      <c r="BI629" s="4">
        <f>IFERROR(__xludf.DUMMYFUNCTION("""COMPUTED_VALUE"""),0.0)</f>
        <v>0</v>
      </c>
      <c r="BJ629" s="1">
        <f>IFERROR(__xludf.DUMMYFUNCTION("""COMPUTED_VALUE"""),0.0)</f>
        <v>0</v>
      </c>
      <c r="BK629" s="4">
        <f>IFERROR(__xludf.DUMMYFUNCTION("""COMPUTED_VALUE"""),0.0)</f>
        <v>0</v>
      </c>
      <c r="BL629" s="1">
        <f>IFERROR(__xludf.DUMMYFUNCTION("""COMPUTED_VALUE"""),1500.0)</f>
        <v>1500</v>
      </c>
      <c r="BM629" s="1">
        <f>IFERROR(__xludf.DUMMYFUNCTION("""COMPUTED_VALUE"""),13.0)</f>
        <v>13</v>
      </c>
      <c r="BN629" s="2">
        <f>IFERROR(__xludf.DUMMYFUNCTION("""COMPUTED_VALUE"""),45740.0)</f>
        <v>45740</v>
      </c>
      <c r="BO629" s="1">
        <f>IFERROR(__xludf.DUMMYFUNCTION("""COMPUTED_VALUE"""),3.0)</f>
        <v>3</v>
      </c>
      <c r="BP629" s="1">
        <f>IFERROR(__xludf.DUMMYFUNCTION("""COMPUTED_VALUE"""),2025.0)</f>
        <v>2025</v>
      </c>
    </row>
    <row r="630">
      <c r="A630" s="1">
        <f>IFERROR(__xludf.DUMMYFUNCTION("""COMPUTED_VALUE"""),629.0)</f>
        <v>629</v>
      </c>
      <c r="B630" s="1">
        <f>IFERROR(__xludf.DUMMYFUNCTION("""COMPUTED_VALUE"""),1802593.0)</f>
        <v>1802593</v>
      </c>
      <c r="C630" s="1" t="str">
        <f>IFERROR(__xludf.DUMMYFUNCTION("""COMPUTED_VALUE"""),"2025-1")</f>
        <v>2025-1</v>
      </c>
      <c r="D630" s="1" t="str">
        <f>IFERROR(__xludf.DUMMYFUNCTION("""COMPUTED_VALUE"""),"Admisión Ordinaria")</f>
        <v>Admisión Ordinaria</v>
      </c>
      <c r="E630" s="2">
        <f>IFERROR(__xludf.DUMMYFUNCTION("""COMPUTED_VALUE"""),45743.0)</f>
        <v>45743</v>
      </c>
      <c r="F630" s="1" t="str">
        <f>IFERROR(__xludf.DUMMYFUNCTION("""COMPUTED_VALUE"""),"EVELYN JULIA ")</f>
        <v>EVELYN JULIA </v>
      </c>
      <c r="G630" s="1" t="str">
        <f>IFERROR(__xludf.DUMMYFUNCTION("""COMPUTED_VALUE"""),"MARCAQUISPE SUDARIO")</f>
        <v>MARCAQUISPE SUDARIO</v>
      </c>
      <c r="H630" s="1" t="str">
        <f>IFERROR(__xludf.DUMMYFUNCTION("""COMPUTED_VALUE"""),"Psicología")</f>
        <v>Psicología</v>
      </c>
      <c r="I630" s="1" t="str">
        <f>IFERROR(__xludf.DUMMYFUNCTION("""COMPUTED_VALUE"""),"Pago Link")</f>
        <v>Pago Link</v>
      </c>
      <c r="J630" s="1" t="str">
        <f>IFERROR(__xludf.DUMMYFUNCTION("""COMPUTED_VALUE"""),"Nocturno - A distancia")</f>
        <v>Nocturno - A distancia</v>
      </c>
      <c r="K630" s="1" t="str">
        <f>IFERROR(__xludf.DUMMYFUNCTION("""COMPUTED_VALUE"""),"NUEVO")</f>
        <v>NUEVO</v>
      </c>
      <c r="L630" s="1">
        <f>IFERROR(__xludf.DUMMYFUNCTION("""COMPUTED_VALUE"""),0.0)</f>
        <v>0</v>
      </c>
      <c r="M630" s="1">
        <f>IFERROR(__xludf.DUMMYFUNCTION("""COMPUTED_VALUE"""),0.0)</f>
        <v>0</v>
      </c>
      <c r="N630" s="1" t="str">
        <f>IFERROR(__xludf.DUMMYFUNCTION("""COMPUTED_VALUE"""),"RECA")</f>
        <v>RECA</v>
      </c>
      <c r="O630" s="1" t="str">
        <f>IFERROR(__xludf.DUMMYFUNCTION("""COMPUTED_VALUE"""),"RECATEGORIZACIÓN")</f>
        <v>RECATEGORIZACIÓN</v>
      </c>
      <c r="P630" s="4">
        <f>IFERROR(__xludf.DUMMYFUNCTION("""COMPUTED_VALUE"""),0.0)</f>
        <v>0</v>
      </c>
      <c r="Q630" s="4">
        <f>IFERROR(__xludf.DUMMYFUNCTION("""COMPUTED_VALUE"""),0.0)</f>
        <v>0</v>
      </c>
      <c r="R630" s="4">
        <f>IFERROR(__xludf.DUMMYFUNCTION("""COMPUTED_VALUE"""),750.0)</f>
        <v>750</v>
      </c>
      <c r="S630" s="4">
        <f>IFERROR(__xludf.DUMMYFUNCTION("""COMPUTED_VALUE"""),750.0)</f>
        <v>750</v>
      </c>
      <c r="T630" s="1" t="str">
        <f>IFERROR(__xludf.DUMMYFUNCTION("""COMPUTED_VALUE"""),"Ninguno")</f>
        <v>Ninguno</v>
      </c>
      <c r="U630" s="1"/>
      <c r="V630" s="1" t="str">
        <f>IFERROR(__xludf.DUMMYFUNCTION("""COMPUTED_VALUE"""),"Ninguno")</f>
        <v>Ninguno</v>
      </c>
      <c r="W630" s="1" t="str">
        <f>IFERROR(__xludf.DUMMYFUNCTION("""COMPUTED_VALUE"""),"Malla curricular")</f>
        <v>Malla curricular</v>
      </c>
      <c r="X630" s="1" t="str">
        <f>IFERROR(__xludf.DUMMYFUNCTION("""COMPUTED_VALUE"""),"LE GUSTA LA UNIVERSIDAD ")</f>
        <v>LE GUSTA LA UNIVERSIDAD </v>
      </c>
      <c r="Y630" s="1" t="str">
        <f>IFERROR(__xludf.DUMMYFUNCTION("""COMPUTED_VALUE"""),"PAGO COMPLETO")</f>
        <v>PAGO COMPLETO</v>
      </c>
      <c r="Z630" s="1"/>
      <c r="AA630" s="1"/>
      <c r="AB630" s="1">
        <f>IFERROR(__xludf.DUMMYFUNCTION("""COMPUTED_VALUE"""),0.0)</f>
        <v>0</v>
      </c>
      <c r="AC630" s="1">
        <f>IFERROR(__xludf.DUMMYFUNCTION("""COMPUTED_VALUE"""),0.0)</f>
        <v>0</v>
      </c>
      <c r="AD630" s="1" t="str">
        <f>IFERROR(__xludf.DUMMYFUNCTION("""COMPUTED_VALUE"""),"Daniel Zapata")</f>
        <v>Daniel Zapata</v>
      </c>
      <c r="AE630" s="1" t="str">
        <f>IFERROR(__xludf.DUMMYFUNCTION("""COMPUTED_VALUE"""),"0")</f>
        <v>0</v>
      </c>
      <c r="AF630" s="1">
        <f>IFERROR(__xludf.DUMMYFUNCTION("""COMPUTED_VALUE"""),2013.0)</f>
        <v>2013</v>
      </c>
      <c r="AG630" s="1">
        <f>IFERROR(__xludf.DUMMYFUNCTION("""COMPUTED_VALUE"""),0.0)</f>
        <v>0</v>
      </c>
      <c r="AH630" s="1">
        <f>IFERROR(__xludf.DUMMYFUNCTION("""COMPUTED_VALUE"""),32.0)</f>
        <v>32</v>
      </c>
      <c r="AI630" s="1" t="str">
        <f>IFERROR(__xludf.DUMMYFUNCTION("""COMPUTED_VALUE"""),"0000012335")</f>
        <v>0000012335</v>
      </c>
      <c r="AJ630" s="1">
        <f>IFERROR(__xludf.DUMMYFUNCTION("""COMPUTED_VALUE"""),4.7856236E7)</f>
        <v>47856236</v>
      </c>
      <c r="AK630" s="1">
        <f>IFERROR(__xludf.DUMMYFUNCTION("""COMPUTED_VALUE"""),9.22541354E8)</f>
        <v>922541354</v>
      </c>
      <c r="AL630" s="1" t="str">
        <f>IFERROR(__xludf.DUMMYFUNCTION("""COMPUTED_VALUE"""),"evelyn18.92@gmail.com")</f>
        <v>evelyn18.92@gmail.com</v>
      </c>
      <c r="AM630" s="1" t="str">
        <f>IFERROR(__xludf.DUMMYFUNCTION("""COMPUTED_VALUE"""),"FEMENINO")</f>
        <v>FEMENINO</v>
      </c>
      <c r="AN630" s="1">
        <f>IFERROR(__xludf.DUMMYFUNCTION("""COMPUTED_VALUE"""),1775.0)</f>
        <v>1775</v>
      </c>
      <c r="AO630" s="1">
        <f>IFERROR(__xludf.DUMMYFUNCTION("""COMPUTED_VALUE"""),365.0)</f>
        <v>365</v>
      </c>
      <c r="AP630" s="1" t="str">
        <f>IFERROR(__xludf.DUMMYFUNCTION("""COMPUTED_VALUE"""),"BIDIRECCIONAL")</f>
        <v>BIDIRECCIONAL</v>
      </c>
      <c r="AQ630" s="1" t="str">
        <f>IFERROR(__xludf.DUMMYFUNCTION("""COMPUTED_VALUE"""),"SEARCH CARRERA")</f>
        <v>SEARCH CARRERA</v>
      </c>
      <c r="AR630" s="1" t="str">
        <f>IFERROR(__xludf.DUMMYFUNCTION("""COMPUTED_VALUE"""),"NUEVO")</f>
        <v>NUEVO</v>
      </c>
      <c r="AS630" s="1" t="str">
        <f>IFERROR(__xludf.DUMMYFUNCTION("""COMPUTED_VALUE"""),"ucal-pg-performance-sedes-abierta-cpl-search_conversion_mundo_psicologia-20240401")</f>
        <v>ucal-pg-performance-sedes-abierta-cpl-search_conversion_mundo_psicologia-20240401</v>
      </c>
      <c r="AT630" s="2">
        <f>IFERROR(__xludf.DUMMYFUNCTION("""COMPUTED_VALUE"""),45743.0)</f>
        <v>45743</v>
      </c>
      <c r="AU630" s="1">
        <f>IFERROR(__xludf.DUMMYFUNCTION("""COMPUTED_VALUE"""),1.0)</f>
        <v>1</v>
      </c>
      <c r="AV630" s="1" t="str">
        <f>IFERROR(__xludf.DUMMYFUNCTION("""COMPUTED_VALUE"""),"NUEVO")</f>
        <v>NUEVO</v>
      </c>
      <c r="AW630" s="1" t="str">
        <f>IFERROR(__xludf.DUMMYFUNCTION("""COMPUTED_VALUE"""),"SI")</f>
        <v>SI</v>
      </c>
      <c r="AX630" s="1"/>
      <c r="AY630" s="1" t="str">
        <f>IFERROR(__xludf.DUMMYFUNCTION("""COMPUTED_VALUE"""),"PAGO COMPLETO")</f>
        <v>PAGO COMPLETO</v>
      </c>
      <c r="AZ630" s="5">
        <f>IFERROR(__xludf.DUMMYFUNCTION("""COMPUTED_VALUE"""),45743.0)</f>
        <v>45743</v>
      </c>
      <c r="BA630" s="1">
        <f>IFERROR(__xludf.DUMMYFUNCTION("""COMPUTED_VALUE"""),0.0)</f>
        <v>0</v>
      </c>
      <c r="BB630" s="1">
        <f>IFERROR(__xludf.DUMMYFUNCTION("""COMPUTED_VALUE"""),0.0)</f>
        <v>0</v>
      </c>
      <c r="BC630" s="4">
        <f>IFERROR(__xludf.DUMMYFUNCTION("""COMPUTED_VALUE"""),0.0)</f>
        <v>0</v>
      </c>
      <c r="BD630" s="4">
        <f>IFERROR(__xludf.DUMMYFUNCTION("""COMPUTED_VALUE"""),0.0)</f>
        <v>0</v>
      </c>
      <c r="BE630" s="1">
        <f>IFERROR(__xludf.DUMMYFUNCTION("""COMPUTED_VALUE"""),3.0)</f>
        <v>3</v>
      </c>
      <c r="BF630" s="6">
        <f>IFERROR(__xludf.DUMMYFUNCTION("""COMPUTED_VALUE"""),1.0)</f>
        <v>1</v>
      </c>
      <c r="BG630" s="1">
        <f>IFERROR(__xludf.DUMMYFUNCTION("""COMPUTED_VALUE"""),1.0)</f>
        <v>1</v>
      </c>
      <c r="BH630" s="1" t="str">
        <f>IFERROR(__xludf.DUMMYFUNCTION("""COMPUTED_VALUE"""),"0")</f>
        <v>0</v>
      </c>
      <c r="BI630" s="4">
        <f>IFERROR(__xludf.DUMMYFUNCTION("""COMPUTED_VALUE"""),0.0)</f>
        <v>0</v>
      </c>
      <c r="BJ630" s="1">
        <f>IFERROR(__xludf.DUMMYFUNCTION("""COMPUTED_VALUE"""),0.0)</f>
        <v>0</v>
      </c>
      <c r="BK630" s="4">
        <f>IFERROR(__xludf.DUMMYFUNCTION("""COMPUTED_VALUE"""),0.0)</f>
        <v>0</v>
      </c>
      <c r="BL630" s="1">
        <f>IFERROR(__xludf.DUMMYFUNCTION("""COMPUTED_VALUE"""),750.0)</f>
        <v>750</v>
      </c>
      <c r="BM630" s="1">
        <f>IFERROR(__xludf.DUMMYFUNCTION("""COMPUTED_VALUE"""),13.0)</f>
        <v>13</v>
      </c>
      <c r="BN630" s="2">
        <f>IFERROR(__xludf.DUMMYFUNCTION("""COMPUTED_VALUE"""),45740.0)</f>
        <v>45740</v>
      </c>
      <c r="BO630" s="1">
        <f>IFERROR(__xludf.DUMMYFUNCTION("""COMPUTED_VALUE"""),3.0)</f>
        <v>3</v>
      </c>
      <c r="BP630" s="1">
        <f>IFERROR(__xludf.DUMMYFUNCTION("""COMPUTED_VALUE"""),2025.0)</f>
        <v>2025</v>
      </c>
    </row>
    <row r="631">
      <c r="A631" s="1">
        <f>IFERROR(__xludf.DUMMYFUNCTION("""COMPUTED_VALUE"""),630.0)</f>
        <v>630</v>
      </c>
      <c r="B631" s="1">
        <f>IFERROR(__xludf.DUMMYFUNCTION("""COMPUTED_VALUE"""),1479639.0)</f>
        <v>1479639</v>
      </c>
      <c r="C631" s="1" t="str">
        <f>IFERROR(__xludf.DUMMYFUNCTION("""COMPUTED_VALUE"""),"2025-1")</f>
        <v>2025-1</v>
      </c>
      <c r="D631" s="1" t="str">
        <f>IFERROR(__xludf.DUMMYFUNCTION("""COMPUTED_VALUE"""),"Admisión Ordinaria")</f>
        <v>Admisión Ordinaria</v>
      </c>
      <c r="E631" s="2">
        <f>IFERROR(__xludf.DUMMYFUNCTION("""COMPUTED_VALUE"""),45743.0)</f>
        <v>45743</v>
      </c>
      <c r="F631" s="1" t="str">
        <f>IFERROR(__xludf.DUMMYFUNCTION("""COMPUTED_VALUE"""),"KELLY LIZ ANTUANET")</f>
        <v>KELLY LIZ ANTUANET</v>
      </c>
      <c r="G631" s="1" t="str">
        <f>IFERROR(__xludf.DUMMYFUNCTION("""COMPUTED_VALUE"""),"SOTO LLANTOY")</f>
        <v>SOTO LLANTOY</v>
      </c>
      <c r="H631" s="1" t="str">
        <f>IFERROR(__xludf.DUMMYFUNCTION("""COMPUTED_VALUE"""),"Administración y Marketing")</f>
        <v>Administración y Marketing</v>
      </c>
      <c r="I631" s="1" t="str">
        <f>IFERROR(__xludf.DUMMYFUNCTION("""COMPUTED_VALUE"""),"POS")</f>
        <v>POS</v>
      </c>
      <c r="J631" s="1" t="str">
        <f>IFERROR(__xludf.DUMMYFUNCTION("""COMPUTED_VALUE"""),"Diurno")</f>
        <v>Diurno</v>
      </c>
      <c r="K631" s="1" t="str">
        <f>IFERROR(__xludf.DUMMYFUNCTION("""COMPUTED_VALUE"""),"NUEVO")</f>
        <v>NUEVO</v>
      </c>
      <c r="L631" s="1">
        <f>IFERROR(__xludf.DUMMYFUNCTION("""COMPUTED_VALUE"""),0.0)</f>
        <v>0</v>
      </c>
      <c r="M631" s="1">
        <f>IFERROR(__xludf.DUMMYFUNCTION("""COMPUTED_VALUE"""),0.0)</f>
        <v>0</v>
      </c>
      <c r="N631" s="1" t="str">
        <f>IFERROR(__xludf.DUMMYFUNCTION("""COMPUTED_VALUE"""),"BECA")</f>
        <v>BECA</v>
      </c>
      <c r="O631" s="1" t="str">
        <f>IFERROR(__xludf.DUMMYFUNCTION("""COMPUTED_VALUE"""),"BECA CARRERAS NUEVAS")</f>
        <v>BECA CARRERAS NUEVAS</v>
      </c>
      <c r="P631" s="4">
        <f>IFERROR(__xludf.DUMMYFUNCTION("""COMPUTED_VALUE"""),125.0)</f>
        <v>125</v>
      </c>
      <c r="Q631" s="4">
        <f>IFERROR(__xludf.DUMMYFUNCTION("""COMPUTED_VALUE"""),237.5)</f>
        <v>237.5</v>
      </c>
      <c r="R631" s="4">
        <f>IFERROR(__xludf.DUMMYFUNCTION("""COMPUTED_VALUE"""),1250.0)</f>
        <v>1250</v>
      </c>
      <c r="S631" s="4">
        <f>IFERROR(__xludf.DUMMYFUNCTION("""COMPUTED_VALUE"""),1050.0)</f>
        <v>1050</v>
      </c>
      <c r="T631" s="1" t="str">
        <f>IFERROR(__xludf.DUMMYFUNCTION("""COMPUTED_VALUE"""),"PALANCA 500")</f>
        <v>PALANCA 500</v>
      </c>
      <c r="U631" s="1" t="str">
        <f>IFERROR(__xludf.DUMMYFUNCTION("""COMPUTED_VALUE"""),"FABIOLA")</f>
        <v>FABIOLA</v>
      </c>
      <c r="V631" s="1" t="str">
        <f>IFERROR(__xludf.DUMMYFUNCTION("""COMPUTED_VALUE"""),"Ninguno")</f>
        <v>Ninguno</v>
      </c>
      <c r="W631" s="1" t="str">
        <f>IFERROR(__xludf.DUMMYFUNCTION("""COMPUTED_VALUE"""),"Malla curricular")</f>
        <v>Malla curricular</v>
      </c>
      <c r="X631" s="1"/>
      <c r="Y631" s="1" t="str">
        <f>IFERROR(__xludf.DUMMYFUNCTION("""COMPUTED_VALUE"""),"PAGO COMPLETO")</f>
        <v>PAGO COMPLETO</v>
      </c>
      <c r="Z631" s="1"/>
      <c r="AA631" s="1"/>
      <c r="AB631" s="1">
        <f>IFERROR(__xludf.DUMMYFUNCTION("""COMPUTED_VALUE"""),0.0)</f>
        <v>0</v>
      </c>
      <c r="AC631" s="1">
        <f>IFERROR(__xludf.DUMMYFUNCTION("""COMPUTED_VALUE"""),0.0)</f>
        <v>0</v>
      </c>
      <c r="AD631" s="1" t="str">
        <f>IFERROR(__xludf.DUMMYFUNCTION("""COMPUTED_VALUE"""),"Angelica Iparraguirre")</f>
        <v>Angelica Iparraguirre</v>
      </c>
      <c r="AE631" s="1" t="str">
        <f>IFERROR(__xludf.DUMMYFUNCTION("""COMPUTED_VALUE"""),"0")</f>
        <v>0</v>
      </c>
      <c r="AF631" s="1">
        <f>IFERROR(__xludf.DUMMYFUNCTION("""COMPUTED_VALUE"""),2021.0)</f>
        <v>2021</v>
      </c>
      <c r="AG631" s="1">
        <f>IFERROR(__xludf.DUMMYFUNCTION("""COMPUTED_VALUE"""),0.0)</f>
        <v>0</v>
      </c>
      <c r="AH631" s="1">
        <f>IFERROR(__xludf.DUMMYFUNCTION("""COMPUTED_VALUE"""),19.0)</f>
        <v>19</v>
      </c>
      <c r="AI631" s="1" t="str">
        <f>IFERROR(__xludf.DUMMYFUNCTION("""COMPUTED_VALUE"""),"0000421580")</f>
        <v>0000421580</v>
      </c>
      <c r="AJ631" s="1">
        <f>IFERROR(__xludf.DUMMYFUNCTION("""COMPUTED_VALUE"""),7.3021632E7)</f>
        <v>73021632</v>
      </c>
      <c r="AK631" s="1">
        <f>IFERROR(__xludf.DUMMYFUNCTION("""COMPUTED_VALUE"""),9.33092597E8)</f>
        <v>933092597</v>
      </c>
      <c r="AL631" s="1" t="str">
        <f>IFERROR(__xludf.DUMMYFUNCTION("""COMPUTED_VALUE"""),"josesotorimac@GMAIL.COM")</f>
        <v>josesotorimac@GMAIL.COM</v>
      </c>
      <c r="AM631" s="1" t="str">
        <f>IFERROR(__xludf.DUMMYFUNCTION("""COMPUTED_VALUE"""),"FEMENINO")</f>
        <v>FEMENINO</v>
      </c>
      <c r="AN631" s="1">
        <f>IFERROR(__xludf.DUMMYFUNCTION("""COMPUTED_VALUE"""),1525.0)</f>
        <v>1525</v>
      </c>
      <c r="AO631" s="1">
        <f>IFERROR(__xludf.DUMMYFUNCTION("""COMPUTED_VALUE"""),200.0)</f>
        <v>200</v>
      </c>
      <c r="AP631" s="1" t="str">
        <f>IFERROR(__xludf.DUMMYFUNCTION("""COMPUTED_VALUE"""),"OUTBOUND")</f>
        <v>OUTBOUND</v>
      </c>
      <c r="AQ631" s="1" t="str">
        <f>IFERROR(__xludf.DUMMYFUNCTION("""COMPUTED_VALUE"""),"OUTBOUND")</f>
        <v>OUTBOUND</v>
      </c>
      <c r="AR631" s="1" t="str">
        <f>IFERROR(__xludf.DUMMYFUNCTION("""COMPUTED_VALUE"""),"NUEVO")</f>
        <v>NUEVO</v>
      </c>
      <c r="AS631" s="1"/>
      <c r="AT631" s="2">
        <f>IFERROR(__xludf.DUMMYFUNCTION("""COMPUTED_VALUE"""),45743.0)</f>
        <v>45743</v>
      </c>
      <c r="AU631" s="1">
        <f>IFERROR(__xludf.DUMMYFUNCTION("""COMPUTED_VALUE"""),1.0)</f>
        <v>1</v>
      </c>
      <c r="AV631" s="1" t="str">
        <f>IFERROR(__xludf.DUMMYFUNCTION("""COMPUTED_VALUE"""),"NUEVO")</f>
        <v>NUEVO</v>
      </c>
      <c r="AW631" s="1" t="str">
        <f>IFERROR(__xludf.DUMMYFUNCTION("""COMPUTED_VALUE"""),"SI")</f>
        <v>SI</v>
      </c>
      <c r="AX631" s="1"/>
      <c r="AY631" s="1" t="str">
        <f>IFERROR(__xludf.DUMMYFUNCTION("""COMPUTED_VALUE"""),"PAGO COMPLETO")</f>
        <v>PAGO COMPLETO</v>
      </c>
      <c r="AZ631" s="5">
        <f>IFERROR(__xludf.DUMMYFUNCTION("""COMPUTED_VALUE"""),45743.0)</f>
        <v>45743</v>
      </c>
      <c r="BA631" s="1">
        <f>IFERROR(__xludf.DUMMYFUNCTION("""COMPUTED_VALUE"""),0.0)</f>
        <v>0</v>
      </c>
      <c r="BB631" s="1">
        <f>IFERROR(__xludf.DUMMYFUNCTION("""COMPUTED_VALUE"""),0.0)</f>
        <v>0</v>
      </c>
      <c r="BC631" s="4">
        <f>IFERROR(__xludf.DUMMYFUNCTION("""COMPUTED_VALUE"""),0.0)</f>
        <v>0</v>
      </c>
      <c r="BD631" s="4">
        <f>IFERROR(__xludf.DUMMYFUNCTION("""COMPUTED_VALUE"""),550.0)</f>
        <v>550</v>
      </c>
      <c r="BE631" s="1">
        <f>IFERROR(__xludf.DUMMYFUNCTION("""COMPUTED_VALUE"""),3.0)</f>
        <v>3</v>
      </c>
      <c r="BF631" s="6">
        <f>IFERROR(__xludf.DUMMYFUNCTION("""COMPUTED_VALUE"""),1.0)</f>
        <v>1</v>
      </c>
      <c r="BG631" s="1">
        <f>IFERROR(__xludf.DUMMYFUNCTION("""COMPUTED_VALUE"""),1.0)</f>
        <v>1</v>
      </c>
      <c r="BH631" s="1" t="str">
        <f>IFERROR(__xludf.DUMMYFUNCTION("""COMPUTED_VALUE"""),"0")</f>
        <v>0</v>
      </c>
      <c r="BI631" s="4">
        <f>IFERROR(__xludf.DUMMYFUNCTION("""COMPUTED_VALUE"""),550.0)</f>
        <v>550</v>
      </c>
      <c r="BJ631" s="1">
        <f>IFERROR(__xludf.DUMMYFUNCTION("""COMPUTED_VALUE"""),0.0)</f>
        <v>0</v>
      </c>
      <c r="BK631" s="4">
        <f>IFERROR(__xludf.DUMMYFUNCTION("""COMPUTED_VALUE"""),550.0)</f>
        <v>550</v>
      </c>
      <c r="BL631" s="1">
        <f>IFERROR(__xludf.DUMMYFUNCTION("""COMPUTED_VALUE"""),940.0)</f>
        <v>940</v>
      </c>
      <c r="BM631" s="1">
        <f>IFERROR(__xludf.DUMMYFUNCTION("""COMPUTED_VALUE"""),13.0)</f>
        <v>13</v>
      </c>
      <c r="BN631" s="2">
        <f>IFERROR(__xludf.DUMMYFUNCTION("""COMPUTED_VALUE"""),45740.0)</f>
        <v>45740</v>
      </c>
      <c r="BO631" s="1">
        <f>IFERROR(__xludf.DUMMYFUNCTION("""COMPUTED_VALUE"""),3.0)</f>
        <v>3</v>
      </c>
      <c r="BP631" s="1">
        <f>IFERROR(__xludf.DUMMYFUNCTION("""COMPUTED_VALUE"""),2025.0)</f>
        <v>2025</v>
      </c>
    </row>
    <row r="632">
      <c r="A632" s="1">
        <f>IFERROR(__xludf.DUMMYFUNCTION("""COMPUTED_VALUE"""),631.0)</f>
        <v>631</v>
      </c>
      <c r="B632" s="1">
        <f>IFERROR(__xludf.DUMMYFUNCTION("""COMPUTED_VALUE"""),5108215.0)</f>
        <v>5108215</v>
      </c>
      <c r="C632" s="1" t="str">
        <f>IFERROR(__xludf.DUMMYFUNCTION("""COMPUTED_VALUE"""),"2025-1")</f>
        <v>2025-1</v>
      </c>
      <c r="D632" s="1" t="str">
        <f>IFERROR(__xludf.DUMMYFUNCTION("""COMPUTED_VALUE"""),"Admisión Ordinaria")</f>
        <v>Admisión Ordinaria</v>
      </c>
      <c r="E632" s="2">
        <f>IFERROR(__xludf.DUMMYFUNCTION("""COMPUTED_VALUE"""),45743.0)</f>
        <v>45743</v>
      </c>
      <c r="F632" s="1" t="str">
        <f>IFERROR(__xludf.DUMMYFUNCTION("""COMPUTED_VALUE"""),"ESTEBAN FABIAN SIXTO ")</f>
        <v>ESTEBAN FABIAN SIXTO </v>
      </c>
      <c r="G632" s="1" t="str">
        <f>IFERROR(__xludf.DUMMYFUNCTION("""COMPUTED_VALUE"""),"JANAMPA BASURTO")</f>
        <v>JANAMPA BASURTO</v>
      </c>
      <c r="H632" s="1" t="str">
        <f>IFERROR(__xludf.DUMMYFUNCTION("""COMPUTED_VALUE"""),"Psicología")</f>
        <v>Psicología</v>
      </c>
      <c r="I632" s="1" t="str">
        <f>IFERROR(__xludf.DUMMYFUNCTION("""COMPUTED_VALUE"""),"CARGO")</f>
        <v>CARGO</v>
      </c>
      <c r="J632" s="1" t="str">
        <f>IFERROR(__xludf.DUMMYFUNCTION("""COMPUTED_VALUE"""),"Diurno")</f>
        <v>Diurno</v>
      </c>
      <c r="K632" s="1" t="str">
        <f>IFERROR(__xludf.DUMMYFUNCTION("""COMPUTED_VALUE"""),"NUEVO")</f>
        <v>NUEVO</v>
      </c>
      <c r="L632" s="1">
        <f>IFERROR(__xludf.DUMMYFUNCTION("""COMPUTED_VALUE"""),0.0)</f>
        <v>0</v>
      </c>
      <c r="M632" s="1">
        <f>IFERROR(__xludf.DUMMYFUNCTION("""COMPUTED_VALUE"""),0.0)</f>
        <v>0</v>
      </c>
      <c r="N632" s="1" t="str">
        <f>IFERROR(__xludf.DUMMYFUNCTION("""COMPUTED_VALUE"""),"BECA")</f>
        <v>BECA</v>
      </c>
      <c r="O632" s="1" t="str">
        <f>IFERROR(__xludf.DUMMYFUNCTION("""COMPUTED_VALUE"""),"BECA CARRERAS NUEVAS")</f>
        <v>BECA CARRERAS NUEVAS</v>
      </c>
      <c r="P632" s="4">
        <f>IFERROR(__xludf.DUMMYFUNCTION("""COMPUTED_VALUE"""),100.0)</f>
        <v>100</v>
      </c>
      <c r="Q632" s="4">
        <f>IFERROR(__xludf.DUMMYFUNCTION("""COMPUTED_VALUE"""),237.5)</f>
        <v>237.5</v>
      </c>
      <c r="R632" s="4">
        <f>IFERROR(__xludf.DUMMYFUNCTION("""COMPUTED_VALUE"""),1100.0)</f>
        <v>1100</v>
      </c>
      <c r="S632" s="4">
        <f>IFERROR(__xludf.DUMMYFUNCTION("""COMPUTED_VALUE"""),950.0)</f>
        <v>950</v>
      </c>
      <c r="T632" s="1" t="str">
        <f>IFERROR(__xludf.DUMMYFUNCTION("""COMPUTED_VALUE"""),"PALANCA 500")</f>
        <v>PALANCA 500</v>
      </c>
      <c r="U632" s="1" t="str">
        <f>IFERROR(__xludf.DUMMYFUNCTION("""COMPUTED_VALUE"""),"RODRIGO")</f>
        <v>RODRIGO</v>
      </c>
      <c r="V632" s="1" t="str">
        <f>IFERROR(__xludf.DUMMYFUNCTION("""COMPUTED_VALUE"""),"Ninguno")</f>
        <v>Ninguno</v>
      </c>
      <c r="W632" s="1" t="str">
        <f>IFERROR(__xludf.DUMMYFUNCTION("""COMPUTED_VALUE"""),"Bolsa Laboral")</f>
        <v>Bolsa Laboral</v>
      </c>
      <c r="X632" s="1" t="str">
        <f>IFERROR(__xludf.DUMMYFUNCTION("""COMPUTED_VALUE"""),"0")</f>
        <v>0</v>
      </c>
      <c r="Y632" s="1" t="str">
        <f>IFERROR(__xludf.DUMMYFUNCTION("""COMPUTED_VALUE"""),"PAGO COMPLETO")</f>
        <v>PAGO COMPLETO</v>
      </c>
      <c r="Z632" s="1"/>
      <c r="AA632" s="1"/>
      <c r="AB632" s="1">
        <f>IFERROR(__xludf.DUMMYFUNCTION("""COMPUTED_VALUE"""),0.0)</f>
        <v>0</v>
      </c>
      <c r="AC632" s="1">
        <f>IFERROR(__xludf.DUMMYFUNCTION("""COMPUTED_VALUE"""),0.0)</f>
        <v>0</v>
      </c>
      <c r="AD632" s="1" t="str">
        <f>IFERROR(__xludf.DUMMYFUNCTION("""COMPUTED_VALUE"""),"Andrea Araujo Antara")</f>
        <v>Andrea Araujo Antara</v>
      </c>
      <c r="AE632" s="1" t="str">
        <f>IFERROR(__xludf.DUMMYFUNCTION("""COMPUTED_VALUE"""),"0")</f>
        <v>0</v>
      </c>
      <c r="AF632" s="1">
        <f>IFERROR(__xludf.DUMMYFUNCTION("""COMPUTED_VALUE"""),2021.0)</f>
        <v>2021</v>
      </c>
      <c r="AG632" s="1">
        <f>IFERROR(__xludf.DUMMYFUNCTION("""COMPUTED_VALUE"""),692434.0)</f>
        <v>692434</v>
      </c>
      <c r="AH632" s="1">
        <f>IFERROR(__xludf.DUMMYFUNCTION("""COMPUTED_VALUE"""),20.0)</f>
        <v>20</v>
      </c>
      <c r="AI632" s="1" t="str">
        <f>IFERROR(__xludf.DUMMYFUNCTION("""COMPUTED_VALUE"""),"0000421584")</f>
        <v>0000421584</v>
      </c>
      <c r="AJ632" s="1">
        <f>IFERROR(__xludf.DUMMYFUNCTION("""COMPUTED_VALUE"""),7.0993734E7)</f>
        <v>70993734</v>
      </c>
      <c r="AK632" s="1">
        <f>IFERROR(__xludf.DUMMYFUNCTION("""COMPUTED_VALUE"""),9.84581225E8)</f>
        <v>984581225</v>
      </c>
      <c r="AL632" s="1" t="str">
        <f>IFERROR(__xludf.DUMMYFUNCTION("""COMPUTED_VALUE"""),"Estebanjanampa23@gmail.com")</f>
        <v>Estebanjanampa23@gmail.com</v>
      </c>
      <c r="AM632" s="1" t="str">
        <f>IFERROR(__xludf.DUMMYFUNCTION("""COMPUTED_VALUE"""),"MASCULINO")</f>
        <v>MASCULINO</v>
      </c>
      <c r="AN632" s="1">
        <f>IFERROR(__xludf.DUMMYFUNCTION("""COMPUTED_VALUE"""),1350.0)</f>
        <v>1350</v>
      </c>
      <c r="AO632" s="1">
        <f>IFERROR(__xludf.DUMMYFUNCTION("""COMPUTED_VALUE"""),0.0)</f>
        <v>0</v>
      </c>
      <c r="AP632" s="1" t="str">
        <f>IFERROR(__xludf.DUMMYFUNCTION("""COMPUTED_VALUE"""),"BIDIRECCIONAL")</f>
        <v>BIDIRECCIONAL</v>
      </c>
      <c r="AQ632" s="1" t="str">
        <f>IFERROR(__xludf.DUMMYFUNCTION("""COMPUTED_VALUE"""),"ORGANICO")</f>
        <v>ORGANICO</v>
      </c>
      <c r="AR632" s="1" t="str">
        <f>IFERROR(__xludf.DUMMYFUNCTION("""COMPUTED_VALUE"""),"NUEVO")</f>
        <v>NUEVO</v>
      </c>
      <c r="AS632" s="1"/>
      <c r="AT632" s="2">
        <f>IFERROR(__xludf.DUMMYFUNCTION("""COMPUTED_VALUE"""),45742.0)</f>
        <v>45742</v>
      </c>
      <c r="AU632" s="1">
        <f>IFERROR(__xludf.DUMMYFUNCTION("""COMPUTED_VALUE"""),1.0)</f>
        <v>1</v>
      </c>
      <c r="AV632" s="1" t="str">
        <f>IFERROR(__xludf.DUMMYFUNCTION("""COMPUTED_VALUE"""),"NUEVO")</f>
        <v>NUEVO</v>
      </c>
      <c r="AW632" s="1" t="str">
        <f>IFERROR(__xludf.DUMMYFUNCTION("""COMPUTED_VALUE"""),"SI")</f>
        <v>SI</v>
      </c>
      <c r="AX632" s="1"/>
      <c r="AY632" s="1" t="str">
        <f>IFERROR(__xludf.DUMMYFUNCTION("""COMPUTED_VALUE"""),"PAGO COMPLETO")</f>
        <v>PAGO COMPLETO</v>
      </c>
      <c r="AZ632" s="5">
        <f>IFERROR(__xludf.DUMMYFUNCTION("""COMPUTED_VALUE"""),45743.0)</f>
        <v>45743</v>
      </c>
      <c r="BA632" s="1">
        <f>IFERROR(__xludf.DUMMYFUNCTION("""COMPUTED_VALUE"""),0.0)</f>
        <v>0</v>
      </c>
      <c r="BB632" s="1">
        <f>IFERROR(__xludf.DUMMYFUNCTION("""COMPUTED_VALUE"""),0.0)</f>
        <v>0</v>
      </c>
      <c r="BC632" s="4">
        <f>IFERROR(__xludf.DUMMYFUNCTION("""COMPUTED_VALUE"""),0.0)</f>
        <v>0</v>
      </c>
      <c r="BD632" s="4">
        <f>IFERROR(__xludf.DUMMYFUNCTION("""COMPUTED_VALUE"""),450.0)</f>
        <v>450</v>
      </c>
      <c r="BE632" s="1">
        <f>IFERROR(__xludf.DUMMYFUNCTION("""COMPUTED_VALUE"""),3.0)</f>
        <v>3</v>
      </c>
      <c r="BF632" s="6">
        <f>IFERROR(__xludf.DUMMYFUNCTION("""COMPUTED_VALUE"""),1.0)</f>
        <v>1</v>
      </c>
      <c r="BG632" s="1">
        <f>IFERROR(__xludf.DUMMYFUNCTION("""COMPUTED_VALUE"""),1.0)</f>
        <v>1</v>
      </c>
      <c r="BH632" s="1" t="str">
        <f>IFERROR(__xludf.DUMMYFUNCTION("""COMPUTED_VALUE"""),"0")</f>
        <v>0</v>
      </c>
      <c r="BI632" s="4">
        <f>IFERROR(__xludf.DUMMYFUNCTION("""COMPUTED_VALUE"""),450.0)</f>
        <v>450</v>
      </c>
      <c r="BJ632" s="1">
        <f>IFERROR(__xludf.DUMMYFUNCTION("""COMPUTED_VALUE"""),0.0)</f>
        <v>0</v>
      </c>
      <c r="BK632" s="4">
        <f>IFERROR(__xludf.DUMMYFUNCTION("""COMPUTED_VALUE"""),450.0)</f>
        <v>450</v>
      </c>
      <c r="BL632" s="1">
        <f>IFERROR(__xludf.DUMMYFUNCTION("""COMPUTED_VALUE"""),860.0)</f>
        <v>860</v>
      </c>
      <c r="BM632" s="1">
        <f>IFERROR(__xludf.DUMMYFUNCTION("""COMPUTED_VALUE"""),13.0)</f>
        <v>13</v>
      </c>
      <c r="BN632" s="2">
        <f>IFERROR(__xludf.DUMMYFUNCTION("""COMPUTED_VALUE"""),45740.0)</f>
        <v>45740</v>
      </c>
      <c r="BO632" s="1">
        <f>IFERROR(__xludf.DUMMYFUNCTION("""COMPUTED_VALUE"""),3.0)</f>
        <v>3</v>
      </c>
      <c r="BP632" s="1">
        <f>IFERROR(__xludf.DUMMYFUNCTION("""COMPUTED_VALUE"""),2025.0)</f>
        <v>2025</v>
      </c>
    </row>
    <row r="633">
      <c r="A633" s="1">
        <f>IFERROR(__xludf.DUMMYFUNCTION("""COMPUTED_VALUE"""),632.0)</f>
        <v>632</v>
      </c>
      <c r="B633" s="1">
        <f>IFERROR(__xludf.DUMMYFUNCTION("""COMPUTED_VALUE"""),2086632.0)</f>
        <v>2086632</v>
      </c>
      <c r="C633" s="1" t="str">
        <f>IFERROR(__xludf.DUMMYFUNCTION("""COMPUTED_VALUE"""),"2025-1")</f>
        <v>2025-1</v>
      </c>
      <c r="D633" s="1" t="str">
        <f>IFERROR(__xludf.DUMMYFUNCTION("""COMPUTED_VALUE"""),"Admisión Extraordinaria (Traslados)")</f>
        <v>Admisión Extraordinaria (Traslados)</v>
      </c>
      <c r="E633" s="2">
        <f>IFERROR(__xludf.DUMMYFUNCTION("""COMPUTED_VALUE"""),45744.0)</f>
        <v>45744</v>
      </c>
      <c r="F633" s="1" t="str">
        <f>IFERROR(__xludf.DUMMYFUNCTION("""COMPUTED_VALUE"""),"JHOAO CARLOS")</f>
        <v>JHOAO CARLOS</v>
      </c>
      <c r="G633" s="1" t="str">
        <f>IFERROR(__xludf.DUMMYFUNCTION("""COMPUTED_VALUE"""),"BUSTAMANTE SILVA")</f>
        <v>BUSTAMANTE SILVA</v>
      </c>
      <c r="H633" s="1" t="str">
        <f>IFERROR(__xludf.DUMMYFUNCTION("""COMPUTED_VALUE"""),"Arquitectura de Interiores")</f>
        <v>Arquitectura de Interiores</v>
      </c>
      <c r="I633" s="1" t="str">
        <f>IFERROR(__xludf.DUMMYFUNCTION("""COMPUTED_VALUE"""),"POS")</f>
        <v>POS</v>
      </c>
      <c r="J633" s="1" t="str">
        <f>IFERROR(__xludf.DUMMYFUNCTION("""COMPUTED_VALUE"""),"Diurno")</f>
        <v>Diurno</v>
      </c>
      <c r="K633" s="1" t="str">
        <f>IFERROR(__xludf.DUMMYFUNCTION("""COMPUTED_VALUE"""),"TRASLADO")</f>
        <v>TRASLADO</v>
      </c>
      <c r="L633" s="1">
        <f>IFERROR(__xludf.DUMMYFUNCTION("""COMPUTED_VALUE"""),1.0)</f>
        <v>1</v>
      </c>
      <c r="M633" s="1">
        <f>IFERROR(__xludf.DUMMYFUNCTION("""COMPUTED_VALUE"""),0.0)</f>
        <v>0</v>
      </c>
      <c r="N633" s="1" t="str">
        <f>IFERROR(__xludf.DUMMYFUNCTION("""COMPUTED_VALUE"""),"RECA")</f>
        <v>RECA</v>
      </c>
      <c r="O633" s="1" t="str">
        <f>IFERROR(__xludf.DUMMYFUNCTION("""COMPUTED_VALUE"""),"RECATEGORIZACIÓN")</f>
        <v>RECATEGORIZACIÓN</v>
      </c>
      <c r="P633" s="4">
        <f>IFERROR(__xludf.DUMMYFUNCTION("""COMPUTED_VALUE"""),0.0)</f>
        <v>0</v>
      </c>
      <c r="Q633" s="4">
        <f>IFERROR(__xludf.DUMMYFUNCTION("""COMPUTED_VALUE"""),0.0)</f>
        <v>0</v>
      </c>
      <c r="R633" s="4">
        <f>IFERROR(__xludf.DUMMYFUNCTION("""COMPUTED_VALUE"""),750.0)</f>
        <v>750</v>
      </c>
      <c r="S633" s="4">
        <f>IFERROR(__xludf.DUMMYFUNCTION("""COMPUTED_VALUE"""),750.0)</f>
        <v>750</v>
      </c>
      <c r="T633" s="1" t="str">
        <f>IFERROR(__xludf.DUMMYFUNCTION("""COMPUTED_VALUE"""),"Ninguno")</f>
        <v>Ninguno</v>
      </c>
      <c r="U633" s="1" t="str">
        <f>IFERROR(__xludf.DUMMYFUNCTION("""COMPUTED_VALUE"""),"FABIOLA")</f>
        <v>FABIOLA</v>
      </c>
      <c r="V633" s="1" t="str">
        <f>IFERROR(__xludf.DUMMYFUNCTION("""COMPUTED_VALUE"""),"Ninguno")</f>
        <v>Ninguno</v>
      </c>
      <c r="W633" s="1" t="str">
        <f>IFERROR(__xludf.DUMMYFUNCTION("""COMPUTED_VALUE"""),"Precio accesible")</f>
        <v>Precio accesible</v>
      </c>
      <c r="X633" s="1"/>
      <c r="Y633" s="1" t="str">
        <f>IFERROR(__xludf.DUMMYFUNCTION("""COMPUTED_VALUE"""),"PAGO COMPLETO")</f>
        <v>PAGO COMPLETO</v>
      </c>
      <c r="Z633" s="1"/>
      <c r="AA633" s="1"/>
      <c r="AB633" s="1">
        <f>IFERROR(__xludf.DUMMYFUNCTION("""COMPUTED_VALUE"""),0.0)</f>
        <v>0</v>
      </c>
      <c r="AC633" s="1">
        <f>IFERROR(__xludf.DUMMYFUNCTION("""COMPUTED_VALUE"""),0.0)</f>
        <v>0</v>
      </c>
      <c r="AD633" s="1" t="str">
        <f>IFERROR(__xludf.DUMMYFUNCTION("""COMPUTED_VALUE"""),"Sergio Valderrama Rodriguez")</f>
        <v>Sergio Valderrama Rodriguez</v>
      </c>
      <c r="AE633" s="1" t="str">
        <f>IFERROR(__xludf.DUMMYFUNCTION("""COMPUTED_VALUE"""),"Abaco")</f>
        <v>Abaco</v>
      </c>
      <c r="AF633" s="1">
        <f>IFERROR(__xludf.DUMMYFUNCTION("""COMPUTED_VALUE"""),2016.0)</f>
        <v>2016</v>
      </c>
      <c r="AG633" s="1">
        <f>IFERROR(__xludf.DUMMYFUNCTION("""COMPUTED_VALUE"""),536029.0)</f>
        <v>536029</v>
      </c>
      <c r="AH633" s="1">
        <f>IFERROR(__xludf.DUMMYFUNCTION("""COMPUTED_VALUE"""),25.0)</f>
        <v>25</v>
      </c>
      <c r="AI633" s="1" t="str">
        <f>IFERROR(__xludf.DUMMYFUNCTION("""COMPUTED_VALUE"""),"0000421548")</f>
        <v>0000421548</v>
      </c>
      <c r="AJ633" s="1">
        <f>IFERROR(__xludf.DUMMYFUNCTION("""COMPUTED_VALUE"""),7.4254865E7)</f>
        <v>74254865</v>
      </c>
      <c r="AK633" s="1">
        <f>IFERROR(__xludf.DUMMYFUNCTION("""COMPUTED_VALUE"""),9.25085262E8)</f>
        <v>925085262</v>
      </c>
      <c r="AL633" s="1" t="str">
        <f>IFERROR(__xludf.DUMMYFUNCTION("""COMPUTED_VALUE"""),"carlosbustamantesilva28@gmail.com")</f>
        <v>carlosbustamantesilva28@gmail.com</v>
      </c>
      <c r="AM633" s="1" t="str">
        <f>IFERROR(__xludf.DUMMYFUNCTION("""COMPUTED_VALUE"""),"MASCULINO")</f>
        <v>MASCULINO</v>
      </c>
      <c r="AN633" s="1">
        <f>IFERROR(__xludf.DUMMYFUNCTION("""COMPUTED_VALUE"""),1350.0)</f>
        <v>1350</v>
      </c>
      <c r="AO633" s="1">
        <f>IFERROR(__xludf.DUMMYFUNCTION("""COMPUTED_VALUE"""),0.0)</f>
        <v>0</v>
      </c>
      <c r="AP633" s="1" t="str">
        <f>IFERROR(__xludf.DUMMYFUNCTION("""COMPUTED_VALUE"""),"BIDIRECCIONAL")</f>
        <v>BIDIRECCIONAL</v>
      </c>
      <c r="AQ633" s="1" t="str">
        <f>IFERROR(__xludf.DUMMYFUNCTION("""COMPUTED_VALUE"""),"ORGANICO")</f>
        <v>ORGANICO</v>
      </c>
      <c r="AR633" s="1" t="str">
        <f>IFERROR(__xludf.DUMMYFUNCTION("""COMPUTED_VALUE"""),"NUEVO")</f>
        <v>NUEVO</v>
      </c>
      <c r="AS633" s="1"/>
      <c r="AT633" s="2">
        <f>IFERROR(__xludf.DUMMYFUNCTION("""COMPUTED_VALUE"""),45738.0)</f>
        <v>45738</v>
      </c>
      <c r="AU633" s="1">
        <f>IFERROR(__xludf.DUMMYFUNCTION("""COMPUTED_VALUE"""),1.0)</f>
        <v>1</v>
      </c>
      <c r="AV633" s="1" t="str">
        <f>IFERROR(__xludf.DUMMYFUNCTION("""COMPUTED_VALUE"""),"TRASLADO")</f>
        <v>TRASLADO</v>
      </c>
      <c r="AW633" s="1" t="str">
        <f>IFERROR(__xludf.DUMMYFUNCTION("""COMPUTED_VALUE"""),"SI")</f>
        <v>SI</v>
      </c>
      <c r="AX633" s="1"/>
      <c r="AY633" s="1" t="str">
        <f>IFERROR(__xludf.DUMMYFUNCTION("""COMPUTED_VALUE"""),"PAGO COMPLETO")</f>
        <v>PAGO COMPLETO</v>
      </c>
      <c r="AZ633" s="5">
        <f>IFERROR(__xludf.DUMMYFUNCTION("""COMPUTED_VALUE"""),45744.0)</f>
        <v>45744</v>
      </c>
      <c r="BA633" s="1">
        <f>IFERROR(__xludf.DUMMYFUNCTION("""COMPUTED_VALUE"""),0.0)</f>
        <v>0</v>
      </c>
      <c r="BB633" s="1">
        <f>IFERROR(__xludf.DUMMYFUNCTION("""COMPUTED_VALUE"""),0.0)</f>
        <v>0</v>
      </c>
      <c r="BC633" s="4">
        <f>IFERROR(__xludf.DUMMYFUNCTION("""COMPUTED_VALUE"""),0.0)</f>
        <v>0</v>
      </c>
      <c r="BD633" s="4">
        <f>IFERROR(__xludf.DUMMYFUNCTION("""COMPUTED_VALUE"""),0.0)</f>
        <v>0</v>
      </c>
      <c r="BE633" s="1">
        <f>IFERROR(__xludf.DUMMYFUNCTION("""COMPUTED_VALUE"""),3.0)</f>
        <v>3</v>
      </c>
      <c r="BF633" s="6">
        <f>IFERROR(__xludf.DUMMYFUNCTION("""COMPUTED_VALUE"""),1.0)</f>
        <v>1</v>
      </c>
      <c r="BG633" s="1">
        <f>IFERROR(__xludf.DUMMYFUNCTION("""COMPUTED_VALUE"""),1.0)</f>
        <v>1</v>
      </c>
      <c r="BH633" s="1" t="str">
        <f>IFERROR(__xludf.DUMMYFUNCTION("""COMPUTED_VALUE"""),"1")</f>
        <v>1</v>
      </c>
      <c r="BI633" s="4">
        <f>IFERROR(__xludf.DUMMYFUNCTION("""COMPUTED_VALUE"""),0.0)</f>
        <v>0</v>
      </c>
      <c r="BJ633" s="1">
        <f>IFERROR(__xludf.DUMMYFUNCTION("""COMPUTED_VALUE"""),0.0)</f>
        <v>0</v>
      </c>
      <c r="BK633" s="4">
        <f>IFERROR(__xludf.DUMMYFUNCTION("""COMPUTED_VALUE"""),0.0)</f>
        <v>0</v>
      </c>
      <c r="BL633" s="1">
        <f>IFERROR(__xludf.DUMMYFUNCTION("""COMPUTED_VALUE"""),750.0)</f>
        <v>750</v>
      </c>
      <c r="BM633" s="1">
        <f>IFERROR(__xludf.DUMMYFUNCTION("""COMPUTED_VALUE"""),13.0)</f>
        <v>13</v>
      </c>
      <c r="BN633" s="2">
        <f>IFERROR(__xludf.DUMMYFUNCTION("""COMPUTED_VALUE"""),45740.0)</f>
        <v>45740</v>
      </c>
      <c r="BO633" s="1">
        <f>IFERROR(__xludf.DUMMYFUNCTION("""COMPUTED_VALUE"""),3.0)</f>
        <v>3</v>
      </c>
      <c r="BP633" s="1">
        <f>IFERROR(__xludf.DUMMYFUNCTION("""COMPUTED_VALUE"""),2025.0)</f>
        <v>2025</v>
      </c>
    </row>
    <row r="634">
      <c r="A634" s="1">
        <f>IFERROR(__xludf.DUMMYFUNCTION("""COMPUTED_VALUE"""),633.0)</f>
        <v>633</v>
      </c>
      <c r="B634" s="1">
        <f>IFERROR(__xludf.DUMMYFUNCTION("""COMPUTED_VALUE"""),1398345.0)</f>
        <v>1398345</v>
      </c>
      <c r="C634" s="1" t="str">
        <f>IFERROR(__xludf.DUMMYFUNCTION("""COMPUTED_VALUE"""),"2025-1")</f>
        <v>2025-1</v>
      </c>
      <c r="D634" s="1" t="str">
        <f>IFERROR(__xludf.DUMMYFUNCTION("""COMPUTED_VALUE"""),"Admisión Extraordinaria (Traslados)")</f>
        <v>Admisión Extraordinaria (Traslados)</v>
      </c>
      <c r="E634" s="2">
        <f>IFERROR(__xludf.DUMMYFUNCTION("""COMPUTED_VALUE"""),45744.0)</f>
        <v>45744</v>
      </c>
      <c r="F634" s="1" t="str">
        <f>IFERROR(__xludf.DUMMYFUNCTION("""COMPUTED_VALUE"""),"JAZMIN NICOLE ")</f>
        <v>JAZMIN NICOLE </v>
      </c>
      <c r="G634" s="1" t="str">
        <f>IFERROR(__xludf.DUMMYFUNCTION("""COMPUTED_VALUE"""),"MAGNO MELGAR")</f>
        <v>MAGNO MELGAR</v>
      </c>
      <c r="H634" s="1" t="str">
        <f>IFERROR(__xludf.DUMMYFUNCTION("""COMPUTED_VALUE"""),"Arquitectura")</f>
        <v>Arquitectura</v>
      </c>
      <c r="I634" s="1" t="str">
        <f>IFERROR(__xludf.DUMMYFUNCTION("""COMPUTED_VALUE"""),"CARGO")</f>
        <v>CARGO</v>
      </c>
      <c r="J634" s="1" t="str">
        <f>IFERROR(__xludf.DUMMYFUNCTION("""COMPUTED_VALUE"""),"Diurno")</f>
        <v>Diurno</v>
      </c>
      <c r="K634" s="1" t="str">
        <f>IFERROR(__xludf.DUMMYFUNCTION("""COMPUTED_VALUE"""),"TRASLADO")</f>
        <v>TRASLADO</v>
      </c>
      <c r="L634" s="1">
        <f>IFERROR(__xludf.DUMMYFUNCTION("""COMPUTED_VALUE"""),1.0)</f>
        <v>1</v>
      </c>
      <c r="M634" s="1">
        <f>IFERROR(__xludf.DUMMYFUNCTION("""COMPUTED_VALUE"""),0.0)</f>
        <v>0</v>
      </c>
      <c r="N634" s="1" t="str">
        <f>IFERROR(__xludf.DUMMYFUNCTION("""COMPUTED_VALUE"""),"RECA")</f>
        <v>RECA</v>
      </c>
      <c r="O634" s="1" t="str">
        <f>IFERROR(__xludf.DUMMYFUNCTION("""COMPUTED_VALUE"""),"RECATEGORIZACIÓN")</f>
        <v>RECATEGORIZACIÓN</v>
      </c>
      <c r="P634" s="4">
        <f>IFERROR(__xludf.DUMMYFUNCTION("""COMPUTED_VALUE"""),0.0)</f>
        <v>0</v>
      </c>
      <c r="Q634" s="4">
        <f>IFERROR(__xludf.DUMMYFUNCTION("""COMPUTED_VALUE"""),0.0)</f>
        <v>0</v>
      </c>
      <c r="R634" s="4">
        <f>IFERROR(__xludf.DUMMYFUNCTION("""COMPUTED_VALUE"""),1350.0)</f>
        <v>1350</v>
      </c>
      <c r="S634" s="4">
        <f>IFERROR(__xludf.DUMMYFUNCTION("""COMPUTED_VALUE"""),600.0)</f>
        <v>600</v>
      </c>
      <c r="T634" s="1" t="str">
        <f>IFERROR(__xludf.DUMMYFUNCTION("""COMPUTED_VALUE"""),"Ninguno")</f>
        <v>Ninguno</v>
      </c>
      <c r="U634" s="1" t="str">
        <f>IFERROR(__xludf.DUMMYFUNCTION("""COMPUTED_VALUE"""),"RODRIGO")</f>
        <v>RODRIGO</v>
      </c>
      <c r="V634" s="1" t="str">
        <f>IFERROR(__xludf.DUMMYFUNCTION("""COMPUTED_VALUE"""),"Ninguno")</f>
        <v>Ninguno</v>
      </c>
      <c r="W634" s="1" t="str">
        <f>IFERROR(__xludf.DUMMYFUNCTION("""COMPUTED_VALUE"""),"Metodología de enseñanza")</f>
        <v>Metodología de enseñanza</v>
      </c>
      <c r="X634" s="1" t="str">
        <f>IFERROR(__xludf.DUMMYFUNCTION("""COMPUTED_VALUE"""),"escala por base de perdidos de convalidacion")</f>
        <v>escala por base de perdidos de convalidacion</v>
      </c>
      <c r="Y634" s="1" t="str">
        <f>IFERROR(__xludf.DUMMYFUNCTION("""COMPUTED_VALUE"""),"PAGO COMPLETO")</f>
        <v>PAGO COMPLETO</v>
      </c>
      <c r="Z634" s="1"/>
      <c r="AA634" s="1"/>
      <c r="AB634" s="1">
        <f>IFERROR(__xludf.DUMMYFUNCTION("""COMPUTED_VALUE"""),0.0)</f>
        <v>0</v>
      </c>
      <c r="AC634" s="1">
        <f>IFERROR(__xludf.DUMMYFUNCTION("""COMPUTED_VALUE"""),0.0)</f>
        <v>0</v>
      </c>
      <c r="AD634" s="1" t="str">
        <f>IFERROR(__xludf.DUMMYFUNCTION("""COMPUTED_VALUE"""),"Rosa Ugarte")</f>
        <v>Rosa Ugarte</v>
      </c>
      <c r="AE634" s="1" t="str">
        <f>IFERROR(__xludf.DUMMYFUNCTION("""COMPUTED_VALUE"""),"Universidad Privada del Norte(UPN)")</f>
        <v>Universidad Privada del Norte(UPN)</v>
      </c>
      <c r="AF634" s="1">
        <f>IFERROR(__xludf.DUMMYFUNCTION("""COMPUTED_VALUE"""),2021.0)</f>
        <v>2021</v>
      </c>
      <c r="AG634" s="1">
        <f>IFERROR(__xludf.DUMMYFUNCTION("""COMPUTED_VALUE"""),885285.0)</f>
        <v>885285</v>
      </c>
      <c r="AH634" s="1">
        <f>IFERROR(__xludf.DUMMYFUNCTION("""COMPUTED_VALUE"""),27.0)</f>
        <v>27</v>
      </c>
      <c r="AI634" s="1" t="str">
        <f>IFERROR(__xludf.DUMMYFUNCTION("""COMPUTED_VALUE"""),"0000419292")</f>
        <v>0000419292</v>
      </c>
      <c r="AJ634" s="1">
        <f>IFERROR(__xludf.DUMMYFUNCTION("""COMPUTED_VALUE"""),7.0141338E7)</f>
        <v>70141338</v>
      </c>
      <c r="AK634" s="1">
        <f>IFERROR(__xludf.DUMMYFUNCTION("""COMPUTED_VALUE"""),9.00764468E8)</f>
        <v>900764468</v>
      </c>
      <c r="AL634" s="1" t="str">
        <f>IFERROR(__xludf.DUMMYFUNCTION("""COMPUTED_VALUE"""),"jazminmagnomelgar@gmail.com")</f>
        <v>jazminmagnomelgar@gmail.com</v>
      </c>
      <c r="AM634" s="1" t="str">
        <f>IFERROR(__xludf.DUMMYFUNCTION("""COMPUTED_VALUE"""),"FEMENINO")</f>
        <v>FEMENINO</v>
      </c>
      <c r="AN634" s="1">
        <f>IFERROR(__xludf.DUMMYFUNCTION("""COMPUTED_VALUE"""),1525.0)</f>
        <v>1525</v>
      </c>
      <c r="AO634" s="1">
        <f>IFERROR(__xludf.DUMMYFUNCTION("""COMPUTED_VALUE"""),200.0)</f>
        <v>200</v>
      </c>
      <c r="AP634" s="1" t="str">
        <f>IFERROR(__xludf.DUMMYFUNCTION("""COMPUTED_VALUE"""),"FORMULARIO")</f>
        <v>FORMULARIO</v>
      </c>
      <c r="AQ634" s="1" t="str">
        <f>IFERROR(__xludf.DUMMYFUNCTION("""COMPUTED_VALUE"""),"ORGANICO")</f>
        <v>ORGANICO</v>
      </c>
      <c r="AR634" s="1" t="str">
        <f>IFERROR(__xludf.DUMMYFUNCTION("""COMPUTED_VALUE"""),"NUEVO")</f>
        <v>NUEVO</v>
      </c>
      <c r="AS634" s="1"/>
      <c r="AT634" s="2">
        <f>IFERROR(__xludf.DUMMYFUNCTION("""COMPUTED_VALUE"""),45648.0)</f>
        <v>45648</v>
      </c>
      <c r="AU634" s="1">
        <f>IFERROR(__xludf.DUMMYFUNCTION("""COMPUTED_VALUE"""),1.0)</f>
        <v>1</v>
      </c>
      <c r="AV634" s="1" t="str">
        <f>IFERROR(__xludf.DUMMYFUNCTION("""COMPUTED_VALUE"""),"TRASLADO")</f>
        <v>TRASLADO</v>
      </c>
      <c r="AW634" s="1" t="str">
        <f>IFERROR(__xludf.DUMMYFUNCTION("""COMPUTED_VALUE"""),"SI")</f>
        <v>SI</v>
      </c>
      <c r="AX634" s="1"/>
      <c r="AY634" s="1" t="str">
        <f>IFERROR(__xludf.DUMMYFUNCTION("""COMPUTED_VALUE"""),"PAGO COMPLETO")</f>
        <v>PAGO COMPLETO</v>
      </c>
      <c r="AZ634" s="5">
        <f>IFERROR(__xludf.DUMMYFUNCTION("""COMPUTED_VALUE"""),45744.0)</f>
        <v>45744</v>
      </c>
      <c r="BA634" s="1">
        <f>IFERROR(__xludf.DUMMYFUNCTION("""COMPUTED_VALUE"""),0.0)</f>
        <v>0</v>
      </c>
      <c r="BB634" s="1">
        <f>IFERROR(__xludf.DUMMYFUNCTION("""COMPUTED_VALUE"""),0.0)</f>
        <v>0</v>
      </c>
      <c r="BC634" s="4">
        <f>IFERROR(__xludf.DUMMYFUNCTION("""COMPUTED_VALUE"""),0.0)</f>
        <v>0</v>
      </c>
      <c r="BD634" s="4">
        <f>IFERROR(__xludf.DUMMYFUNCTION("""COMPUTED_VALUE"""),0.0)</f>
        <v>0</v>
      </c>
      <c r="BE634" s="1">
        <f>IFERROR(__xludf.DUMMYFUNCTION("""COMPUTED_VALUE"""),3.0)</f>
        <v>3</v>
      </c>
      <c r="BF634" s="6">
        <f>IFERROR(__xludf.DUMMYFUNCTION("""COMPUTED_VALUE"""),1.0)</f>
        <v>1</v>
      </c>
      <c r="BG634" s="1">
        <f>IFERROR(__xludf.DUMMYFUNCTION("""COMPUTED_VALUE"""),1.0)</f>
        <v>1</v>
      </c>
      <c r="BH634" s="1" t="str">
        <f>IFERROR(__xludf.DUMMYFUNCTION("""COMPUTED_VALUE"""),"1")</f>
        <v>1</v>
      </c>
      <c r="BI634" s="4">
        <f>IFERROR(__xludf.DUMMYFUNCTION("""COMPUTED_VALUE"""),0.0)</f>
        <v>0</v>
      </c>
      <c r="BJ634" s="1">
        <f>IFERROR(__xludf.DUMMYFUNCTION("""COMPUTED_VALUE"""),0.0)</f>
        <v>0</v>
      </c>
      <c r="BK634" s="4">
        <f>IFERROR(__xludf.DUMMYFUNCTION("""COMPUTED_VALUE"""),0.0)</f>
        <v>0</v>
      </c>
      <c r="BL634" s="1">
        <f>IFERROR(__xludf.DUMMYFUNCTION("""COMPUTED_VALUE"""),600.0)</f>
        <v>600</v>
      </c>
      <c r="BM634" s="1">
        <f>IFERROR(__xludf.DUMMYFUNCTION("""COMPUTED_VALUE"""),13.0)</f>
        <v>13</v>
      </c>
      <c r="BN634" s="2">
        <f>IFERROR(__xludf.DUMMYFUNCTION("""COMPUTED_VALUE"""),45740.0)</f>
        <v>45740</v>
      </c>
      <c r="BO634" s="1">
        <f>IFERROR(__xludf.DUMMYFUNCTION("""COMPUTED_VALUE"""),3.0)</f>
        <v>3</v>
      </c>
      <c r="BP634" s="1">
        <f>IFERROR(__xludf.DUMMYFUNCTION("""COMPUTED_VALUE"""),2025.0)</f>
        <v>2025</v>
      </c>
    </row>
    <row r="635">
      <c r="A635" s="1">
        <f>IFERROR(__xludf.DUMMYFUNCTION("""COMPUTED_VALUE"""),634.0)</f>
        <v>634</v>
      </c>
      <c r="B635" s="1">
        <f>IFERROR(__xludf.DUMMYFUNCTION("""COMPUTED_VALUE"""),1641335.0)</f>
        <v>1641335</v>
      </c>
      <c r="C635" s="1" t="str">
        <f>IFERROR(__xludf.DUMMYFUNCTION("""COMPUTED_VALUE"""),"2025-1")</f>
        <v>2025-1</v>
      </c>
      <c r="D635" s="1" t="str">
        <f>IFERROR(__xludf.DUMMYFUNCTION("""COMPUTED_VALUE"""),"Admisión Ordinaria")</f>
        <v>Admisión Ordinaria</v>
      </c>
      <c r="E635" s="2">
        <f>IFERROR(__xludf.DUMMYFUNCTION("""COMPUTED_VALUE"""),45745.0)</f>
        <v>45745</v>
      </c>
      <c r="F635" s="1" t="str">
        <f>IFERROR(__xludf.DUMMYFUNCTION("""COMPUTED_VALUE"""),"LUCILA TRAYSY ")</f>
        <v>LUCILA TRAYSY </v>
      </c>
      <c r="G635" s="1" t="str">
        <f>IFERROR(__xludf.DUMMYFUNCTION("""COMPUTED_VALUE"""),"CHANAME RUIZ")</f>
        <v>CHANAME RUIZ</v>
      </c>
      <c r="H635" s="1" t="str">
        <f>IFERROR(__xludf.DUMMYFUNCTION("""COMPUTED_VALUE"""),"Diseño Gráfico Publicitario")</f>
        <v>Diseño Gráfico Publicitario</v>
      </c>
      <c r="I635" s="1" t="str">
        <f>IFERROR(__xludf.DUMMYFUNCTION("""COMPUTED_VALUE"""),"CARGO")</f>
        <v>CARGO</v>
      </c>
      <c r="J635" s="1" t="str">
        <f>IFERROR(__xludf.DUMMYFUNCTION("""COMPUTED_VALUE"""),"Diurno")</f>
        <v>Diurno</v>
      </c>
      <c r="K635" s="1" t="str">
        <f>IFERROR(__xludf.DUMMYFUNCTION("""COMPUTED_VALUE"""),"NUEVO")</f>
        <v>NUEVO</v>
      </c>
      <c r="L635" s="1">
        <f>IFERROR(__xludf.DUMMYFUNCTION("""COMPUTED_VALUE"""),0.0)</f>
        <v>0</v>
      </c>
      <c r="M635" s="1">
        <f>IFERROR(__xludf.DUMMYFUNCTION("""COMPUTED_VALUE"""),0.0)</f>
        <v>0</v>
      </c>
      <c r="N635" s="1" t="str">
        <f>IFERROR(__xludf.DUMMYFUNCTION("""COMPUTED_VALUE"""),"BECA")</f>
        <v>BECA</v>
      </c>
      <c r="O635" s="1" t="str">
        <f>IFERROR(__xludf.DUMMYFUNCTION("""COMPUTED_VALUE"""),"BECA DGP")</f>
        <v>BECA DGP</v>
      </c>
      <c r="P635" s="4">
        <f>IFERROR(__xludf.DUMMYFUNCTION("""COMPUTED_VALUE"""),100.0)</f>
        <v>100</v>
      </c>
      <c r="Q635" s="4">
        <f>IFERROR(__xludf.DUMMYFUNCTION("""COMPUTED_VALUE"""),250.0)</f>
        <v>250</v>
      </c>
      <c r="R635" s="4">
        <f>IFERROR(__xludf.DUMMYFUNCTION("""COMPUTED_VALUE"""),950.0)</f>
        <v>950</v>
      </c>
      <c r="S635" s="4">
        <f>IFERROR(__xludf.DUMMYFUNCTION("""COMPUTED_VALUE"""),800.0)</f>
        <v>800</v>
      </c>
      <c r="T635" s="1" t="str">
        <f>IFERROR(__xludf.DUMMYFUNCTION("""COMPUTED_VALUE"""),"Reconocemos tu primera boleta")</f>
        <v>Reconocemos tu primera boleta</v>
      </c>
      <c r="U635" s="1"/>
      <c r="V635" s="1" t="str">
        <f>IFERROR(__xludf.DUMMYFUNCTION("""COMPUTED_VALUE"""),"Ninguno")</f>
        <v>Ninguno</v>
      </c>
      <c r="W635" s="1" t="str">
        <f>IFERROR(__xludf.DUMMYFUNCTION("""COMPUTED_VALUE"""),"Beca")</f>
        <v>Beca</v>
      </c>
      <c r="X635" s="1" t="str">
        <f>IFERROR(__xludf.DUMMYFUNCTION("""COMPUTED_VALUE"""),"le gusta la universidad ")</f>
        <v>le gusta la universidad </v>
      </c>
      <c r="Y635" s="1" t="str">
        <f>IFERROR(__xludf.DUMMYFUNCTION("""COMPUTED_VALUE"""),"PAGO COMPLETO")</f>
        <v>PAGO COMPLETO</v>
      </c>
      <c r="Z635" s="1"/>
      <c r="AA635" s="1"/>
      <c r="AB635" s="1">
        <f>IFERROR(__xludf.DUMMYFUNCTION("""COMPUTED_VALUE"""),0.0)</f>
        <v>0</v>
      </c>
      <c r="AC635" s="1">
        <f>IFERROR(__xludf.DUMMYFUNCTION("""COMPUTED_VALUE"""),0.0)</f>
        <v>0</v>
      </c>
      <c r="AD635" s="1" t="str">
        <f>IFERROR(__xludf.DUMMYFUNCTION("""COMPUTED_VALUE"""),"Daniel Zapata")</f>
        <v>Daniel Zapata</v>
      </c>
      <c r="AE635" s="1" t="str">
        <f>IFERROR(__xludf.DUMMYFUNCTION("""COMPUTED_VALUE"""),"0")</f>
        <v>0</v>
      </c>
      <c r="AF635" s="1">
        <f>IFERROR(__xludf.DUMMYFUNCTION("""COMPUTED_VALUE"""),2022.0)</f>
        <v>2022</v>
      </c>
      <c r="AG635" s="1">
        <f>IFERROR(__xludf.DUMMYFUNCTION("""COMPUTED_VALUE"""),325472.0)</f>
        <v>325472</v>
      </c>
      <c r="AH635" s="1">
        <f>IFERROR(__xludf.DUMMYFUNCTION("""COMPUTED_VALUE"""),19.0)</f>
        <v>19</v>
      </c>
      <c r="AI635" s="1" t="str">
        <f>IFERROR(__xludf.DUMMYFUNCTION("""COMPUTED_VALUE"""),"0000421644")</f>
        <v>0000421644</v>
      </c>
      <c r="AJ635" s="1">
        <f>IFERROR(__xludf.DUMMYFUNCTION("""COMPUTED_VALUE"""),7.6012719E7)</f>
        <v>76012719</v>
      </c>
      <c r="AK635" s="1">
        <f>IFERROR(__xludf.DUMMYFUNCTION("""COMPUTED_VALUE"""),9.34930269E8)</f>
        <v>934930269</v>
      </c>
      <c r="AL635" s="1" t="str">
        <f>IFERROR(__xludf.DUMMYFUNCTION("""COMPUTED_VALUE"""),"lucilachanameruiz@gmail.com")</f>
        <v>lucilachanameruiz@gmail.com</v>
      </c>
      <c r="AM635" s="1" t="str">
        <f>IFERROR(__xludf.DUMMYFUNCTION("""COMPUTED_VALUE"""),"FEMENINO")</f>
        <v>FEMENINO</v>
      </c>
      <c r="AN635" s="1">
        <f>IFERROR(__xludf.DUMMYFUNCTION("""COMPUTED_VALUE"""),1350.0)</f>
        <v>1350</v>
      </c>
      <c r="AO635" s="1">
        <f>IFERROR(__xludf.DUMMYFUNCTION("""COMPUTED_VALUE"""),0.0)</f>
        <v>0</v>
      </c>
      <c r="AP635" s="1" t="str">
        <f>IFERROR(__xludf.DUMMYFUNCTION("""COMPUTED_VALUE"""),"FORMULARIO")</f>
        <v>FORMULARIO</v>
      </c>
      <c r="AQ635" s="1" t="str">
        <f>IFERROR(__xludf.DUMMYFUNCTION("""COMPUTED_VALUE"""),"ORGANICO")</f>
        <v>ORGANICO</v>
      </c>
      <c r="AR635" s="1" t="str">
        <f>IFERROR(__xludf.DUMMYFUNCTION("""COMPUTED_VALUE"""),"HEREDADO")</f>
        <v>HEREDADO</v>
      </c>
      <c r="AS635" s="1"/>
      <c r="AT635" s="2">
        <f>IFERROR(__xludf.DUMMYFUNCTION("""COMPUTED_VALUE"""),45743.0)</f>
        <v>45743</v>
      </c>
      <c r="AU635" s="1">
        <f>IFERROR(__xludf.DUMMYFUNCTION("""COMPUTED_VALUE"""),1.0)</f>
        <v>1</v>
      </c>
      <c r="AV635" s="1" t="str">
        <f>IFERROR(__xludf.DUMMYFUNCTION("""COMPUTED_VALUE"""),"NUEVO")</f>
        <v>NUEVO</v>
      </c>
      <c r="AW635" s="1" t="str">
        <f>IFERROR(__xludf.DUMMYFUNCTION("""COMPUTED_VALUE"""),"SI")</f>
        <v>SI</v>
      </c>
      <c r="AX635" s="1"/>
      <c r="AY635" s="1" t="str">
        <f>IFERROR(__xludf.DUMMYFUNCTION("""COMPUTED_VALUE"""),"PAGO COMPLETO")</f>
        <v>PAGO COMPLETO</v>
      </c>
      <c r="AZ635" s="5">
        <f>IFERROR(__xludf.DUMMYFUNCTION("""COMPUTED_VALUE"""),45744.0)</f>
        <v>45744</v>
      </c>
      <c r="BA635" s="1">
        <f>IFERROR(__xludf.DUMMYFUNCTION("""COMPUTED_VALUE"""),0.0)</f>
        <v>0</v>
      </c>
      <c r="BB635" s="1">
        <f>IFERROR(__xludf.DUMMYFUNCTION("""COMPUTED_VALUE"""),0.0)</f>
        <v>0</v>
      </c>
      <c r="BC635" s="4">
        <f>IFERROR(__xludf.DUMMYFUNCTION("""COMPUTED_VALUE"""),0.0)</f>
        <v>0</v>
      </c>
      <c r="BD635" s="4">
        <f>IFERROR(__xludf.DUMMYFUNCTION("""COMPUTED_VALUE"""),800.0)</f>
        <v>800</v>
      </c>
      <c r="BE635" s="1">
        <f>IFERROR(__xludf.DUMMYFUNCTION("""COMPUTED_VALUE"""),3.0)</f>
        <v>3</v>
      </c>
      <c r="BF635" s="6">
        <f>IFERROR(__xludf.DUMMYFUNCTION("""COMPUTED_VALUE"""),1.0)</f>
        <v>1</v>
      </c>
      <c r="BG635" s="1"/>
      <c r="BH635" s="1" t="str">
        <f>IFERROR(__xludf.DUMMYFUNCTION("""COMPUTED_VALUE"""),"0")</f>
        <v>0</v>
      </c>
      <c r="BI635" s="4">
        <f>IFERROR(__xludf.DUMMYFUNCTION("""COMPUTED_VALUE"""),800.0)</f>
        <v>800</v>
      </c>
      <c r="BJ635" s="1">
        <f>IFERROR(__xludf.DUMMYFUNCTION("""COMPUTED_VALUE"""),0.0)</f>
        <v>0</v>
      </c>
      <c r="BK635" s="4">
        <f>IFERROR(__xludf.DUMMYFUNCTION("""COMPUTED_VALUE"""),800.0)</f>
        <v>800</v>
      </c>
      <c r="BL635" s="1">
        <f>IFERROR(__xludf.DUMMYFUNCTION("""COMPUTED_VALUE"""),640.0)</f>
        <v>640</v>
      </c>
      <c r="BM635" s="1">
        <f>IFERROR(__xludf.DUMMYFUNCTION("""COMPUTED_VALUE"""),13.0)</f>
        <v>13</v>
      </c>
      <c r="BN635" s="2">
        <f>IFERROR(__xludf.DUMMYFUNCTION("""COMPUTED_VALUE"""),45740.0)</f>
        <v>45740</v>
      </c>
      <c r="BO635" s="1">
        <f>IFERROR(__xludf.DUMMYFUNCTION("""COMPUTED_VALUE"""),3.0)</f>
        <v>3</v>
      </c>
      <c r="BP635" s="1">
        <f>IFERROR(__xludf.DUMMYFUNCTION("""COMPUTED_VALUE"""),2025.0)</f>
        <v>2025</v>
      </c>
    </row>
    <row r="636">
      <c r="A636" s="1">
        <f>IFERROR(__xludf.DUMMYFUNCTION("""COMPUTED_VALUE"""),635.0)</f>
        <v>635</v>
      </c>
      <c r="B636" s="1">
        <f>IFERROR(__xludf.DUMMYFUNCTION("""COMPUTED_VALUE"""),4979983.0)</f>
        <v>4979983</v>
      </c>
      <c r="C636" s="1" t="str">
        <f>IFERROR(__xludf.DUMMYFUNCTION("""COMPUTED_VALUE"""),"2025-1")</f>
        <v>2025-1</v>
      </c>
      <c r="D636" s="1" t="str">
        <f>IFERROR(__xludf.DUMMYFUNCTION("""COMPUTED_VALUE"""),"Admisión Ordinaria")</f>
        <v>Admisión Ordinaria</v>
      </c>
      <c r="E636" s="2">
        <f>IFERROR(__xludf.DUMMYFUNCTION("""COMPUTED_VALUE"""),45745.0)</f>
        <v>45745</v>
      </c>
      <c r="F636" s="1" t="str">
        <f>IFERROR(__xludf.DUMMYFUNCTION("""COMPUTED_VALUE"""),"ALVARO STEFANO")</f>
        <v>ALVARO STEFANO</v>
      </c>
      <c r="G636" s="1" t="str">
        <f>IFERROR(__xludf.DUMMYFUNCTION("""COMPUTED_VALUE"""),"ANGELES LANDA")</f>
        <v>ANGELES LANDA</v>
      </c>
      <c r="H636" s="1" t="str">
        <f>IFERROR(__xludf.DUMMYFUNCTION("""COMPUTED_VALUE"""),"Diseño Gráfico Publicitario")</f>
        <v>Diseño Gráfico Publicitario</v>
      </c>
      <c r="I636" s="1" t="str">
        <f>IFERROR(__xludf.DUMMYFUNCTION("""COMPUTED_VALUE"""),"Pago Link")</f>
        <v>Pago Link</v>
      </c>
      <c r="J636" s="1" t="str">
        <f>IFERROR(__xludf.DUMMYFUNCTION("""COMPUTED_VALUE"""),"Diurno")</f>
        <v>Diurno</v>
      </c>
      <c r="K636" s="1" t="str">
        <f>IFERROR(__xludf.DUMMYFUNCTION("""COMPUTED_VALUE"""),"NUEVO")</f>
        <v>NUEVO</v>
      </c>
      <c r="L636" s="1">
        <f>IFERROR(__xludf.DUMMYFUNCTION("""COMPUTED_VALUE"""),0.0)</f>
        <v>0</v>
      </c>
      <c r="M636" s="1">
        <f>IFERROR(__xludf.DUMMYFUNCTION("""COMPUTED_VALUE"""),0.0)</f>
        <v>0</v>
      </c>
      <c r="N636" s="1" t="str">
        <f>IFERROR(__xludf.DUMMYFUNCTION("""COMPUTED_VALUE"""),"BECA")</f>
        <v>BECA</v>
      </c>
      <c r="O636" s="1" t="str">
        <f>IFERROR(__xludf.DUMMYFUNCTION("""COMPUTED_VALUE"""),"BECA CONGELADA DE 2 AÑOS")</f>
        <v>BECA CONGELADA DE 2 AÑOS</v>
      </c>
      <c r="P636" s="4">
        <f>IFERROR(__xludf.DUMMYFUNCTION("""COMPUTED_VALUE"""),0.0)</f>
        <v>0</v>
      </c>
      <c r="Q636" s="4">
        <f>IFERROR(__xludf.DUMMYFUNCTION("""COMPUTED_VALUE"""),0.0)</f>
        <v>0</v>
      </c>
      <c r="R636" s="4">
        <f>IFERROR(__xludf.DUMMYFUNCTION("""COMPUTED_VALUE"""),950.0)</f>
        <v>950</v>
      </c>
      <c r="S636" s="4">
        <f>IFERROR(__xludf.DUMMYFUNCTION("""COMPUTED_VALUE"""),800.0)</f>
        <v>800</v>
      </c>
      <c r="T636" s="1" t="str">
        <f>IFERROR(__xludf.DUMMYFUNCTION("""COMPUTED_VALUE"""),"PALANCA 500")</f>
        <v>PALANCA 500</v>
      </c>
      <c r="U636" s="1" t="str">
        <f>IFERROR(__xludf.DUMMYFUNCTION("""COMPUTED_VALUE"""),"RODRIGO")</f>
        <v>RODRIGO</v>
      </c>
      <c r="V636" s="1" t="str">
        <f>IFERROR(__xludf.DUMMYFUNCTION("""COMPUTED_VALUE"""),"Ninguno")</f>
        <v>Ninguno</v>
      </c>
      <c r="W636" s="1" t="str">
        <f>IFERROR(__xludf.DUMMYFUNCTION("""COMPUTED_VALUE"""),"Metodología de enseñanza")</f>
        <v>Metodología de enseñanza</v>
      </c>
      <c r="X636" s="1"/>
      <c r="Y636" s="1" t="str">
        <f>IFERROR(__xludf.DUMMYFUNCTION("""COMPUTED_VALUE"""),"PAGO COMPLETO")</f>
        <v>PAGO COMPLETO</v>
      </c>
      <c r="Z636" s="1"/>
      <c r="AA636" s="1"/>
      <c r="AB636" s="1">
        <f>IFERROR(__xludf.DUMMYFUNCTION("""COMPUTED_VALUE"""),0.0)</f>
        <v>0</v>
      </c>
      <c r="AC636" s="1">
        <f>IFERROR(__xludf.DUMMYFUNCTION("""COMPUTED_VALUE"""),0.0)</f>
        <v>0</v>
      </c>
      <c r="AD636" s="1" t="str">
        <f>IFERROR(__xludf.DUMMYFUNCTION("""COMPUTED_VALUE"""),"Angelica Iparraguirre")</f>
        <v>Angelica Iparraguirre</v>
      </c>
      <c r="AE636" s="1" t="str">
        <f>IFERROR(__xludf.DUMMYFUNCTION("""COMPUTED_VALUE"""),"0")</f>
        <v>0</v>
      </c>
      <c r="AF636" s="1">
        <f>IFERROR(__xludf.DUMMYFUNCTION("""COMPUTED_VALUE"""),2023.0)</f>
        <v>2023</v>
      </c>
      <c r="AG636" s="1">
        <f>IFERROR(__xludf.DUMMYFUNCTION("""COMPUTED_VALUE"""),329243.0)</f>
        <v>329243</v>
      </c>
      <c r="AH636" s="1">
        <f>IFERROR(__xludf.DUMMYFUNCTION("""COMPUTED_VALUE"""),18.0)</f>
        <v>18</v>
      </c>
      <c r="AI636" s="1" t="str">
        <f>IFERROR(__xludf.DUMMYFUNCTION("""COMPUTED_VALUE"""),"0000073520")</f>
        <v>0000073520</v>
      </c>
      <c r="AJ636" s="1">
        <f>IFERROR(__xludf.DUMMYFUNCTION("""COMPUTED_VALUE"""),6.2053261E7)</f>
        <v>62053261</v>
      </c>
      <c r="AK636" s="1">
        <f>IFERROR(__xludf.DUMMYFUNCTION("""COMPUTED_VALUE"""),9.86641857E8)</f>
        <v>986641857</v>
      </c>
      <c r="AL636" s="1" t="str">
        <f>IFERROR(__xludf.DUMMYFUNCTION("""COMPUTED_VALUE"""),"alvaroangeleslanda@gmail.com")</f>
        <v>alvaroangeleslanda@gmail.com</v>
      </c>
      <c r="AM636" s="1" t="str">
        <f>IFERROR(__xludf.DUMMYFUNCTION("""COMPUTED_VALUE"""),"MASCULINO")</f>
        <v>MASCULINO</v>
      </c>
      <c r="AN636" s="1">
        <f>IFERROR(__xludf.DUMMYFUNCTION("""COMPUTED_VALUE"""),1525.0)</f>
        <v>1525</v>
      </c>
      <c r="AO636" s="1">
        <f>IFERROR(__xludf.DUMMYFUNCTION("""COMPUTED_VALUE"""),200.0)</f>
        <v>200</v>
      </c>
      <c r="AP636" s="1" t="str">
        <f>IFERROR(__xludf.DUMMYFUNCTION("""COMPUTED_VALUE"""),"FORMULARIO")</f>
        <v>FORMULARIO</v>
      </c>
      <c r="AQ636" s="1" t="str">
        <f>IFERROR(__xludf.DUMMYFUNCTION("""COMPUTED_VALUE"""),"ORGANICO")</f>
        <v>ORGANICO</v>
      </c>
      <c r="AR636" s="1" t="str">
        <f>IFERROR(__xludf.DUMMYFUNCTION("""COMPUTED_VALUE"""),"NUEVO")</f>
        <v>NUEVO</v>
      </c>
      <c r="AS636" s="1"/>
      <c r="AT636" s="2">
        <f>IFERROR(__xludf.DUMMYFUNCTION("""COMPUTED_VALUE"""),45740.0)</f>
        <v>45740</v>
      </c>
      <c r="AU636" s="1">
        <f>IFERROR(__xludf.DUMMYFUNCTION("""COMPUTED_VALUE"""),1.0)</f>
        <v>1</v>
      </c>
      <c r="AV636" s="1" t="str">
        <f>IFERROR(__xludf.DUMMYFUNCTION("""COMPUTED_VALUE"""),"NUEVO")</f>
        <v>NUEVO</v>
      </c>
      <c r="AW636" s="1" t="str">
        <f>IFERROR(__xludf.DUMMYFUNCTION("""COMPUTED_VALUE"""),"SI")</f>
        <v>SI</v>
      </c>
      <c r="AX636" s="1"/>
      <c r="AY636" s="1" t="str">
        <f>IFERROR(__xludf.DUMMYFUNCTION("""COMPUTED_VALUE"""),"PAGO COMPLETO")</f>
        <v>PAGO COMPLETO</v>
      </c>
      <c r="AZ636" s="5">
        <f>IFERROR(__xludf.DUMMYFUNCTION("""COMPUTED_VALUE"""),45745.0)</f>
        <v>45745</v>
      </c>
      <c r="BA636" s="1">
        <f>IFERROR(__xludf.DUMMYFUNCTION("""COMPUTED_VALUE"""),0.0)</f>
        <v>0</v>
      </c>
      <c r="BB636" s="1">
        <f>IFERROR(__xludf.DUMMYFUNCTION("""COMPUTED_VALUE"""),0.0)</f>
        <v>0</v>
      </c>
      <c r="BC636" s="4">
        <f>IFERROR(__xludf.DUMMYFUNCTION("""COMPUTED_VALUE"""),0.0)</f>
        <v>0</v>
      </c>
      <c r="BD636" s="4">
        <f>IFERROR(__xludf.DUMMYFUNCTION("""COMPUTED_VALUE"""),300.0)</f>
        <v>300</v>
      </c>
      <c r="BE636" s="1">
        <f>IFERROR(__xludf.DUMMYFUNCTION("""COMPUTED_VALUE"""),3.0)</f>
        <v>3</v>
      </c>
      <c r="BF636" s="6">
        <f>IFERROR(__xludf.DUMMYFUNCTION("""COMPUTED_VALUE"""),1.0)</f>
        <v>1</v>
      </c>
      <c r="BG636" s="1">
        <f>IFERROR(__xludf.DUMMYFUNCTION("""COMPUTED_VALUE"""),1.0)</f>
        <v>1</v>
      </c>
      <c r="BH636" s="1" t="str">
        <f>IFERROR(__xludf.DUMMYFUNCTION("""COMPUTED_VALUE"""),"0")</f>
        <v>0</v>
      </c>
      <c r="BI636" s="4">
        <f>IFERROR(__xludf.DUMMYFUNCTION("""COMPUTED_VALUE"""),300.0)</f>
        <v>300</v>
      </c>
      <c r="BJ636" s="1">
        <f>IFERROR(__xludf.DUMMYFUNCTION("""COMPUTED_VALUE"""),0.0)</f>
        <v>0</v>
      </c>
      <c r="BK636" s="4">
        <f>IFERROR(__xludf.DUMMYFUNCTION("""COMPUTED_VALUE"""),300.0)</f>
        <v>300</v>
      </c>
      <c r="BL636" s="1">
        <f>IFERROR(__xludf.DUMMYFUNCTION("""COMPUTED_VALUE"""),740.0)</f>
        <v>740</v>
      </c>
      <c r="BM636" s="1">
        <f>IFERROR(__xludf.DUMMYFUNCTION("""COMPUTED_VALUE"""),13.0)</f>
        <v>13</v>
      </c>
      <c r="BN636" s="2">
        <f>IFERROR(__xludf.DUMMYFUNCTION("""COMPUTED_VALUE"""),45740.0)</f>
        <v>45740</v>
      </c>
      <c r="BO636" s="1">
        <f>IFERROR(__xludf.DUMMYFUNCTION("""COMPUTED_VALUE"""),3.0)</f>
        <v>3</v>
      </c>
      <c r="BP636" s="1">
        <f>IFERROR(__xludf.DUMMYFUNCTION("""COMPUTED_VALUE"""),2025.0)</f>
        <v>2025</v>
      </c>
    </row>
    <row r="637">
      <c r="A637" s="1">
        <f>IFERROR(__xludf.DUMMYFUNCTION("""COMPUTED_VALUE"""),636.0)</f>
        <v>636</v>
      </c>
      <c r="B637" s="1">
        <f>IFERROR(__xludf.DUMMYFUNCTION("""COMPUTED_VALUE"""),1786857.0)</f>
        <v>1786857</v>
      </c>
      <c r="C637" s="1" t="str">
        <f>IFERROR(__xludf.DUMMYFUNCTION("""COMPUTED_VALUE"""),"2025-1")</f>
        <v>2025-1</v>
      </c>
      <c r="D637" s="1" t="str">
        <f>IFERROR(__xludf.DUMMYFUNCTION("""COMPUTED_VALUE"""),"Admisión Extraordinaria (Traslados)")</f>
        <v>Admisión Extraordinaria (Traslados)</v>
      </c>
      <c r="E637" s="2">
        <f>IFERROR(__xludf.DUMMYFUNCTION("""COMPUTED_VALUE"""),45745.0)</f>
        <v>45745</v>
      </c>
      <c r="F637" s="1" t="str">
        <f>IFERROR(__xludf.DUMMYFUNCTION("""COMPUTED_VALUE"""),"GABRIELA LUZ ")</f>
        <v>GABRIELA LUZ </v>
      </c>
      <c r="G637" s="1" t="str">
        <f>IFERROR(__xludf.DUMMYFUNCTION("""COMPUTED_VALUE"""),"TORIBIO MENDO")</f>
        <v>TORIBIO MENDO</v>
      </c>
      <c r="H637" s="1" t="str">
        <f>IFERROR(__xludf.DUMMYFUNCTION("""COMPUTED_VALUE"""),"Comunicación Audiovisual y Cine")</f>
        <v>Comunicación Audiovisual y Cine</v>
      </c>
      <c r="I637" s="1" t="str">
        <f>IFERROR(__xludf.DUMMYFUNCTION("""COMPUTED_VALUE"""),"CARGO")</f>
        <v>CARGO</v>
      </c>
      <c r="J637" s="1" t="str">
        <f>IFERROR(__xludf.DUMMYFUNCTION("""COMPUTED_VALUE"""),"Diurno")</f>
        <v>Diurno</v>
      </c>
      <c r="K637" s="1" t="str">
        <f>IFERROR(__xludf.DUMMYFUNCTION("""COMPUTED_VALUE"""),"TRASLADO")</f>
        <v>TRASLADO</v>
      </c>
      <c r="L637" s="1">
        <f>IFERROR(__xludf.DUMMYFUNCTION("""COMPUTED_VALUE"""),1.0)</f>
        <v>1</v>
      </c>
      <c r="M637" s="1">
        <f>IFERROR(__xludf.DUMMYFUNCTION("""COMPUTED_VALUE"""),0.0)</f>
        <v>0</v>
      </c>
      <c r="N637" s="1" t="str">
        <f>IFERROR(__xludf.DUMMYFUNCTION("""COMPUTED_VALUE"""),"RECA")</f>
        <v>RECA</v>
      </c>
      <c r="O637" s="1" t="str">
        <f>IFERROR(__xludf.DUMMYFUNCTION("""COMPUTED_VALUE"""),"RECATEGORIZACIÓN")</f>
        <v>RECATEGORIZACIÓN</v>
      </c>
      <c r="P637" s="4">
        <f>IFERROR(__xludf.DUMMYFUNCTION("""COMPUTED_VALUE"""),0.0)</f>
        <v>0</v>
      </c>
      <c r="Q637" s="4">
        <f>IFERROR(__xludf.DUMMYFUNCTION("""COMPUTED_VALUE"""),0.0)</f>
        <v>0</v>
      </c>
      <c r="R637" s="4">
        <f>IFERROR(__xludf.DUMMYFUNCTION("""COMPUTED_VALUE"""),1350.0)</f>
        <v>1350</v>
      </c>
      <c r="S637" s="4">
        <f>IFERROR(__xludf.DUMMYFUNCTION("""COMPUTED_VALUE"""),850.0)</f>
        <v>850</v>
      </c>
      <c r="T637" s="1" t="str">
        <f>IFERROR(__xludf.DUMMYFUNCTION("""COMPUTED_VALUE"""),"Ninguno")</f>
        <v>Ninguno</v>
      </c>
      <c r="U637" s="1" t="str">
        <f>IFERROR(__xludf.DUMMYFUNCTION("""COMPUTED_VALUE"""),"RODRIGO")</f>
        <v>RODRIGO</v>
      </c>
      <c r="V637" s="1" t="str">
        <f>IFERROR(__xludf.DUMMYFUNCTION("""COMPUTED_VALUE"""),"Ninguno")</f>
        <v>Ninguno</v>
      </c>
      <c r="W637" s="1" t="str">
        <f>IFERROR(__xludf.DUMMYFUNCTION("""COMPUTED_VALUE"""),"Malla curricular")</f>
        <v>Malla curricular</v>
      </c>
      <c r="X637" s="1"/>
      <c r="Y637" s="1" t="str">
        <f>IFERROR(__xludf.DUMMYFUNCTION("""COMPUTED_VALUE"""),"PAGO COMPLETO")</f>
        <v>PAGO COMPLETO</v>
      </c>
      <c r="Z637" s="1"/>
      <c r="AA637" s="1"/>
      <c r="AB637" s="1">
        <f>IFERROR(__xludf.DUMMYFUNCTION("""COMPUTED_VALUE"""),0.0)</f>
        <v>0</v>
      </c>
      <c r="AC637" s="1">
        <f>IFERROR(__xludf.DUMMYFUNCTION("""COMPUTED_VALUE"""),0.0)</f>
        <v>0</v>
      </c>
      <c r="AD637" s="1" t="str">
        <f>IFERROR(__xludf.DUMMYFUNCTION("""COMPUTED_VALUE"""),"Rosa Ugarte")</f>
        <v>Rosa Ugarte</v>
      </c>
      <c r="AE637" s="1" t="str">
        <f>IFERROR(__xludf.DUMMYFUNCTION("""COMPUTED_VALUE"""),"Universidad Femenina del Sagrado Corazón (UNIFE)")</f>
        <v>Universidad Femenina del Sagrado Corazón (UNIFE)</v>
      </c>
      <c r="AF637" s="1">
        <f>IFERROR(__xludf.DUMMYFUNCTION("""COMPUTED_VALUE"""),2022.0)</f>
        <v>2022</v>
      </c>
      <c r="AG637" s="1">
        <f>IFERROR(__xludf.DUMMYFUNCTION("""COMPUTED_VALUE"""),1509108.0)</f>
        <v>1509108</v>
      </c>
      <c r="AH637" s="1">
        <f>IFERROR(__xludf.DUMMYFUNCTION("""COMPUTED_VALUE"""),18.0)</f>
        <v>18</v>
      </c>
      <c r="AI637" s="1" t="str">
        <f>IFERROR(__xludf.DUMMYFUNCTION("""COMPUTED_VALUE"""),"0000421758")</f>
        <v>0000421758</v>
      </c>
      <c r="AJ637" s="1">
        <f>IFERROR(__xludf.DUMMYFUNCTION("""COMPUTED_VALUE"""),6.0803078E7)</f>
        <v>60803078</v>
      </c>
      <c r="AK637" s="1">
        <f>IFERROR(__xludf.DUMMYFUNCTION("""COMPUTED_VALUE"""),9.98372513E8)</f>
        <v>998372513</v>
      </c>
      <c r="AL637" s="1" t="str">
        <f>IFERROR(__xludf.DUMMYFUNCTION("""COMPUTED_VALUE"""),"gabrielatoribiomendo@gmail.com")</f>
        <v>gabrielatoribiomendo@gmail.com</v>
      </c>
      <c r="AM637" s="1" t="str">
        <f>IFERROR(__xludf.DUMMYFUNCTION("""COMPUTED_VALUE"""),"FEMENINO")</f>
        <v>FEMENINO</v>
      </c>
      <c r="AN637" s="1">
        <f>IFERROR(__xludf.DUMMYFUNCTION("""COMPUTED_VALUE"""),1350.0)</f>
        <v>1350</v>
      </c>
      <c r="AO637" s="1">
        <f>IFERROR(__xludf.DUMMYFUNCTION("""COMPUTED_VALUE"""),300.0)</f>
        <v>300</v>
      </c>
      <c r="AP637" s="1" t="str">
        <f>IFERROR(__xludf.DUMMYFUNCTION("""COMPUTED_VALUE"""),"FORMULARIO")</f>
        <v>FORMULARIO</v>
      </c>
      <c r="AQ637" s="1" t="str">
        <f>IFERROR(__xludf.DUMMYFUNCTION("""COMPUTED_VALUE"""),"SEARCH MARCA")</f>
        <v>SEARCH MARCA</v>
      </c>
      <c r="AR637" s="1" t="str">
        <f>IFERROR(__xludf.DUMMYFUNCTION("""COMPUTED_VALUE"""),"HEREDADO")</f>
        <v>HEREDADO</v>
      </c>
      <c r="AS637" s="1" t="str">
        <f>IFERROR(__xludf.DUMMYFUNCTION("""COMPUTED_VALUE"""),"ucal-pg-performance-sedes-abierta-cpl-search_conversion_marca-20240401")</f>
        <v>ucal-pg-performance-sedes-abierta-cpl-search_conversion_marca-20240401</v>
      </c>
      <c r="AT637" s="2">
        <f>IFERROR(__xludf.DUMMYFUNCTION("""COMPUTED_VALUE"""),45741.0)</f>
        <v>45741</v>
      </c>
      <c r="AU637" s="1">
        <f>IFERROR(__xludf.DUMMYFUNCTION("""COMPUTED_VALUE"""),1.0)</f>
        <v>1</v>
      </c>
      <c r="AV637" s="1" t="str">
        <f>IFERROR(__xludf.DUMMYFUNCTION("""COMPUTED_VALUE"""),"TRASLADO")</f>
        <v>TRASLADO</v>
      </c>
      <c r="AW637" s="1" t="str">
        <f>IFERROR(__xludf.DUMMYFUNCTION("""COMPUTED_VALUE"""),"SI")</f>
        <v>SI</v>
      </c>
      <c r="AX637" s="1"/>
      <c r="AY637" s="1" t="str">
        <f>IFERROR(__xludf.DUMMYFUNCTION("""COMPUTED_VALUE"""),"PAGO COMPLETO")</f>
        <v>PAGO COMPLETO</v>
      </c>
      <c r="AZ637" s="5">
        <f>IFERROR(__xludf.DUMMYFUNCTION("""COMPUTED_VALUE"""),45745.0)</f>
        <v>45745</v>
      </c>
      <c r="BA637" s="1">
        <f>IFERROR(__xludf.DUMMYFUNCTION("""COMPUTED_VALUE"""),0.0)</f>
        <v>0</v>
      </c>
      <c r="BB637" s="1">
        <f>IFERROR(__xludf.DUMMYFUNCTION("""COMPUTED_VALUE"""),0.0)</f>
        <v>0</v>
      </c>
      <c r="BC637" s="4">
        <f>IFERROR(__xludf.DUMMYFUNCTION("""COMPUTED_VALUE"""),0.0)</f>
        <v>0</v>
      </c>
      <c r="BD637" s="4">
        <f>IFERROR(__xludf.DUMMYFUNCTION("""COMPUTED_VALUE"""),0.0)</f>
        <v>0</v>
      </c>
      <c r="BE637" s="1">
        <f>IFERROR(__xludf.DUMMYFUNCTION("""COMPUTED_VALUE"""),3.0)</f>
        <v>3</v>
      </c>
      <c r="BF637" s="6">
        <f>IFERROR(__xludf.DUMMYFUNCTION("""COMPUTED_VALUE"""),1.0)</f>
        <v>1</v>
      </c>
      <c r="BG637" s="1">
        <f>IFERROR(__xludf.DUMMYFUNCTION("""COMPUTED_VALUE"""),1.0)</f>
        <v>1</v>
      </c>
      <c r="BH637" s="1" t="str">
        <f>IFERROR(__xludf.DUMMYFUNCTION("""COMPUTED_VALUE"""),"1")</f>
        <v>1</v>
      </c>
      <c r="BI637" s="4">
        <f>IFERROR(__xludf.DUMMYFUNCTION("""COMPUTED_VALUE"""),0.0)</f>
        <v>0</v>
      </c>
      <c r="BJ637" s="1">
        <f>IFERROR(__xludf.DUMMYFUNCTION("""COMPUTED_VALUE"""),0.0)</f>
        <v>0</v>
      </c>
      <c r="BK637" s="4">
        <f>IFERROR(__xludf.DUMMYFUNCTION("""COMPUTED_VALUE"""),0.0)</f>
        <v>0</v>
      </c>
      <c r="BL637" s="1">
        <f>IFERROR(__xludf.DUMMYFUNCTION("""COMPUTED_VALUE"""),850.0)</f>
        <v>850</v>
      </c>
      <c r="BM637" s="1">
        <f>IFERROR(__xludf.DUMMYFUNCTION("""COMPUTED_VALUE"""),13.0)</f>
        <v>13</v>
      </c>
      <c r="BN637" s="2">
        <f>IFERROR(__xludf.DUMMYFUNCTION("""COMPUTED_VALUE"""),45740.0)</f>
        <v>45740</v>
      </c>
      <c r="BO637" s="1">
        <f>IFERROR(__xludf.DUMMYFUNCTION("""COMPUTED_VALUE"""),3.0)</f>
        <v>3</v>
      </c>
      <c r="BP637" s="1">
        <f>IFERROR(__xludf.DUMMYFUNCTION("""COMPUTED_VALUE"""),2025.0)</f>
        <v>2025</v>
      </c>
    </row>
    <row r="638">
      <c r="A638" s="1">
        <f>IFERROR(__xludf.DUMMYFUNCTION("""COMPUTED_VALUE"""),637.0)</f>
        <v>637</v>
      </c>
      <c r="B638" s="1">
        <f>IFERROR(__xludf.DUMMYFUNCTION("""COMPUTED_VALUE"""),5113399.0)</f>
        <v>5113399</v>
      </c>
      <c r="C638" s="1" t="str">
        <f>IFERROR(__xludf.DUMMYFUNCTION("""COMPUTED_VALUE"""),"2025-1")</f>
        <v>2025-1</v>
      </c>
      <c r="D638" s="1" t="str">
        <f>IFERROR(__xludf.DUMMYFUNCTION("""COMPUTED_VALUE"""),"Admisión Ordinaria")</f>
        <v>Admisión Ordinaria</v>
      </c>
      <c r="E638" s="2">
        <f>IFERROR(__xludf.DUMMYFUNCTION("""COMPUTED_VALUE"""),45745.0)</f>
        <v>45745</v>
      </c>
      <c r="F638" s="1" t="str">
        <f>IFERROR(__xludf.DUMMYFUNCTION("""COMPUTED_VALUE"""),"LUCIANA VALENTINA ")</f>
        <v>LUCIANA VALENTINA </v>
      </c>
      <c r="G638" s="1" t="str">
        <f>IFERROR(__xludf.DUMMYFUNCTION("""COMPUTED_VALUE"""),"ANDRES RAMIREZ")</f>
        <v>ANDRES RAMIREZ</v>
      </c>
      <c r="H638" s="1" t="str">
        <f>IFERROR(__xludf.DUMMYFUNCTION("""COMPUTED_VALUE"""),"Arquitectura de Interiores")</f>
        <v>Arquitectura de Interiores</v>
      </c>
      <c r="I638" s="1" t="str">
        <f>IFERROR(__xludf.DUMMYFUNCTION("""COMPUTED_VALUE"""),"CARGO")</f>
        <v>CARGO</v>
      </c>
      <c r="J638" s="1" t="str">
        <f>IFERROR(__xludf.DUMMYFUNCTION("""COMPUTED_VALUE"""),"Diurno")</f>
        <v>Diurno</v>
      </c>
      <c r="K638" s="1" t="str">
        <f>IFERROR(__xludf.DUMMYFUNCTION("""COMPUTED_VALUE"""),"NUEVO")</f>
        <v>NUEVO</v>
      </c>
      <c r="L638" s="1">
        <f>IFERROR(__xludf.DUMMYFUNCTION("""COMPUTED_VALUE"""),0.0)</f>
        <v>0</v>
      </c>
      <c r="M638" s="1">
        <f>IFERROR(__xludf.DUMMYFUNCTION("""COMPUTED_VALUE"""),0.0)</f>
        <v>0</v>
      </c>
      <c r="N638" s="1" t="str">
        <f>IFERROR(__xludf.DUMMYFUNCTION("""COMPUTED_VALUE"""),"ESCALA REGULAR")</f>
        <v>ESCALA REGULAR</v>
      </c>
      <c r="O638" s="1" t="str">
        <f>IFERROR(__xludf.DUMMYFUNCTION("""COMPUTED_VALUE"""),"NINGUNO")</f>
        <v>NINGUNO</v>
      </c>
      <c r="P638" s="4">
        <f>IFERROR(__xludf.DUMMYFUNCTION("""COMPUTED_VALUE"""),125.0)</f>
        <v>125</v>
      </c>
      <c r="Q638" s="4">
        <f>IFERROR(__xludf.DUMMYFUNCTION("""COMPUTED_VALUE"""),237.5)</f>
        <v>237.5</v>
      </c>
      <c r="R638" s="4">
        <f>IFERROR(__xludf.DUMMYFUNCTION("""COMPUTED_VALUE"""),1500.0)</f>
        <v>1500</v>
      </c>
      <c r="S638" s="4">
        <f>IFERROR(__xludf.DUMMYFUNCTION("""COMPUTED_VALUE"""),1500.0)</f>
        <v>1500</v>
      </c>
      <c r="T638" s="1" t="str">
        <f>IFERROR(__xludf.DUMMYFUNCTION("""COMPUTED_VALUE"""),"PALANCA 500")</f>
        <v>PALANCA 500</v>
      </c>
      <c r="U638" s="1" t="str">
        <f>IFERROR(__xludf.DUMMYFUNCTION("""COMPUTED_VALUE"""),"FABIOLA")</f>
        <v>FABIOLA</v>
      </c>
      <c r="V638" s="1" t="str">
        <f>IFERROR(__xludf.DUMMYFUNCTION("""COMPUTED_VALUE"""),"Ninguno")</f>
        <v>Ninguno</v>
      </c>
      <c r="W638" s="1" t="str">
        <f>IFERROR(__xludf.DUMMYFUNCTION("""COMPUTED_VALUE"""),"Malla curricular")</f>
        <v>Malla curricular</v>
      </c>
      <c r="X638" s="1" t="str">
        <f>IFERROR(__xludf.DUMMYFUNCTION("""COMPUTED_VALUE"""),"Primera boleta 500")</f>
        <v>Primera boleta 500</v>
      </c>
      <c r="Y638" s="1" t="str">
        <f>IFERROR(__xludf.DUMMYFUNCTION("""COMPUTED_VALUE"""),"PAGO COMPLETO")</f>
        <v>PAGO COMPLETO</v>
      </c>
      <c r="Z638" s="1"/>
      <c r="AA638" s="1"/>
      <c r="AB638" s="1">
        <f>IFERROR(__xludf.DUMMYFUNCTION("""COMPUTED_VALUE"""),0.0)</f>
        <v>0</v>
      </c>
      <c r="AC638" s="1">
        <f>IFERROR(__xludf.DUMMYFUNCTION("""COMPUTED_VALUE"""),0.0)</f>
        <v>0</v>
      </c>
      <c r="AD638" s="1" t="str">
        <f>IFERROR(__xludf.DUMMYFUNCTION("""COMPUTED_VALUE"""),"Cinthia Mariella Orosco")</f>
        <v>Cinthia Mariella Orosco</v>
      </c>
      <c r="AE638" s="1" t="str">
        <f>IFERROR(__xludf.DUMMYFUNCTION("""COMPUTED_VALUE"""),"0")</f>
        <v>0</v>
      </c>
      <c r="AF638" s="1">
        <f>IFERROR(__xludf.DUMMYFUNCTION("""COMPUTED_VALUE"""),2020.0)</f>
        <v>2020</v>
      </c>
      <c r="AG638" s="1">
        <f>IFERROR(__xludf.DUMMYFUNCTION("""COMPUTED_VALUE"""),1065184.0)</f>
        <v>1065184</v>
      </c>
      <c r="AH638" s="1">
        <f>IFERROR(__xludf.DUMMYFUNCTION("""COMPUTED_VALUE"""),21.0)</f>
        <v>21</v>
      </c>
      <c r="AI638" s="1" t="str">
        <f>IFERROR(__xludf.DUMMYFUNCTION("""COMPUTED_VALUE"""),"0000421791")</f>
        <v>0000421791</v>
      </c>
      <c r="AJ638" s="1">
        <f>IFERROR(__xludf.DUMMYFUNCTION("""COMPUTED_VALUE"""),7.3192754E7)</f>
        <v>73192754</v>
      </c>
      <c r="AK638" s="1">
        <f>IFERROR(__xludf.DUMMYFUNCTION("""COMPUTED_VALUE"""),9.82818507E8)</f>
        <v>982818507</v>
      </c>
      <c r="AL638" s="1" t="str">
        <f>IFERROR(__xludf.DUMMYFUNCTION("""COMPUTED_VALUE"""),"lucianavandresramirez@gmail.com")</f>
        <v>lucianavandresramirez@gmail.com</v>
      </c>
      <c r="AM638" s="1" t="str">
        <f>IFERROR(__xludf.DUMMYFUNCTION("""COMPUTED_VALUE"""),"FEMENINO")</f>
        <v>FEMENINO</v>
      </c>
      <c r="AN638" s="1">
        <f>IFERROR(__xludf.DUMMYFUNCTION("""COMPUTED_VALUE"""),1850.0)</f>
        <v>1850</v>
      </c>
      <c r="AO638" s="1">
        <f>IFERROR(__xludf.DUMMYFUNCTION("""COMPUTED_VALUE"""),600.0)</f>
        <v>600</v>
      </c>
      <c r="AP638" s="1" t="str">
        <f>IFERROR(__xludf.DUMMYFUNCTION("""COMPUTED_VALUE"""),"FORMULARIO")</f>
        <v>FORMULARIO</v>
      </c>
      <c r="AQ638" s="1" t="str">
        <f>IFERROR(__xludf.DUMMYFUNCTION("""COMPUTED_VALUE"""),"ORGANICO")</f>
        <v>ORGANICO</v>
      </c>
      <c r="AR638" s="1" t="str">
        <f>IFERROR(__xludf.DUMMYFUNCTION("""COMPUTED_VALUE"""),"HEREDADO")</f>
        <v>HEREDADO</v>
      </c>
      <c r="AS638" s="1"/>
      <c r="AT638" s="2">
        <f>IFERROR(__xludf.DUMMYFUNCTION("""COMPUTED_VALUE"""),45745.0)</f>
        <v>45745</v>
      </c>
      <c r="AU638" s="1">
        <f>IFERROR(__xludf.DUMMYFUNCTION("""COMPUTED_VALUE"""),1.0)</f>
        <v>1</v>
      </c>
      <c r="AV638" s="1" t="str">
        <f>IFERROR(__xludf.DUMMYFUNCTION("""COMPUTED_VALUE"""),"NUEVO")</f>
        <v>NUEVO</v>
      </c>
      <c r="AW638" s="1" t="str">
        <f>IFERROR(__xludf.DUMMYFUNCTION("""COMPUTED_VALUE"""),"SI")</f>
        <v>SI</v>
      </c>
      <c r="AX638" s="1"/>
      <c r="AY638" s="1" t="str">
        <f>IFERROR(__xludf.DUMMYFUNCTION("""COMPUTED_VALUE"""),"PAGO COMPLETO")</f>
        <v>PAGO COMPLETO</v>
      </c>
      <c r="AZ638" s="5">
        <f>IFERROR(__xludf.DUMMYFUNCTION("""COMPUTED_VALUE"""),45745.0)</f>
        <v>45745</v>
      </c>
      <c r="BA638" s="1">
        <f>IFERROR(__xludf.DUMMYFUNCTION("""COMPUTED_VALUE"""),0.0)</f>
        <v>0</v>
      </c>
      <c r="BB638" s="1">
        <f>IFERROR(__xludf.DUMMYFUNCTION("""COMPUTED_VALUE"""),0.0)</f>
        <v>0</v>
      </c>
      <c r="BC638" s="4">
        <f>IFERROR(__xludf.DUMMYFUNCTION("""COMPUTED_VALUE"""),0.0)</f>
        <v>0</v>
      </c>
      <c r="BD638" s="4">
        <f>IFERROR(__xludf.DUMMYFUNCTION("""COMPUTED_VALUE"""),1000.0)</f>
        <v>1000</v>
      </c>
      <c r="BE638" s="1">
        <f>IFERROR(__xludf.DUMMYFUNCTION("""COMPUTED_VALUE"""),3.0)</f>
        <v>3</v>
      </c>
      <c r="BF638" s="6">
        <f>IFERROR(__xludf.DUMMYFUNCTION("""COMPUTED_VALUE"""),1.0)</f>
        <v>1</v>
      </c>
      <c r="BG638" s="1">
        <f>IFERROR(__xludf.DUMMYFUNCTION("""COMPUTED_VALUE"""),1.0)</f>
        <v>1</v>
      </c>
      <c r="BH638" s="1" t="str">
        <f>IFERROR(__xludf.DUMMYFUNCTION("""COMPUTED_VALUE"""),"0")</f>
        <v>0</v>
      </c>
      <c r="BI638" s="4">
        <f>IFERROR(__xludf.DUMMYFUNCTION("""COMPUTED_VALUE"""),1000.0)</f>
        <v>1000</v>
      </c>
      <c r="BJ638" s="1">
        <f>IFERROR(__xludf.DUMMYFUNCTION("""COMPUTED_VALUE"""),0.0)</f>
        <v>0</v>
      </c>
      <c r="BK638" s="4">
        <f>IFERROR(__xludf.DUMMYFUNCTION("""COMPUTED_VALUE"""),1000.0)</f>
        <v>1000</v>
      </c>
      <c r="BL638" s="1">
        <f>IFERROR(__xludf.DUMMYFUNCTION("""COMPUTED_VALUE"""),1300.0)</f>
        <v>1300</v>
      </c>
      <c r="BM638" s="1">
        <f>IFERROR(__xludf.DUMMYFUNCTION("""COMPUTED_VALUE"""),13.0)</f>
        <v>13</v>
      </c>
      <c r="BN638" s="2">
        <f>IFERROR(__xludf.DUMMYFUNCTION("""COMPUTED_VALUE"""),45740.0)</f>
        <v>45740</v>
      </c>
      <c r="BO638" s="1">
        <f>IFERROR(__xludf.DUMMYFUNCTION("""COMPUTED_VALUE"""),3.0)</f>
        <v>3</v>
      </c>
      <c r="BP638" s="1">
        <f>IFERROR(__xludf.DUMMYFUNCTION("""COMPUTED_VALUE"""),2025.0)</f>
        <v>2025</v>
      </c>
    </row>
    <row r="639">
      <c r="A639" s="1">
        <f>IFERROR(__xludf.DUMMYFUNCTION("""COMPUTED_VALUE"""),638.0)</f>
        <v>638</v>
      </c>
      <c r="B639" s="1">
        <f>IFERROR(__xludf.DUMMYFUNCTION("""COMPUTED_VALUE"""),1368337.0)</f>
        <v>1368337</v>
      </c>
      <c r="C639" s="1" t="str">
        <f>IFERROR(__xludf.DUMMYFUNCTION("""COMPUTED_VALUE"""),"2025-1")</f>
        <v>2025-1</v>
      </c>
      <c r="D639" s="1" t="str">
        <f>IFERROR(__xludf.DUMMYFUNCTION("""COMPUTED_VALUE"""),"Admisión Extraordinaria (Traslados)")</f>
        <v>Admisión Extraordinaria (Traslados)</v>
      </c>
      <c r="E639" s="2">
        <f>IFERROR(__xludf.DUMMYFUNCTION("""COMPUTED_VALUE"""),45745.0)</f>
        <v>45745</v>
      </c>
      <c r="F639" s="1" t="str">
        <f>IFERROR(__xludf.DUMMYFUNCTION("""COMPUTED_VALUE"""),"SELENE AYELEN ")</f>
        <v>SELENE AYELEN </v>
      </c>
      <c r="G639" s="1" t="str">
        <f>IFERROR(__xludf.DUMMYFUNCTION("""COMPUTED_VALUE"""),"BARRIOS JAUREGUI")</f>
        <v>BARRIOS JAUREGUI</v>
      </c>
      <c r="H639" s="1" t="str">
        <f>IFERROR(__xludf.DUMMYFUNCTION("""COMPUTED_VALUE"""),"Diseño Gráfico Publicitario")</f>
        <v>Diseño Gráfico Publicitario</v>
      </c>
      <c r="I639" s="1" t="str">
        <f>IFERROR(__xludf.DUMMYFUNCTION("""COMPUTED_VALUE"""),"CARGO")</f>
        <v>CARGO</v>
      </c>
      <c r="J639" s="1" t="str">
        <f>IFERROR(__xludf.DUMMYFUNCTION("""COMPUTED_VALUE"""),"Diurno")</f>
        <v>Diurno</v>
      </c>
      <c r="K639" s="1" t="str">
        <f>IFERROR(__xludf.DUMMYFUNCTION("""COMPUTED_VALUE"""),"TRASLADO")</f>
        <v>TRASLADO</v>
      </c>
      <c r="L639" s="1">
        <f>IFERROR(__xludf.DUMMYFUNCTION("""COMPUTED_VALUE"""),1.0)</f>
        <v>1</v>
      </c>
      <c r="M639" s="1">
        <f>IFERROR(__xludf.DUMMYFUNCTION("""COMPUTED_VALUE"""),0.0)</f>
        <v>0</v>
      </c>
      <c r="N639" s="1" t="str">
        <f>IFERROR(__xludf.DUMMYFUNCTION("""COMPUTED_VALUE"""),"ESCALA REGULAR")</f>
        <v>ESCALA REGULAR</v>
      </c>
      <c r="O639" s="1" t="str">
        <f>IFERROR(__xludf.DUMMYFUNCTION("""COMPUTED_VALUE"""),"NINGUNO")</f>
        <v>NINGUNO</v>
      </c>
      <c r="P639" s="4">
        <f>IFERROR(__xludf.DUMMYFUNCTION("""COMPUTED_VALUE"""),100.0)</f>
        <v>100</v>
      </c>
      <c r="Q639" s="4">
        <f>IFERROR(__xludf.DUMMYFUNCTION("""COMPUTED_VALUE"""),250.0)</f>
        <v>250</v>
      </c>
      <c r="R639" s="4">
        <f>IFERROR(__xludf.DUMMYFUNCTION("""COMPUTED_VALUE"""),1700.0)</f>
        <v>1700</v>
      </c>
      <c r="S639" s="4">
        <f>IFERROR(__xludf.DUMMYFUNCTION("""COMPUTED_VALUE"""),1700.0)</f>
        <v>1700</v>
      </c>
      <c r="T639" s="1" t="str">
        <f>IFERROR(__xludf.DUMMYFUNCTION("""COMPUTED_VALUE"""),"Reconocemos tu primera boleta")</f>
        <v>Reconocemos tu primera boleta</v>
      </c>
      <c r="U639" s="1" t="str">
        <f>IFERROR(__xludf.DUMMYFUNCTION("""COMPUTED_VALUE"""),"FABIOLA")</f>
        <v>FABIOLA</v>
      </c>
      <c r="V639" s="1" t="str">
        <f>IFERROR(__xludf.DUMMYFUNCTION("""COMPUTED_VALUE"""),"Ninguno")</f>
        <v>Ninguno</v>
      </c>
      <c r="W639" s="1" t="str">
        <f>IFERROR(__xludf.DUMMYFUNCTION("""COMPUTED_VALUE"""),"Malla curricular")</f>
        <v>Malla curricular</v>
      </c>
      <c r="X639" s="1" t="str">
        <f>IFERROR(__xludf.DUMMYFUNCTION("""COMPUTED_VALUE"""),"pago 350")</f>
        <v>pago 350</v>
      </c>
      <c r="Y639" s="1" t="str">
        <f>IFERROR(__xludf.DUMMYFUNCTION("""COMPUTED_VALUE"""),"PAGO COMPLETO")</f>
        <v>PAGO COMPLETO</v>
      </c>
      <c r="Z639" s="1"/>
      <c r="AA639" s="1"/>
      <c r="AB639" s="1">
        <f>IFERROR(__xludf.DUMMYFUNCTION("""COMPUTED_VALUE"""),0.0)</f>
        <v>0</v>
      </c>
      <c r="AC639" s="1">
        <f>IFERROR(__xludf.DUMMYFUNCTION("""COMPUTED_VALUE"""),0.0)</f>
        <v>0</v>
      </c>
      <c r="AD639" s="1" t="str">
        <f>IFERROR(__xludf.DUMMYFUNCTION("""COMPUTED_VALUE"""),"Cinthia Mariella Orosco")</f>
        <v>Cinthia Mariella Orosco</v>
      </c>
      <c r="AE639" s="1" t="str">
        <f>IFERROR(__xludf.DUMMYFUNCTION("""COMPUTED_VALUE"""),"Universidad Peruana De Ciencias Aplicadas(UPC)")</f>
        <v>Universidad Peruana De Ciencias Aplicadas(UPC)</v>
      </c>
      <c r="AF639" s="1">
        <f>IFERROR(__xludf.DUMMYFUNCTION("""COMPUTED_VALUE"""),2021.0)</f>
        <v>2021</v>
      </c>
      <c r="AG639" s="1">
        <f>IFERROR(__xludf.DUMMYFUNCTION("""COMPUTED_VALUE"""),314468.0)</f>
        <v>314468</v>
      </c>
      <c r="AH639" s="1">
        <f>IFERROR(__xludf.DUMMYFUNCTION("""COMPUTED_VALUE"""),20.0)</f>
        <v>20</v>
      </c>
      <c r="AI639" s="1" t="str">
        <f>IFERROR(__xludf.DUMMYFUNCTION("""COMPUTED_VALUE"""),"0000421813")</f>
        <v>0000421813</v>
      </c>
      <c r="AJ639" s="1">
        <f>IFERROR(__xludf.DUMMYFUNCTION("""COMPUTED_VALUE"""),7.3434787E7)</f>
        <v>73434787</v>
      </c>
      <c r="AK639" s="1">
        <f>IFERROR(__xludf.DUMMYFUNCTION("""COMPUTED_VALUE"""),9.28129587E8)</f>
        <v>928129587</v>
      </c>
      <c r="AL639" s="1" t="str">
        <f>IFERROR(__xludf.DUMMYFUNCTION("""COMPUTED_VALUE"""),"selenebisttossel@gmail.com")</f>
        <v>selenebisttossel@gmail.com</v>
      </c>
      <c r="AM639" s="1" t="str">
        <f>IFERROR(__xludf.DUMMYFUNCTION("""COMPUTED_VALUE"""),"FEMENINO")</f>
        <v>FEMENINO</v>
      </c>
      <c r="AN639" s="1">
        <f>IFERROR(__xludf.DUMMYFUNCTION("""COMPUTED_VALUE"""),1850.0)</f>
        <v>1850</v>
      </c>
      <c r="AO639" s="1">
        <f>IFERROR(__xludf.DUMMYFUNCTION("""COMPUTED_VALUE"""),730.0)</f>
        <v>730</v>
      </c>
      <c r="AP639" s="1" t="str">
        <f>IFERROR(__xludf.DUMMYFUNCTION("""COMPUTED_VALUE"""),"OUTBOUND")</f>
        <v>OUTBOUND</v>
      </c>
      <c r="AQ639" s="1" t="str">
        <f>IFERROR(__xludf.DUMMYFUNCTION("""COMPUTED_VALUE"""),"OUTBOUND")</f>
        <v>OUTBOUND</v>
      </c>
      <c r="AR639" s="1" t="str">
        <f>IFERROR(__xludf.DUMMYFUNCTION("""COMPUTED_VALUE"""),"HEREDADO")</f>
        <v>HEREDADO</v>
      </c>
      <c r="AS639" s="1"/>
      <c r="AT639" s="2">
        <f>IFERROR(__xludf.DUMMYFUNCTION("""COMPUTED_VALUE"""),45745.0)</f>
        <v>45745</v>
      </c>
      <c r="AU639" s="1">
        <f>IFERROR(__xludf.DUMMYFUNCTION("""COMPUTED_VALUE"""),1.0)</f>
        <v>1</v>
      </c>
      <c r="AV639" s="1" t="str">
        <f>IFERROR(__xludf.DUMMYFUNCTION("""COMPUTED_VALUE"""),"TRASLADO")</f>
        <v>TRASLADO</v>
      </c>
      <c r="AW639" s="1" t="str">
        <f>IFERROR(__xludf.DUMMYFUNCTION("""COMPUTED_VALUE"""),"SI")</f>
        <v>SI</v>
      </c>
      <c r="AX639" s="1"/>
      <c r="AY639" s="1" t="str">
        <f>IFERROR(__xludf.DUMMYFUNCTION("""COMPUTED_VALUE"""),"PAGO COMPLETO")</f>
        <v>PAGO COMPLETO</v>
      </c>
      <c r="AZ639" s="5">
        <f>IFERROR(__xludf.DUMMYFUNCTION("""COMPUTED_VALUE"""),45745.0)</f>
        <v>45745</v>
      </c>
      <c r="BA639" s="1">
        <f>IFERROR(__xludf.DUMMYFUNCTION("""COMPUTED_VALUE"""),0.0)</f>
        <v>0</v>
      </c>
      <c r="BB639" s="1">
        <f>IFERROR(__xludf.DUMMYFUNCTION("""COMPUTED_VALUE"""),0.0)</f>
        <v>0</v>
      </c>
      <c r="BC639" s="4">
        <f>IFERROR(__xludf.DUMMYFUNCTION("""COMPUTED_VALUE"""),0.0)</f>
        <v>0</v>
      </c>
      <c r="BD639" s="4">
        <f>IFERROR(__xludf.DUMMYFUNCTION("""COMPUTED_VALUE"""),1700.0)</f>
        <v>1700</v>
      </c>
      <c r="BE639" s="1">
        <f>IFERROR(__xludf.DUMMYFUNCTION("""COMPUTED_VALUE"""),3.0)</f>
        <v>3</v>
      </c>
      <c r="BF639" s="6">
        <f>IFERROR(__xludf.DUMMYFUNCTION("""COMPUTED_VALUE"""),1.0)</f>
        <v>1</v>
      </c>
      <c r="BG639" s="1"/>
      <c r="BH639" s="1" t="str">
        <f>IFERROR(__xludf.DUMMYFUNCTION("""COMPUTED_VALUE"""),"1")</f>
        <v>1</v>
      </c>
      <c r="BI639" s="4">
        <f>IFERROR(__xludf.DUMMYFUNCTION("""COMPUTED_VALUE"""),1700.0)</f>
        <v>1700</v>
      </c>
      <c r="BJ639" s="1">
        <f>IFERROR(__xludf.DUMMYFUNCTION("""COMPUTED_VALUE"""),0.0)</f>
        <v>0</v>
      </c>
      <c r="BK639" s="4">
        <f>IFERROR(__xludf.DUMMYFUNCTION("""COMPUTED_VALUE"""),1700.0)</f>
        <v>1700</v>
      </c>
      <c r="BL639" s="1">
        <f>IFERROR(__xludf.DUMMYFUNCTION("""COMPUTED_VALUE"""),1360.0)</f>
        <v>1360</v>
      </c>
      <c r="BM639" s="1">
        <f>IFERROR(__xludf.DUMMYFUNCTION("""COMPUTED_VALUE"""),13.0)</f>
        <v>13</v>
      </c>
      <c r="BN639" s="2">
        <f>IFERROR(__xludf.DUMMYFUNCTION("""COMPUTED_VALUE"""),45740.0)</f>
        <v>45740</v>
      </c>
      <c r="BO639" s="1">
        <f>IFERROR(__xludf.DUMMYFUNCTION("""COMPUTED_VALUE"""),3.0)</f>
        <v>3</v>
      </c>
      <c r="BP639" s="1">
        <f>IFERROR(__xludf.DUMMYFUNCTION("""COMPUTED_VALUE"""),2025.0)</f>
        <v>2025</v>
      </c>
    </row>
    <row r="640">
      <c r="A640" s="1">
        <f>IFERROR(__xludf.DUMMYFUNCTION("""COMPUTED_VALUE"""),639.0)</f>
        <v>639</v>
      </c>
      <c r="B640" s="1">
        <f>IFERROR(__xludf.DUMMYFUNCTION("""COMPUTED_VALUE"""),1562326.0)</f>
        <v>1562326</v>
      </c>
      <c r="C640" s="1" t="str">
        <f>IFERROR(__xludf.DUMMYFUNCTION("""COMPUTED_VALUE"""),"2025-1")</f>
        <v>2025-1</v>
      </c>
      <c r="D640" s="1" t="str">
        <f>IFERROR(__xludf.DUMMYFUNCTION("""COMPUTED_VALUE"""),"Admisión Extraordinaria (Traslados)")</f>
        <v>Admisión Extraordinaria (Traslados)</v>
      </c>
      <c r="E640" s="2">
        <f>IFERROR(__xludf.DUMMYFUNCTION("""COMPUTED_VALUE"""),45747.0)</f>
        <v>45747</v>
      </c>
      <c r="F640" s="1" t="str">
        <f>IFERROR(__xludf.DUMMYFUNCTION("""COMPUTED_VALUE"""),"CARLA ALEJANDRA DE LAS NIEVES")</f>
        <v>CARLA ALEJANDRA DE LAS NIEVES</v>
      </c>
      <c r="G640" s="1" t="str">
        <f>IFERROR(__xludf.DUMMYFUNCTION("""COMPUTED_VALUE"""),"CALDERON MURILLO")</f>
        <v>CALDERON MURILLO</v>
      </c>
      <c r="H640" s="1" t="str">
        <f>IFERROR(__xludf.DUMMYFUNCTION("""COMPUTED_VALUE"""),"Arquitectura")</f>
        <v>Arquitectura</v>
      </c>
      <c r="I640" s="1" t="str">
        <f>IFERROR(__xludf.DUMMYFUNCTION("""COMPUTED_VALUE"""),"POS")</f>
        <v>POS</v>
      </c>
      <c r="J640" s="1" t="str">
        <f>IFERROR(__xludf.DUMMYFUNCTION("""COMPUTED_VALUE"""),"Diurno")</f>
        <v>Diurno</v>
      </c>
      <c r="K640" s="1" t="str">
        <f>IFERROR(__xludf.DUMMYFUNCTION("""COMPUTED_VALUE"""),"TRASLADO")</f>
        <v>TRASLADO</v>
      </c>
      <c r="L640" s="1">
        <f>IFERROR(__xludf.DUMMYFUNCTION("""COMPUTED_VALUE"""),0.0)</f>
        <v>0</v>
      </c>
      <c r="M640" s="1">
        <f>IFERROR(__xludf.DUMMYFUNCTION("""COMPUTED_VALUE"""),0.0)</f>
        <v>0</v>
      </c>
      <c r="N640" s="1" t="str">
        <f>IFERROR(__xludf.DUMMYFUNCTION("""COMPUTED_VALUE"""),"BECA")</f>
        <v>BECA</v>
      </c>
      <c r="O640" s="1" t="str">
        <f>IFERROR(__xludf.DUMMYFUNCTION("""COMPUTED_VALUE"""),"BECA RECUPERO")</f>
        <v>BECA RECUPERO</v>
      </c>
      <c r="P640" s="4">
        <f>IFERROR(__xludf.DUMMYFUNCTION("""COMPUTED_VALUE"""),0.0)</f>
        <v>0</v>
      </c>
      <c r="Q640" s="4">
        <f>IFERROR(__xludf.DUMMYFUNCTION("""COMPUTED_VALUE"""),0.0)</f>
        <v>0</v>
      </c>
      <c r="R640" s="4">
        <f>IFERROR(__xludf.DUMMYFUNCTION("""COMPUTED_VALUE"""),950.0)</f>
        <v>950</v>
      </c>
      <c r="S640" s="4">
        <f>IFERROR(__xludf.DUMMYFUNCTION("""COMPUTED_VALUE"""),800.0)</f>
        <v>800</v>
      </c>
      <c r="T640" s="1" t="str">
        <f>IFERROR(__xludf.DUMMYFUNCTION("""COMPUTED_VALUE"""),"Ninguno")</f>
        <v>Ninguno</v>
      </c>
      <c r="U640" s="1" t="str">
        <f>IFERROR(__xludf.DUMMYFUNCTION("""COMPUTED_VALUE"""),"RODRIGO")</f>
        <v>RODRIGO</v>
      </c>
      <c r="V640" s="1" t="str">
        <f>IFERROR(__xludf.DUMMYFUNCTION("""COMPUTED_VALUE"""),"Ninguno")</f>
        <v>Ninguno</v>
      </c>
      <c r="W640" s="1" t="str">
        <f>IFERROR(__xludf.DUMMYFUNCTION("""COMPUTED_VALUE"""),"Metodología de enseñanza")</f>
        <v>Metodología de enseñanza</v>
      </c>
      <c r="X640" s="1"/>
      <c r="Y640" s="1" t="str">
        <f>IFERROR(__xludf.DUMMYFUNCTION("""COMPUTED_VALUE"""),"PAGO COMPLETO")</f>
        <v>PAGO COMPLETO</v>
      </c>
      <c r="Z640" s="1"/>
      <c r="AA640" s="1"/>
      <c r="AB640" s="1">
        <f>IFERROR(__xludf.DUMMYFUNCTION("""COMPUTED_VALUE"""),0.0)</f>
        <v>0</v>
      </c>
      <c r="AC640" s="1">
        <f>IFERROR(__xludf.DUMMYFUNCTION("""COMPUTED_VALUE"""),0.0)</f>
        <v>0</v>
      </c>
      <c r="AD640" s="1" t="str">
        <f>IFERROR(__xludf.DUMMYFUNCTION("""COMPUTED_VALUE"""),"Angelica Iparraguirre")</f>
        <v>Angelica Iparraguirre</v>
      </c>
      <c r="AE640" s="1" t="str">
        <f>IFERROR(__xludf.DUMMYFUNCTION("""COMPUTED_VALUE"""),"Universidad Peruana De Ciencias Aplicadas(UPC)")</f>
        <v>Universidad Peruana De Ciencias Aplicadas(UPC)</v>
      </c>
      <c r="AF640" s="1">
        <f>IFERROR(__xludf.DUMMYFUNCTION("""COMPUTED_VALUE"""),2023.0)</f>
        <v>2023</v>
      </c>
      <c r="AG640" s="1">
        <f>IFERROR(__xludf.DUMMYFUNCTION("""COMPUTED_VALUE"""),1562326.0)</f>
        <v>1562326</v>
      </c>
      <c r="AH640" s="1">
        <f>IFERROR(__xludf.DUMMYFUNCTION("""COMPUTED_VALUE"""),17.0)</f>
        <v>17</v>
      </c>
      <c r="AI640" s="1" t="str">
        <f>IFERROR(__xludf.DUMMYFUNCTION("""COMPUTED_VALUE"""),"0000071549")</f>
        <v>0000071549</v>
      </c>
      <c r="AJ640" s="1">
        <f>IFERROR(__xludf.DUMMYFUNCTION("""COMPUTED_VALUE"""),6.1248137E7)</f>
        <v>61248137</v>
      </c>
      <c r="AK640" s="1">
        <f>IFERROR(__xludf.DUMMYFUNCTION("""COMPUTED_VALUE"""),9.99521961E8)</f>
        <v>999521961</v>
      </c>
      <c r="AL640" s="1" t="str">
        <f>IFERROR(__xludf.DUMMYFUNCTION("""COMPUTED_VALUE"""),"nieves2204cm@gmail.com")</f>
        <v>nieves2204cm@gmail.com</v>
      </c>
      <c r="AM640" s="1" t="str">
        <f>IFERROR(__xludf.DUMMYFUNCTION("""COMPUTED_VALUE"""),"FEMENINO")</f>
        <v>FEMENINO</v>
      </c>
      <c r="AN640" s="1">
        <f>IFERROR(__xludf.DUMMYFUNCTION("""COMPUTED_VALUE"""),1350.0)</f>
        <v>1350</v>
      </c>
      <c r="AO640" s="1">
        <f>IFERROR(__xludf.DUMMYFUNCTION("""COMPUTED_VALUE"""),700.0)</f>
        <v>700</v>
      </c>
      <c r="AP640" s="1" t="str">
        <f>IFERROR(__xludf.DUMMYFUNCTION("""COMPUTED_VALUE"""),"OUTBOUND")</f>
        <v>OUTBOUND</v>
      </c>
      <c r="AQ640" s="1" t="str">
        <f>IFERROR(__xludf.DUMMYFUNCTION("""COMPUTED_VALUE"""),"OUTBOUND")</f>
        <v>OUTBOUND</v>
      </c>
      <c r="AR640" s="1" t="str">
        <f>IFERROR(__xludf.DUMMYFUNCTION("""COMPUTED_VALUE"""),"HEREDADO")</f>
        <v>HEREDADO</v>
      </c>
      <c r="AS640" s="1"/>
      <c r="AT640" s="2">
        <f>IFERROR(__xludf.DUMMYFUNCTION("""COMPUTED_VALUE"""),45423.0)</f>
        <v>45423</v>
      </c>
      <c r="AU640" s="1">
        <f>IFERROR(__xludf.DUMMYFUNCTION("""COMPUTED_VALUE"""),1.0)</f>
        <v>1</v>
      </c>
      <c r="AV640" s="1" t="str">
        <f>IFERROR(__xludf.DUMMYFUNCTION("""COMPUTED_VALUE"""),"NUEVO")</f>
        <v>NUEVO</v>
      </c>
      <c r="AW640" s="1" t="str">
        <f>IFERROR(__xludf.DUMMYFUNCTION("""COMPUTED_VALUE"""),"SI")</f>
        <v>SI</v>
      </c>
      <c r="AX640" s="1"/>
      <c r="AY640" s="1" t="str">
        <f>IFERROR(__xludf.DUMMYFUNCTION("""COMPUTED_VALUE"""),"PAGO COMPLETO")</f>
        <v>PAGO COMPLETO</v>
      </c>
      <c r="AZ640" s="5">
        <f>IFERROR(__xludf.DUMMYFUNCTION("""COMPUTED_VALUE"""),45747.0)</f>
        <v>45747</v>
      </c>
      <c r="BA640" s="1">
        <f>IFERROR(__xludf.DUMMYFUNCTION("""COMPUTED_VALUE"""),0.0)</f>
        <v>0</v>
      </c>
      <c r="BB640" s="1">
        <f>IFERROR(__xludf.DUMMYFUNCTION("""COMPUTED_VALUE"""),0.0)</f>
        <v>0</v>
      </c>
      <c r="BC640" s="4">
        <f>IFERROR(__xludf.DUMMYFUNCTION("""COMPUTED_VALUE"""),0.0)</f>
        <v>0</v>
      </c>
      <c r="BD640" s="4">
        <f>IFERROR(__xludf.DUMMYFUNCTION("""COMPUTED_VALUE"""),0.0)</f>
        <v>0</v>
      </c>
      <c r="BE640" s="1">
        <f>IFERROR(__xludf.DUMMYFUNCTION("""COMPUTED_VALUE"""),3.0)</f>
        <v>3</v>
      </c>
      <c r="BF640" s="6">
        <f>IFERROR(__xludf.DUMMYFUNCTION("""COMPUTED_VALUE"""),1.0)</f>
        <v>1</v>
      </c>
      <c r="BG640" s="1">
        <f>IFERROR(__xludf.DUMMYFUNCTION("""COMPUTED_VALUE"""),1.0)</f>
        <v>1</v>
      </c>
      <c r="BH640" s="1" t="str">
        <f>IFERROR(__xludf.DUMMYFUNCTION("""COMPUTED_VALUE"""),"0")</f>
        <v>0</v>
      </c>
      <c r="BI640" s="4">
        <f>IFERROR(__xludf.DUMMYFUNCTION("""COMPUTED_VALUE"""),0.0)</f>
        <v>0</v>
      </c>
      <c r="BJ640" s="1">
        <f>IFERROR(__xludf.DUMMYFUNCTION("""COMPUTED_VALUE"""),0.0)</f>
        <v>0</v>
      </c>
      <c r="BK640" s="4">
        <f>IFERROR(__xludf.DUMMYFUNCTION("""COMPUTED_VALUE"""),0.0)</f>
        <v>0</v>
      </c>
      <c r="BL640" s="1">
        <f>IFERROR(__xludf.DUMMYFUNCTION("""COMPUTED_VALUE"""),800.0)</f>
        <v>800</v>
      </c>
      <c r="BM640" s="1">
        <f>IFERROR(__xludf.DUMMYFUNCTION("""COMPUTED_VALUE"""),14.0)</f>
        <v>14</v>
      </c>
      <c r="BN640" s="2">
        <f>IFERROR(__xludf.DUMMYFUNCTION("""COMPUTED_VALUE"""),45747.0)</f>
        <v>45747</v>
      </c>
      <c r="BO640" s="1">
        <f>IFERROR(__xludf.DUMMYFUNCTION("""COMPUTED_VALUE"""),3.0)</f>
        <v>3</v>
      </c>
      <c r="BP640" s="1">
        <f>IFERROR(__xludf.DUMMYFUNCTION("""COMPUTED_VALUE"""),2025.0)</f>
        <v>2025</v>
      </c>
    </row>
    <row r="641">
      <c r="A641" s="1">
        <f>IFERROR(__xludf.DUMMYFUNCTION("""COMPUTED_VALUE"""),640.0)</f>
        <v>640</v>
      </c>
      <c r="B641" s="1">
        <f>IFERROR(__xludf.DUMMYFUNCTION("""COMPUTED_VALUE"""),5120398.0)</f>
        <v>5120398</v>
      </c>
      <c r="C641" s="1" t="str">
        <f>IFERROR(__xludf.DUMMYFUNCTION("""COMPUTED_VALUE"""),"2025-1")</f>
        <v>2025-1</v>
      </c>
      <c r="D641" s="1" t="str">
        <f>IFERROR(__xludf.DUMMYFUNCTION("""COMPUTED_VALUE"""),"Admisión de Alto Rendimiento")</f>
        <v>Admisión de Alto Rendimiento</v>
      </c>
      <c r="E641" s="2">
        <f>IFERROR(__xludf.DUMMYFUNCTION("""COMPUTED_VALUE"""),45748.0)</f>
        <v>45748</v>
      </c>
      <c r="F641" s="1" t="str">
        <f>IFERROR(__xludf.DUMMYFUNCTION("""COMPUTED_VALUE"""),"YAIZA MIRKALA")</f>
        <v>YAIZA MIRKALA</v>
      </c>
      <c r="G641" s="1" t="str">
        <f>IFERROR(__xludf.DUMMYFUNCTION("""COMPUTED_VALUE"""),"TAIPE REBAZA")</f>
        <v>TAIPE REBAZA</v>
      </c>
      <c r="H641" s="1" t="str">
        <f>IFERROR(__xludf.DUMMYFUNCTION("""COMPUTED_VALUE"""),"Comunicación Audiovisual y Cine")</f>
        <v>Comunicación Audiovisual y Cine</v>
      </c>
      <c r="I641" s="1" t="str">
        <f>IFERROR(__xludf.DUMMYFUNCTION("""COMPUTED_VALUE"""),"CARGO")</f>
        <v>CARGO</v>
      </c>
      <c r="J641" s="1" t="str">
        <f>IFERROR(__xludf.DUMMYFUNCTION("""COMPUTED_VALUE"""),"Diurno")</f>
        <v>Diurno</v>
      </c>
      <c r="K641" s="1" t="str">
        <f>IFERROR(__xludf.DUMMYFUNCTION("""COMPUTED_VALUE"""),"NUEVO")</f>
        <v>NUEVO</v>
      </c>
      <c r="L641" s="1">
        <f>IFERROR(__xludf.DUMMYFUNCTION("""COMPUTED_VALUE"""),0.0)</f>
        <v>0</v>
      </c>
      <c r="M641" s="1">
        <f>IFERROR(__xludf.DUMMYFUNCTION("""COMPUTED_VALUE"""),0.0)</f>
        <v>0</v>
      </c>
      <c r="N641" s="1" t="str">
        <f>IFERROR(__xludf.DUMMYFUNCTION("""COMPUTED_VALUE"""),"BECA")</f>
        <v>BECA</v>
      </c>
      <c r="O641" s="1" t="str">
        <f>IFERROR(__xludf.DUMMYFUNCTION("""COMPUTED_VALUE"""),"BECA CARRERAS CORE")</f>
        <v>BECA CARRERAS CORE</v>
      </c>
      <c r="P641" s="4">
        <f>IFERROR(__xludf.DUMMYFUNCTION("""COMPUTED_VALUE"""),100.0)</f>
        <v>100</v>
      </c>
      <c r="Q641" s="4">
        <f>IFERROR(__xludf.DUMMYFUNCTION("""COMPUTED_VALUE"""),237.5)</f>
        <v>237.5</v>
      </c>
      <c r="R641" s="4">
        <f>IFERROR(__xludf.DUMMYFUNCTION("""COMPUTED_VALUE"""),1200.0)</f>
        <v>1200</v>
      </c>
      <c r="S641" s="4">
        <f>IFERROR(__xludf.DUMMYFUNCTION("""COMPUTED_VALUE"""),1050.0)</f>
        <v>1050</v>
      </c>
      <c r="T641" s="1" t="str">
        <f>IFERROR(__xludf.DUMMYFUNCTION("""COMPUTED_VALUE"""),"Ninguno")</f>
        <v>Ninguno</v>
      </c>
      <c r="U641" s="1"/>
      <c r="V641" s="1" t="str">
        <f>IFERROR(__xludf.DUMMYFUNCTION("""COMPUTED_VALUE"""),"Daniel Zapata")</f>
        <v>Daniel Zapata</v>
      </c>
      <c r="W641" s="1" t="str">
        <f>IFERROR(__xludf.DUMMYFUNCTION("""COMPUTED_VALUE"""),"Beca")</f>
        <v>Beca</v>
      </c>
      <c r="X641" s="1" t="str">
        <f>IFERROR(__xludf.DUMMYFUNCTION("""COMPUTED_VALUE"""),"LE GUSTA LA UNIVERSIDAD ")</f>
        <v>LE GUSTA LA UNIVERSIDAD </v>
      </c>
      <c r="Y641" s="1" t="str">
        <f>IFERROR(__xludf.DUMMYFUNCTION("""COMPUTED_VALUE"""),"PAGO COMPLETO")</f>
        <v>PAGO COMPLETO</v>
      </c>
      <c r="Z641" s="1"/>
      <c r="AA641" s="1"/>
      <c r="AB641" s="1">
        <f>IFERROR(__xludf.DUMMYFUNCTION("""COMPUTED_VALUE"""),0.0)</f>
        <v>0</v>
      </c>
      <c r="AC641" s="1">
        <f>IFERROR(__xludf.DUMMYFUNCTION("""COMPUTED_VALUE"""),0.0)</f>
        <v>0</v>
      </c>
      <c r="AD641" s="1" t="str">
        <f>IFERROR(__xludf.DUMMYFUNCTION("""COMPUTED_VALUE"""),"Daniel Zapata")</f>
        <v>Daniel Zapata</v>
      </c>
      <c r="AE641" s="1" t="str">
        <f>IFERROR(__xludf.DUMMYFUNCTION("""COMPUTED_VALUE"""),"0")</f>
        <v>0</v>
      </c>
      <c r="AF641" s="1">
        <f>IFERROR(__xludf.DUMMYFUNCTION("""COMPUTED_VALUE"""),2023.0)</f>
        <v>2023</v>
      </c>
      <c r="AG641" s="1">
        <f>IFERROR(__xludf.DUMMYFUNCTION("""COMPUTED_VALUE"""),336610.0)</f>
        <v>336610</v>
      </c>
      <c r="AH641" s="1">
        <f>IFERROR(__xludf.DUMMYFUNCTION("""COMPUTED_VALUE"""),18.0)</f>
        <v>18</v>
      </c>
      <c r="AI641" s="1" t="str">
        <f>IFERROR(__xludf.DUMMYFUNCTION("""COMPUTED_VALUE"""),"0000422164")</f>
        <v>0000422164</v>
      </c>
      <c r="AJ641" s="1">
        <f>IFERROR(__xludf.DUMMYFUNCTION("""COMPUTED_VALUE"""),6.0869279E7)</f>
        <v>60869279</v>
      </c>
      <c r="AK641" s="1">
        <f>IFERROR(__xludf.DUMMYFUNCTION("""COMPUTED_VALUE"""),9.57209547E8)</f>
        <v>957209547</v>
      </c>
      <c r="AL641" s="1" t="str">
        <f>IFERROR(__xludf.DUMMYFUNCTION("""COMPUTED_VALUE"""),"mirkataipe@gmail.com")</f>
        <v>mirkataipe@gmail.com</v>
      </c>
      <c r="AM641" s="1" t="str">
        <f>IFERROR(__xludf.DUMMYFUNCTION("""COMPUTED_VALUE"""),"FEMENINO")</f>
        <v>FEMENINO</v>
      </c>
      <c r="AN641" s="1">
        <f>IFERROR(__xludf.DUMMYFUNCTION("""COMPUTED_VALUE"""),1350.0)</f>
        <v>1350</v>
      </c>
      <c r="AO641" s="1">
        <f>IFERROR(__xludf.DUMMYFUNCTION("""COMPUTED_VALUE"""),0.0)</f>
        <v>0</v>
      </c>
      <c r="AP641" s="1" t="str">
        <f>IFERROR(__xludf.DUMMYFUNCTION("""COMPUTED_VALUE"""),"FORMULARIO")</f>
        <v>FORMULARIO</v>
      </c>
      <c r="AQ641" s="1" t="str">
        <f>IFERROR(__xludf.DUMMYFUNCTION("""COMPUTED_VALUE"""),"NO SUFICIENCIA")</f>
        <v>NO SUFICIENCIA</v>
      </c>
      <c r="AR641" s="1" t="str">
        <f>IFERROR(__xludf.DUMMYFUNCTION("""COMPUTED_VALUE"""),"HEREDADO")</f>
        <v>HEREDADO</v>
      </c>
      <c r="AS641" s="1" t="str">
        <f>IFERROR(__xludf.DUMMYFUNCTION("""COMPUTED_VALUE"""),"ucal-pg-performance-sedes-abierta-cpl-search_conversion_marca_carreras-20240702")</f>
        <v>ucal-pg-performance-sedes-abierta-cpl-search_conversion_marca_carreras-20240702</v>
      </c>
      <c r="AT641" s="2">
        <f>IFERROR(__xludf.DUMMYFUNCTION("""COMPUTED_VALUE"""),45748.0)</f>
        <v>45748</v>
      </c>
      <c r="AU641" s="1">
        <f>IFERROR(__xludf.DUMMYFUNCTION("""COMPUTED_VALUE"""),1.0)</f>
        <v>1</v>
      </c>
      <c r="AV641" s="1" t="str">
        <f>IFERROR(__xludf.DUMMYFUNCTION("""COMPUTED_VALUE"""),"NUEVO")</f>
        <v>NUEVO</v>
      </c>
      <c r="AW641" s="1" t="str">
        <f>IFERROR(__xludf.DUMMYFUNCTION("""COMPUTED_VALUE"""),"SI")</f>
        <v>SI</v>
      </c>
      <c r="AX641" s="1"/>
      <c r="AY641" s="1" t="str">
        <f>IFERROR(__xludf.DUMMYFUNCTION("""COMPUTED_VALUE"""),"PAGO COMPLETO")</f>
        <v>PAGO COMPLETO</v>
      </c>
      <c r="AZ641" s="5">
        <f>IFERROR(__xludf.DUMMYFUNCTION("""COMPUTED_VALUE"""),45748.0)</f>
        <v>45748</v>
      </c>
      <c r="BA641" s="1">
        <f>IFERROR(__xludf.DUMMYFUNCTION("""COMPUTED_VALUE"""),0.0)</f>
        <v>0</v>
      </c>
      <c r="BB641" s="1">
        <f>IFERROR(__xludf.DUMMYFUNCTION("""COMPUTED_VALUE"""),0.0)</f>
        <v>0</v>
      </c>
      <c r="BC641" s="4">
        <f>IFERROR(__xludf.DUMMYFUNCTION("""COMPUTED_VALUE"""),0.0)</f>
        <v>0</v>
      </c>
      <c r="BD641" s="4">
        <f>IFERROR(__xludf.DUMMYFUNCTION("""COMPUTED_VALUE"""),0.0)</f>
        <v>0</v>
      </c>
      <c r="BE641" s="1">
        <f>IFERROR(__xludf.DUMMYFUNCTION("""COMPUTED_VALUE"""),4.0)</f>
        <v>4</v>
      </c>
      <c r="BF641" s="6">
        <f>IFERROR(__xludf.DUMMYFUNCTION("""COMPUTED_VALUE"""),1.0)</f>
        <v>1</v>
      </c>
      <c r="BG641" s="1">
        <f>IFERROR(__xludf.DUMMYFUNCTION("""COMPUTED_VALUE"""),1.0)</f>
        <v>1</v>
      </c>
      <c r="BH641" s="1" t="str">
        <f>IFERROR(__xludf.DUMMYFUNCTION("""COMPUTED_VALUE"""),"0")</f>
        <v>0</v>
      </c>
      <c r="BI641" s="4">
        <f>IFERROR(__xludf.DUMMYFUNCTION("""COMPUTED_VALUE"""),0.0)</f>
        <v>0</v>
      </c>
      <c r="BJ641" s="1">
        <f>IFERROR(__xludf.DUMMYFUNCTION("""COMPUTED_VALUE"""),0.0)</f>
        <v>0</v>
      </c>
      <c r="BK641" s="4">
        <f>IFERROR(__xludf.DUMMYFUNCTION("""COMPUTED_VALUE"""),0.0)</f>
        <v>0</v>
      </c>
      <c r="BL641" s="1">
        <f>IFERROR(__xludf.DUMMYFUNCTION("""COMPUTED_VALUE"""),1050.0)</f>
        <v>1050</v>
      </c>
      <c r="BM641" s="1">
        <f>IFERROR(__xludf.DUMMYFUNCTION("""COMPUTED_VALUE"""),14.0)</f>
        <v>14</v>
      </c>
      <c r="BN641" s="2">
        <f>IFERROR(__xludf.DUMMYFUNCTION("""COMPUTED_VALUE"""),45747.0)</f>
        <v>45747</v>
      </c>
      <c r="BO641" s="1">
        <f>IFERROR(__xludf.DUMMYFUNCTION("""COMPUTED_VALUE"""),4.0)</f>
        <v>4</v>
      </c>
      <c r="BP641" s="1">
        <f>IFERROR(__xludf.DUMMYFUNCTION("""COMPUTED_VALUE"""),2025.0)</f>
        <v>2025</v>
      </c>
    </row>
    <row r="642">
      <c r="A642" s="1">
        <f>IFERROR(__xludf.DUMMYFUNCTION("""COMPUTED_VALUE"""),641.0)</f>
        <v>641</v>
      </c>
      <c r="B642" s="1">
        <f>IFERROR(__xludf.DUMMYFUNCTION("""COMPUTED_VALUE"""),5119587.0)</f>
        <v>5119587</v>
      </c>
      <c r="C642" s="1" t="str">
        <f>IFERROR(__xludf.DUMMYFUNCTION("""COMPUTED_VALUE"""),"2025-1")</f>
        <v>2025-1</v>
      </c>
      <c r="D642" s="1" t="str">
        <f>IFERROR(__xludf.DUMMYFUNCTION("""COMPUTED_VALUE"""),"Admisión Extraordinaria (Traslados)")</f>
        <v>Admisión Extraordinaria (Traslados)</v>
      </c>
      <c r="E642" s="2">
        <f>IFERROR(__xludf.DUMMYFUNCTION("""COMPUTED_VALUE"""),45748.0)</f>
        <v>45748</v>
      </c>
      <c r="F642" s="1" t="str">
        <f>IFERROR(__xludf.DUMMYFUNCTION("""COMPUTED_VALUE"""),"WARREN JESUS")</f>
        <v>WARREN JESUS</v>
      </c>
      <c r="G642" s="1" t="str">
        <f>IFERROR(__xludf.DUMMYFUNCTION("""COMPUTED_VALUE"""),"SEVILLANO CORREA")</f>
        <v>SEVILLANO CORREA</v>
      </c>
      <c r="H642" s="1" t="str">
        <f>IFERROR(__xludf.DUMMYFUNCTION("""COMPUTED_VALUE"""),"Arquitectura")</f>
        <v>Arquitectura</v>
      </c>
      <c r="I642" s="1" t="str">
        <f>IFERROR(__xludf.DUMMYFUNCTION("""COMPUTED_VALUE"""),"CARGO")</f>
        <v>CARGO</v>
      </c>
      <c r="J642" s="1" t="str">
        <f>IFERROR(__xludf.DUMMYFUNCTION("""COMPUTED_VALUE"""),"Diurno")</f>
        <v>Diurno</v>
      </c>
      <c r="K642" s="1" t="str">
        <f>IFERROR(__xludf.DUMMYFUNCTION("""COMPUTED_VALUE"""),"TRASLADO")</f>
        <v>TRASLADO</v>
      </c>
      <c r="L642" s="1">
        <f>IFERROR(__xludf.DUMMYFUNCTION("""COMPUTED_VALUE"""),1.0)</f>
        <v>1</v>
      </c>
      <c r="M642" s="1">
        <f>IFERROR(__xludf.DUMMYFUNCTION("""COMPUTED_VALUE"""),0.0)</f>
        <v>0</v>
      </c>
      <c r="N642" s="1" t="str">
        <f>IFERROR(__xludf.DUMMYFUNCTION("""COMPUTED_VALUE"""),"RECA")</f>
        <v>RECA</v>
      </c>
      <c r="O642" s="1" t="str">
        <f>IFERROR(__xludf.DUMMYFUNCTION("""COMPUTED_VALUE"""),"RECATEGORIZACIÓN")</f>
        <v>RECATEGORIZACIÓN</v>
      </c>
      <c r="P642" s="4">
        <f>IFERROR(__xludf.DUMMYFUNCTION("""COMPUTED_VALUE"""),0.0)</f>
        <v>0</v>
      </c>
      <c r="Q642" s="4">
        <f>IFERROR(__xludf.DUMMYFUNCTION("""COMPUTED_VALUE"""),0.0)</f>
        <v>0</v>
      </c>
      <c r="R642" s="4">
        <f>IFERROR(__xludf.DUMMYFUNCTION("""COMPUTED_VALUE"""),1700.0)</f>
        <v>1700</v>
      </c>
      <c r="S642" s="4">
        <f>IFERROR(__xludf.DUMMYFUNCTION("""COMPUTED_VALUE"""),750.0)</f>
        <v>750</v>
      </c>
      <c r="T642" s="1" t="str">
        <f>IFERROR(__xludf.DUMMYFUNCTION("""COMPUTED_VALUE"""),"Ninguno")</f>
        <v>Ninguno</v>
      </c>
      <c r="U642" s="1" t="str">
        <f>IFERROR(__xludf.DUMMYFUNCTION("""COMPUTED_VALUE"""),"RODRIGO")</f>
        <v>RODRIGO</v>
      </c>
      <c r="V642" s="1" t="str">
        <f>IFERROR(__xludf.DUMMYFUNCTION("""COMPUTED_VALUE"""),"Ninguno")</f>
        <v>Ninguno</v>
      </c>
      <c r="W642" s="1" t="str">
        <f>IFERROR(__xludf.DUMMYFUNCTION("""COMPUTED_VALUE"""),"Metodología de enseñanza")</f>
        <v>Metodología de enseñanza</v>
      </c>
      <c r="X642" s="1" t="str">
        <f>IFERROR(__xludf.DUMMYFUNCTION("""COMPUTED_VALUE"""),"de universidad de Pira")</f>
        <v>de universidad de Pira</v>
      </c>
      <c r="Y642" s="1" t="str">
        <f>IFERROR(__xludf.DUMMYFUNCTION("""COMPUTED_VALUE"""),"PAGO COMPLETO")</f>
        <v>PAGO COMPLETO</v>
      </c>
      <c r="Z642" s="1"/>
      <c r="AA642" s="1"/>
      <c r="AB642" s="1">
        <f>IFERROR(__xludf.DUMMYFUNCTION("""COMPUTED_VALUE"""),0.0)</f>
        <v>0</v>
      </c>
      <c r="AC642" s="1">
        <f>IFERROR(__xludf.DUMMYFUNCTION("""COMPUTED_VALUE"""),0.0)</f>
        <v>0</v>
      </c>
      <c r="AD642" s="1" t="str">
        <f>IFERROR(__xludf.DUMMYFUNCTION("""COMPUTED_VALUE"""),"Rosa Ugarte")</f>
        <v>Rosa Ugarte</v>
      </c>
      <c r="AE642" s="1" t="str">
        <f>IFERROR(__xludf.DUMMYFUNCTION("""COMPUTED_VALUE"""),"Universidad De Piura")</f>
        <v>Universidad De Piura</v>
      </c>
      <c r="AF642" s="1">
        <f>IFERROR(__xludf.DUMMYFUNCTION("""COMPUTED_VALUE"""),2020.0)</f>
        <v>2020</v>
      </c>
      <c r="AG642" s="1">
        <f>IFERROR(__xludf.DUMMYFUNCTION("""COMPUTED_VALUE"""),1186378.0)</f>
        <v>1186378</v>
      </c>
      <c r="AH642" s="1">
        <f>IFERROR(__xludf.DUMMYFUNCTION("""COMPUTED_VALUE"""),25.0)</f>
        <v>25</v>
      </c>
      <c r="AI642" s="1" t="str">
        <f>IFERROR(__xludf.DUMMYFUNCTION("""COMPUTED_VALUE"""),"0000422177")</f>
        <v>0000422177</v>
      </c>
      <c r="AJ642" s="1">
        <f>IFERROR(__xludf.DUMMYFUNCTION("""COMPUTED_VALUE"""),7.0349545E7)</f>
        <v>70349545</v>
      </c>
      <c r="AK642" s="1">
        <f>IFERROR(__xludf.DUMMYFUNCTION("""COMPUTED_VALUE"""),9.49732599E8)</f>
        <v>949732599</v>
      </c>
      <c r="AL642" s="1" t="str">
        <f>IFERROR(__xludf.DUMMYFUNCTION("""COMPUTED_VALUE"""),"wsevico@gmail.com")</f>
        <v>wsevico@gmail.com</v>
      </c>
      <c r="AM642" s="1" t="str">
        <f>IFERROR(__xludf.DUMMYFUNCTION("""COMPUTED_VALUE"""),"MASCULINO")</f>
        <v>MASCULINO</v>
      </c>
      <c r="AN642" s="1">
        <f>IFERROR(__xludf.DUMMYFUNCTION("""COMPUTED_VALUE"""),2425.0)</f>
        <v>2425</v>
      </c>
      <c r="AO642" s="1">
        <f>IFERROR(__xludf.DUMMYFUNCTION("""COMPUTED_VALUE"""),1120.0)</f>
        <v>1120</v>
      </c>
      <c r="AP642" s="1" t="str">
        <f>IFERROR(__xludf.DUMMYFUNCTION("""COMPUTED_VALUE"""),"FORMULARIO")</f>
        <v>FORMULARIO</v>
      </c>
      <c r="AQ642" s="1" t="str">
        <f>IFERROR(__xludf.DUMMYFUNCTION("""COMPUTED_VALUE"""),"ORGANICO")</f>
        <v>ORGANICO</v>
      </c>
      <c r="AR642" s="1" t="str">
        <f>IFERROR(__xludf.DUMMYFUNCTION("""COMPUTED_VALUE"""),"NUEVO")</f>
        <v>NUEVO</v>
      </c>
      <c r="AS642" s="1"/>
      <c r="AT642" s="2">
        <f>IFERROR(__xludf.DUMMYFUNCTION("""COMPUTED_VALUE"""),45748.0)</f>
        <v>45748</v>
      </c>
      <c r="AU642" s="1">
        <f>IFERROR(__xludf.DUMMYFUNCTION("""COMPUTED_VALUE"""),1.0)</f>
        <v>1</v>
      </c>
      <c r="AV642" s="1" t="str">
        <f>IFERROR(__xludf.DUMMYFUNCTION("""COMPUTED_VALUE"""),"TRASLADO")</f>
        <v>TRASLADO</v>
      </c>
      <c r="AW642" s="1" t="str">
        <f>IFERROR(__xludf.DUMMYFUNCTION("""COMPUTED_VALUE"""),"SI")</f>
        <v>SI</v>
      </c>
      <c r="AX642" s="1"/>
      <c r="AY642" s="1" t="str">
        <f>IFERROR(__xludf.DUMMYFUNCTION("""COMPUTED_VALUE"""),"PAGO COMPLETO")</f>
        <v>PAGO COMPLETO</v>
      </c>
      <c r="AZ642" s="5">
        <f>IFERROR(__xludf.DUMMYFUNCTION("""COMPUTED_VALUE"""),45748.0)</f>
        <v>45748</v>
      </c>
      <c r="BA642" s="1">
        <f>IFERROR(__xludf.DUMMYFUNCTION("""COMPUTED_VALUE"""),0.0)</f>
        <v>0</v>
      </c>
      <c r="BB642" s="1">
        <f>IFERROR(__xludf.DUMMYFUNCTION("""COMPUTED_VALUE"""),0.0)</f>
        <v>0</v>
      </c>
      <c r="BC642" s="4">
        <f>IFERROR(__xludf.DUMMYFUNCTION("""COMPUTED_VALUE"""),0.0)</f>
        <v>0</v>
      </c>
      <c r="BD642" s="4">
        <f>IFERROR(__xludf.DUMMYFUNCTION("""COMPUTED_VALUE"""),0.0)</f>
        <v>0</v>
      </c>
      <c r="BE642" s="1">
        <f>IFERROR(__xludf.DUMMYFUNCTION("""COMPUTED_VALUE"""),4.0)</f>
        <v>4</v>
      </c>
      <c r="BF642" s="6">
        <f>IFERROR(__xludf.DUMMYFUNCTION("""COMPUTED_VALUE"""),1.0)</f>
        <v>1</v>
      </c>
      <c r="BG642" s="1">
        <f>IFERROR(__xludf.DUMMYFUNCTION("""COMPUTED_VALUE"""),1.0)</f>
        <v>1</v>
      </c>
      <c r="BH642" s="1" t="str">
        <f>IFERROR(__xludf.DUMMYFUNCTION("""COMPUTED_VALUE"""),"1")</f>
        <v>1</v>
      </c>
      <c r="BI642" s="4">
        <f>IFERROR(__xludf.DUMMYFUNCTION("""COMPUTED_VALUE"""),0.0)</f>
        <v>0</v>
      </c>
      <c r="BJ642" s="1">
        <f>IFERROR(__xludf.DUMMYFUNCTION("""COMPUTED_VALUE"""),0.0)</f>
        <v>0</v>
      </c>
      <c r="BK642" s="4">
        <f>IFERROR(__xludf.DUMMYFUNCTION("""COMPUTED_VALUE"""),0.0)</f>
        <v>0</v>
      </c>
      <c r="BL642" s="1">
        <f>IFERROR(__xludf.DUMMYFUNCTION("""COMPUTED_VALUE"""),750.0)</f>
        <v>750</v>
      </c>
      <c r="BM642" s="1">
        <f>IFERROR(__xludf.DUMMYFUNCTION("""COMPUTED_VALUE"""),14.0)</f>
        <v>14</v>
      </c>
      <c r="BN642" s="2">
        <f>IFERROR(__xludf.DUMMYFUNCTION("""COMPUTED_VALUE"""),45747.0)</f>
        <v>45747</v>
      </c>
      <c r="BO642" s="1">
        <f>IFERROR(__xludf.DUMMYFUNCTION("""COMPUTED_VALUE"""),4.0)</f>
        <v>4</v>
      </c>
      <c r="BP642" s="1">
        <f>IFERROR(__xludf.DUMMYFUNCTION("""COMPUTED_VALUE"""),2025.0)</f>
        <v>2025</v>
      </c>
    </row>
    <row r="643">
      <c r="A643" s="1">
        <f>IFERROR(__xludf.DUMMYFUNCTION("""COMPUTED_VALUE"""),642.0)</f>
        <v>642</v>
      </c>
      <c r="B643" s="1">
        <f>IFERROR(__xludf.DUMMYFUNCTION("""COMPUTED_VALUE"""),5003113.0)</f>
        <v>5003113</v>
      </c>
      <c r="C643" s="1" t="str">
        <f>IFERROR(__xludf.DUMMYFUNCTION("""COMPUTED_VALUE"""),"2025-1")</f>
        <v>2025-1</v>
      </c>
      <c r="D643" s="1" t="str">
        <f>IFERROR(__xludf.DUMMYFUNCTION("""COMPUTED_VALUE"""),"Admisión Ordinaria")</f>
        <v>Admisión Ordinaria</v>
      </c>
      <c r="E643" s="2">
        <f>IFERROR(__xludf.DUMMYFUNCTION("""COMPUTED_VALUE"""),45748.0)</f>
        <v>45748</v>
      </c>
      <c r="F643" s="1" t="str">
        <f>IFERROR(__xludf.DUMMYFUNCTION("""COMPUTED_VALUE"""),"ADRIANA FERNANDA")</f>
        <v>ADRIANA FERNANDA</v>
      </c>
      <c r="G643" s="1" t="str">
        <f>IFERROR(__xludf.DUMMYFUNCTION("""COMPUTED_VALUE"""),"ESTABRIDIS PATIÑO")</f>
        <v>ESTABRIDIS PATIÑO</v>
      </c>
      <c r="H643" s="1" t="str">
        <f>IFERROR(__xludf.DUMMYFUNCTION("""COMPUTED_VALUE"""),"Administración y Marketing")</f>
        <v>Administración y Marketing</v>
      </c>
      <c r="I643" s="1" t="str">
        <f>IFERROR(__xludf.DUMMYFUNCTION("""COMPUTED_VALUE"""),"CARGO")</f>
        <v>CARGO</v>
      </c>
      <c r="J643" s="1" t="str">
        <f>IFERROR(__xludf.DUMMYFUNCTION("""COMPUTED_VALUE"""),"Nocturno - A distancia")</f>
        <v>Nocturno - A distancia</v>
      </c>
      <c r="K643" s="1" t="str">
        <f>IFERROR(__xludf.DUMMYFUNCTION("""COMPUTED_VALUE"""),"NUEVO")</f>
        <v>NUEVO</v>
      </c>
      <c r="L643" s="1">
        <f>IFERROR(__xludf.DUMMYFUNCTION("""COMPUTED_VALUE"""),0.0)</f>
        <v>0</v>
      </c>
      <c r="M643" s="1">
        <f>IFERROR(__xludf.DUMMYFUNCTION("""COMPUTED_VALUE"""),0.0)</f>
        <v>0</v>
      </c>
      <c r="N643" s="1" t="str">
        <f>IFERROR(__xludf.DUMMYFUNCTION("""COMPUTED_VALUE"""),"ESCALA REGULAR")</f>
        <v>ESCALA REGULAR</v>
      </c>
      <c r="O643" s="1" t="str">
        <f>IFERROR(__xludf.DUMMYFUNCTION("""COMPUTED_VALUE"""),"NINGUNO")</f>
        <v>NINGUNO</v>
      </c>
      <c r="P643" s="4">
        <f>IFERROR(__xludf.DUMMYFUNCTION("""COMPUTED_VALUE"""),0.0)</f>
        <v>0</v>
      </c>
      <c r="Q643" s="4">
        <f>IFERROR(__xludf.DUMMYFUNCTION("""COMPUTED_VALUE"""),0.0)</f>
        <v>0</v>
      </c>
      <c r="R643" s="4">
        <f>IFERROR(__xludf.DUMMYFUNCTION("""COMPUTED_VALUE"""),750.0)</f>
        <v>750</v>
      </c>
      <c r="S643" s="4">
        <f>IFERROR(__xludf.DUMMYFUNCTION("""COMPUTED_VALUE"""),750.0)</f>
        <v>750</v>
      </c>
      <c r="T643" s="1" t="str">
        <f>IFERROR(__xludf.DUMMYFUNCTION("""COMPUTED_VALUE"""),"Ninguno")</f>
        <v>Ninguno</v>
      </c>
      <c r="U643" s="1" t="str">
        <f>IFERROR(__xludf.DUMMYFUNCTION("""COMPUTED_VALUE"""),"RODRIGO")</f>
        <v>RODRIGO</v>
      </c>
      <c r="V643" s="1" t="str">
        <f>IFERROR(__xludf.DUMMYFUNCTION("""COMPUTED_VALUE"""),"Ninguno")</f>
        <v>Ninguno</v>
      </c>
      <c r="W643" s="1" t="str">
        <f>IFERROR(__xludf.DUMMYFUNCTION("""COMPUTED_VALUE"""),"Metodología de enseñanza")</f>
        <v>Metodología de enseñanza</v>
      </c>
      <c r="X643" s="1"/>
      <c r="Y643" s="1" t="str">
        <f>IFERROR(__xludf.DUMMYFUNCTION("""COMPUTED_VALUE"""),"PAGO COMPLETO")</f>
        <v>PAGO COMPLETO</v>
      </c>
      <c r="Z643" s="1"/>
      <c r="AA643" s="1"/>
      <c r="AB643" s="1">
        <f>IFERROR(__xludf.DUMMYFUNCTION("""COMPUTED_VALUE"""),0.0)</f>
        <v>0</v>
      </c>
      <c r="AC643" s="1">
        <f>IFERROR(__xludf.DUMMYFUNCTION("""COMPUTED_VALUE"""),0.0)</f>
        <v>0</v>
      </c>
      <c r="AD643" s="1" t="str">
        <f>IFERROR(__xludf.DUMMYFUNCTION("""COMPUTED_VALUE"""),"Rosa Ugarte")</f>
        <v>Rosa Ugarte</v>
      </c>
      <c r="AE643" s="1" t="str">
        <f>IFERROR(__xludf.DUMMYFUNCTION("""COMPUTED_VALUE"""),"0")</f>
        <v>0</v>
      </c>
      <c r="AF643" s="1">
        <f>IFERROR(__xludf.DUMMYFUNCTION("""COMPUTED_VALUE"""),2018.0)</f>
        <v>2018</v>
      </c>
      <c r="AG643" s="1">
        <f>IFERROR(__xludf.DUMMYFUNCTION("""COMPUTED_VALUE"""),919753.0)</f>
        <v>919753</v>
      </c>
      <c r="AH643" s="1">
        <f>IFERROR(__xludf.DUMMYFUNCTION("""COMPUTED_VALUE"""),17.0)</f>
        <v>17</v>
      </c>
      <c r="AI643" s="1" t="str">
        <f>IFERROR(__xludf.DUMMYFUNCTION("""COMPUTED_VALUE"""),"0000422195")</f>
        <v>0000422195</v>
      </c>
      <c r="AJ643" s="1">
        <f>IFERROR(__xludf.DUMMYFUNCTION("""COMPUTED_VALUE"""),6.1206813E7)</f>
        <v>61206813</v>
      </c>
      <c r="AK643" s="1">
        <f>IFERROR(__xludf.DUMMYFUNCTION("""COMPUTED_VALUE"""),9.68564286E8)</f>
        <v>968564286</v>
      </c>
      <c r="AL643" s="1" t="str">
        <f>IFERROR(__xludf.DUMMYFUNCTION("""COMPUTED_VALUE"""),"eestabridis@hotmail.com")</f>
        <v>eestabridis@hotmail.com</v>
      </c>
      <c r="AM643" s="1" t="str">
        <f>IFERROR(__xludf.DUMMYFUNCTION("""COMPUTED_VALUE"""),"FEMENINO")</f>
        <v>FEMENINO</v>
      </c>
      <c r="AN643" s="1">
        <f>IFERROR(__xludf.DUMMYFUNCTION("""COMPUTED_VALUE"""),1850.0)</f>
        <v>1850</v>
      </c>
      <c r="AO643" s="1">
        <f>IFERROR(__xludf.DUMMYFUNCTION("""COMPUTED_VALUE"""),580.0)</f>
        <v>580</v>
      </c>
      <c r="AP643" s="1" t="str">
        <f>IFERROR(__xludf.DUMMYFUNCTION("""COMPUTED_VALUE"""),"FORMULARIO")</f>
        <v>FORMULARIO</v>
      </c>
      <c r="AQ643" s="1" t="str">
        <f>IFERROR(__xludf.DUMMYFUNCTION("""COMPUTED_VALUE"""),"ORGANICO")</f>
        <v>ORGANICO</v>
      </c>
      <c r="AR643" s="1" t="str">
        <f>IFERROR(__xludf.DUMMYFUNCTION("""COMPUTED_VALUE"""),"HEREDADO")</f>
        <v>HEREDADO</v>
      </c>
      <c r="AS643" s="1"/>
      <c r="AT643" s="2">
        <f>IFERROR(__xludf.DUMMYFUNCTION("""COMPUTED_VALUE"""),45744.0)</f>
        <v>45744</v>
      </c>
      <c r="AU643" s="1">
        <f>IFERROR(__xludf.DUMMYFUNCTION("""COMPUTED_VALUE"""),1.0)</f>
        <v>1</v>
      </c>
      <c r="AV643" s="1" t="str">
        <f>IFERROR(__xludf.DUMMYFUNCTION("""COMPUTED_VALUE"""),"NUEVO")</f>
        <v>NUEVO</v>
      </c>
      <c r="AW643" s="1" t="str">
        <f>IFERROR(__xludf.DUMMYFUNCTION("""COMPUTED_VALUE"""),"SI")</f>
        <v>SI</v>
      </c>
      <c r="AX643" s="1"/>
      <c r="AY643" s="1" t="str">
        <f>IFERROR(__xludf.DUMMYFUNCTION("""COMPUTED_VALUE"""),"PAGO COMPLETO")</f>
        <v>PAGO COMPLETO</v>
      </c>
      <c r="AZ643" s="5">
        <f>IFERROR(__xludf.DUMMYFUNCTION("""COMPUTED_VALUE"""),45748.0)</f>
        <v>45748</v>
      </c>
      <c r="BA643" s="1">
        <f>IFERROR(__xludf.DUMMYFUNCTION("""COMPUTED_VALUE"""),0.0)</f>
        <v>0</v>
      </c>
      <c r="BB643" s="1">
        <f>IFERROR(__xludf.DUMMYFUNCTION("""COMPUTED_VALUE"""),0.0)</f>
        <v>0</v>
      </c>
      <c r="BC643" s="4">
        <f>IFERROR(__xludf.DUMMYFUNCTION("""COMPUTED_VALUE"""),0.0)</f>
        <v>0</v>
      </c>
      <c r="BD643" s="4">
        <f>IFERROR(__xludf.DUMMYFUNCTION("""COMPUTED_VALUE"""),0.0)</f>
        <v>0</v>
      </c>
      <c r="BE643" s="1">
        <f>IFERROR(__xludf.DUMMYFUNCTION("""COMPUTED_VALUE"""),4.0)</f>
        <v>4</v>
      </c>
      <c r="BF643" s="6">
        <f>IFERROR(__xludf.DUMMYFUNCTION("""COMPUTED_VALUE"""),1.0)</f>
        <v>1</v>
      </c>
      <c r="BG643" s="1">
        <f>IFERROR(__xludf.DUMMYFUNCTION("""COMPUTED_VALUE"""),1.0)</f>
        <v>1</v>
      </c>
      <c r="BH643" s="1" t="str">
        <f>IFERROR(__xludf.DUMMYFUNCTION("""COMPUTED_VALUE"""),"0")</f>
        <v>0</v>
      </c>
      <c r="BI643" s="4">
        <f>IFERROR(__xludf.DUMMYFUNCTION("""COMPUTED_VALUE"""),0.0)</f>
        <v>0</v>
      </c>
      <c r="BJ643" s="1">
        <f>IFERROR(__xludf.DUMMYFUNCTION("""COMPUTED_VALUE"""),0.0)</f>
        <v>0</v>
      </c>
      <c r="BK643" s="4">
        <f>IFERROR(__xludf.DUMMYFUNCTION("""COMPUTED_VALUE"""),0.0)</f>
        <v>0</v>
      </c>
      <c r="BL643" s="1">
        <f>IFERROR(__xludf.DUMMYFUNCTION("""COMPUTED_VALUE"""),750.0)</f>
        <v>750</v>
      </c>
      <c r="BM643" s="1">
        <f>IFERROR(__xludf.DUMMYFUNCTION("""COMPUTED_VALUE"""),14.0)</f>
        <v>14</v>
      </c>
      <c r="BN643" s="2">
        <f>IFERROR(__xludf.DUMMYFUNCTION("""COMPUTED_VALUE"""),45747.0)</f>
        <v>45747</v>
      </c>
      <c r="BO643" s="1">
        <f>IFERROR(__xludf.DUMMYFUNCTION("""COMPUTED_VALUE"""),4.0)</f>
        <v>4</v>
      </c>
      <c r="BP643" s="1">
        <f>IFERROR(__xludf.DUMMYFUNCTION("""COMPUTED_VALUE"""),2025.0)</f>
        <v>2025</v>
      </c>
    </row>
    <row r="644">
      <c r="A644" s="1">
        <f>IFERROR(__xludf.DUMMYFUNCTION("""COMPUTED_VALUE"""),643.0)</f>
        <v>643</v>
      </c>
      <c r="B644" s="1">
        <f>IFERROR(__xludf.DUMMYFUNCTION("""COMPUTED_VALUE"""),4528300.0)</f>
        <v>4528300</v>
      </c>
      <c r="C644" s="1" t="str">
        <f>IFERROR(__xludf.DUMMYFUNCTION("""COMPUTED_VALUE"""),"2025-1")</f>
        <v>2025-1</v>
      </c>
      <c r="D644" s="1" t="str">
        <f>IFERROR(__xludf.DUMMYFUNCTION("""COMPUTED_VALUE"""),"Admisión Ordinaria")</f>
        <v>Admisión Ordinaria</v>
      </c>
      <c r="E644" s="2">
        <f>IFERROR(__xludf.DUMMYFUNCTION("""COMPUTED_VALUE"""),45749.0)</f>
        <v>45749</v>
      </c>
      <c r="F644" s="1" t="str">
        <f>IFERROR(__xludf.DUMMYFUNCTION("""COMPUTED_VALUE"""),"JESUS ANDRE ")</f>
        <v>JESUS ANDRE </v>
      </c>
      <c r="G644" s="1" t="str">
        <f>IFERROR(__xludf.DUMMYFUNCTION("""COMPUTED_VALUE"""),"SOTOMAYOR CASTRO")</f>
        <v>SOTOMAYOR CASTRO</v>
      </c>
      <c r="H644" s="1" t="str">
        <f>IFERROR(__xludf.DUMMYFUNCTION("""COMPUTED_VALUE"""),"Psicología")</f>
        <v>Psicología</v>
      </c>
      <c r="I644" s="1" t="str">
        <f>IFERROR(__xludf.DUMMYFUNCTION("""COMPUTED_VALUE"""),"CARGO")</f>
        <v>CARGO</v>
      </c>
      <c r="J644" s="1" t="str">
        <f>IFERROR(__xludf.DUMMYFUNCTION("""COMPUTED_VALUE"""),"Diurno")</f>
        <v>Diurno</v>
      </c>
      <c r="K644" s="1" t="str">
        <f>IFERROR(__xludf.DUMMYFUNCTION("""COMPUTED_VALUE"""),"NUEVO")</f>
        <v>NUEVO</v>
      </c>
      <c r="L644" s="1">
        <f>IFERROR(__xludf.DUMMYFUNCTION("""COMPUTED_VALUE"""),0.0)</f>
        <v>0</v>
      </c>
      <c r="M644" s="1">
        <f>IFERROR(__xludf.DUMMYFUNCTION("""COMPUTED_VALUE"""),0.0)</f>
        <v>0</v>
      </c>
      <c r="N644" s="1" t="str">
        <f>IFERROR(__xludf.DUMMYFUNCTION("""COMPUTED_VALUE"""),"BECA")</f>
        <v>BECA</v>
      </c>
      <c r="O644" s="1" t="str">
        <f>IFERROR(__xludf.DUMMYFUNCTION("""COMPUTED_VALUE"""),"BECA CARRERAS NUEVAS")</f>
        <v>BECA CARRERAS NUEVAS</v>
      </c>
      <c r="P644" s="4">
        <f>IFERROR(__xludf.DUMMYFUNCTION("""COMPUTED_VALUE"""),125.0)</f>
        <v>125</v>
      </c>
      <c r="Q644" s="4">
        <f>IFERROR(__xludf.DUMMYFUNCTION("""COMPUTED_VALUE"""),237.5)</f>
        <v>237.5</v>
      </c>
      <c r="R644" s="4">
        <f>IFERROR(__xludf.DUMMYFUNCTION("""COMPUTED_VALUE"""),1100.0)</f>
        <v>1100</v>
      </c>
      <c r="S644" s="4">
        <f>IFERROR(__xludf.DUMMYFUNCTION("""COMPUTED_VALUE"""),950.0)</f>
        <v>950</v>
      </c>
      <c r="T644" s="1" t="str">
        <f>IFERROR(__xludf.DUMMYFUNCTION("""COMPUTED_VALUE"""),"PALANCA 500")</f>
        <v>PALANCA 500</v>
      </c>
      <c r="U644" s="1" t="str">
        <f>IFERROR(__xludf.DUMMYFUNCTION("""COMPUTED_VALUE"""),"RODRIGO")</f>
        <v>RODRIGO</v>
      </c>
      <c r="V644" s="1" t="str">
        <f>IFERROR(__xludf.DUMMYFUNCTION("""COMPUTED_VALUE"""),"Ninguno")</f>
        <v>Ninguno</v>
      </c>
      <c r="W644" s="1" t="str">
        <f>IFERROR(__xludf.DUMMYFUNCTION("""COMPUTED_VALUE"""),"Prestigio de la institución")</f>
        <v>Prestigio de la institución</v>
      </c>
      <c r="X644" s="1" t="str">
        <f>IFERROR(__xludf.DUMMYFUNCTION("""COMPUTED_VALUE"""),"0")</f>
        <v>0</v>
      </c>
      <c r="Y644" s="1" t="str">
        <f>IFERROR(__xludf.DUMMYFUNCTION("""COMPUTED_VALUE"""),"PAGO COMPLETO")</f>
        <v>PAGO COMPLETO</v>
      </c>
      <c r="Z644" s="1"/>
      <c r="AA644" s="1"/>
      <c r="AB644" s="1">
        <f>IFERROR(__xludf.DUMMYFUNCTION("""COMPUTED_VALUE"""),0.0)</f>
        <v>0</v>
      </c>
      <c r="AC644" s="1">
        <f>IFERROR(__xludf.DUMMYFUNCTION("""COMPUTED_VALUE"""),0.0)</f>
        <v>0</v>
      </c>
      <c r="AD644" s="1" t="str">
        <f>IFERROR(__xludf.DUMMYFUNCTION("""COMPUTED_VALUE"""),"Andrea Araujo Antara")</f>
        <v>Andrea Araujo Antara</v>
      </c>
      <c r="AE644" s="1" t="str">
        <f>IFERROR(__xludf.DUMMYFUNCTION("""COMPUTED_VALUE"""),"0")</f>
        <v>0</v>
      </c>
      <c r="AF644" s="1">
        <f>IFERROR(__xludf.DUMMYFUNCTION("""COMPUTED_VALUE"""),2021.0)</f>
        <v>2021</v>
      </c>
      <c r="AG644" s="1">
        <f>IFERROR(__xludf.DUMMYFUNCTION("""COMPUTED_VALUE"""),1262393.0)</f>
        <v>1262393</v>
      </c>
      <c r="AH644" s="1">
        <f>IFERROR(__xludf.DUMMYFUNCTION("""COMPUTED_VALUE"""),23.0)</f>
        <v>23</v>
      </c>
      <c r="AI644" s="1" t="str">
        <f>IFERROR(__xludf.DUMMYFUNCTION("""COMPUTED_VALUE"""),"0000422270")</f>
        <v>0000422270</v>
      </c>
      <c r="AJ644" s="1">
        <f>IFERROR(__xludf.DUMMYFUNCTION("""COMPUTED_VALUE"""),7.7515052E7)</f>
        <v>77515052</v>
      </c>
      <c r="AK644" s="1">
        <f>IFERROR(__xludf.DUMMYFUNCTION("""COMPUTED_VALUE"""),9.12690351E8)</f>
        <v>912690351</v>
      </c>
      <c r="AL644" s="1" t="str">
        <f>IFERROR(__xludf.DUMMYFUNCTION("""COMPUTED_VALUE"""),"estephaniecastro838@gmail.com")</f>
        <v>estephaniecastro838@gmail.com</v>
      </c>
      <c r="AM644" s="1" t="str">
        <f>IFERROR(__xludf.DUMMYFUNCTION("""COMPUTED_VALUE"""),"MASCULINO")</f>
        <v>MASCULINO</v>
      </c>
      <c r="AN644" s="1">
        <f>IFERROR(__xludf.DUMMYFUNCTION("""COMPUTED_VALUE"""),1525.0)</f>
        <v>1525</v>
      </c>
      <c r="AO644" s="1">
        <f>IFERROR(__xludf.DUMMYFUNCTION("""COMPUTED_VALUE"""),200.0)</f>
        <v>200</v>
      </c>
      <c r="AP644" s="1" t="str">
        <f>IFERROR(__xludf.DUMMYFUNCTION("""COMPUTED_VALUE"""),"BIDIRECCIONAL")</f>
        <v>BIDIRECCIONAL</v>
      </c>
      <c r="AQ644" s="1" t="str">
        <f>IFERROR(__xludf.DUMMYFUNCTION("""COMPUTED_VALUE"""),"SEARCH MARCA")</f>
        <v>SEARCH MARCA</v>
      </c>
      <c r="AR644" s="1" t="str">
        <f>IFERROR(__xludf.DUMMYFUNCTION("""COMPUTED_VALUE"""),"NUEVO")</f>
        <v>NUEVO</v>
      </c>
      <c r="AS644" s="1" t="str">
        <f>IFERROR(__xludf.DUMMYFUNCTION("""COMPUTED_VALUE"""),"ucal-pg-performance-sedes-abierta-cpl-search_conversion_marca-20240401")</f>
        <v>ucal-pg-performance-sedes-abierta-cpl-search_conversion_marca-20240401</v>
      </c>
      <c r="AT644" s="2">
        <f>IFERROR(__xludf.DUMMYFUNCTION("""COMPUTED_VALUE"""),45748.0)</f>
        <v>45748</v>
      </c>
      <c r="AU644" s="1">
        <f>IFERROR(__xludf.DUMMYFUNCTION("""COMPUTED_VALUE"""),1.0)</f>
        <v>1</v>
      </c>
      <c r="AV644" s="1" t="str">
        <f>IFERROR(__xludf.DUMMYFUNCTION("""COMPUTED_VALUE"""),"NUEVO")</f>
        <v>NUEVO</v>
      </c>
      <c r="AW644" s="1" t="str">
        <f>IFERROR(__xludf.DUMMYFUNCTION("""COMPUTED_VALUE"""),"SI")</f>
        <v>SI</v>
      </c>
      <c r="AX644" s="1"/>
      <c r="AY644" s="1" t="str">
        <f>IFERROR(__xludf.DUMMYFUNCTION("""COMPUTED_VALUE"""),"PAGO COMPLETO")</f>
        <v>PAGO COMPLETO</v>
      </c>
      <c r="AZ644" s="5">
        <f>IFERROR(__xludf.DUMMYFUNCTION("""COMPUTED_VALUE"""),45749.0)</f>
        <v>45749</v>
      </c>
      <c r="BA644" s="1">
        <f>IFERROR(__xludf.DUMMYFUNCTION("""COMPUTED_VALUE"""),0.0)</f>
        <v>0</v>
      </c>
      <c r="BB644" s="1">
        <f>IFERROR(__xludf.DUMMYFUNCTION("""COMPUTED_VALUE"""),0.0)</f>
        <v>0</v>
      </c>
      <c r="BC644" s="4">
        <f>IFERROR(__xludf.DUMMYFUNCTION("""COMPUTED_VALUE"""),0.0)</f>
        <v>0</v>
      </c>
      <c r="BD644" s="4">
        <f>IFERROR(__xludf.DUMMYFUNCTION("""COMPUTED_VALUE"""),450.0)</f>
        <v>450</v>
      </c>
      <c r="BE644" s="1">
        <f>IFERROR(__xludf.DUMMYFUNCTION("""COMPUTED_VALUE"""),4.0)</f>
        <v>4</v>
      </c>
      <c r="BF644" s="6">
        <f>IFERROR(__xludf.DUMMYFUNCTION("""COMPUTED_VALUE"""),1.0)</f>
        <v>1</v>
      </c>
      <c r="BG644" s="1">
        <f>IFERROR(__xludf.DUMMYFUNCTION("""COMPUTED_VALUE"""),1.0)</f>
        <v>1</v>
      </c>
      <c r="BH644" s="1" t="str">
        <f>IFERROR(__xludf.DUMMYFUNCTION("""COMPUTED_VALUE"""),"0")</f>
        <v>0</v>
      </c>
      <c r="BI644" s="4">
        <f>IFERROR(__xludf.DUMMYFUNCTION("""COMPUTED_VALUE"""),450.0)</f>
        <v>450</v>
      </c>
      <c r="BJ644" s="1">
        <f>IFERROR(__xludf.DUMMYFUNCTION("""COMPUTED_VALUE"""),0.0)</f>
        <v>0</v>
      </c>
      <c r="BK644" s="4">
        <f>IFERROR(__xludf.DUMMYFUNCTION("""COMPUTED_VALUE"""),450.0)</f>
        <v>450</v>
      </c>
      <c r="BL644" s="1">
        <f>IFERROR(__xludf.DUMMYFUNCTION("""COMPUTED_VALUE"""),860.0)</f>
        <v>860</v>
      </c>
      <c r="BM644" s="1">
        <f>IFERROR(__xludf.DUMMYFUNCTION("""COMPUTED_VALUE"""),14.0)</f>
        <v>14</v>
      </c>
      <c r="BN644" s="2">
        <f>IFERROR(__xludf.DUMMYFUNCTION("""COMPUTED_VALUE"""),45747.0)</f>
        <v>45747</v>
      </c>
      <c r="BO644" s="1">
        <f>IFERROR(__xludf.DUMMYFUNCTION("""COMPUTED_VALUE"""),4.0)</f>
        <v>4</v>
      </c>
      <c r="BP644" s="1">
        <f>IFERROR(__xludf.DUMMYFUNCTION("""COMPUTED_VALUE"""),2025.0)</f>
        <v>2025</v>
      </c>
    </row>
    <row r="645">
      <c r="A645" s="1">
        <f>IFERROR(__xludf.DUMMYFUNCTION("""COMPUTED_VALUE"""),644.0)</f>
        <v>644</v>
      </c>
      <c r="B645" s="1">
        <f>IFERROR(__xludf.DUMMYFUNCTION("""COMPUTED_VALUE"""),2515278.0)</f>
        <v>2515278</v>
      </c>
      <c r="C645" s="1" t="str">
        <f>IFERROR(__xludf.DUMMYFUNCTION("""COMPUTED_VALUE"""),"2025-1")</f>
        <v>2025-1</v>
      </c>
      <c r="D645" s="1" t="str">
        <f>IFERROR(__xludf.DUMMYFUNCTION("""COMPUTED_VALUE"""),"Admisión Ordinaria")</f>
        <v>Admisión Ordinaria</v>
      </c>
      <c r="E645" s="2">
        <f>IFERROR(__xludf.DUMMYFUNCTION("""COMPUTED_VALUE"""),45749.0)</f>
        <v>45749</v>
      </c>
      <c r="F645" s="1" t="str">
        <f>IFERROR(__xludf.DUMMYFUNCTION("""COMPUTED_VALUE"""),"JENNYFER ROSA")</f>
        <v>JENNYFER ROSA</v>
      </c>
      <c r="G645" s="1" t="str">
        <f>IFERROR(__xludf.DUMMYFUNCTION("""COMPUTED_VALUE"""),"VEGA RIOS")</f>
        <v>VEGA RIOS</v>
      </c>
      <c r="H645" s="1" t="str">
        <f>IFERROR(__xludf.DUMMYFUNCTION("""COMPUTED_VALUE"""),"Administración y Marketing")</f>
        <v>Administración y Marketing</v>
      </c>
      <c r="I645" s="1" t="str">
        <f>IFERROR(__xludf.DUMMYFUNCTION("""COMPUTED_VALUE"""),"CARGO")</f>
        <v>CARGO</v>
      </c>
      <c r="J645" s="1" t="str">
        <f>IFERROR(__xludf.DUMMYFUNCTION("""COMPUTED_VALUE"""),"Diurno")</f>
        <v>Diurno</v>
      </c>
      <c r="K645" s="1" t="str">
        <f>IFERROR(__xludf.DUMMYFUNCTION("""COMPUTED_VALUE"""),"NUEVO")</f>
        <v>NUEVO</v>
      </c>
      <c r="L645" s="1">
        <f>IFERROR(__xludf.DUMMYFUNCTION("""COMPUTED_VALUE"""),0.0)</f>
        <v>0</v>
      </c>
      <c r="M645" s="1">
        <f>IFERROR(__xludf.DUMMYFUNCTION("""COMPUTED_VALUE"""),0.0)</f>
        <v>0</v>
      </c>
      <c r="N645" s="1" t="str">
        <f>IFERROR(__xludf.DUMMYFUNCTION("""COMPUTED_VALUE"""),"BECA")</f>
        <v>BECA</v>
      </c>
      <c r="O645" s="1" t="str">
        <f>IFERROR(__xludf.DUMMYFUNCTION("""COMPUTED_VALUE"""),"BECA RECUPERO")</f>
        <v>BECA RECUPERO</v>
      </c>
      <c r="P645" s="4">
        <f>IFERROR(__xludf.DUMMYFUNCTION("""COMPUTED_VALUE"""),0.0)</f>
        <v>0</v>
      </c>
      <c r="Q645" s="4">
        <f>IFERROR(__xludf.DUMMYFUNCTION("""COMPUTED_VALUE"""),0.0)</f>
        <v>0</v>
      </c>
      <c r="R645" s="4">
        <f>IFERROR(__xludf.DUMMYFUNCTION("""COMPUTED_VALUE"""),950.0)</f>
        <v>950</v>
      </c>
      <c r="S645" s="4">
        <f>IFERROR(__xludf.DUMMYFUNCTION("""COMPUTED_VALUE"""),800.0)</f>
        <v>800</v>
      </c>
      <c r="T645" s="1" t="str">
        <f>IFERROR(__xludf.DUMMYFUNCTION("""COMPUTED_VALUE"""),"PALANCA 500")</f>
        <v>PALANCA 500</v>
      </c>
      <c r="U645" s="1" t="str">
        <f>IFERROR(__xludf.DUMMYFUNCTION("""COMPUTED_VALUE"""),"RODRIGO")</f>
        <v>RODRIGO</v>
      </c>
      <c r="V645" s="1" t="str">
        <f>IFERROR(__xludf.DUMMYFUNCTION("""COMPUTED_VALUE"""),"Ninguno")</f>
        <v>Ninguno</v>
      </c>
      <c r="W645" s="1" t="str">
        <f>IFERROR(__xludf.DUMMYFUNCTION("""COMPUTED_VALUE"""),"Convenios internacionales")</f>
        <v>Convenios internacionales</v>
      </c>
      <c r="X645" s="1"/>
      <c r="Y645" s="1" t="str">
        <f>IFERROR(__xludf.DUMMYFUNCTION("""COMPUTED_VALUE"""),"PAGO COMPLETO")</f>
        <v>PAGO COMPLETO</v>
      </c>
      <c r="Z645" s="1"/>
      <c r="AA645" s="1"/>
      <c r="AB645" s="1">
        <f>IFERROR(__xludf.DUMMYFUNCTION("""COMPUTED_VALUE"""),0.0)</f>
        <v>0</v>
      </c>
      <c r="AC645" s="1">
        <f>IFERROR(__xludf.DUMMYFUNCTION("""COMPUTED_VALUE"""),0.0)</f>
        <v>0</v>
      </c>
      <c r="AD645" s="1" t="str">
        <f>IFERROR(__xludf.DUMMYFUNCTION("""COMPUTED_VALUE"""),"Angelica Iparraguirre")</f>
        <v>Angelica Iparraguirre</v>
      </c>
      <c r="AE645" s="1" t="str">
        <f>IFERROR(__xludf.DUMMYFUNCTION("""COMPUTED_VALUE"""),"0")</f>
        <v>0</v>
      </c>
      <c r="AF645" s="1">
        <f>IFERROR(__xludf.DUMMYFUNCTION("""COMPUTED_VALUE"""),2022.0)</f>
        <v>2022</v>
      </c>
      <c r="AG645" s="1">
        <f>IFERROR(__xludf.DUMMYFUNCTION("""COMPUTED_VALUE"""),874438.0)</f>
        <v>874438</v>
      </c>
      <c r="AH645" s="1">
        <f>IFERROR(__xludf.DUMMYFUNCTION("""COMPUTED_VALUE"""),22.0)</f>
        <v>22</v>
      </c>
      <c r="AI645" s="1" t="str">
        <f>IFERROR(__xludf.DUMMYFUNCTION("""COMPUTED_VALUE"""),"0000422310")</f>
        <v>0000422310</v>
      </c>
      <c r="AJ645" s="1">
        <f>IFERROR(__xludf.DUMMYFUNCTION("""COMPUTED_VALUE"""),7.3095344E7)</f>
        <v>73095344</v>
      </c>
      <c r="AK645" s="1">
        <f>IFERROR(__xludf.DUMMYFUNCTION("""COMPUTED_VALUE"""),9.63492498E8)</f>
        <v>963492498</v>
      </c>
      <c r="AL645" s="1" t="str">
        <f>IFERROR(__xludf.DUMMYFUNCTION("""COMPUTED_VALUE"""),"jennyfervega854@gmail.com")</f>
        <v>jennyfervega854@gmail.com</v>
      </c>
      <c r="AM645" s="1" t="str">
        <f>IFERROR(__xludf.DUMMYFUNCTION("""COMPUTED_VALUE"""),"FEMENINO")</f>
        <v>FEMENINO</v>
      </c>
      <c r="AN645" s="1">
        <f>IFERROR(__xludf.DUMMYFUNCTION("""COMPUTED_VALUE"""),1600.0)</f>
        <v>1600</v>
      </c>
      <c r="AO645" s="1">
        <f>IFERROR(__xludf.DUMMYFUNCTION("""COMPUTED_VALUE"""),280.0)</f>
        <v>280</v>
      </c>
      <c r="AP645" s="1" t="str">
        <f>IFERROR(__xludf.DUMMYFUNCTION("""COMPUTED_VALUE"""),"BIDIRECCIONAL")</f>
        <v>BIDIRECCIONAL</v>
      </c>
      <c r="AQ645" s="1" t="str">
        <f>IFERROR(__xludf.DUMMYFUNCTION("""COMPUTED_VALUE"""),"ORGANICO")</f>
        <v>ORGANICO</v>
      </c>
      <c r="AR645" s="1" t="str">
        <f>IFERROR(__xludf.DUMMYFUNCTION("""COMPUTED_VALUE"""),"HEREDADO")</f>
        <v>HEREDADO</v>
      </c>
      <c r="AS645" s="1"/>
      <c r="AT645" s="2">
        <f>IFERROR(__xludf.DUMMYFUNCTION("""COMPUTED_VALUE"""),45749.0)</f>
        <v>45749</v>
      </c>
      <c r="AU645" s="1">
        <f>IFERROR(__xludf.DUMMYFUNCTION("""COMPUTED_VALUE"""),1.0)</f>
        <v>1</v>
      </c>
      <c r="AV645" s="1" t="str">
        <f>IFERROR(__xludf.DUMMYFUNCTION("""COMPUTED_VALUE"""),"NUEVO")</f>
        <v>NUEVO</v>
      </c>
      <c r="AW645" s="1" t="str">
        <f>IFERROR(__xludf.DUMMYFUNCTION("""COMPUTED_VALUE"""),"SI")</f>
        <v>SI</v>
      </c>
      <c r="AX645" s="1"/>
      <c r="AY645" s="1" t="str">
        <f>IFERROR(__xludf.DUMMYFUNCTION("""COMPUTED_VALUE"""),"PAGO COMPLETO")</f>
        <v>PAGO COMPLETO</v>
      </c>
      <c r="AZ645" s="5">
        <f>IFERROR(__xludf.DUMMYFUNCTION("""COMPUTED_VALUE"""),45749.0)</f>
        <v>45749</v>
      </c>
      <c r="BA645" s="1">
        <f>IFERROR(__xludf.DUMMYFUNCTION("""COMPUTED_VALUE"""),0.0)</f>
        <v>0</v>
      </c>
      <c r="BB645" s="1">
        <f>IFERROR(__xludf.DUMMYFUNCTION("""COMPUTED_VALUE"""),0.0)</f>
        <v>0</v>
      </c>
      <c r="BC645" s="4">
        <f>IFERROR(__xludf.DUMMYFUNCTION("""COMPUTED_VALUE"""),0.0)</f>
        <v>0</v>
      </c>
      <c r="BD645" s="4">
        <f>IFERROR(__xludf.DUMMYFUNCTION("""COMPUTED_VALUE"""),300.0)</f>
        <v>300</v>
      </c>
      <c r="BE645" s="1">
        <f>IFERROR(__xludf.DUMMYFUNCTION("""COMPUTED_VALUE"""),4.0)</f>
        <v>4</v>
      </c>
      <c r="BF645" s="6">
        <f>IFERROR(__xludf.DUMMYFUNCTION("""COMPUTED_VALUE"""),1.0)</f>
        <v>1</v>
      </c>
      <c r="BG645" s="1">
        <f>IFERROR(__xludf.DUMMYFUNCTION("""COMPUTED_VALUE"""),1.0)</f>
        <v>1</v>
      </c>
      <c r="BH645" s="1" t="str">
        <f>IFERROR(__xludf.DUMMYFUNCTION("""COMPUTED_VALUE"""),"0")</f>
        <v>0</v>
      </c>
      <c r="BI645" s="4">
        <f>IFERROR(__xludf.DUMMYFUNCTION("""COMPUTED_VALUE"""),300.0)</f>
        <v>300</v>
      </c>
      <c r="BJ645" s="1">
        <f>IFERROR(__xludf.DUMMYFUNCTION("""COMPUTED_VALUE"""),0.0)</f>
        <v>0</v>
      </c>
      <c r="BK645" s="4">
        <f>IFERROR(__xludf.DUMMYFUNCTION("""COMPUTED_VALUE"""),300.0)</f>
        <v>300</v>
      </c>
      <c r="BL645" s="1">
        <f>IFERROR(__xludf.DUMMYFUNCTION("""COMPUTED_VALUE"""),740.0)</f>
        <v>740</v>
      </c>
      <c r="BM645" s="1">
        <f>IFERROR(__xludf.DUMMYFUNCTION("""COMPUTED_VALUE"""),14.0)</f>
        <v>14</v>
      </c>
      <c r="BN645" s="2">
        <f>IFERROR(__xludf.DUMMYFUNCTION("""COMPUTED_VALUE"""),45747.0)</f>
        <v>45747</v>
      </c>
      <c r="BO645" s="1">
        <f>IFERROR(__xludf.DUMMYFUNCTION("""COMPUTED_VALUE"""),4.0)</f>
        <v>4</v>
      </c>
      <c r="BP645" s="1">
        <f>IFERROR(__xludf.DUMMYFUNCTION("""COMPUTED_VALUE"""),2025.0)</f>
        <v>2025</v>
      </c>
    </row>
    <row r="646">
      <c r="A646" s="1">
        <f>IFERROR(__xludf.DUMMYFUNCTION("""COMPUTED_VALUE"""),645.0)</f>
        <v>645</v>
      </c>
      <c r="B646" s="1">
        <f>IFERROR(__xludf.DUMMYFUNCTION("""COMPUTED_VALUE"""),2761472.0)</f>
        <v>2761472</v>
      </c>
      <c r="C646" s="1" t="str">
        <f>IFERROR(__xludf.DUMMYFUNCTION("""COMPUTED_VALUE"""),"2025-1")</f>
        <v>2025-1</v>
      </c>
      <c r="D646" s="1" t="str">
        <f>IFERROR(__xludf.DUMMYFUNCTION("""COMPUTED_VALUE"""),"Admisión Ordinaria")</f>
        <v>Admisión Ordinaria</v>
      </c>
      <c r="E646" s="2">
        <f>IFERROR(__xludf.DUMMYFUNCTION("""COMPUTED_VALUE"""),45750.0)</f>
        <v>45750</v>
      </c>
      <c r="F646" s="1" t="str">
        <f>IFERROR(__xludf.DUMMYFUNCTION("""COMPUTED_VALUE"""),"ARIANA ABIGAIL")</f>
        <v>ARIANA ABIGAIL</v>
      </c>
      <c r="G646" s="1" t="str">
        <f>IFERROR(__xludf.DUMMYFUNCTION("""COMPUTED_VALUE"""),"MORE MONDRAGON")</f>
        <v>MORE MONDRAGON</v>
      </c>
      <c r="H646" s="1" t="str">
        <f>IFERROR(__xludf.DUMMYFUNCTION("""COMPUTED_VALUE"""),"Comunicación Audiovisual y Cine")</f>
        <v>Comunicación Audiovisual y Cine</v>
      </c>
      <c r="I646" s="1" t="str">
        <f>IFERROR(__xludf.DUMMYFUNCTION("""COMPUTED_VALUE"""),"POS")</f>
        <v>POS</v>
      </c>
      <c r="J646" s="1" t="str">
        <f>IFERROR(__xludf.DUMMYFUNCTION("""COMPUTED_VALUE"""),"Diurno")</f>
        <v>Diurno</v>
      </c>
      <c r="K646" s="1" t="str">
        <f>IFERROR(__xludf.DUMMYFUNCTION("""COMPUTED_VALUE"""),"NUEVO")</f>
        <v>NUEVO</v>
      </c>
      <c r="L646" s="1">
        <f>IFERROR(__xludf.DUMMYFUNCTION("""COMPUTED_VALUE"""),0.0)</f>
        <v>0</v>
      </c>
      <c r="M646" s="1">
        <f>IFERROR(__xludf.DUMMYFUNCTION("""COMPUTED_VALUE"""),0.0)</f>
        <v>0</v>
      </c>
      <c r="N646" s="1" t="str">
        <f>IFERROR(__xludf.DUMMYFUNCTION("""COMPUTED_VALUE"""),"BECA")</f>
        <v>BECA</v>
      </c>
      <c r="O646" s="1" t="str">
        <f>IFERROR(__xludf.DUMMYFUNCTION("""COMPUTED_VALUE"""),"BECA RECUPERO")</f>
        <v>BECA RECUPERO</v>
      </c>
      <c r="P646" s="4">
        <f>IFERROR(__xludf.DUMMYFUNCTION("""COMPUTED_VALUE"""),0.0)</f>
        <v>0</v>
      </c>
      <c r="Q646" s="4">
        <f>IFERROR(__xludf.DUMMYFUNCTION("""COMPUTED_VALUE"""),0.0)</f>
        <v>0</v>
      </c>
      <c r="R646" s="4">
        <f>IFERROR(__xludf.DUMMYFUNCTION("""COMPUTED_VALUE"""),950.0)</f>
        <v>950</v>
      </c>
      <c r="S646" s="4">
        <f>IFERROR(__xludf.DUMMYFUNCTION("""COMPUTED_VALUE"""),800.0)</f>
        <v>800</v>
      </c>
      <c r="T646" s="1" t="str">
        <f>IFERROR(__xludf.DUMMYFUNCTION("""COMPUTED_VALUE"""),"PALANCA 500")</f>
        <v>PALANCA 500</v>
      </c>
      <c r="U646" s="1"/>
      <c r="V646" s="1" t="str">
        <f>IFERROR(__xludf.DUMMYFUNCTION("""COMPUTED_VALUE"""),"Ninguno")</f>
        <v>Ninguno</v>
      </c>
      <c r="W646" s="1" t="str">
        <f>IFERROR(__xludf.DUMMYFUNCTION("""COMPUTED_VALUE"""),"Beca")</f>
        <v>Beca</v>
      </c>
      <c r="X646" s="1" t="str">
        <f>IFERROR(__xludf.DUMMYFUNCTION("""COMPUTED_VALUE"""),"LE GUSTA LA UNIVERSIDAD ")</f>
        <v>LE GUSTA LA UNIVERSIDAD </v>
      </c>
      <c r="Y646" s="1" t="str">
        <f>IFERROR(__xludf.DUMMYFUNCTION("""COMPUTED_VALUE"""),"PAGO COMPLETO")</f>
        <v>PAGO COMPLETO</v>
      </c>
      <c r="Z646" s="1"/>
      <c r="AA646" s="1"/>
      <c r="AB646" s="1">
        <f>IFERROR(__xludf.DUMMYFUNCTION("""COMPUTED_VALUE"""),0.0)</f>
        <v>0</v>
      </c>
      <c r="AC646" s="1">
        <f>IFERROR(__xludf.DUMMYFUNCTION("""COMPUTED_VALUE"""),0.0)</f>
        <v>0</v>
      </c>
      <c r="AD646" s="1" t="str">
        <f>IFERROR(__xludf.DUMMYFUNCTION("""COMPUTED_VALUE"""),"Daniel Zapata")</f>
        <v>Daniel Zapata</v>
      </c>
      <c r="AE646" s="1" t="str">
        <f>IFERROR(__xludf.DUMMYFUNCTION("""COMPUTED_VALUE"""),"0")</f>
        <v>0</v>
      </c>
      <c r="AF646" s="1">
        <f>IFERROR(__xludf.DUMMYFUNCTION("""COMPUTED_VALUE"""),2021.0)</f>
        <v>2021</v>
      </c>
      <c r="AG646" s="1">
        <f>IFERROR(__xludf.DUMMYFUNCTION("""COMPUTED_VALUE"""),0.0)</f>
        <v>0</v>
      </c>
      <c r="AH646" s="1">
        <f>IFERROR(__xludf.DUMMYFUNCTION("""COMPUTED_VALUE"""),20.0)</f>
        <v>20</v>
      </c>
      <c r="AI646" s="1" t="str">
        <f>IFERROR(__xludf.DUMMYFUNCTION("""COMPUTED_VALUE"""),"0000422376")</f>
        <v>0000422376</v>
      </c>
      <c r="AJ646" s="1">
        <f>IFERROR(__xludf.DUMMYFUNCTION("""COMPUTED_VALUE"""),7.675466E7)</f>
        <v>76754660</v>
      </c>
      <c r="AK646" s="1">
        <f>IFERROR(__xludf.DUMMYFUNCTION("""COMPUTED_VALUE"""),9.75148789E8)</f>
        <v>975148789</v>
      </c>
      <c r="AL646" s="1" t="str">
        <f>IFERROR(__xludf.DUMMYFUNCTION("""COMPUTED_VALUE"""),"arianasorianomore@hotmail.com")</f>
        <v>arianasorianomore@hotmail.com</v>
      </c>
      <c r="AM646" s="1" t="str">
        <f>IFERROR(__xludf.DUMMYFUNCTION("""COMPUTED_VALUE"""),"FEMENINO")</f>
        <v>FEMENINO</v>
      </c>
      <c r="AN646" s="1">
        <f>IFERROR(__xludf.DUMMYFUNCTION("""COMPUTED_VALUE"""),1350.0)</f>
        <v>1350</v>
      </c>
      <c r="AO646" s="1">
        <f>IFERROR(__xludf.DUMMYFUNCTION("""COMPUTED_VALUE"""),0.0)</f>
        <v>0</v>
      </c>
      <c r="AP646" s="1" t="str">
        <f>IFERROR(__xludf.DUMMYFUNCTION("""COMPUTED_VALUE"""),"FORMULARIO")</f>
        <v>FORMULARIO</v>
      </c>
      <c r="AQ646" s="1" t="str">
        <f>IFERROR(__xludf.DUMMYFUNCTION("""COMPUTED_VALUE"""),"NO SUFICIENCIA")</f>
        <v>NO SUFICIENCIA</v>
      </c>
      <c r="AR646" s="1" t="str">
        <f>IFERROR(__xludf.DUMMYFUNCTION("""COMPUTED_VALUE"""),"NUEVO")</f>
        <v>NUEVO</v>
      </c>
      <c r="AS646" s="1" t="str">
        <f>IFERROR(__xludf.DUMMYFUNCTION("""COMPUTED_VALUE"""),"ucal-pg-performance-sedes-demografico-cpl-search_conversion_beca_excelencia_academica-20250113")</f>
        <v>ucal-pg-performance-sedes-demografico-cpl-search_conversion_beca_excelencia_academica-20250113</v>
      </c>
      <c r="AT646" s="2">
        <f>IFERROR(__xludf.DUMMYFUNCTION("""COMPUTED_VALUE"""),45721.0)</f>
        <v>45721</v>
      </c>
      <c r="AU646" s="1">
        <f>IFERROR(__xludf.DUMMYFUNCTION("""COMPUTED_VALUE"""),1.0)</f>
        <v>1</v>
      </c>
      <c r="AV646" s="1" t="str">
        <f>IFERROR(__xludf.DUMMYFUNCTION("""COMPUTED_VALUE"""),"NUEVO")</f>
        <v>NUEVO</v>
      </c>
      <c r="AW646" s="1" t="str">
        <f>IFERROR(__xludf.DUMMYFUNCTION("""COMPUTED_VALUE"""),"SI")</f>
        <v>SI</v>
      </c>
      <c r="AX646" s="1"/>
      <c r="AY646" s="1" t="str">
        <f>IFERROR(__xludf.DUMMYFUNCTION("""COMPUTED_VALUE"""),"PAGO COMPLETO")</f>
        <v>PAGO COMPLETO</v>
      </c>
      <c r="AZ646" s="5">
        <f>IFERROR(__xludf.DUMMYFUNCTION("""COMPUTED_VALUE"""),45750.0)</f>
        <v>45750</v>
      </c>
      <c r="BA646" s="1">
        <f>IFERROR(__xludf.DUMMYFUNCTION("""COMPUTED_VALUE"""),0.0)</f>
        <v>0</v>
      </c>
      <c r="BB646" s="1">
        <f>IFERROR(__xludf.DUMMYFUNCTION("""COMPUTED_VALUE"""),0.0)</f>
        <v>0</v>
      </c>
      <c r="BC646" s="4">
        <f>IFERROR(__xludf.DUMMYFUNCTION("""COMPUTED_VALUE"""),0.0)</f>
        <v>0</v>
      </c>
      <c r="BD646" s="4">
        <f>IFERROR(__xludf.DUMMYFUNCTION("""COMPUTED_VALUE"""),300.0)</f>
        <v>300</v>
      </c>
      <c r="BE646" s="1">
        <f>IFERROR(__xludf.DUMMYFUNCTION("""COMPUTED_VALUE"""),4.0)</f>
        <v>4</v>
      </c>
      <c r="BF646" s="6">
        <f>IFERROR(__xludf.DUMMYFUNCTION("""COMPUTED_VALUE"""),1.0)</f>
        <v>1</v>
      </c>
      <c r="BG646" s="1">
        <f>IFERROR(__xludf.DUMMYFUNCTION("""COMPUTED_VALUE"""),1.0)</f>
        <v>1</v>
      </c>
      <c r="BH646" s="1" t="str">
        <f>IFERROR(__xludf.DUMMYFUNCTION("""COMPUTED_VALUE"""),"0")</f>
        <v>0</v>
      </c>
      <c r="BI646" s="4">
        <f>IFERROR(__xludf.DUMMYFUNCTION("""COMPUTED_VALUE"""),300.0)</f>
        <v>300</v>
      </c>
      <c r="BJ646" s="1">
        <f>IFERROR(__xludf.DUMMYFUNCTION("""COMPUTED_VALUE"""),0.0)</f>
        <v>0</v>
      </c>
      <c r="BK646" s="4">
        <f>IFERROR(__xludf.DUMMYFUNCTION("""COMPUTED_VALUE"""),300.0)</f>
        <v>300</v>
      </c>
      <c r="BL646" s="1">
        <f>IFERROR(__xludf.DUMMYFUNCTION("""COMPUTED_VALUE"""),740.0)</f>
        <v>740</v>
      </c>
      <c r="BM646" s="1">
        <f>IFERROR(__xludf.DUMMYFUNCTION("""COMPUTED_VALUE"""),14.0)</f>
        <v>14</v>
      </c>
      <c r="BN646" s="2">
        <f>IFERROR(__xludf.DUMMYFUNCTION("""COMPUTED_VALUE"""),45747.0)</f>
        <v>45747</v>
      </c>
      <c r="BO646" s="1">
        <f>IFERROR(__xludf.DUMMYFUNCTION("""COMPUTED_VALUE"""),4.0)</f>
        <v>4</v>
      </c>
      <c r="BP646" s="1">
        <f>IFERROR(__xludf.DUMMYFUNCTION("""COMPUTED_VALUE"""),2025.0)</f>
        <v>2025</v>
      </c>
    </row>
    <row r="647">
      <c r="A647" s="1">
        <f>IFERROR(__xludf.DUMMYFUNCTION("""COMPUTED_VALUE"""),646.0)</f>
        <v>646</v>
      </c>
      <c r="B647" s="1">
        <f>IFERROR(__xludf.DUMMYFUNCTION("""COMPUTED_VALUE"""),5015859.0)</f>
        <v>5015859</v>
      </c>
      <c r="C647" s="1" t="str">
        <f>IFERROR(__xludf.DUMMYFUNCTION("""COMPUTED_VALUE"""),"2025-1")</f>
        <v>2025-1</v>
      </c>
      <c r="D647" s="1" t="str">
        <f>IFERROR(__xludf.DUMMYFUNCTION("""COMPUTED_VALUE"""),"Admisión de Alto Rendimiento")</f>
        <v>Admisión de Alto Rendimiento</v>
      </c>
      <c r="E647" s="2">
        <f>IFERROR(__xludf.DUMMYFUNCTION("""COMPUTED_VALUE"""),45751.0)</f>
        <v>45751</v>
      </c>
      <c r="F647" s="1" t="str">
        <f>IFERROR(__xludf.DUMMYFUNCTION("""COMPUTED_VALUE"""),"JEOVANNY JEFFERSON")</f>
        <v>JEOVANNY JEFFERSON</v>
      </c>
      <c r="G647" s="1" t="str">
        <f>IFERROR(__xludf.DUMMYFUNCTION("""COMPUTED_VALUE"""),"MEDINA VILCHEZ")</f>
        <v>MEDINA VILCHEZ</v>
      </c>
      <c r="H647" s="1" t="str">
        <f>IFERROR(__xludf.DUMMYFUNCTION("""COMPUTED_VALUE"""),"Psicología")</f>
        <v>Psicología</v>
      </c>
      <c r="I647" s="1" t="str">
        <f>IFERROR(__xludf.DUMMYFUNCTION("""COMPUTED_VALUE"""),"POS")</f>
        <v>POS</v>
      </c>
      <c r="J647" s="1" t="str">
        <f>IFERROR(__xludf.DUMMYFUNCTION("""COMPUTED_VALUE"""),"Diurno")</f>
        <v>Diurno</v>
      </c>
      <c r="K647" s="1" t="str">
        <f>IFERROR(__xludf.DUMMYFUNCTION("""COMPUTED_VALUE"""),"NUEVO")</f>
        <v>NUEVO</v>
      </c>
      <c r="L647" s="1">
        <f>IFERROR(__xludf.DUMMYFUNCTION("""COMPUTED_VALUE"""),0.0)</f>
        <v>0</v>
      </c>
      <c r="M647" s="1">
        <f>IFERROR(__xludf.DUMMYFUNCTION("""COMPUTED_VALUE"""),0.0)</f>
        <v>0</v>
      </c>
      <c r="N647" s="1" t="str">
        <f>IFERROR(__xludf.DUMMYFUNCTION("""COMPUTED_VALUE"""),"BECA")</f>
        <v>BECA</v>
      </c>
      <c r="O647" s="1" t="str">
        <f>IFERROR(__xludf.DUMMYFUNCTION("""COMPUTED_VALUE"""),"BECA RECUPERO")</f>
        <v>BECA RECUPERO</v>
      </c>
      <c r="P647" s="4">
        <f>IFERROR(__xludf.DUMMYFUNCTION("""COMPUTED_VALUE"""),0.0)</f>
        <v>0</v>
      </c>
      <c r="Q647" s="4">
        <f>IFERROR(__xludf.DUMMYFUNCTION("""COMPUTED_VALUE"""),0.0)</f>
        <v>0</v>
      </c>
      <c r="R647" s="4">
        <f>IFERROR(__xludf.DUMMYFUNCTION("""COMPUTED_VALUE"""),950.0)</f>
        <v>950</v>
      </c>
      <c r="S647" s="4">
        <f>IFERROR(__xludf.DUMMYFUNCTION("""COMPUTED_VALUE"""),800.0)</f>
        <v>800</v>
      </c>
      <c r="T647" s="1" t="str">
        <f>IFERROR(__xludf.DUMMYFUNCTION("""COMPUTED_VALUE"""),"PALANCA 500")</f>
        <v>PALANCA 500</v>
      </c>
      <c r="U647" s="1" t="str">
        <f>IFERROR(__xludf.DUMMYFUNCTION("""COMPUTED_VALUE"""),"FABIOLA")</f>
        <v>FABIOLA</v>
      </c>
      <c r="V647" s="1" t="str">
        <f>IFERROR(__xludf.DUMMYFUNCTION("""COMPUTED_VALUE"""),"Ninguno")</f>
        <v>Ninguno</v>
      </c>
      <c r="W647" s="1" t="str">
        <f>IFERROR(__xludf.DUMMYFUNCTION("""COMPUTED_VALUE"""),"Prestigio de la institución")</f>
        <v>Prestigio de la institución</v>
      </c>
      <c r="X647" s="1"/>
      <c r="Y647" s="1" t="str">
        <f>IFERROR(__xludf.DUMMYFUNCTION("""COMPUTED_VALUE"""),"PAGO COMPLETO")</f>
        <v>PAGO COMPLETO</v>
      </c>
      <c r="Z647" s="1"/>
      <c r="AA647" s="1"/>
      <c r="AB647" s="1">
        <f>IFERROR(__xludf.DUMMYFUNCTION("""COMPUTED_VALUE"""),0.0)</f>
        <v>0</v>
      </c>
      <c r="AC647" s="1">
        <f>IFERROR(__xludf.DUMMYFUNCTION("""COMPUTED_VALUE"""),0.0)</f>
        <v>0</v>
      </c>
      <c r="AD647" s="1" t="str">
        <f>IFERROR(__xludf.DUMMYFUNCTION("""COMPUTED_VALUE"""),"Angelica Iparraguirre")</f>
        <v>Angelica Iparraguirre</v>
      </c>
      <c r="AE647" s="1" t="str">
        <f>IFERROR(__xludf.DUMMYFUNCTION("""COMPUTED_VALUE"""),"0")</f>
        <v>0</v>
      </c>
      <c r="AF647" s="1">
        <f>IFERROR(__xludf.DUMMYFUNCTION("""COMPUTED_VALUE"""),2024.0)</f>
        <v>2024</v>
      </c>
      <c r="AG647" s="1">
        <f>IFERROR(__xludf.DUMMYFUNCTION("""COMPUTED_VALUE"""),546002.0)</f>
        <v>546002</v>
      </c>
      <c r="AH647" s="1">
        <f>IFERROR(__xludf.DUMMYFUNCTION("""COMPUTED_VALUE"""),18.0)</f>
        <v>18</v>
      </c>
      <c r="AI647" s="1" t="str">
        <f>IFERROR(__xludf.DUMMYFUNCTION("""COMPUTED_VALUE"""),"0000422504")</f>
        <v>0000422504</v>
      </c>
      <c r="AJ647" s="1">
        <f>IFERROR(__xludf.DUMMYFUNCTION("""COMPUTED_VALUE"""),6.0910872E7)</f>
        <v>60910872</v>
      </c>
      <c r="AK647" s="1">
        <f>IFERROR(__xludf.DUMMYFUNCTION("""COMPUTED_VALUE"""),9.68567717E8)</f>
        <v>968567717</v>
      </c>
      <c r="AL647" s="1" t="str">
        <f>IFERROR(__xludf.DUMMYFUNCTION("""COMPUTED_VALUE"""),"jefrey9760416@gmail.com")</f>
        <v>jefrey9760416@gmail.com</v>
      </c>
      <c r="AM647" s="1" t="str">
        <f>IFERROR(__xludf.DUMMYFUNCTION("""COMPUTED_VALUE"""),"MASCULINO")</f>
        <v>MASCULINO</v>
      </c>
      <c r="AN647" s="1">
        <f>IFERROR(__xludf.DUMMYFUNCTION("""COMPUTED_VALUE"""),1350.0)</f>
        <v>1350</v>
      </c>
      <c r="AO647" s="1">
        <f>IFERROR(__xludf.DUMMYFUNCTION("""COMPUTED_VALUE"""),0.0)</f>
        <v>0</v>
      </c>
      <c r="AP647" s="1" t="str">
        <f>IFERROR(__xludf.DUMMYFUNCTION("""COMPUTED_VALUE"""),"FORMULARIO")</f>
        <v>FORMULARIO</v>
      </c>
      <c r="AQ647" s="1" t="str">
        <f>IFERROR(__xludf.DUMMYFUNCTION("""COMPUTED_VALUE"""),"SEARCH MARCA")</f>
        <v>SEARCH MARCA</v>
      </c>
      <c r="AR647" s="1" t="str">
        <f>IFERROR(__xludf.DUMMYFUNCTION("""COMPUTED_VALUE"""),"NUEVO")</f>
        <v>NUEVO</v>
      </c>
      <c r="AS647" s="1" t="str">
        <f>IFERROR(__xludf.DUMMYFUNCTION("""COMPUTED_VALUE"""),"ucal-pg-performance-sedes-abierta-cpl-search_conversion_marca-20240401")</f>
        <v>ucal-pg-performance-sedes-abierta-cpl-search_conversion_marca-20240401</v>
      </c>
      <c r="AT647" s="2">
        <f>IFERROR(__xludf.DUMMYFUNCTION("""COMPUTED_VALUE"""),45700.0)</f>
        <v>45700</v>
      </c>
      <c r="AU647" s="1">
        <f>IFERROR(__xludf.DUMMYFUNCTION("""COMPUTED_VALUE"""),1.0)</f>
        <v>1</v>
      </c>
      <c r="AV647" s="1" t="str">
        <f>IFERROR(__xludf.DUMMYFUNCTION("""COMPUTED_VALUE"""),"NUEVO")</f>
        <v>NUEVO</v>
      </c>
      <c r="AW647" s="1" t="str">
        <f>IFERROR(__xludf.DUMMYFUNCTION("""COMPUTED_VALUE"""),"SI")</f>
        <v>SI</v>
      </c>
      <c r="AX647" s="1"/>
      <c r="AY647" s="1" t="str">
        <f>IFERROR(__xludf.DUMMYFUNCTION("""COMPUTED_VALUE"""),"PAGO COMPLETO")</f>
        <v>PAGO COMPLETO</v>
      </c>
      <c r="AZ647" s="5">
        <f>IFERROR(__xludf.DUMMYFUNCTION("""COMPUTED_VALUE"""),45751.0)</f>
        <v>45751</v>
      </c>
      <c r="BA647" s="1">
        <f>IFERROR(__xludf.DUMMYFUNCTION("""COMPUTED_VALUE"""),0.0)</f>
        <v>0</v>
      </c>
      <c r="BB647" s="1">
        <f>IFERROR(__xludf.DUMMYFUNCTION("""COMPUTED_VALUE"""),0.0)</f>
        <v>0</v>
      </c>
      <c r="BC647" s="4">
        <f>IFERROR(__xludf.DUMMYFUNCTION("""COMPUTED_VALUE"""),0.0)</f>
        <v>0</v>
      </c>
      <c r="BD647" s="4">
        <f>IFERROR(__xludf.DUMMYFUNCTION("""COMPUTED_VALUE"""),300.0)</f>
        <v>300</v>
      </c>
      <c r="BE647" s="1">
        <f>IFERROR(__xludf.DUMMYFUNCTION("""COMPUTED_VALUE"""),4.0)</f>
        <v>4</v>
      </c>
      <c r="BF647" s="6">
        <f>IFERROR(__xludf.DUMMYFUNCTION("""COMPUTED_VALUE"""),1.0)</f>
        <v>1</v>
      </c>
      <c r="BG647" s="1">
        <f>IFERROR(__xludf.DUMMYFUNCTION("""COMPUTED_VALUE"""),1.0)</f>
        <v>1</v>
      </c>
      <c r="BH647" s="1" t="str">
        <f>IFERROR(__xludf.DUMMYFUNCTION("""COMPUTED_VALUE"""),"0")</f>
        <v>0</v>
      </c>
      <c r="BI647" s="4">
        <f>IFERROR(__xludf.DUMMYFUNCTION("""COMPUTED_VALUE"""),300.0)</f>
        <v>300</v>
      </c>
      <c r="BJ647" s="1">
        <f>IFERROR(__xludf.DUMMYFUNCTION("""COMPUTED_VALUE"""),0.0)</f>
        <v>0</v>
      </c>
      <c r="BK647" s="4">
        <f>IFERROR(__xludf.DUMMYFUNCTION("""COMPUTED_VALUE"""),300.0)</f>
        <v>300</v>
      </c>
      <c r="BL647" s="1">
        <f>IFERROR(__xludf.DUMMYFUNCTION("""COMPUTED_VALUE"""),740.0)</f>
        <v>740</v>
      </c>
      <c r="BM647" s="1">
        <f>IFERROR(__xludf.DUMMYFUNCTION("""COMPUTED_VALUE"""),14.0)</f>
        <v>14</v>
      </c>
      <c r="BN647" s="2">
        <f>IFERROR(__xludf.DUMMYFUNCTION("""COMPUTED_VALUE"""),45747.0)</f>
        <v>45747</v>
      </c>
      <c r="BO647" s="1">
        <f>IFERROR(__xludf.DUMMYFUNCTION("""COMPUTED_VALUE"""),4.0)</f>
        <v>4</v>
      </c>
      <c r="BP647" s="1">
        <f>IFERROR(__xludf.DUMMYFUNCTION("""COMPUTED_VALUE"""),2025.0)</f>
        <v>2025</v>
      </c>
    </row>
    <row r="648">
      <c r="A648" s="1">
        <f>IFERROR(__xludf.DUMMYFUNCTION("""COMPUTED_VALUE"""),647.0)</f>
        <v>647</v>
      </c>
      <c r="B648" s="1">
        <f>IFERROR(__xludf.DUMMYFUNCTION("""COMPUTED_VALUE"""),1585800.0)</f>
        <v>1585800</v>
      </c>
      <c r="C648" s="1" t="str">
        <f>IFERROR(__xludf.DUMMYFUNCTION("""COMPUTED_VALUE"""),"2025-1")</f>
        <v>2025-1</v>
      </c>
      <c r="D648" s="1" t="str">
        <f>IFERROR(__xludf.DUMMYFUNCTION("""COMPUTED_VALUE"""),"Admisión Ordinaria")</f>
        <v>Admisión Ordinaria</v>
      </c>
      <c r="E648" s="2">
        <f>IFERROR(__xludf.DUMMYFUNCTION("""COMPUTED_VALUE"""),45751.0)</f>
        <v>45751</v>
      </c>
      <c r="F648" s="1" t="str">
        <f>IFERROR(__xludf.DUMMYFUNCTION("""COMPUTED_VALUE"""),"JIMENA")</f>
        <v>JIMENA</v>
      </c>
      <c r="G648" s="1" t="str">
        <f>IFERROR(__xludf.DUMMYFUNCTION("""COMPUTED_VALUE"""),"BORQUEZ CARDENAS")</f>
        <v>BORQUEZ CARDENAS</v>
      </c>
      <c r="H648" s="1" t="str">
        <f>IFERROR(__xludf.DUMMYFUNCTION("""COMPUTED_VALUE"""),"Comunicación Audiovisual y Cine")</f>
        <v>Comunicación Audiovisual y Cine</v>
      </c>
      <c r="I648" s="1" t="str">
        <f>IFERROR(__xludf.DUMMYFUNCTION("""COMPUTED_VALUE"""),"POS")</f>
        <v>POS</v>
      </c>
      <c r="J648" s="1" t="str">
        <f>IFERROR(__xludf.DUMMYFUNCTION("""COMPUTED_VALUE"""),"Diurno")</f>
        <v>Diurno</v>
      </c>
      <c r="K648" s="1" t="str">
        <f>IFERROR(__xludf.DUMMYFUNCTION("""COMPUTED_VALUE"""),"NUEVO")</f>
        <v>NUEVO</v>
      </c>
      <c r="L648" s="1">
        <f>IFERROR(__xludf.DUMMYFUNCTION("""COMPUTED_VALUE"""),0.0)</f>
        <v>0</v>
      </c>
      <c r="M648" s="1">
        <f>IFERROR(__xludf.DUMMYFUNCTION("""COMPUTED_VALUE"""),0.0)</f>
        <v>0</v>
      </c>
      <c r="N648" s="1" t="str">
        <f>IFERROR(__xludf.DUMMYFUNCTION("""COMPUTED_VALUE"""),"BECA")</f>
        <v>BECA</v>
      </c>
      <c r="O648" s="1" t="str">
        <f>IFERROR(__xludf.DUMMYFUNCTION("""COMPUTED_VALUE"""),"BECA RECUPERO")</f>
        <v>BECA RECUPERO</v>
      </c>
      <c r="P648" s="4">
        <f>IFERROR(__xludf.DUMMYFUNCTION("""COMPUTED_VALUE"""),0.0)</f>
        <v>0</v>
      </c>
      <c r="Q648" s="4">
        <f>IFERROR(__xludf.DUMMYFUNCTION("""COMPUTED_VALUE"""),0.0)</f>
        <v>0</v>
      </c>
      <c r="R648" s="4">
        <f>IFERROR(__xludf.DUMMYFUNCTION("""COMPUTED_VALUE"""),1000.0)</f>
        <v>1000</v>
      </c>
      <c r="S648" s="4">
        <f>IFERROR(__xludf.DUMMYFUNCTION("""COMPUTED_VALUE"""),850.0)</f>
        <v>850</v>
      </c>
      <c r="T648" s="1" t="str">
        <f>IFERROR(__xludf.DUMMYFUNCTION("""COMPUTED_VALUE"""),"PALANCA 500")</f>
        <v>PALANCA 500</v>
      </c>
      <c r="U648" s="1" t="str">
        <f>IFERROR(__xludf.DUMMYFUNCTION("""COMPUTED_VALUE"""),"FABIOLA")</f>
        <v>FABIOLA</v>
      </c>
      <c r="V648" s="1" t="str">
        <f>IFERROR(__xludf.DUMMYFUNCTION("""COMPUTED_VALUE"""),"Ninguno")</f>
        <v>Ninguno</v>
      </c>
      <c r="W648" s="1" t="str">
        <f>IFERROR(__xludf.DUMMYFUNCTION("""COMPUTED_VALUE"""),"Precio accesible")</f>
        <v>Precio accesible</v>
      </c>
      <c r="X648" s="1"/>
      <c r="Y648" s="1" t="str">
        <f>IFERROR(__xludf.DUMMYFUNCTION("""COMPUTED_VALUE"""),"PAGO COMPLETO")</f>
        <v>PAGO COMPLETO</v>
      </c>
      <c r="Z648" s="1"/>
      <c r="AA648" s="1"/>
      <c r="AB648" s="1">
        <f>IFERROR(__xludf.DUMMYFUNCTION("""COMPUTED_VALUE"""),0.0)</f>
        <v>0</v>
      </c>
      <c r="AC648" s="1">
        <f>IFERROR(__xludf.DUMMYFUNCTION("""COMPUTED_VALUE"""),0.0)</f>
        <v>0</v>
      </c>
      <c r="AD648" s="1" t="str">
        <f>IFERROR(__xludf.DUMMYFUNCTION("""COMPUTED_VALUE"""),"Sergio Valderrama Rodriguez")</f>
        <v>Sergio Valderrama Rodriguez</v>
      </c>
      <c r="AE648" s="1" t="str">
        <f>IFERROR(__xludf.DUMMYFUNCTION("""COMPUTED_VALUE"""),"0")</f>
        <v>0</v>
      </c>
      <c r="AF648" s="1">
        <f>IFERROR(__xludf.DUMMYFUNCTION("""COMPUTED_VALUE"""),2022.0)</f>
        <v>2022</v>
      </c>
      <c r="AG648" s="1">
        <f>IFERROR(__xludf.DUMMYFUNCTION("""COMPUTED_VALUE"""),1732775.0)</f>
        <v>1732775</v>
      </c>
      <c r="AH648" s="1">
        <f>IFERROR(__xludf.DUMMYFUNCTION("""COMPUTED_VALUE"""),20.0)</f>
        <v>20</v>
      </c>
      <c r="AI648" s="1" t="str">
        <f>IFERROR(__xludf.DUMMYFUNCTION("""COMPUTED_VALUE"""),"0000025921")</f>
        <v>0000025921</v>
      </c>
      <c r="AJ648" s="1">
        <f>IFERROR(__xludf.DUMMYFUNCTION("""COMPUTED_VALUE"""),7.47227E7)</f>
        <v>74722700</v>
      </c>
      <c r="AK648" s="1">
        <f>IFERROR(__xludf.DUMMYFUNCTION("""COMPUTED_VALUE"""),9.71639153E8)</f>
        <v>971639153</v>
      </c>
      <c r="AL648" s="1" t="str">
        <f>IFERROR(__xludf.DUMMYFUNCTION("""COMPUTED_VALUE"""),"borquezjim@gmail.com")</f>
        <v>borquezjim@gmail.com</v>
      </c>
      <c r="AM648" s="1" t="str">
        <f>IFERROR(__xludf.DUMMYFUNCTION("""COMPUTED_VALUE"""),"FEMENINO")</f>
        <v>FEMENINO</v>
      </c>
      <c r="AN648" s="1">
        <f>IFERROR(__xludf.DUMMYFUNCTION("""COMPUTED_VALUE"""),1775.0)</f>
        <v>1775</v>
      </c>
      <c r="AO648" s="1">
        <f>IFERROR(__xludf.DUMMYFUNCTION("""COMPUTED_VALUE"""),370.0)</f>
        <v>370</v>
      </c>
      <c r="AP648" s="1" t="str">
        <f>IFERROR(__xludf.DUMMYFUNCTION("""COMPUTED_VALUE"""),"OUTBOUND")</f>
        <v>OUTBOUND</v>
      </c>
      <c r="AQ648" s="1" t="str">
        <f>IFERROR(__xludf.DUMMYFUNCTION("""COMPUTED_VALUE"""),"OUTBOUND")</f>
        <v>OUTBOUND</v>
      </c>
      <c r="AR648" s="1" t="str">
        <f>IFERROR(__xludf.DUMMYFUNCTION("""COMPUTED_VALUE"""),"NUEVO")</f>
        <v>NUEVO</v>
      </c>
      <c r="AS648" s="1"/>
      <c r="AT648" s="2">
        <f>IFERROR(__xludf.DUMMYFUNCTION("""COMPUTED_VALUE"""),45594.0)</f>
        <v>45594</v>
      </c>
      <c r="AU648" s="1">
        <f>IFERROR(__xludf.DUMMYFUNCTION("""COMPUTED_VALUE"""),1.0)</f>
        <v>1</v>
      </c>
      <c r="AV648" s="1" t="str">
        <f>IFERROR(__xludf.DUMMYFUNCTION("""COMPUTED_VALUE"""),"NUEVO")</f>
        <v>NUEVO</v>
      </c>
      <c r="AW648" s="1" t="str">
        <f>IFERROR(__xludf.DUMMYFUNCTION("""COMPUTED_VALUE"""),"SI")</f>
        <v>SI</v>
      </c>
      <c r="AX648" s="1"/>
      <c r="AY648" s="1" t="str">
        <f>IFERROR(__xludf.DUMMYFUNCTION("""COMPUTED_VALUE"""),"PAGO COMPLETO")</f>
        <v>PAGO COMPLETO</v>
      </c>
      <c r="AZ648" s="5">
        <f>IFERROR(__xludf.DUMMYFUNCTION("""COMPUTED_VALUE"""),45751.0)</f>
        <v>45751</v>
      </c>
      <c r="BA648" s="1">
        <f>IFERROR(__xludf.DUMMYFUNCTION("""COMPUTED_VALUE"""),0.0)</f>
        <v>0</v>
      </c>
      <c r="BB648" s="1">
        <f>IFERROR(__xludf.DUMMYFUNCTION("""COMPUTED_VALUE"""),0.0)</f>
        <v>0</v>
      </c>
      <c r="BC648" s="4">
        <f>IFERROR(__xludf.DUMMYFUNCTION("""COMPUTED_VALUE"""),0.0)</f>
        <v>0</v>
      </c>
      <c r="BD648" s="4">
        <f>IFERROR(__xludf.DUMMYFUNCTION("""COMPUTED_VALUE"""),350.0)</f>
        <v>350</v>
      </c>
      <c r="BE648" s="1">
        <f>IFERROR(__xludf.DUMMYFUNCTION("""COMPUTED_VALUE"""),4.0)</f>
        <v>4</v>
      </c>
      <c r="BF648" s="6">
        <f>IFERROR(__xludf.DUMMYFUNCTION("""COMPUTED_VALUE"""),1.0)</f>
        <v>1</v>
      </c>
      <c r="BG648" s="1">
        <f>IFERROR(__xludf.DUMMYFUNCTION("""COMPUTED_VALUE"""),1.0)</f>
        <v>1</v>
      </c>
      <c r="BH648" s="1" t="str">
        <f>IFERROR(__xludf.DUMMYFUNCTION("""COMPUTED_VALUE"""),"0")</f>
        <v>0</v>
      </c>
      <c r="BI648" s="4">
        <f>IFERROR(__xludf.DUMMYFUNCTION("""COMPUTED_VALUE"""),350.0)</f>
        <v>350</v>
      </c>
      <c r="BJ648" s="1">
        <f>IFERROR(__xludf.DUMMYFUNCTION("""COMPUTED_VALUE"""),0.0)</f>
        <v>0</v>
      </c>
      <c r="BK648" s="4">
        <f>IFERROR(__xludf.DUMMYFUNCTION("""COMPUTED_VALUE"""),350.0)</f>
        <v>350</v>
      </c>
      <c r="BL648" s="1">
        <f>IFERROR(__xludf.DUMMYFUNCTION("""COMPUTED_VALUE"""),780.0)</f>
        <v>780</v>
      </c>
      <c r="BM648" s="1">
        <f>IFERROR(__xludf.DUMMYFUNCTION("""COMPUTED_VALUE"""),14.0)</f>
        <v>14</v>
      </c>
      <c r="BN648" s="2">
        <f>IFERROR(__xludf.DUMMYFUNCTION("""COMPUTED_VALUE"""),45747.0)</f>
        <v>45747</v>
      </c>
      <c r="BO648" s="1">
        <f>IFERROR(__xludf.DUMMYFUNCTION("""COMPUTED_VALUE"""),4.0)</f>
        <v>4</v>
      </c>
      <c r="BP648" s="1">
        <f>IFERROR(__xludf.DUMMYFUNCTION("""COMPUTED_VALUE"""),2025.0)</f>
        <v>2025</v>
      </c>
    </row>
    <row r="649">
      <c r="A649" s="1">
        <f>IFERROR(__xludf.DUMMYFUNCTION("""COMPUTED_VALUE"""),648.0)</f>
        <v>648</v>
      </c>
      <c r="B649" s="1">
        <f>IFERROR(__xludf.DUMMYFUNCTION("""COMPUTED_VALUE"""),5127938.0)</f>
        <v>5127938</v>
      </c>
      <c r="C649" s="1" t="str">
        <f>IFERROR(__xludf.DUMMYFUNCTION("""COMPUTED_VALUE"""),"2025-1")</f>
        <v>2025-1</v>
      </c>
      <c r="D649" s="1" t="str">
        <f>IFERROR(__xludf.DUMMYFUNCTION("""COMPUTED_VALUE"""),"Admisión Ordinaria")</f>
        <v>Admisión Ordinaria</v>
      </c>
      <c r="E649" s="2">
        <f>IFERROR(__xludf.DUMMYFUNCTION("""COMPUTED_VALUE"""),45751.0)</f>
        <v>45751</v>
      </c>
      <c r="F649" s="1" t="str">
        <f>IFERROR(__xludf.DUMMYFUNCTION("""COMPUTED_VALUE"""),"DANIEL ADRIAN")</f>
        <v>DANIEL ADRIAN</v>
      </c>
      <c r="G649" s="1" t="str">
        <f>IFERROR(__xludf.DUMMYFUNCTION("""COMPUTED_VALUE"""),"COTRINA GARRIDO")</f>
        <v>COTRINA GARRIDO</v>
      </c>
      <c r="H649" s="1" t="str">
        <f>IFERROR(__xludf.DUMMYFUNCTION("""COMPUTED_VALUE"""),"Diseño Gráfico Publicitario")</f>
        <v>Diseño Gráfico Publicitario</v>
      </c>
      <c r="I649" s="1" t="str">
        <f>IFERROR(__xludf.DUMMYFUNCTION("""COMPUTED_VALUE"""),"CARGO")</f>
        <v>CARGO</v>
      </c>
      <c r="J649" s="1" t="str">
        <f>IFERROR(__xludf.DUMMYFUNCTION("""COMPUTED_VALUE"""),"Diurno")</f>
        <v>Diurno</v>
      </c>
      <c r="K649" s="1" t="str">
        <f>IFERROR(__xludf.DUMMYFUNCTION("""COMPUTED_VALUE"""),"NUEVO")</f>
        <v>NUEVO</v>
      </c>
      <c r="L649" s="1">
        <f>IFERROR(__xludf.DUMMYFUNCTION("""COMPUTED_VALUE"""),0.0)</f>
        <v>0</v>
      </c>
      <c r="M649" s="1">
        <f>IFERROR(__xludf.DUMMYFUNCTION("""COMPUTED_VALUE"""),0.0)</f>
        <v>0</v>
      </c>
      <c r="N649" s="1" t="str">
        <f>IFERROR(__xludf.DUMMYFUNCTION("""COMPUTED_VALUE"""),"BECA")</f>
        <v>BECA</v>
      </c>
      <c r="O649" s="1" t="str">
        <f>IFERROR(__xludf.DUMMYFUNCTION("""COMPUTED_VALUE"""),"BECA CARRERAS CORE")</f>
        <v>BECA CARRERAS CORE</v>
      </c>
      <c r="P649" s="4">
        <f>IFERROR(__xludf.DUMMYFUNCTION("""COMPUTED_VALUE"""),125.0)</f>
        <v>125</v>
      </c>
      <c r="Q649" s="4">
        <f>IFERROR(__xludf.DUMMYFUNCTION("""COMPUTED_VALUE"""),237.5)</f>
        <v>237.5</v>
      </c>
      <c r="R649" s="4">
        <f>IFERROR(__xludf.DUMMYFUNCTION("""COMPUTED_VALUE"""),1250.0)</f>
        <v>1250</v>
      </c>
      <c r="S649" s="4">
        <f>IFERROR(__xludf.DUMMYFUNCTION("""COMPUTED_VALUE"""),1050.0)</f>
        <v>1050</v>
      </c>
      <c r="T649" s="1" t="str">
        <f>IFERROR(__xludf.DUMMYFUNCTION("""COMPUTED_VALUE"""),"PALANCA 500")</f>
        <v>PALANCA 500</v>
      </c>
      <c r="U649" s="1" t="str">
        <f>IFERROR(__xludf.DUMMYFUNCTION("""COMPUTED_VALUE"""),"RODRIGO")</f>
        <v>RODRIGO</v>
      </c>
      <c r="V649" s="1" t="str">
        <f>IFERROR(__xludf.DUMMYFUNCTION("""COMPUTED_VALUE"""),"Ninguno")</f>
        <v>Ninguno</v>
      </c>
      <c r="W649" s="1" t="str">
        <f>IFERROR(__xludf.DUMMYFUNCTION("""COMPUTED_VALUE"""),"Prestigio de la institución")</f>
        <v>Prestigio de la institución</v>
      </c>
      <c r="X649" s="1"/>
      <c r="Y649" s="1" t="str">
        <f>IFERROR(__xludf.DUMMYFUNCTION("""COMPUTED_VALUE"""),"PAGO COMPLETO")</f>
        <v>PAGO COMPLETO</v>
      </c>
      <c r="Z649" s="1"/>
      <c r="AA649" s="1"/>
      <c r="AB649" s="1">
        <f>IFERROR(__xludf.DUMMYFUNCTION("""COMPUTED_VALUE"""),0.0)</f>
        <v>0</v>
      </c>
      <c r="AC649" s="1">
        <f>IFERROR(__xludf.DUMMYFUNCTION("""COMPUTED_VALUE"""),0.0)</f>
        <v>0</v>
      </c>
      <c r="AD649" s="1" t="str">
        <f>IFERROR(__xludf.DUMMYFUNCTION("""COMPUTED_VALUE"""),"Rosa Ugarte")</f>
        <v>Rosa Ugarte</v>
      </c>
      <c r="AE649" s="1" t="str">
        <f>IFERROR(__xludf.DUMMYFUNCTION("""COMPUTED_VALUE"""),"0")</f>
        <v>0</v>
      </c>
      <c r="AF649" s="1">
        <f>IFERROR(__xludf.DUMMYFUNCTION("""COMPUTED_VALUE"""),2022.0)</f>
        <v>2022</v>
      </c>
      <c r="AG649" s="1">
        <f>IFERROR(__xludf.DUMMYFUNCTION("""COMPUTED_VALUE"""),1342708.0)</f>
        <v>1342708</v>
      </c>
      <c r="AH649" s="1">
        <f>IFERROR(__xludf.DUMMYFUNCTION("""COMPUTED_VALUE"""),20.0)</f>
        <v>20</v>
      </c>
      <c r="AI649" s="1" t="str">
        <f>IFERROR(__xludf.DUMMYFUNCTION("""COMPUTED_VALUE"""),"0000422507")</f>
        <v>0000422507</v>
      </c>
      <c r="AJ649" s="1">
        <f>IFERROR(__xludf.DUMMYFUNCTION("""COMPUTED_VALUE"""),7.4131737E7)</f>
        <v>74131737</v>
      </c>
      <c r="AK649" s="1">
        <f>IFERROR(__xludf.DUMMYFUNCTION("""COMPUTED_VALUE"""),9.38184165E8)</f>
        <v>938184165</v>
      </c>
      <c r="AL649" s="1" t="str">
        <f>IFERROR(__xludf.DUMMYFUNCTION("""COMPUTED_VALUE"""),"danizeje0602@gmail.com")</f>
        <v>danizeje0602@gmail.com</v>
      </c>
      <c r="AM649" s="1" t="str">
        <f>IFERROR(__xludf.DUMMYFUNCTION("""COMPUTED_VALUE"""),"MASCULINO")</f>
        <v>MASCULINO</v>
      </c>
      <c r="AN649" s="1">
        <f>IFERROR(__xludf.DUMMYFUNCTION("""COMPUTED_VALUE"""),1775.0)</f>
        <v>1775</v>
      </c>
      <c r="AO649" s="1">
        <f>IFERROR(__xludf.DUMMYFUNCTION("""COMPUTED_VALUE"""),380.0)</f>
        <v>380</v>
      </c>
      <c r="AP649" s="1" t="str">
        <f>IFERROR(__xludf.DUMMYFUNCTION("""COMPUTED_VALUE"""),"FORMULARIO")</f>
        <v>FORMULARIO</v>
      </c>
      <c r="AQ649" s="1" t="str">
        <f>IFERROR(__xludf.DUMMYFUNCTION("""COMPUTED_VALUE"""),"SEARCH MARCA")</f>
        <v>SEARCH MARCA</v>
      </c>
      <c r="AR649" s="1" t="str">
        <f>IFERROR(__xludf.DUMMYFUNCTION("""COMPUTED_VALUE"""),"NUEVO")</f>
        <v>NUEVO</v>
      </c>
      <c r="AS649" s="1" t="str">
        <f>IFERROR(__xludf.DUMMYFUNCTION("""COMPUTED_VALUE"""),"ucal-pg-performance-sedes-abierta-cpl-search_conversion_marca-20240401")</f>
        <v>ucal-pg-performance-sedes-abierta-cpl-search_conversion_marca-20240401</v>
      </c>
      <c r="AT649" s="2">
        <f>IFERROR(__xludf.DUMMYFUNCTION("""COMPUTED_VALUE"""),45750.0)</f>
        <v>45750</v>
      </c>
      <c r="AU649" s="1">
        <f>IFERROR(__xludf.DUMMYFUNCTION("""COMPUTED_VALUE"""),1.0)</f>
        <v>1</v>
      </c>
      <c r="AV649" s="1" t="str">
        <f>IFERROR(__xludf.DUMMYFUNCTION("""COMPUTED_VALUE"""),"NUEVO")</f>
        <v>NUEVO</v>
      </c>
      <c r="AW649" s="1" t="str">
        <f>IFERROR(__xludf.DUMMYFUNCTION("""COMPUTED_VALUE"""),"SI")</f>
        <v>SI</v>
      </c>
      <c r="AX649" s="1"/>
      <c r="AY649" s="1" t="str">
        <f>IFERROR(__xludf.DUMMYFUNCTION("""COMPUTED_VALUE"""),"PAGO COMPLETO")</f>
        <v>PAGO COMPLETO</v>
      </c>
      <c r="AZ649" s="5">
        <f>IFERROR(__xludf.DUMMYFUNCTION("""COMPUTED_VALUE"""),45751.0)</f>
        <v>45751</v>
      </c>
      <c r="BA649" s="1">
        <f>IFERROR(__xludf.DUMMYFUNCTION("""COMPUTED_VALUE"""),0.0)</f>
        <v>0</v>
      </c>
      <c r="BB649" s="1">
        <f>IFERROR(__xludf.DUMMYFUNCTION("""COMPUTED_VALUE"""),0.0)</f>
        <v>0</v>
      </c>
      <c r="BC649" s="4">
        <f>IFERROR(__xludf.DUMMYFUNCTION("""COMPUTED_VALUE"""),0.0)</f>
        <v>0</v>
      </c>
      <c r="BD649" s="4">
        <f>IFERROR(__xludf.DUMMYFUNCTION("""COMPUTED_VALUE"""),550.0)</f>
        <v>550</v>
      </c>
      <c r="BE649" s="1">
        <f>IFERROR(__xludf.DUMMYFUNCTION("""COMPUTED_VALUE"""),4.0)</f>
        <v>4</v>
      </c>
      <c r="BF649" s="6">
        <f>IFERROR(__xludf.DUMMYFUNCTION("""COMPUTED_VALUE"""),1.0)</f>
        <v>1</v>
      </c>
      <c r="BG649" s="1">
        <f>IFERROR(__xludf.DUMMYFUNCTION("""COMPUTED_VALUE"""),1.0)</f>
        <v>1</v>
      </c>
      <c r="BH649" s="1" t="str">
        <f>IFERROR(__xludf.DUMMYFUNCTION("""COMPUTED_VALUE"""),"0")</f>
        <v>0</v>
      </c>
      <c r="BI649" s="4">
        <f>IFERROR(__xludf.DUMMYFUNCTION("""COMPUTED_VALUE"""),550.0)</f>
        <v>550</v>
      </c>
      <c r="BJ649" s="1">
        <f>IFERROR(__xludf.DUMMYFUNCTION("""COMPUTED_VALUE"""),0.0)</f>
        <v>0</v>
      </c>
      <c r="BK649" s="4">
        <f>IFERROR(__xludf.DUMMYFUNCTION("""COMPUTED_VALUE"""),550.0)</f>
        <v>550</v>
      </c>
      <c r="BL649" s="1">
        <f>IFERROR(__xludf.DUMMYFUNCTION("""COMPUTED_VALUE"""),940.0)</f>
        <v>940</v>
      </c>
      <c r="BM649" s="1">
        <f>IFERROR(__xludf.DUMMYFUNCTION("""COMPUTED_VALUE"""),14.0)</f>
        <v>14</v>
      </c>
      <c r="BN649" s="2">
        <f>IFERROR(__xludf.DUMMYFUNCTION("""COMPUTED_VALUE"""),45747.0)</f>
        <v>45747</v>
      </c>
      <c r="BO649" s="1">
        <f>IFERROR(__xludf.DUMMYFUNCTION("""COMPUTED_VALUE"""),4.0)</f>
        <v>4</v>
      </c>
      <c r="BP649" s="1">
        <f>IFERROR(__xludf.DUMMYFUNCTION("""COMPUTED_VALUE"""),2025.0)</f>
        <v>2025</v>
      </c>
    </row>
    <row r="650">
      <c r="A650" s="1">
        <f>IFERROR(__xludf.DUMMYFUNCTION("""COMPUTED_VALUE"""),649.0)</f>
        <v>649</v>
      </c>
      <c r="B650" s="1">
        <f>IFERROR(__xludf.DUMMYFUNCTION("""COMPUTED_VALUE"""),5128786.0)</f>
        <v>5128786</v>
      </c>
      <c r="C650" s="1" t="str">
        <f>IFERROR(__xludf.DUMMYFUNCTION("""COMPUTED_VALUE"""),"2025-1")</f>
        <v>2025-1</v>
      </c>
      <c r="D650" s="1" t="str">
        <f>IFERROR(__xludf.DUMMYFUNCTION("""COMPUTED_VALUE"""),"Admisión Ordinaria")</f>
        <v>Admisión Ordinaria</v>
      </c>
      <c r="E650" s="2">
        <f>IFERROR(__xludf.DUMMYFUNCTION("""COMPUTED_VALUE"""),45751.0)</f>
        <v>45751</v>
      </c>
      <c r="F650" s="1" t="str">
        <f>IFERROR(__xludf.DUMMYFUNCTION("""COMPUTED_VALUE"""),"ANGGIE FRANCINY ")</f>
        <v>ANGGIE FRANCINY </v>
      </c>
      <c r="G650" s="1" t="str">
        <f>IFERROR(__xludf.DUMMYFUNCTION("""COMPUTED_VALUE"""),"GUERRA RAIMONDI")</f>
        <v>GUERRA RAIMONDI</v>
      </c>
      <c r="H650" s="1" t="str">
        <f>IFERROR(__xludf.DUMMYFUNCTION("""COMPUTED_VALUE"""),"Psicología")</f>
        <v>Psicología</v>
      </c>
      <c r="I650" s="1" t="str">
        <f>IFERROR(__xludf.DUMMYFUNCTION("""COMPUTED_VALUE"""),"CARGO")</f>
        <v>CARGO</v>
      </c>
      <c r="J650" s="1" t="str">
        <f>IFERROR(__xludf.DUMMYFUNCTION("""COMPUTED_VALUE"""),"Diurno")</f>
        <v>Diurno</v>
      </c>
      <c r="K650" s="1" t="str">
        <f>IFERROR(__xludf.DUMMYFUNCTION("""COMPUTED_VALUE"""),"NUEVO")</f>
        <v>NUEVO</v>
      </c>
      <c r="L650" s="1">
        <f>IFERROR(__xludf.DUMMYFUNCTION("""COMPUTED_VALUE"""),0.0)</f>
        <v>0</v>
      </c>
      <c r="M650" s="1">
        <f>IFERROR(__xludf.DUMMYFUNCTION("""COMPUTED_VALUE"""),0.0)</f>
        <v>0</v>
      </c>
      <c r="N650" s="1" t="str">
        <f>IFERROR(__xludf.DUMMYFUNCTION("""COMPUTED_VALUE"""),"BECA")</f>
        <v>BECA</v>
      </c>
      <c r="O650" s="1" t="str">
        <f>IFERROR(__xludf.DUMMYFUNCTION("""COMPUTED_VALUE"""),"BECA CARRERAS NUEVAS")</f>
        <v>BECA CARRERAS NUEVAS</v>
      </c>
      <c r="P650" s="4">
        <f>IFERROR(__xludf.DUMMYFUNCTION("""COMPUTED_VALUE"""),0.0)</f>
        <v>0</v>
      </c>
      <c r="Q650" s="4">
        <f>IFERROR(__xludf.DUMMYFUNCTION("""COMPUTED_VALUE"""),0.0)</f>
        <v>0</v>
      </c>
      <c r="R650" s="4">
        <f>IFERROR(__xludf.DUMMYFUNCTION("""COMPUTED_VALUE"""),1200.0)</f>
        <v>1200</v>
      </c>
      <c r="S650" s="4">
        <f>IFERROR(__xludf.DUMMYFUNCTION("""COMPUTED_VALUE"""),1050.0)</f>
        <v>1050</v>
      </c>
      <c r="T650" s="1" t="str">
        <f>IFERROR(__xludf.DUMMYFUNCTION("""COMPUTED_VALUE"""),"PALANCA 500")</f>
        <v>PALANCA 500</v>
      </c>
      <c r="U650" s="1"/>
      <c r="V650" s="1" t="str">
        <f>IFERROR(__xludf.DUMMYFUNCTION("""COMPUTED_VALUE"""),"Ninguno")</f>
        <v>Ninguno</v>
      </c>
      <c r="W650" s="1" t="str">
        <f>IFERROR(__xludf.DUMMYFUNCTION("""COMPUTED_VALUE"""),"Beca")</f>
        <v>Beca</v>
      </c>
      <c r="X650" s="1" t="str">
        <f>IFERROR(__xludf.DUMMYFUNCTION("""COMPUTED_VALUE"""),"LE GUSTA LA UNIVERSIDAD ")</f>
        <v>LE GUSTA LA UNIVERSIDAD </v>
      </c>
      <c r="Y650" s="1" t="str">
        <f>IFERROR(__xludf.DUMMYFUNCTION("""COMPUTED_VALUE"""),"PAGO COMPLETO")</f>
        <v>PAGO COMPLETO</v>
      </c>
      <c r="Z650" s="1"/>
      <c r="AA650" s="1"/>
      <c r="AB650" s="1">
        <f>IFERROR(__xludf.DUMMYFUNCTION("""COMPUTED_VALUE"""),0.0)</f>
        <v>0</v>
      </c>
      <c r="AC650" s="1">
        <f>IFERROR(__xludf.DUMMYFUNCTION("""COMPUTED_VALUE"""),0.0)</f>
        <v>0</v>
      </c>
      <c r="AD650" s="1" t="str">
        <f>IFERROR(__xludf.DUMMYFUNCTION("""COMPUTED_VALUE"""),"Daniel Zapata")</f>
        <v>Daniel Zapata</v>
      </c>
      <c r="AE650" s="1" t="str">
        <f>IFERROR(__xludf.DUMMYFUNCTION("""COMPUTED_VALUE"""),"0")</f>
        <v>0</v>
      </c>
      <c r="AF650" s="1">
        <f>IFERROR(__xludf.DUMMYFUNCTION("""COMPUTED_VALUE"""),2020.0)</f>
        <v>2020</v>
      </c>
      <c r="AG650" s="1">
        <f>IFERROR(__xludf.DUMMYFUNCTION("""COMPUTED_VALUE"""),1326305.0)</f>
        <v>1326305</v>
      </c>
      <c r="AH650" s="1">
        <f>IFERROR(__xludf.DUMMYFUNCTION("""COMPUTED_VALUE"""),21.0)</f>
        <v>21</v>
      </c>
      <c r="AI650" s="1" t="str">
        <f>IFERROR(__xludf.DUMMYFUNCTION("""COMPUTED_VALUE"""),"0000422518")</f>
        <v>0000422518</v>
      </c>
      <c r="AJ650" s="1">
        <f>IFERROR(__xludf.DUMMYFUNCTION("""COMPUTED_VALUE"""),7.6248808E7)</f>
        <v>76248808</v>
      </c>
      <c r="AK650" s="1">
        <f>IFERROR(__xludf.DUMMYFUNCTION("""COMPUTED_VALUE"""),9.06997379E8)</f>
        <v>906997379</v>
      </c>
      <c r="AL650" s="1" t="str">
        <f>IFERROR(__xludf.DUMMYFUNCTION("""COMPUTED_VALUE"""),"anggieraimondi@gmail.com")</f>
        <v>anggieraimondi@gmail.com</v>
      </c>
      <c r="AM650" s="1" t="str">
        <f>IFERROR(__xludf.DUMMYFUNCTION("""COMPUTED_VALUE"""),"FEMENINO")</f>
        <v>FEMENINO</v>
      </c>
      <c r="AN650" s="1">
        <f>IFERROR(__xludf.DUMMYFUNCTION("""COMPUTED_VALUE"""),1850.0)</f>
        <v>1850</v>
      </c>
      <c r="AO650" s="1">
        <f>IFERROR(__xludf.DUMMYFUNCTION("""COMPUTED_VALUE"""),610.0)</f>
        <v>610</v>
      </c>
      <c r="AP650" s="1" t="str">
        <f>IFERROR(__xludf.DUMMYFUNCTION("""COMPUTED_VALUE"""),"BIDIRECCIONAL")</f>
        <v>BIDIRECCIONAL</v>
      </c>
      <c r="AQ650" s="1" t="str">
        <f>IFERROR(__xludf.DUMMYFUNCTION("""COMPUTED_VALUE"""),"SEARCH CARRERA")</f>
        <v>SEARCH CARRERA</v>
      </c>
      <c r="AR650" s="1"/>
      <c r="AS650" s="1"/>
      <c r="AT650" s="1"/>
      <c r="AU650" s="1">
        <f>IFERROR(__xludf.DUMMYFUNCTION("""COMPUTED_VALUE"""),1.0)</f>
        <v>1</v>
      </c>
      <c r="AV650" s="1" t="str">
        <f>IFERROR(__xludf.DUMMYFUNCTION("""COMPUTED_VALUE"""),"NUEVO")</f>
        <v>NUEVO</v>
      </c>
      <c r="AW650" s="1" t="str">
        <f>IFERROR(__xludf.DUMMYFUNCTION("""COMPUTED_VALUE"""),"SI")</f>
        <v>SI</v>
      </c>
      <c r="AX650" s="1"/>
      <c r="AY650" s="1" t="str">
        <f>IFERROR(__xludf.DUMMYFUNCTION("""COMPUTED_VALUE"""),"PAGO COMPLETO")</f>
        <v>PAGO COMPLETO</v>
      </c>
      <c r="AZ650" s="5">
        <f>IFERROR(__xludf.DUMMYFUNCTION("""COMPUTED_VALUE"""),45751.0)</f>
        <v>45751</v>
      </c>
      <c r="BA650" s="1">
        <f>IFERROR(__xludf.DUMMYFUNCTION("""COMPUTED_VALUE"""),0.0)</f>
        <v>0</v>
      </c>
      <c r="BB650" s="1">
        <f>IFERROR(__xludf.DUMMYFUNCTION("""COMPUTED_VALUE"""),0.0)</f>
        <v>0</v>
      </c>
      <c r="BC650" s="4">
        <f>IFERROR(__xludf.DUMMYFUNCTION("""COMPUTED_VALUE"""),0.0)</f>
        <v>0</v>
      </c>
      <c r="BD650" s="4">
        <f>IFERROR(__xludf.DUMMYFUNCTION("""COMPUTED_VALUE"""),550.0)</f>
        <v>550</v>
      </c>
      <c r="BE650" s="1">
        <f>IFERROR(__xludf.DUMMYFUNCTION("""COMPUTED_VALUE"""),4.0)</f>
        <v>4</v>
      </c>
      <c r="BF650" s="6">
        <f>IFERROR(__xludf.DUMMYFUNCTION("""COMPUTED_VALUE"""),1.0)</f>
        <v>1</v>
      </c>
      <c r="BG650" s="1">
        <f>IFERROR(__xludf.DUMMYFUNCTION("""COMPUTED_VALUE"""),1.0)</f>
        <v>1</v>
      </c>
      <c r="BH650" s="1" t="str">
        <f>IFERROR(__xludf.DUMMYFUNCTION("""COMPUTED_VALUE"""),"0")</f>
        <v>0</v>
      </c>
      <c r="BI650" s="4">
        <f>IFERROR(__xludf.DUMMYFUNCTION("""COMPUTED_VALUE"""),550.0)</f>
        <v>550</v>
      </c>
      <c r="BJ650" s="1">
        <f>IFERROR(__xludf.DUMMYFUNCTION("""COMPUTED_VALUE"""),0.0)</f>
        <v>0</v>
      </c>
      <c r="BK650" s="4">
        <f>IFERROR(__xludf.DUMMYFUNCTION("""COMPUTED_VALUE"""),550.0)</f>
        <v>550</v>
      </c>
      <c r="BL650" s="1">
        <f>IFERROR(__xludf.DUMMYFUNCTION("""COMPUTED_VALUE"""),940.0)</f>
        <v>940</v>
      </c>
      <c r="BM650" s="1">
        <f>IFERROR(__xludf.DUMMYFUNCTION("""COMPUTED_VALUE"""),14.0)</f>
        <v>14</v>
      </c>
      <c r="BN650" s="2">
        <f>IFERROR(__xludf.DUMMYFUNCTION("""COMPUTED_VALUE"""),45747.0)</f>
        <v>45747</v>
      </c>
      <c r="BO650" s="1">
        <f>IFERROR(__xludf.DUMMYFUNCTION("""COMPUTED_VALUE"""),4.0)</f>
        <v>4</v>
      </c>
      <c r="BP650" s="1">
        <f>IFERROR(__xludf.DUMMYFUNCTION("""COMPUTED_VALUE"""),2025.0)</f>
        <v>2025</v>
      </c>
    </row>
    <row r="651">
      <c r="A651" s="1">
        <f>IFERROR(__xludf.DUMMYFUNCTION("""COMPUTED_VALUE"""),650.0)</f>
        <v>650</v>
      </c>
      <c r="B651" s="1">
        <f>IFERROR(__xludf.DUMMYFUNCTION("""COMPUTED_VALUE"""),3247407.0)</f>
        <v>3247407</v>
      </c>
      <c r="C651" s="1" t="str">
        <f>IFERROR(__xludf.DUMMYFUNCTION("""COMPUTED_VALUE"""),"2025-1")</f>
        <v>2025-1</v>
      </c>
      <c r="D651" s="1" t="str">
        <f>IFERROR(__xludf.DUMMYFUNCTION("""COMPUTED_VALUE"""),"Admisión Ordinaria")</f>
        <v>Admisión Ordinaria</v>
      </c>
      <c r="E651" s="2">
        <f>IFERROR(__xludf.DUMMYFUNCTION("""COMPUTED_VALUE"""),45751.0)</f>
        <v>45751</v>
      </c>
      <c r="F651" s="1" t="str">
        <f>IFERROR(__xludf.DUMMYFUNCTION("""COMPUTED_VALUE"""),"JOSE GUSTAVO ")</f>
        <v>JOSE GUSTAVO </v>
      </c>
      <c r="G651" s="1" t="str">
        <f>IFERROR(__xludf.DUMMYFUNCTION("""COMPUTED_VALUE"""),"ZUAZO HERNANDEZ")</f>
        <v>ZUAZO HERNANDEZ</v>
      </c>
      <c r="H651" s="1" t="str">
        <f>IFERROR(__xludf.DUMMYFUNCTION("""COMPUTED_VALUE"""),"Administración y Marketing")</f>
        <v>Administración y Marketing</v>
      </c>
      <c r="I651" s="1" t="str">
        <f>IFERROR(__xludf.DUMMYFUNCTION("""COMPUTED_VALUE"""),"CARGO")</f>
        <v>CARGO</v>
      </c>
      <c r="J651" s="1" t="str">
        <f>IFERROR(__xludf.DUMMYFUNCTION("""COMPUTED_VALUE"""),"Nocturno - A distancia")</f>
        <v>Nocturno - A distancia</v>
      </c>
      <c r="K651" s="1" t="str">
        <f>IFERROR(__xludf.DUMMYFUNCTION("""COMPUTED_VALUE"""),"NUEVO")</f>
        <v>NUEVO</v>
      </c>
      <c r="L651" s="1">
        <f>IFERROR(__xludf.DUMMYFUNCTION("""COMPUTED_VALUE"""),0.0)</f>
        <v>0</v>
      </c>
      <c r="M651" s="1">
        <f>IFERROR(__xludf.DUMMYFUNCTION("""COMPUTED_VALUE"""),0.0)</f>
        <v>0</v>
      </c>
      <c r="N651" s="1" t="str">
        <f>IFERROR(__xludf.DUMMYFUNCTION("""COMPUTED_VALUE"""),"ESCALA REGULAR")</f>
        <v>ESCALA REGULAR</v>
      </c>
      <c r="O651" s="1" t="str">
        <f>IFERROR(__xludf.DUMMYFUNCTION("""COMPUTED_VALUE"""),"NINGUNO")</f>
        <v>NINGUNO</v>
      </c>
      <c r="P651" s="4">
        <f>IFERROR(__xludf.DUMMYFUNCTION("""COMPUTED_VALUE"""),0.0)</f>
        <v>0</v>
      </c>
      <c r="Q651" s="4">
        <f>IFERROR(__xludf.DUMMYFUNCTION("""COMPUTED_VALUE"""),0.0)</f>
        <v>0</v>
      </c>
      <c r="R651" s="4">
        <f>IFERROR(__xludf.DUMMYFUNCTION("""COMPUTED_VALUE"""),750.0)</f>
        <v>750</v>
      </c>
      <c r="S651" s="4">
        <f>IFERROR(__xludf.DUMMYFUNCTION("""COMPUTED_VALUE"""),750.0)</f>
        <v>750</v>
      </c>
      <c r="T651" s="1" t="str">
        <f>IFERROR(__xludf.DUMMYFUNCTION("""COMPUTED_VALUE"""),"Ninguno")</f>
        <v>Ninguno</v>
      </c>
      <c r="U651" s="1" t="str">
        <f>IFERROR(__xludf.DUMMYFUNCTION("""COMPUTED_VALUE"""),"FABIOLA")</f>
        <v>FABIOLA</v>
      </c>
      <c r="V651" s="1" t="str">
        <f>IFERROR(__xludf.DUMMYFUNCTION("""COMPUTED_VALUE"""),"Ninguno")</f>
        <v>Ninguno</v>
      </c>
      <c r="W651" s="1" t="str">
        <f>IFERROR(__xludf.DUMMYFUNCTION("""COMPUTED_VALUE"""),"Malla curricular")</f>
        <v>Malla curricular</v>
      </c>
      <c r="X651" s="1"/>
      <c r="Y651" s="1" t="str">
        <f>IFERROR(__xludf.DUMMYFUNCTION("""COMPUTED_VALUE"""),"PAGO COMPLETO")</f>
        <v>PAGO COMPLETO</v>
      </c>
      <c r="Z651" s="1"/>
      <c r="AA651" s="1"/>
      <c r="AB651" s="1">
        <f>IFERROR(__xludf.DUMMYFUNCTION("""COMPUTED_VALUE"""),0.0)</f>
        <v>0</v>
      </c>
      <c r="AC651" s="1">
        <f>IFERROR(__xludf.DUMMYFUNCTION("""COMPUTED_VALUE"""),0.0)</f>
        <v>0</v>
      </c>
      <c r="AD651" s="1" t="str">
        <f>IFERROR(__xludf.DUMMYFUNCTION("""COMPUTED_VALUE"""),"Fiorella Lanegra")</f>
        <v>Fiorella Lanegra</v>
      </c>
      <c r="AE651" s="1" t="str">
        <f>IFERROR(__xludf.DUMMYFUNCTION("""COMPUTED_VALUE"""),"0")</f>
        <v>0</v>
      </c>
      <c r="AF651" s="1">
        <f>IFERROR(__xludf.DUMMYFUNCTION("""COMPUTED_VALUE"""),2000.0)</f>
        <v>2000</v>
      </c>
      <c r="AG651" s="1">
        <f>IFERROR(__xludf.DUMMYFUNCTION("""COMPUTED_VALUE"""),0.0)</f>
        <v>0</v>
      </c>
      <c r="AH651" s="1">
        <f>IFERROR(__xludf.DUMMYFUNCTION("""COMPUTED_VALUE"""),40.0)</f>
        <v>40</v>
      </c>
      <c r="AI651" s="1" t="str">
        <f>IFERROR(__xludf.DUMMYFUNCTION("""COMPUTED_VALUE"""),"0000378137")</f>
        <v>0000378137</v>
      </c>
      <c r="AJ651" s="1">
        <f>IFERROR(__xludf.DUMMYFUNCTION("""COMPUTED_VALUE"""),4.2665679E7)</f>
        <v>42665679</v>
      </c>
      <c r="AK651" s="1">
        <f>IFERROR(__xludf.DUMMYFUNCTION("""COMPUTED_VALUE"""),9.04883069E8)</f>
        <v>904883069</v>
      </c>
      <c r="AL651" s="1" t="str">
        <f>IFERROR(__xludf.DUMMYFUNCTION("""COMPUTED_VALUE"""),"gustavojosezuazo@gmail.com")</f>
        <v>gustavojosezuazo@gmail.com</v>
      </c>
      <c r="AM651" s="1" t="str">
        <f>IFERROR(__xludf.DUMMYFUNCTION("""COMPUTED_VALUE"""),"MASCULINO")</f>
        <v>MASCULINO</v>
      </c>
      <c r="AN651" s="1">
        <f>IFERROR(__xludf.DUMMYFUNCTION("""COMPUTED_VALUE"""),1350.0)</f>
        <v>1350</v>
      </c>
      <c r="AO651" s="1">
        <f>IFERROR(__xludf.DUMMYFUNCTION("""COMPUTED_VALUE"""),0.0)</f>
        <v>0</v>
      </c>
      <c r="AP651" s="1" t="str">
        <f>IFERROR(__xludf.DUMMYFUNCTION("""COMPUTED_VALUE"""),"BIDIRECCIONAL")</f>
        <v>BIDIRECCIONAL</v>
      </c>
      <c r="AQ651" s="1" t="str">
        <f>IFERROR(__xludf.DUMMYFUNCTION("""COMPUTED_VALUE"""),"SEARCH MARCA")</f>
        <v>SEARCH MARCA</v>
      </c>
      <c r="AR651" s="1" t="str">
        <f>IFERROR(__xludf.DUMMYFUNCTION("""COMPUTED_VALUE"""),"HEREDADO")</f>
        <v>HEREDADO</v>
      </c>
      <c r="AS651" s="1" t="str">
        <f>IFERROR(__xludf.DUMMYFUNCTION("""COMPUTED_VALUE"""),"ucal-pg-performance-sedes-abierta-cpl-search_conversion_marca-20240401")</f>
        <v>ucal-pg-performance-sedes-abierta-cpl-search_conversion_marca-20240401</v>
      </c>
      <c r="AT651" s="2">
        <f>IFERROR(__xludf.DUMMYFUNCTION("""COMPUTED_VALUE"""),45717.0)</f>
        <v>45717</v>
      </c>
      <c r="AU651" s="1">
        <f>IFERROR(__xludf.DUMMYFUNCTION("""COMPUTED_VALUE"""),1.0)</f>
        <v>1</v>
      </c>
      <c r="AV651" s="1" t="str">
        <f>IFERROR(__xludf.DUMMYFUNCTION("""COMPUTED_VALUE"""),"NUEVO")</f>
        <v>NUEVO</v>
      </c>
      <c r="AW651" s="1" t="str">
        <f>IFERROR(__xludf.DUMMYFUNCTION("""COMPUTED_VALUE"""),"SI")</f>
        <v>SI</v>
      </c>
      <c r="AX651" s="1"/>
      <c r="AY651" s="1" t="str">
        <f>IFERROR(__xludf.DUMMYFUNCTION("""COMPUTED_VALUE"""),"PAGO COMPLETO")</f>
        <v>PAGO COMPLETO</v>
      </c>
      <c r="AZ651" s="5">
        <f>IFERROR(__xludf.DUMMYFUNCTION("""COMPUTED_VALUE"""),45751.0)</f>
        <v>45751</v>
      </c>
      <c r="BA651" s="1">
        <f>IFERROR(__xludf.DUMMYFUNCTION("""COMPUTED_VALUE"""),0.0)</f>
        <v>0</v>
      </c>
      <c r="BB651" s="1">
        <f>IFERROR(__xludf.DUMMYFUNCTION("""COMPUTED_VALUE"""),0.0)</f>
        <v>0</v>
      </c>
      <c r="BC651" s="4">
        <f>IFERROR(__xludf.DUMMYFUNCTION("""COMPUTED_VALUE"""),0.0)</f>
        <v>0</v>
      </c>
      <c r="BD651" s="4">
        <f>IFERROR(__xludf.DUMMYFUNCTION("""COMPUTED_VALUE"""),0.0)</f>
        <v>0</v>
      </c>
      <c r="BE651" s="1">
        <f>IFERROR(__xludf.DUMMYFUNCTION("""COMPUTED_VALUE"""),4.0)</f>
        <v>4</v>
      </c>
      <c r="BF651" s="6">
        <f>IFERROR(__xludf.DUMMYFUNCTION("""COMPUTED_VALUE"""),1.0)</f>
        <v>1</v>
      </c>
      <c r="BG651" s="1">
        <f>IFERROR(__xludf.DUMMYFUNCTION("""COMPUTED_VALUE"""),1.0)</f>
        <v>1</v>
      </c>
      <c r="BH651" s="1" t="str">
        <f>IFERROR(__xludf.DUMMYFUNCTION("""COMPUTED_VALUE"""),"0")</f>
        <v>0</v>
      </c>
      <c r="BI651" s="4">
        <f>IFERROR(__xludf.DUMMYFUNCTION("""COMPUTED_VALUE"""),0.0)</f>
        <v>0</v>
      </c>
      <c r="BJ651" s="1">
        <f>IFERROR(__xludf.DUMMYFUNCTION("""COMPUTED_VALUE"""),0.0)</f>
        <v>0</v>
      </c>
      <c r="BK651" s="4">
        <f>IFERROR(__xludf.DUMMYFUNCTION("""COMPUTED_VALUE"""),0.0)</f>
        <v>0</v>
      </c>
      <c r="BL651" s="1">
        <f>IFERROR(__xludf.DUMMYFUNCTION("""COMPUTED_VALUE"""),750.0)</f>
        <v>750</v>
      </c>
      <c r="BM651" s="1">
        <f>IFERROR(__xludf.DUMMYFUNCTION("""COMPUTED_VALUE"""),14.0)</f>
        <v>14</v>
      </c>
      <c r="BN651" s="2">
        <f>IFERROR(__xludf.DUMMYFUNCTION("""COMPUTED_VALUE"""),45747.0)</f>
        <v>45747</v>
      </c>
      <c r="BO651" s="1">
        <f>IFERROR(__xludf.DUMMYFUNCTION("""COMPUTED_VALUE"""),4.0)</f>
        <v>4</v>
      </c>
      <c r="BP651" s="1">
        <f>IFERROR(__xludf.DUMMYFUNCTION("""COMPUTED_VALUE"""),2025.0)</f>
        <v>2025</v>
      </c>
    </row>
    <row r="652">
      <c r="A652" s="1" t="str">
        <f>IFERROR(__xludf.DUMMYFUNCTION("""COMPUTED_VALUE"""),"")</f>
        <v/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 t="str">
        <f>IFERROR(__xludf.DUMMYFUNCTION("""COMPUTED_VALUE"""),"")</f>
        <v/>
      </c>
      <c r="BN652" s="1" t="str">
        <f>IFERROR(__xludf.DUMMYFUNCTION("""COMPUTED_VALUE"""),"")</f>
        <v/>
      </c>
      <c r="BO652" s="1" t="str">
        <f>IFERROR(__xludf.DUMMYFUNCTION("""COMPUTED_VALUE"""),"")</f>
        <v/>
      </c>
      <c r="BP652" s="1" t="str">
        <f>IFERROR(__xludf.DUMMYFUNCTION("""COMPUTED_VALUE"""),"")</f>
        <v/>
      </c>
    </row>
    <row r="653">
      <c r="A653" s="1" t="str">
        <f>IFERROR(__xludf.DUMMYFUNCTION("""COMPUTED_VALUE"""),"")</f>
        <v/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 t="str">
        <f>IFERROR(__xludf.DUMMYFUNCTION("""COMPUTED_VALUE"""),"")</f>
        <v/>
      </c>
      <c r="BN653" s="1" t="str">
        <f>IFERROR(__xludf.DUMMYFUNCTION("""COMPUTED_VALUE"""),"")</f>
        <v/>
      </c>
      <c r="BO653" s="1" t="str">
        <f>IFERROR(__xludf.DUMMYFUNCTION("""COMPUTED_VALUE"""),"")</f>
        <v/>
      </c>
      <c r="BP653" s="1" t="str">
        <f>IFERROR(__xludf.DUMMYFUNCTION("""COMPUTED_VALUE"""),"")</f>
        <v/>
      </c>
    </row>
    <row r="654">
      <c r="A654" s="1" t="str">
        <f>IFERROR(__xludf.DUMMYFUNCTION("""COMPUTED_VALUE"""),"")</f>
        <v/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 t="str">
        <f>IFERROR(__xludf.DUMMYFUNCTION("""COMPUTED_VALUE"""),"")</f>
        <v/>
      </c>
      <c r="BN654" s="1" t="str">
        <f>IFERROR(__xludf.DUMMYFUNCTION("""COMPUTED_VALUE"""),"")</f>
        <v/>
      </c>
      <c r="BO654" s="1" t="str">
        <f>IFERROR(__xludf.DUMMYFUNCTION("""COMPUTED_VALUE"""),"")</f>
        <v/>
      </c>
      <c r="BP654" s="1" t="str">
        <f>IFERROR(__xludf.DUMMYFUNCTION("""COMPUTED_VALUE"""),"")</f>
        <v/>
      </c>
    </row>
    <row r="655">
      <c r="A655" s="1" t="str">
        <f>IFERROR(__xludf.DUMMYFUNCTION("""COMPUTED_VALUE"""),"")</f>
        <v/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 t="str">
        <f>IFERROR(__xludf.DUMMYFUNCTION("""COMPUTED_VALUE"""),"")</f>
        <v/>
      </c>
      <c r="BN655" s="1" t="str">
        <f>IFERROR(__xludf.DUMMYFUNCTION("""COMPUTED_VALUE"""),"")</f>
        <v/>
      </c>
      <c r="BO655" s="1" t="str">
        <f>IFERROR(__xludf.DUMMYFUNCTION("""COMPUTED_VALUE"""),"")</f>
        <v/>
      </c>
      <c r="BP655" s="1" t="str">
        <f>IFERROR(__xludf.DUMMYFUNCTION("""COMPUTED_VALUE"""),"")</f>
        <v/>
      </c>
    </row>
    <row r="656">
      <c r="A656" s="1" t="str">
        <f>IFERROR(__xludf.DUMMYFUNCTION("""COMPUTED_VALUE"""),"")</f>
        <v/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 t="str">
        <f>IFERROR(__xludf.DUMMYFUNCTION("""COMPUTED_VALUE"""),"")</f>
        <v/>
      </c>
      <c r="BN656" s="1" t="str">
        <f>IFERROR(__xludf.DUMMYFUNCTION("""COMPUTED_VALUE"""),"")</f>
        <v/>
      </c>
      <c r="BO656" s="1" t="str">
        <f>IFERROR(__xludf.DUMMYFUNCTION("""COMPUTED_VALUE"""),"")</f>
        <v/>
      </c>
      <c r="BP656" s="1" t="str">
        <f>IFERROR(__xludf.DUMMYFUNCTION("""COMPUTED_VALUE"""),"")</f>
        <v/>
      </c>
    </row>
    <row r="657">
      <c r="A657" s="1" t="str">
        <f>IFERROR(__xludf.DUMMYFUNCTION("""COMPUTED_VALUE"""),"")</f>
        <v/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 t="str">
        <f>IFERROR(__xludf.DUMMYFUNCTION("""COMPUTED_VALUE"""),"")</f>
        <v/>
      </c>
      <c r="BN657" s="1" t="str">
        <f>IFERROR(__xludf.DUMMYFUNCTION("""COMPUTED_VALUE"""),"")</f>
        <v/>
      </c>
      <c r="BO657" s="1" t="str">
        <f>IFERROR(__xludf.DUMMYFUNCTION("""COMPUTED_VALUE"""),"")</f>
        <v/>
      </c>
      <c r="BP657" s="1" t="str">
        <f>IFERROR(__xludf.DUMMYFUNCTION("""COMPUTED_VALUE"""),"")</f>
        <v/>
      </c>
    </row>
    <row r="658">
      <c r="A658" s="1" t="str">
        <f>IFERROR(__xludf.DUMMYFUNCTION("""COMPUTED_VALUE"""),"")</f>
        <v/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 t="str">
        <f>IFERROR(__xludf.DUMMYFUNCTION("""COMPUTED_VALUE"""),"")</f>
        <v/>
      </c>
      <c r="BN658" s="1" t="str">
        <f>IFERROR(__xludf.DUMMYFUNCTION("""COMPUTED_VALUE"""),"")</f>
        <v/>
      </c>
      <c r="BO658" s="1" t="str">
        <f>IFERROR(__xludf.DUMMYFUNCTION("""COMPUTED_VALUE"""),"")</f>
        <v/>
      </c>
      <c r="BP658" s="1" t="str">
        <f>IFERROR(__xludf.DUMMYFUNCTION("""COMPUTED_VALUE"""),"")</f>
        <v/>
      </c>
    </row>
    <row r="659">
      <c r="A659" s="1" t="str">
        <f>IFERROR(__xludf.DUMMYFUNCTION("""COMPUTED_VALUE"""),"")</f>
        <v/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 t="str">
        <f>IFERROR(__xludf.DUMMYFUNCTION("""COMPUTED_VALUE"""),"")</f>
        <v/>
      </c>
      <c r="BN659" s="1" t="str">
        <f>IFERROR(__xludf.DUMMYFUNCTION("""COMPUTED_VALUE"""),"")</f>
        <v/>
      </c>
      <c r="BO659" s="1" t="str">
        <f>IFERROR(__xludf.DUMMYFUNCTION("""COMPUTED_VALUE"""),"")</f>
        <v/>
      </c>
      <c r="BP659" s="1" t="str">
        <f>IFERROR(__xludf.DUMMYFUNCTION("""COMPUTED_VALUE"""),"")</f>
        <v/>
      </c>
    </row>
    <row r="660">
      <c r="A660" s="1" t="str">
        <f>IFERROR(__xludf.DUMMYFUNCTION("""COMPUTED_VALUE"""),"")</f>
        <v/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 t="str">
        <f>IFERROR(__xludf.DUMMYFUNCTION("""COMPUTED_VALUE"""),"")</f>
        <v/>
      </c>
      <c r="BN660" s="1" t="str">
        <f>IFERROR(__xludf.DUMMYFUNCTION("""COMPUTED_VALUE"""),"")</f>
        <v/>
      </c>
      <c r="BO660" s="1" t="str">
        <f>IFERROR(__xludf.DUMMYFUNCTION("""COMPUTED_VALUE"""),"")</f>
        <v/>
      </c>
      <c r="BP660" s="1" t="str">
        <f>IFERROR(__xludf.DUMMYFUNCTION("""COMPUTED_VALUE"""),"")</f>
        <v/>
      </c>
    </row>
    <row r="661">
      <c r="A661" s="1" t="str">
        <f>IFERROR(__xludf.DUMMYFUNCTION("""COMPUTED_VALUE"""),"")</f>
        <v/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 t="str">
        <f>IFERROR(__xludf.DUMMYFUNCTION("""COMPUTED_VALUE"""),"")</f>
        <v/>
      </c>
      <c r="BN661" s="1" t="str">
        <f>IFERROR(__xludf.DUMMYFUNCTION("""COMPUTED_VALUE"""),"")</f>
        <v/>
      </c>
      <c r="BO661" s="1" t="str">
        <f>IFERROR(__xludf.DUMMYFUNCTION("""COMPUTED_VALUE"""),"")</f>
        <v/>
      </c>
      <c r="BP661" s="1" t="str">
        <f>IFERROR(__xludf.DUMMYFUNCTION("""COMPUTED_VALUE"""),"")</f>
        <v/>
      </c>
    </row>
    <row r="662">
      <c r="A662" s="1" t="str">
        <f>IFERROR(__xludf.DUMMYFUNCTION("""COMPUTED_VALUE"""),"")</f>
        <v/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 t="str">
        <f>IFERROR(__xludf.DUMMYFUNCTION("""COMPUTED_VALUE"""),"")</f>
        <v/>
      </c>
      <c r="BN662" s="1" t="str">
        <f>IFERROR(__xludf.DUMMYFUNCTION("""COMPUTED_VALUE"""),"")</f>
        <v/>
      </c>
      <c r="BO662" s="1" t="str">
        <f>IFERROR(__xludf.DUMMYFUNCTION("""COMPUTED_VALUE"""),"")</f>
        <v/>
      </c>
      <c r="BP662" s="1" t="str">
        <f>IFERROR(__xludf.DUMMYFUNCTION("""COMPUTED_VALUE"""),"")</f>
        <v/>
      </c>
    </row>
    <row r="663">
      <c r="A663" s="1" t="str">
        <f>IFERROR(__xludf.DUMMYFUNCTION("""COMPUTED_VALUE"""),"")</f>
        <v/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 t="str">
        <f>IFERROR(__xludf.DUMMYFUNCTION("""COMPUTED_VALUE"""),"")</f>
        <v/>
      </c>
      <c r="BN663" s="1" t="str">
        <f>IFERROR(__xludf.DUMMYFUNCTION("""COMPUTED_VALUE"""),"")</f>
        <v/>
      </c>
      <c r="BO663" s="1" t="str">
        <f>IFERROR(__xludf.DUMMYFUNCTION("""COMPUTED_VALUE"""),"")</f>
        <v/>
      </c>
      <c r="BP663" s="1" t="str">
        <f>IFERROR(__xludf.DUMMYFUNCTION("""COMPUTED_VALUE"""),"")</f>
        <v/>
      </c>
    </row>
    <row r="664">
      <c r="A664" s="1" t="str">
        <f>IFERROR(__xludf.DUMMYFUNCTION("""COMPUTED_VALUE"""),"")</f>
        <v/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 t="str">
        <f>IFERROR(__xludf.DUMMYFUNCTION("""COMPUTED_VALUE"""),"")</f>
        <v/>
      </c>
      <c r="BN664" s="1" t="str">
        <f>IFERROR(__xludf.DUMMYFUNCTION("""COMPUTED_VALUE"""),"")</f>
        <v/>
      </c>
      <c r="BO664" s="1" t="str">
        <f>IFERROR(__xludf.DUMMYFUNCTION("""COMPUTED_VALUE"""),"")</f>
        <v/>
      </c>
      <c r="BP664" s="1" t="str">
        <f>IFERROR(__xludf.DUMMYFUNCTION("""COMPUTED_VALUE"""),"")</f>
        <v/>
      </c>
    </row>
    <row r="665">
      <c r="A665" s="1" t="str">
        <f>IFERROR(__xludf.DUMMYFUNCTION("""COMPUTED_VALUE"""),"")</f>
        <v/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 t="str">
        <f>IFERROR(__xludf.DUMMYFUNCTION("""COMPUTED_VALUE"""),"")</f>
        <v/>
      </c>
      <c r="BN665" s="1" t="str">
        <f>IFERROR(__xludf.DUMMYFUNCTION("""COMPUTED_VALUE"""),"")</f>
        <v/>
      </c>
      <c r="BO665" s="1" t="str">
        <f>IFERROR(__xludf.DUMMYFUNCTION("""COMPUTED_VALUE"""),"")</f>
        <v/>
      </c>
      <c r="BP665" s="1" t="str">
        <f>IFERROR(__xludf.DUMMYFUNCTION("""COMPUTED_VALUE"""),"")</f>
        <v/>
      </c>
    </row>
    <row r="666">
      <c r="A666" s="1" t="str">
        <f>IFERROR(__xludf.DUMMYFUNCTION("""COMPUTED_VALUE"""),"")</f>
        <v/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 t="str">
        <f>IFERROR(__xludf.DUMMYFUNCTION("""COMPUTED_VALUE"""),"")</f>
        <v/>
      </c>
      <c r="BN666" s="1" t="str">
        <f>IFERROR(__xludf.DUMMYFUNCTION("""COMPUTED_VALUE"""),"")</f>
        <v/>
      </c>
      <c r="BO666" s="1" t="str">
        <f>IFERROR(__xludf.DUMMYFUNCTION("""COMPUTED_VALUE"""),"")</f>
        <v/>
      </c>
      <c r="BP666" s="1" t="str">
        <f>IFERROR(__xludf.DUMMYFUNCTION("""COMPUTED_VALUE"""),"")</f>
        <v/>
      </c>
    </row>
    <row r="667">
      <c r="A667" s="1" t="str">
        <f>IFERROR(__xludf.DUMMYFUNCTION("""COMPUTED_VALUE"""),"")</f>
        <v/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 t="str">
        <f>IFERROR(__xludf.DUMMYFUNCTION("""COMPUTED_VALUE"""),"")</f>
        <v/>
      </c>
      <c r="BN667" s="1" t="str">
        <f>IFERROR(__xludf.DUMMYFUNCTION("""COMPUTED_VALUE"""),"")</f>
        <v/>
      </c>
      <c r="BO667" s="1" t="str">
        <f>IFERROR(__xludf.DUMMYFUNCTION("""COMPUTED_VALUE"""),"")</f>
        <v/>
      </c>
      <c r="BP667" s="1" t="str">
        <f>IFERROR(__xludf.DUMMYFUNCTION("""COMPUTED_VALUE"""),"")</f>
        <v/>
      </c>
    </row>
    <row r="668">
      <c r="A668" s="1" t="str">
        <f>IFERROR(__xludf.DUMMYFUNCTION("""COMPUTED_VALUE"""),"")</f>
        <v/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 t="str">
        <f>IFERROR(__xludf.DUMMYFUNCTION("""COMPUTED_VALUE"""),"")</f>
        <v/>
      </c>
      <c r="BN668" s="1" t="str">
        <f>IFERROR(__xludf.DUMMYFUNCTION("""COMPUTED_VALUE"""),"")</f>
        <v/>
      </c>
      <c r="BO668" s="1" t="str">
        <f>IFERROR(__xludf.DUMMYFUNCTION("""COMPUTED_VALUE"""),"")</f>
        <v/>
      </c>
      <c r="BP668" s="1" t="str">
        <f>IFERROR(__xludf.DUMMYFUNCTION("""COMPUTED_VALUE"""),"")</f>
        <v/>
      </c>
    </row>
    <row r="669">
      <c r="A669" s="1" t="str">
        <f>IFERROR(__xludf.DUMMYFUNCTION("""COMPUTED_VALUE"""),"")</f>
        <v/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 t="str">
        <f>IFERROR(__xludf.DUMMYFUNCTION("""COMPUTED_VALUE"""),"")</f>
        <v/>
      </c>
      <c r="BN669" s="1" t="str">
        <f>IFERROR(__xludf.DUMMYFUNCTION("""COMPUTED_VALUE"""),"")</f>
        <v/>
      </c>
      <c r="BO669" s="1" t="str">
        <f>IFERROR(__xludf.DUMMYFUNCTION("""COMPUTED_VALUE"""),"")</f>
        <v/>
      </c>
      <c r="BP669" s="1" t="str">
        <f>IFERROR(__xludf.DUMMYFUNCTION("""COMPUTED_VALUE"""),"")</f>
        <v/>
      </c>
    </row>
    <row r="670">
      <c r="A670" s="1" t="str">
        <f>IFERROR(__xludf.DUMMYFUNCTION("""COMPUTED_VALUE"""),"")</f>
        <v/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 t="str">
        <f>IFERROR(__xludf.DUMMYFUNCTION("""COMPUTED_VALUE"""),"")</f>
        <v/>
      </c>
      <c r="BN670" s="1" t="str">
        <f>IFERROR(__xludf.DUMMYFUNCTION("""COMPUTED_VALUE"""),"")</f>
        <v/>
      </c>
      <c r="BO670" s="1" t="str">
        <f>IFERROR(__xludf.DUMMYFUNCTION("""COMPUTED_VALUE"""),"")</f>
        <v/>
      </c>
      <c r="BP670" s="1" t="str">
        <f>IFERROR(__xludf.DUMMYFUNCTION("""COMPUTED_VALUE"""),"")</f>
        <v/>
      </c>
    </row>
    <row r="671">
      <c r="A671" s="1" t="str">
        <f>IFERROR(__xludf.DUMMYFUNCTION("""COMPUTED_VALUE"""),"")</f>
        <v/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 t="str">
        <f>IFERROR(__xludf.DUMMYFUNCTION("""COMPUTED_VALUE"""),"")</f>
        <v/>
      </c>
      <c r="BN671" s="1" t="str">
        <f>IFERROR(__xludf.DUMMYFUNCTION("""COMPUTED_VALUE"""),"")</f>
        <v/>
      </c>
      <c r="BO671" s="1" t="str">
        <f>IFERROR(__xludf.DUMMYFUNCTION("""COMPUTED_VALUE"""),"")</f>
        <v/>
      </c>
      <c r="BP671" s="1" t="str">
        <f>IFERROR(__xludf.DUMMYFUNCTION("""COMPUTED_VALUE"""),"")</f>
        <v/>
      </c>
    </row>
    <row r="672">
      <c r="A672" s="1" t="str">
        <f>IFERROR(__xludf.DUMMYFUNCTION("""COMPUTED_VALUE"""),"")</f>
        <v/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 t="str">
        <f>IFERROR(__xludf.DUMMYFUNCTION("""COMPUTED_VALUE"""),"")</f>
        <v/>
      </c>
      <c r="BN672" s="1" t="str">
        <f>IFERROR(__xludf.DUMMYFUNCTION("""COMPUTED_VALUE"""),"")</f>
        <v/>
      </c>
      <c r="BO672" s="1" t="str">
        <f>IFERROR(__xludf.DUMMYFUNCTION("""COMPUTED_VALUE"""),"")</f>
        <v/>
      </c>
      <c r="BP672" s="1" t="str">
        <f>IFERROR(__xludf.DUMMYFUNCTION("""COMPUTED_VALUE"""),"")</f>
        <v/>
      </c>
    </row>
    <row r="673">
      <c r="A673" s="1" t="str">
        <f>IFERROR(__xludf.DUMMYFUNCTION("""COMPUTED_VALUE"""),"")</f>
        <v/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 t="str">
        <f>IFERROR(__xludf.DUMMYFUNCTION("""COMPUTED_VALUE"""),"")</f>
        <v/>
      </c>
      <c r="BN673" s="1" t="str">
        <f>IFERROR(__xludf.DUMMYFUNCTION("""COMPUTED_VALUE"""),"")</f>
        <v/>
      </c>
      <c r="BO673" s="1" t="str">
        <f>IFERROR(__xludf.DUMMYFUNCTION("""COMPUTED_VALUE"""),"")</f>
        <v/>
      </c>
      <c r="BP673" s="1" t="str">
        <f>IFERROR(__xludf.DUMMYFUNCTION("""COMPUTED_VALUE"""),"")</f>
        <v/>
      </c>
    </row>
    <row r="674">
      <c r="A674" s="1" t="str">
        <f>IFERROR(__xludf.DUMMYFUNCTION("""COMPUTED_VALUE"""),"")</f>
        <v/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 t="str">
        <f>IFERROR(__xludf.DUMMYFUNCTION("""COMPUTED_VALUE"""),"")</f>
        <v/>
      </c>
      <c r="BN674" s="1" t="str">
        <f>IFERROR(__xludf.DUMMYFUNCTION("""COMPUTED_VALUE"""),"")</f>
        <v/>
      </c>
      <c r="BO674" s="1" t="str">
        <f>IFERROR(__xludf.DUMMYFUNCTION("""COMPUTED_VALUE"""),"")</f>
        <v/>
      </c>
      <c r="BP674" s="1" t="str">
        <f>IFERROR(__xludf.DUMMYFUNCTION("""COMPUTED_VALUE"""),"")</f>
        <v/>
      </c>
    </row>
    <row r="675">
      <c r="A675" s="1" t="str">
        <f>IFERROR(__xludf.DUMMYFUNCTION("""COMPUTED_VALUE"""),"")</f>
        <v/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 t="str">
        <f>IFERROR(__xludf.DUMMYFUNCTION("""COMPUTED_VALUE"""),"")</f>
        <v/>
      </c>
      <c r="BN675" s="1" t="str">
        <f>IFERROR(__xludf.DUMMYFUNCTION("""COMPUTED_VALUE"""),"")</f>
        <v/>
      </c>
      <c r="BO675" s="1" t="str">
        <f>IFERROR(__xludf.DUMMYFUNCTION("""COMPUTED_VALUE"""),"")</f>
        <v/>
      </c>
      <c r="BP675" s="1" t="str">
        <f>IFERROR(__xludf.DUMMYFUNCTION("""COMPUTED_VALUE"""),"")</f>
        <v/>
      </c>
    </row>
    <row r="676">
      <c r="A676" s="1" t="str">
        <f>IFERROR(__xludf.DUMMYFUNCTION("""COMPUTED_VALUE"""),"")</f>
        <v/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 t="str">
        <f>IFERROR(__xludf.DUMMYFUNCTION("""COMPUTED_VALUE"""),"")</f>
        <v/>
      </c>
      <c r="BN676" s="1" t="str">
        <f>IFERROR(__xludf.DUMMYFUNCTION("""COMPUTED_VALUE"""),"")</f>
        <v/>
      </c>
      <c r="BO676" s="1" t="str">
        <f>IFERROR(__xludf.DUMMYFUNCTION("""COMPUTED_VALUE"""),"")</f>
        <v/>
      </c>
      <c r="BP676" s="1" t="str">
        <f>IFERROR(__xludf.DUMMYFUNCTION("""COMPUTED_VALUE"""),"")</f>
        <v/>
      </c>
    </row>
    <row r="677">
      <c r="A677" s="1" t="str">
        <f>IFERROR(__xludf.DUMMYFUNCTION("""COMPUTED_VALUE"""),"")</f>
        <v/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 t="str">
        <f>IFERROR(__xludf.DUMMYFUNCTION("""COMPUTED_VALUE"""),"")</f>
        <v/>
      </c>
      <c r="BN677" s="1" t="str">
        <f>IFERROR(__xludf.DUMMYFUNCTION("""COMPUTED_VALUE"""),"")</f>
        <v/>
      </c>
      <c r="BO677" s="1" t="str">
        <f>IFERROR(__xludf.DUMMYFUNCTION("""COMPUTED_VALUE"""),"")</f>
        <v/>
      </c>
      <c r="BP677" s="1" t="str">
        <f>IFERROR(__xludf.DUMMYFUNCTION("""COMPUTED_VALUE"""),"")</f>
        <v/>
      </c>
    </row>
    <row r="678">
      <c r="A678" s="1" t="str">
        <f>IFERROR(__xludf.DUMMYFUNCTION("""COMPUTED_VALUE"""),"")</f>
        <v/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 t="str">
        <f>IFERROR(__xludf.DUMMYFUNCTION("""COMPUTED_VALUE"""),"")</f>
        <v/>
      </c>
      <c r="BN678" s="1" t="str">
        <f>IFERROR(__xludf.DUMMYFUNCTION("""COMPUTED_VALUE"""),"")</f>
        <v/>
      </c>
      <c r="BO678" s="1" t="str">
        <f>IFERROR(__xludf.DUMMYFUNCTION("""COMPUTED_VALUE"""),"")</f>
        <v/>
      </c>
      <c r="BP678" s="1" t="str">
        <f>IFERROR(__xludf.DUMMYFUNCTION("""COMPUTED_VALUE"""),"")</f>
        <v/>
      </c>
    </row>
    <row r="679">
      <c r="A679" s="1" t="str">
        <f>IFERROR(__xludf.DUMMYFUNCTION("""COMPUTED_VALUE"""),"")</f>
        <v/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 t="str">
        <f>IFERROR(__xludf.DUMMYFUNCTION("""COMPUTED_VALUE"""),"")</f>
        <v/>
      </c>
      <c r="BN679" s="1" t="str">
        <f>IFERROR(__xludf.DUMMYFUNCTION("""COMPUTED_VALUE"""),"")</f>
        <v/>
      </c>
      <c r="BO679" s="1" t="str">
        <f>IFERROR(__xludf.DUMMYFUNCTION("""COMPUTED_VALUE"""),"")</f>
        <v/>
      </c>
      <c r="BP679" s="1" t="str">
        <f>IFERROR(__xludf.DUMMYFUNCTION("""COMPUTED_VALUE"""),"")</f>
        <v/>
      </c>
    </row>
    <row r="680">
      <c r="A680" s="1" t="str">
        <f>IFERROR(__xludf.DUMMYFUNCTION("""COMPUTED_VALUE"""),"")</f>
        <v/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 t="str">
        <f>IFERROR(__xludf.DUMMYFUNCTION("""COMPUTED_VALUE"""),"")</f>
        <v/>
      </c>
      <c r="BN680" s="1" t="str">
        <f>IFERROR(__xludf.DUMMYFUNCTION("""COMPUTED_VALUE"""),"")</f>
        <v/>
      </c>
      <c r="BO680" s="1" t="str">
        <f>IFERROR(__xludf.DUMMYFUNCTION("""COMPUTED_VALUE"""),"")</f>
        <v/>
      </c>
      <c r="BP680" s="1" t="str">
        <f>IFERROR(__xludf.DUMMYFUNCTION("""COMPUTED_VALUE"""),"")</f>
        <v/>
      </c>
    </row>
    <row r="681">
      <c r="A681" s="1" t="str">
        <f>IFERROR(__xludf.DUMMYFUNCTION("""COMPUTED_VALUE"""),"")</f>
        <v/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 t="str">
        <f>IFERROR(__xludf.DUMMYFUNCTION("""COMPUTED_VALUE"""),"")</f>
        <v/>
      </c>
      <c r="BN681" s="1" t="str">
        <f>IFERROR(__xludf.DUMMYFUNCTION("""COMPUTED_VALUE"""),"")</f>
        <v/>
      </c>
      <c r="BO681" s="1" t="str">
        <f>IFERROR(__xludf.DUMMYFUNCTION("""COMPUTED_VALUE"""),"")</f>
        <v/>
      </c>
      <c r="BP681" s="1" t="str">
        <f>IFERROR(__xludf.DUMMYFUNCTION("""COMPUTED_VALUE"""),"")</f>
        <v/>
      </c>
    </row>
    <row r="682">
      <c r="A682" s="1" t="str">
        <f>IFERROR(__xludf.DUMMYFUNCTION("""COMPUTED_VALUE"""),"")</f>
        <v/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 t="str">
        <f>IFERROR(__xludf.DUMMYFUNCTION("""COMPUTED_VALUE"""),"")</f>
        <v/>
      </c>
      <c r="BN682" s="1" t="str">
        <f>IFERROR(__xludf.DUMMYFUNCTION("""COMPUTED_VALUE"""),"")</f>
        <v/>
      </c>
      <c r="BO682" s="1" t="str">
        <f>IFERROR(__xludf.DUMMYFUNCTION("""COMPUTED_VALUE"""),"")</f>
        <v/>
      </c>
      <c r="BP682" s="1" t="str">
        <f>IFERROR(__xludf.DUMMYFUNCTION("""COMPUTED_VALUE"""),"")</f>
        <v/>
      </c>
    </row>
    <row r="683">
      <c r="A683" s="1" t="str">
        <f>IFERROR(__xludf.DUMMYFUNCTION("""COMPUTED_VALUE"""),"")</f>
        <v/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 t="str">
        <f>IFERROR(__xludf.DUMMYFUNCTION("""COMPUTED_VALUE"""),"")</f>
        <v/>
      </c>
      <c r="BN683" s="1" t="str">
        <f>IFERROR(__xludf.DUMMYFUNCTION("""COMPUTED_VALUE"""),"")</f>
        <v/>
      </c>
      <c r="BO683" s="1" t="str">
        <f>IFERROR(__xludf.DUMMYFUNCTION("""COMPUTED_VALUE"""),"")</f>
        <v/>
      </c>
      <c r="BP683" s="1" t="str">
        <f>IFERROR(__xludf.DUMMYFUNCTION("""COMPUTED_VALUE"""),"")</f>
        <v/>
      </c>
    </row>
    <row r="684">
      <c r="A684" s="1" t="str">
        <f>IFERROR(__xludf.DUMMYFUNCTION("""COMPUTED_VALUE"""),"")</f>
        <v/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 t="str">
        <f>IFERROR(__xludf.DUMMYFUNCTION("""COMPUTED_VALUE"""),"")</f>
        <v/>
      </c>
      <c r="BN684" s="1" t="str">
        <f>IFERROR(__xludf.DUMMYFUNCTION("""COMPUTED_VALUE"""),"")</f>
        <v/>
      </c>
      <c r="BO684" s="1" t="str">
        <f>IFERROR(__xludf.DUMMYFUNCTION("""COMPUTED_VALUE"""),"")</f>
        <v/>
      </c>
      <c r="BP684" s="1" t="str">
        <f>IFERROR(__xludf.DUMMYFUNCTION("""COMPUTED_VALUE"""),"")</f>
        <v/>
      </c>
    </row>
    <row r="685">
      <c r="A685" s="1" t="str">
        <f>IFERROR(__xludf.DUMMYFUNCTION("""COMPUTED_VALUE"""),"")</f>
        <v/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 t="str">
        <f>IFERROR(__xludf.DUMMYFUNCTION("""COMPUTED_VALUE"""),"")</f>
        <v/>
      </c>
      <c r="BN685" s="1" t="str">
        <f>IFERROR(__xludf.DUMMYFUNCTION("""COMPUTED_VALUE"""),"")</f>
        <v/>
      </c>
      <c r="BO685" s="1" t="str">
        <f>IFERROR(__xludf.DUMMYFUNCTION("""COMPUTED_VALUE"""),"")</f>
        <v/>
      </c>
      <c r="BP685" s="1" t="str">
        <f>IFERROR(__xludf.DUMMYFUNCTION("""COMPUTED_VALUE"""),"")</f>
        <v/>
      </c>
    </row>
    <row r="686">
      <c r="A686" s="1" t="str">
        <f>IFERROR(__xludf.DUMMYFUNCTION("""COMPUTED_VALUE"""),"")</f>
        <v/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 t="str">
        <f>IFERROR(__xludf.DUMMYFUNCTION("""COMPUTED_VALUE"""),"")</f>
        <v/>
      </c>
      <c r="BN686" s="1" t="str">
        <f>IFERROR(__xludf.DUMMYFUNCTION("""COMPUTED_VALUE"""),"")</f>
        <v/>
      </c>
      <c r="BO686" s="1" t="str">
        <f>IFERROR(__xludf.DUMMYFUNCTION("""COMPUTED_VALUE"""),"")</f>
        <v/>
      </c>
      <c r="BP686" s="1" t="str">
        <f>IFERROR(__xludf.DUMMYFUNCTION("""COMPUTED_VALUE"""),"")</f>
        <v/>
      </c>
    </row>
    <row r="687">
      <c r="A687" s="1" t="str">
        <f>IFERROR(__xludf.DUMMYFUNCTION("""COMPUTED_VALUE"""),"")</f>
        <v/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 t="str">
        <f>IFERROR(__xludf.DUMMYFUNCTION("""COMPUTED_VALUE"""),"")</f>
        <v/>
      </c>
      <c r="BN687" s="1" t="str">
        <f>IFERROR(__xludf.DUMMYFUNCTION("""COMPUTED_VALUE"""),"")</f>
        <v/>
      </c>
      <c r="BO687" s="1" t="str">
        <f>IFERROR(__xludf.DUMMYFUNCTION("""COMPUTED_VALUE"""),"")</f>
        <v/>
      </c>
      <c r="BP687" s="1" t="str">
        <f>IFERROR(__xludf.DUMMYFUNCTION("""COMPUTED_VALUE"""),"")</f>
        <v/>
      </c>
    </row>
    <row r="688">
      <c r="A688" s="1" t="str">
        <f>IFERROR(__xludf.DUMMYFUNCTION("""COMPUTED_VALUE"""),"")</f>
        <v/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 t="str">
        <f>IFERROR(__xludf.DUMMYFUNCTION("""COMPUTED_VALUE"""),"")</f>
        <v/>
      </c>
      <c r="BN688" s="1" t="str">
        <f>IFERROR(__xludf.DUMMYFUNCTION("""COMPUTED_VALUE"""),"")</f>
        <v/>
      </c>
      <c r="BO688" s="1" t="str">
        <f>IFERROR(__xludf.DUMMYFUNCTION("""COMPUTED_VALUE"""),"")</f>
        <v/>
      </c>
      <c r="BP688" s="1" t="str">
        <f>IFERROR(__xludf.DUMMYFUNCTION("""COMPUTED_VALUE"""),"")</f>
        <v/>
      </c>
    </row>
    <row r="689">
      <c r="A689" s="1" t="str">
        <f>IFERROR(__xludf.DUMMYFUNCTION("""COMPUTED_VALUE"""),"")</f>
        <v/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 t="str">
        <f>IFERROR(__xludf.DUMMYFUNCTION("""COMPUTED_VALUE"""),"")</f>
        <v/>
      </c>
      <c r="BN689" s="1" t="str">
        <f>IFERROR(__xludf.DUMMYFUNCTION("""COMPUTED_VALUE"""),"")</f>
        <v/>
      </c>
      <c r="BO689" s="1" t="str">
        <f>IFERROR(__xludf.DUMMYFUNCTION("""COMPUTED_VALUE"""),"")</f>
        <v/>
      </c>
      <c r="BP689" s="1" t="str">
        <f>IFERROR(__xludf.DUMMYFUNCTION("""COMPUTED_VALUE"""),"")</f>
        <v/>
      </c>
    </row>
    <row r="690">
      <c r="A690" s="1" t="str">
        <f>IFERROR(__xludf.DUMMYFUNCTION("""COMPUTED_VALUE"""),"")</f>
        <v/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 t="str">
        <f>IFERROR(__xludf.DUMMYFUNCTION("""COMPUTED_VALUE"""),"")</f>
        <v/>
      </c>
      <c r="BN690" s="1" t="str">
        <f>IFERROR(__xludf.DUMMYFUNCTION("""COMPUTED_VALUE"""),"")</f>
        <v/>
      </c>
      <c r="BO690" s="1" t="str">
        <f>IFERROR(__xludf.DUMMYFUNCTION("""COMPUTED_VALUE"""),"")</f>
        <v/>
      </c>
      <c r="BP690" s="1" t="str">
        <f>IFERROR(__xludf.DUMMYFUNCTION("""COMPUTED_VALUE"""),"")</f>
        <v/>
      </c>
    </row>
    <row r="691">
      <c r="A691" s="1" t="str">
        <f>IFERROR(__xludf.DUMMYFUNCTION("""COMPUTED_VALUE"""),"")</f>
        <v/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 t="str">
        <f>IFERROR(__xludf.DUMMYFUNCTION("""COMPUTED_VALUE"""),"")</f>
        <v/>
      </c>
      <c r="BN691" s="1" t="str">
        <f>IFERROR(__xludf.DUMMYFUNCTION("""COMPUTED_VALUE"""),"")</f>
        <v/>
      </c>
      <c r="BO691" s="1" t="str">
        <f>IFERROR(__xludf.DUMMYFUNCTION("""COMPUTED_VALUE"""),"")</f>
        <v/>
      </c>
      <c r="BP691" s="1" t="str">
        <f>IFERROR(__xludf.DUMMYFUNCTION("""COMPUTED_VALUE"""),"")</f>
        <v/>
      </c>
    </row>
    <row r="692">
      <c r="A692" s="1" t="str">
        <f>IFERROR(__xludf.DUMMYFUNCTION("""COMPUTED_VALUE"""),"")</f>
        <v/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 t="str">
        <f>IFERROR(__xludf.DUMMYFUNCTION("""COMPUTED_VALUE"""),"")</f>
        <v/>
      </c>
      <c r="BN692" s="1" t="str">
        <f>IFERROR(__xludf.DUMMYFUNCTION("""COMPUTED_VALUE"""),"")</f>
        <v/>
      </c>
      <c r="BO692" s="1" t="str">
        <f>IFERROR(__xludf.DUMMYFUNCTION("""COMPUTED_VALUE"""),"")</f>
        <v/>
      </c>
      <c r="BP692" s="1" t="str">
        <f>IFERROR(__xludf.DUMMYFUNCTION("""COMPUTED_VALUE"""),"")</f>
        <v/>
      </c>
    </row>
    <row r="693">
      <c r="A693" s="1" t="str">
        <f>IFERROR(__xludf.DUMMYFUNCTION("""COMPUTED_VALUE"""),"")</f>
        <v/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 t="str">
        <f>IFERROR(__xludf.DUMMYFUNCTION("""COMPUTED_VALUE"""),"")</f>
        <v/>
      </c>
      <c r="BN693" s="1" t="str">
        <f>IFERROR(__xludf.DUMMYFUNCTION("""COMPUTED_VALUE"""),"")</f>
        <v/>
      </c>
      <c r="BO693" s="1" t="str">
        <f>IFERROR(__xludf.DUMMYFUNCTION("""COMPUTED_VALUE"""),"")</f>
        <v/>
      </c>
      <c r="BP693" s="1" t="str">
        <f>IFERROR(__xludf.DUMMYFUNCTION("""COMPUTED_VALUE"""),"")</f>
        <v/>
      </c>
    </row>
    <row r="694">
      <c r="A694" s="1" t="str">
        <f>IFERROR(__xludf.DUMMYFUNCTION("""COMPUTED_VALUE"""),"")</f>
        <v/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 t="str">
        <f>IFERROR(__xludf.DUMMYFUNCTION("""COMPUTED_VALUE"""),"")</f>
        <v/>
      </c>
      <c r="BN694" s="1" t="str">
        <f>IFERROR(__xludf.DUMMYFUNCTION("""COMPUTED_VALUE"""),"")</f>
        <v/>
      </c>
      <c r="BO694" s="1" t="str">
        <f>IFERROR(__xludf.DUMMYFUNCTION("""COMPUTED_VALUE"""),"")</f>
        <v/>
      </c>
      <c r="BP694" s="1" t="str">
        <f>IFERROR(__xludf.DUMMYFUNCTION("""COMPUTED_VALUE"""),"")</f>
        <v/>
      </c>
    </row>
    <row r="695">
      <c r="A695" s="1" t="str">
        <f>IFERROR(__xludf.DUMMYFUNCTION("""COMPUTED_VALUE"""),"")</f>
        <v/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 t="str">
        <f>IFERROR(__xludf.DUMMYFUNCTION("""COMPUTED_VALUE"""),"")</f>
        <v/>
      </c>
      <c r="BN695" s="1" t="str">
        <f>IFERROR(__xludf.DUMMYFUNCTION("""COMPUTED_VALUE"""),"")</f>
        <v/>
      </c>
      <c r="BO695" s="1" t="str">
        <f>IFERROR(__xludf.DUMMYFUNCTION("""COMPUTED_VALUE"""),"")</f>
        <v/>
      </c>
      <c r="BP695" s="1" t="str">
        <f>IFERROR(__xludf.DUMMYFUNCTION("""COMPUTED_VALUE"""),"")</f>
        <v/>
      </c>
    </row>
    <row r="696">
      <c r="A696" s="1" t="str">
        <f>IFERROR(__xludf.DUMMYFUNCTION("""COMPUTED_VALUE"""),"")</f>
        <v/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 t="str">
        <f>IFERROR(__xludf.DUMMYFUNCTION("""COMPUTED_VALUE"""),"")</f>
        <v/>
      </c>
      <c r="BN696" s="1" t="str">
        <f>IFERROR(__xludf.DUMMYFUNCTION("""COMPUTED_VALUE"""),"")</f>
        <v/>
      </c>
      <c r="BO696" s="1" t="str">
        <f>IFERROR(__xludf.DUMMYFUNCTION("""COMPUTED_VALUE"""),"")</f>
        <v/>
      </c>
      <c r="BP696" s="1" t="str">
        <f>IFERROR(__xludf.DUMMYFUNCTION("""COMPUTED_VALUE"""),"")</f>
        <v/>
      </c>
    </row>
    <row r="697">
      <c r="A697" s="1" t="str">
        <f>IFERROR(__xludf.DUMMYFUNCTION("""COMPUTED_VALUE"""),"")</f>
        <v/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 t="str">
        <f>IFERROR(__xludf.DUMMYFUNCTION("""COMPUTED_VALUE"""),"")</f>
        <v/>
      </c>
      <c r="BN697" s="1" t="str">
        <f>IFERROR(__xludf.DUMMYFUNCTION("""COMPUTED_VALUE"""),"")</f>
        <v/>
      </c>
      <c r="BO697" s="1" t="str">
        <f>IFERROR(__xludf.DUMMYFUNCTION("""COMPUTED_VALUE"""),"")</f>
        <v/>
      </c>
      <c r="BP697" s="1" t="str">
        <f>IFERROR(__xludf.DUMMYFUNCTION("""COMPUTED_VALUE"""),"")</f>
        <v/>
      </c>
    </row>
    <row r="698">
      <c r="A698" s="1" t="str">
        <f>IFERROR(__xludf.DUMMYFUNCTION("""COMPUTED_VALUE"""),"")</f>
        <v/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 t="str">
        <f>IFERROR(__xludf.DUMMYFUNCTION("""COMPUTED_VALUE"""),"")</f>
        <v/>
      </c>
      <c r="BN698" s="1" t="str">
        <f>IFERROR(__xludf.DUMMYFUNCTION("""COMPUTED_VALUE"""),"")</f>
        <v/>
      </c>
      <c r="BO698" s="1" t="str">
        <f>IFERROR(__xludf.DUMMYFUNCTION("""COMPUTED_VALUE"""),"")</f>
        <v/>
      </c>
      <c r="BP698" s="1" t="str">
        <f>IFERROR(__xludf.DUMMYFUNCTION("""COMPUTED_VALUE"""),"")</f>
        <v/>
      </c>
    </row>
    <row r="699">
      <c r="A699" s="1" t="str">
        <f>IFERROR(__xludf.DUMMYFUNCTION("""COMPUTED_VALUE"""),"")</f>
        <v/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 t="str">
        <f>IFERROR(__xludf.DUMMYFUNCTION("""COMPUTED_VALUE"""),"")</f>
        <v/>
      </c>
      <c r="BN699" s="1" t="str">
        <f>IFERROR(__xludf.DUMMYFUNCTION("""COMPUTED_VALUE"""),"")</f>
        <v/>
      </c>
      <c r="BO699" s="1" t="str">
        <f>IFERROR(__xludf.DUMMYFUNCTION("""COMPUTED_VALUE"""),"")</f>
        <v/>
      </c>
      <c r="BP699" s="1" t="str">
        <f>IFERROR(__xludf.DUMMYFUNCTION("""COMPUTED_VALUE"""),"")</f>
        <v/>
      </c>
    </row>
    <row r="700">
      <c r="A700" s="1" t="str">
        <f>IFERROR(__xludf.DUMMYFUNCTION("""COMPUTED_VALUE"""),"")</f>
        <v/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 t="str">
        <f>IFERROR(__xludf.DUMMYFUNCTION("""COMPUTED_VALUE"""),"")</f>
        <v/>
      </c>
      <c r="BN700" s="1" t="str">
        <f>IFERROR(__xludf.DUMMYFUNCTION("""COMPUTED_VALUE"""),"")</f>
        <v/>
      </c>
      <c r="BO700" s="1" t="str">
        <f>IFERROR(__xludf.DUMMYFUNCTION("""COMPUTED_VALUE"""),"")</f>
        <v/>
      </c>
      <c r="BP700" s="1" t="str">
        <f>IFERROR(__xludf.DUMMYFUNCTION("""COMPUTED_VALUE"""),"")</f>
        <v/>
      </c>
    </row>
  </sheetData>
  <drawing r:id="rId1"/>
</worksheet>
</file>