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IFERROR(__xludf.DUMMYFUNCTION("""COMPUTED_VALUE"""),"RINDIO EXAMEN")</f>
        <v>RINDIO EXAMEN</v>
      </c>
      <c r="BD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>
        <f>IFERROR(__xludf.DUMMYFUNCTION("""COMPUTED_VALUE"""),0.0)</f>
        <v>0</v>
      </c>
      <c r="BD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/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>
        <f>IFERROR(__xludf.DUMMYFUNCTION("""COMPUTED_VALUE"""),1.0)</f>
        <v>1</v>
      </c>
      <c r="BD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/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>
        <f>IFERROR(__xludf.DUMMYFUNCTION("""COMPUTED_VALUE"""),0.0)</f>
        <v>0</v>
      </c>
      <c r="BD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>
        <f>IFERROR(__xludf.DUMMYFUNCTION("""COMPUTED_VALUE"""),0.0)</f>
        <v>0</v>
      </c>
      <c r="BD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>
        <f>IFERROR(__xludf.DUMMYFUNCTION("""COMPUTED_VALUE"""),0.0)</f>
        <v>0</v>
      </c>
      <c r="BD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/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>
        <f>IFERROR(__xludf.DUMMYFUNCTION("""COMPUTED_VALUE"""),0.0)</f>
        <v>0</v>
      </c>
      <c r="BD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/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>
        <f>IFERROR(__xludf.DUMMYFUNCTION("""COMPUTED_VALUE"""),0.0)</f>
        <v>0</v>
      </c>
      <c r="BD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/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>
        <f>IFERROR(__xludf.DUMMYFUNCTION("""COMPUTED_VALUE"""),0.0)</f>
        <v>0</v>
      </c>
      <c r="BD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IFERROR(__xludf.DUMMYFUNCTION("""COMPUTED_VALUE"""),5126740.0)</f>
        <v>5126740</v>
      </c>
      <c r="C10" s="1" t="str">
        <f>IFERROR(__xludf.DUMMYFUNCTION("""COMPUTED_VALUE"""),"0000427077")</f>
        <v>0000427077</v>
      </c>
      <c r="D10" s="1" t="str">
        <f>IFERROR(__xludf.DUMMYFUNCTION("""COMPUTED_VALUE"""),"ESTEBAN SANTIAGO")</f>
        <v>ESTEBAN SANTIAGO</v>
      </c>
      <c r="E10" s="2" t="str">
        <f>IFERROR(__xludf.DUMMYFUNCTION("""COMPUTED_VALUE"""),"GASTANADUI HEREDIA")</f>
        <v>GASTANADUI HEREDIA</v>
      </c>
      <c r="F10" s="1">
        <f>IFERROR(__xludf.DUMMYFUNCTION("""COMPUTED_VALUE"""),7.1677488E7)</f>
        <v>71677488</v>
      </c>
      <c r="G10" s="1">
        <f>IFERROR(__xludf.DUMMYFUNCTION("""COMPUTED_VALUE"""),9.75535555E8)</f>
        <v>975535555</v>
      </c>
      <c r="H10" s="1" t="str">
        <f>IFERROR(__xludf.DUMMYFUNCTION("""COMPUTED_VALUE"""),"esteban1606.g.heredia@gmail.com")</f>
        <v>esteban1606.g.heredia@gmail.com</v>
      </c>
      <c r="I10" s="1" t="str">
        <f>IFERROR(__xludf.DUMMYFUNCTION("""COMPUTED_VALUE"""),"Diseño Gráfico Publicitario")</f>
        <v>Diseño Gráfico Publicitario</v>
      </c>
      <c r="J10" s="1" t="str">
        <f>IFERROR(__xludf.DUMMYFUNCTION("""COMPUTED_VALUE"""),"Diseño")</f>
        <v>Diseño</v>
      </c>
      <c r="K10" s="1" t="str">
        <f>IFERROR(__xludf.DUMMYFUNCTION("""COMPUTED_VALUE"""),"Antigua")</f>
        <v>Antigua</v>
      </c>
      <c r="L10" s="1" t="str">
        <f>IFERROR(__xludf.DUMMYFUNCTION("""COMPUTED_VALUE"""),"Admisión de Alto Rendimiento")</f>
        <v>Admisión de Alto Rendimiento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IFERROR(__xludf.DUMMYFUNCTION("""COMPUTED_VALUE"""),"NUEVO")</f>
        <v>NUEVO</v>
      </c>
      <c r="P10" s="1" t="str">
        <f>IFERROR(__xludf.DUMMYFUNCTION("""COMPUTED_VALUE"""),"ESCALA REGULAR")</f>
        <v>ESCALA REGULAR</v>
      </c>
      <c r="Q10" s="1" t="str">
        <f>IFERROR(__xludf.DUMMYFUNCTION("""COMPUTED_VALUE"""),"NINGUNO")</f>
        <v>NINGUNO</v>
      </c>
      <c r="R10" s="1" t="str">
        <f>IFERROR(__xludf.DUMMYFUNCTION("""COMPUTED_VALUE"""),"NINGUNO")</f>
        <v>NINGUNO</v>
      </c>
      <c r="S10" s="1" t="str">
        <f>IFERROR(__xludf.DUMMYFUNCTION("""COMPUTED_VALUE"""),"-")</f>
        <v>-</v>
      </c>
      <c r="T10" s="3">
        <f>IFERROR(__xludf.DUMMYFUNCTION("""COMPUTED_VALUE"""),45804.0)</f>
        <v>45804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5">
        <f>IFERROR(__xludf.DUMMYFUNCTION("""COMPUTED_VALUE"""),45804.0)</f>
        <v>45804</v>
      </c>
      <c r="Z10" s="1" t="str">
        <f>IFERROR(__xludf.DUMMYFUNCTION("""COMPUTED_VALUE"""),"PAGO COMPLETO")</f>
        <v>PAGO COMPLETO</v>
      </c>
      <c r="AA10" s="1" t="str">
        <f>IFERROR(__xludf.DUMMYFUNCTION("""COMPUTED_VALUE"""),"#N/A")</f>
        <v>#N/A</v>
      </c>
      <c r="AB10" s="1"/>
      <c r="AC10" s="4">
        <f>IFERROR(__xludf.DUMMYFUNCTION("""COMPUTED_VALUE"""),50.0)</f>
        <v>50</v>
      </c>
      <c r="AD10" s="4">
        <f>IFERROR(__xludf.DUMMYFUNCTION("""COMPUTED_VALUE"""),95.0)</f>
        <v>95</v>
      </c>
      <c r="AE10" s="4">
        <f>IFERROR(__xludf.DUMMYFUNCTION("""COMPUTED_VALUE"""),1600.0)</f>
        <v>1600</v>
      </c>
      <c r="AF10" s="4">
        <f>IFERROR(__xludf.DUMMYFUNCTION("""COMPUTED_VALUE"""),1600.0)</f>
        <v>1600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IFERROR(__xludf.DUMMYFUNCTION("""COMPUTED_VALUE"""),0.0)</f>
        <v>0</v>
      </c>
      <c r="AJ10" s="1">
        <f>IFERROR(__xludf.DUMMYFUNCTION("""COMPUTED_VALUE"""),329557.0)</f>
        <v>329557</v>
      </c>
      <c r="AK10" s="1" t="str">
        <f>IFERROR(__xludf.DUMMYFUNCTION("""COMPUTED_VALUE"""),"10 kms a 15 kms")</f>
        <v>10 kms a 15 kms</v>
      </c>
      <c r="AL10" s="1" t="str">
        <f>IFERROR(__xludf.DUMMYFUNCTION("""COMPUTED_VALUE"""),"07 801 a 900")</f>
        <v>07 801 a 900</v>
      </c>
      <c r="AM10" s="1" t="str">
        <f>IFERROR(__xludf.DUMMYFUNCTION("""COMPUTED_VALUE"""),"0")</f>
        <v>0</v>
      </c>
      <c r="AN10" s="1" t="str">
        <f>IFERROR(__xludf.DUMMYFUNCTION("""COMPUTED_VALUE""")," -")</f>
        <v> -</v>
      </c>
      <c r="AO10" s="1">
        <f>IFERROR(__xludf.DUMMYFUNCTION("""COMPUTED_VALUE"""),2025.0)</f>
        <v>2025</v>
      </c>
      <c r="AP10" s="3">
        <f>IFERROR(__xludf.DUMMYFUNCTION("""COMPUTED_VALUE"""),45778.0)</f>
        <v>45778</v>
      </c>
      <c r="AQ10" s="3">
        <f>IFERROR(__xludf.DUMMYFUNCTION("""COMPUTED_VALUE"""),45775.0)</f>
        <v>45775</v>
      </c>
      <c r="AR10" s="5">
        <f>IFERROR(__xludf.DUMMYFUNCTION("""COMPUTED_VALUE"""),45804.0)</f>
        <v>45804</v>
      </c>
      <c r="AS10" s="5">
        <f>IFERROR(__xludf.DUMMYFUNCTION("""COMPUTED_VALUE"""),45778.0)</f>
        <v>45778</v>
      </c>
      <c r="AT10" s="5">
        <f>IFERROR(__xludf.DUMMYFUNCTION("""COMPUTED_VALUE"""),45775.0)</f>
        <v>45775</v>
      </c>
      <c r="AU10" s="1">
        <f>IFERROR(__xludf.DUMMYFUNCTION("""COMPUTED_VALUE"""),0.0)</f>
        <v>0</v>
      </c>
      <c r="AV10" s="1" t="str">
        <f>IFERROR(__xludf.DUMMYFUNCTION("""COMPUTED_VALUE"""),"OUTBOUND")</f>
        <v>OUTBOUND</v>
      </c>
      <c r="AW10" s="1" t="str">
        <f>IFERROR(__xludf.DUMMYFUNCTION("""COMPUTED_VALUE"""),"OUTBOUND")</f>
        <v>OUTBOUND</v>
      </c>
      <c r="AX10" s="1" t="str">
        <f>IFERROR(__xludf.DUMMYFUNCTION("""COMPUTED_VALUE"""),"OUTBOUND")</f>
        <v>OUTBOUND</v>
      </c>
      <c r="AY10" s="1">
        <f>IFERROR(__xludf.DUMMYFUNCTION("""COMPUTED_VALUE"""),1.0)</f>
        <v>1</v>
      </c>
      <c r="AZ10" s="1" t="str">
        <f>IFERROR(__xludf.DUMMYFUNCTION("""COMPUTED_VALUE"""),"Daniel Zapata")</f>
        <v>Daniel Zapata</v>
      </c>
      <c r="BA10" s="6">
        <f>IFERROR(__xludf.DUMMYFUNCTION("""COMPUTED_VALUE"""),1.0)</f>
        <v>1</v>
      </c>
      <c r="BB10" s="7">
        <f>IFERROR(__xludf.DUMMYFUNCTION("""COMPUTED_VALUE"""),1600.0)</f>
        <v>1600</v>
      </c>
      <c r="BC10" s="1">
        <f>IFERROR(__xludf.DUMMYFUNCTION("""COMPUTED_VALUE"""),0.0)</f>
        <v>0</v>
      </c>
      <c r="BD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IFERROR(__xludf.DUMMYFUNCTION("""COMPUTED_VALUE"""),5210779.0)</f>
        <v>5210779</v>
      </c>
      <c r="C11" s="1" t="str">
        <f>IFERROR(__xludf.DUMMYFUNCTION("""COMPUTED_VALUE"""),"0000426964")</f>
        <v>0000426964</v>
      </c>
      <c r="D11" s="1" t="str">
        <f>IFERROR(__xludf.DUMMYFUNCTION("""COMPUTED_VALUE"""),"LUCYA VALERIA")</f>
        <v>LUCYA VALERIA</v>
      </c>
      <c r="E11" s="2" t="str">
        <f>IFERROR(__xludf.DUMMYFUNCTION("""COMPUTED_VALUE"""),"QUISPE RODRIGUEZ")</f>
        <v>QUISPE RODRIGUEZ</v>
      </c>
      <c r="F11" s="1">
        <f>IFERROR(__xludf.DUMMYFUNCTION("""COMPUTED_VALUE"""),7.2591665E7)</f>
        <v>72591665</v>
      </c>
      <c r="G11" s="1">
        <f>IFERROR(__xludf.DUMMYFUNCTION("""COMPUTED_VALUE"""),9.40296595E8)</f>
        <v>940296595</v>
      </c>
      <c r="H11" s="1" t="str">
        <f>IFERROR(__xludf.DUMMYFUNCTION("""COMPUTED_VALUE"""),"Valerialucya9@gmail.com")</f>
        <v>Valerialucya9@gmail.com</v>
      </c>
      <c r="I11" s="1" t="str">
        <f>IFERROR(__xludf.DUMMYFUNCTION("""COMPUTED_VALUE"""),"Comunicación Audiovisual y Cine")</f>
        <v>Comunicación Audiovisual y Cine</v>
      </c>
      <c r="J11" s="1" t="str">
        <f>IFERROR(__xludf.DUMMYFUNCTION("""COMPUTED_VALUE"""),"Comunicaciones")</f>
        <v>Comunicaciones</v>
      </c>
      <c r="K11" s="1" t="str">
        <f>IFERROR(__xludf.DUMMYFUNCTION("""COMPUTED_VALUE"""),"Antigua")</f>
        <v>Antigua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CORE")</f>
        <v>BECA CARRERAS CORE</v>
      </c>
      <c r="R11" s="1" t="str">
        <f>IFERROR(__xludf.DUMMYFUNCTION("""COMPUTED_VALUE"""),"NINGUNO")</f>
        <v>NINGUNO</v>
      </c>
      <c r="S11" s="1" t="str">
        <f>IFERROR(__xludf.DUMMYFUNCTION("""COMPUTED_VALUE"""),"-")</f>
        <v>-</v>
      </c>
      <c r="T11" s="3">
        <f>IFERROR(__xludf.DUMMYFUNCTION("""COMPUTED_VALUE"""),45805.0)</f>
        <v>45805</v>
      </c>
      <c r="U11" s="1" t="str">
        <f>IFERROR(__xludf.DUMMYFUNCTION("""COMPUTED_VALUE"""),"PAGO LINK")</f>
        <v>PAGO LINK</v>
      </c>
      <c r="V11" s="1" t="str">
        <f>IFERROR(__xludf.DUMMYFUNCTION("""COMPUTED_VALUE"""),"PAGO FRACCIONADO")</f>
        <v>PAGO FRACCIONADO</v>
      </c>
      <c r="W11" s="4">
        <f>IFERROR(__xludf.DUMMYFUNCTION("""COMPUTED_VALUE"""),600.0)</f>
        <v>600</v>
      </c>
      <c r="X11" s="1" t="str">
        <f>IFERROR(__xludf.DUMMYFUNCTION("""COMPUTED_VALUE"""),"20/06/2025")</f>
        <v>20/06/2025</v>
      </c>
      <c r="Y11" s="1"/>
      <c r="Z11" s="1" t="str">
        <f>IFERROR(__xludf.DUMMYFUNCTION("""COMPUTED_VALUE"""),"PAGO FRACCIONADO")</f>
        <v>PAGO FRACCIONADO</v>
      </c>
      <c r="AA11" s="1" t="str">
        <f>IFERROR(__xludf.DUMMYFUNCTION("""COMPUTED_VALUE"""),"#N/A")</f>
        <v>#N/A</v>
      </c>
      <c r="AB11" s="1"/>
      <c r="AC11" s="4">
        <f>IFERROR(__xludf.DUMMYFUNCTION("""COMPUTED_VALUE"""),50.0)</f>
        <v>50</v>
      </c>
      <c r="AD11" s="4">
        <f>IFERROR(__xludf.DUMMYFUNCTION("""COMPUTED_VALUE"""),95.0)</f>
        <v>95</v>
      </c>
      <c r="AE11" s="4">
        <f>IFERROR(__xludf.DUMMYFUNCTION("""COMPUTED_VALUE"""),1400.0)</f>
        <v>1400</v>
      </c>
      <c r="AF11" s="4">
        <f>IFERROR(__xludf.DUMMYFUNCTION("""COMPUTED_VALUE"""),1200.0)</f>
        <v>1200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IFERROR(__xludf.DUMMYFUNCTION("""COMPUTED_VALUE"""),0.0)</f>
        <v>0</v>
      </c>
      <c r="AJ11" s="1">
        <f>IFERROR(__xludf.DUMMYFUNCTION("""COMPUTED_VALUE"""),1541911.0)</f>
        <v>1541911</v>
      </c>
      <c r="AK11" s="1" t="str">
        <f>IFERROR(__xludf.DUMMYFUNCTION("""COMPUTED_VALUE"""),"10 kms a 15 kms")</f>
        <v>10 kms a 15 kms</v>
      </c>
      <c r="AL11" s="1" t="str">
        <f>IFERROR(__xludf.DUMMYFUNCTION("""COMPUTED_VALUE"""),"07 801 a 900")</f>
        <v>07 801 a 900</v>
      </c>
      <c r="AM11" s="1" t="str">
        <f>IFERROR(__xludf.DUMMYFUNCTION("""COMPUTED_VALUE"""),"0")</f>
        <v>0</v>
      </c>
      <c r="AN11" s="1" t="str">
        <f>IFERROR(__xludf.DUMMYFUNCTION("""COMPUTED_VALUE""")," -")</f>
        <v> -</v>
      </c>
      <c r="AO11" s="1">
        <f>IFERROR(__xludf.DUMMYFUNCTION("""COMPUTED_VALUE"""),2025.0)</f>
        <v>2025</v>
      </c>
      <c r="AP11" s="3">
        <f>IFERROR(__xludf.DUMMYFUNCTION("""COMPUTED_VALUE"""),45778.0)</f>
        <v>45778</v>
      </c>
      <c r="AQ11" s="3">
        <f>IFERROR(__xludf.DUMMYFUNCTION("""COMPUTED_VALUE"""),45775.0)</f>
        <v>45775</v>
      </c>
      <c r="AR11" s="5">
        <f>IFERROR(__xludf.DUMMYFUNCTION("""COMPUTED_VALUE"""),45798.0)</f>
        <v>45798</v>
      </c>
      <c r="AS11" s="5">
        <f>IFERROR(__xludf.DUMMYFUNCTION("""COMPUTED_VALUE"""),45778.0)</f>
        <v>45778</v>
      </c>
      <c r="AT11" s="5">
        <f>IFERROR(__xludf.DUMMYFUNCTION("""COMPUTED_VALUE"""),45775.0)</f>
        <v>45775</v>
      </c>
      <c r="AU11" s="1">
        <f>IFERROR(__xludf.DUMMYFUNCTION("""COMPUTED_VALUE"""),7.0)</f>
        <v>7</v>
      </c>
      <c r="AV11" s="1" t="str">
        <f>IFERROR(__xludf.DUMMYFUNCTION("""COMPUTED_VALUE"""),"DIGITAL")</f>
        <v>DIGITAL</v>
      </c>
      <c r="AW11" s="1" t="str">
        <f>IFERROR(__xludf.DUMMYFUNCTION("""COMPUTED_VALUE"""),"BIDIRECCIONAL")</f>
        <v>BIDIRECCIONAL</v>
      </c>
      <c r="AX11" s="1" t="str">
        <f>IFERROR(__xludf.DUMMYFUNCTION("""COMPUTED_VALUE"""),"ORGANICO")</f>
        <v>ORGANICO</v>
      </c>
      <c r="AY11" s="1">
        <f>IFERROR(__xludf.DUMMYFUNCTION("""COMPUTED_VALUE"""),1.0)</f>
        <v>1</v>
      </c>
      <c r="AZ11" s="1" t="str">
        <f>IFERROR(__xludf.DUMMYFUNCTION("""COMPUTED_VALUE"""),"Cinthia Mariella Orosco")</f>
        <v>Cinthia Mariella Orosco</v>
      </c>
      <c r="BA11" s="6">
        <f>IFERROR(__xludf.DUMMYFUNCTION("""COMPUTED_VALUE"""),0.5539033457249071)</f>
        <v>0.5539033457</v>
      </c>
      <c r="BB11" s="7">
        <f>IFERROR(__xludf.DUMMYFUNCTION("""COMPUTED_VALUE"""),1200.0)</f>
        <v>1200</v>
      </c>
      <c r="BC11" s="1">
        <f>IFERROR(__xludf.DUMMYFUNCTION("""COMPUTED_VALUE"""),0.0)</f>
        <v>0</v>
      </c>
      <c r="BD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IFERROR(__xludf.DUMMYFUNCTION("""COMPUTED_VALUE"""),5223837.0)</f>
        <v>5223837</v>
      </c>
      <c r="C12" s="1" t="str">
        <f>IFERROR(__xludf.DUMMYFUNCTION("""COMPUTED_VALUE"""),"0000427094")</f>
        <v>0000427094</v>
      </c>
      <c r="D12" s="1" t="str">
        <f>IFERROR(__xludf.DUMMYFUNCTION("""COMPUTED_VALUE"""),"LEONELA SMITH ")</f>
        <v>LEONELA SMITH </v>
      </c>
      <c r="E12" s="2" t="str">
        <f>IFERROR(__xludf.DUMMYFUNCTION("""COMPUTED_VALUE"""),"SONCCO BALDEON")</f>
        <v>SONCCO BALDEON</v>
      </c>
      <c r="F12" s="1">
        <f>IFERROR(__xludf.DUMMYFUNCTION("""COMPUTED_VALUE"""),6.0630529E7)</f>
        <v>60630529</v>
      </c>
      <c r="G12" s="1">
        <f>IFERROR(__xludf.DUMMYFUNCTION("""COMPUTED_VALUE"""),9.7019605E8)</f>
        <v>970196050</v>
      </c>
      <c r="H12" s="1" t="str">
        <f>IFERROR(__xludf.DUMMYFUNCTION("""COMPUTED_VALUE"""),"rinelabaldeon1@gmail.com")</f>
        <v>rinelabaldeon1@gmail.com</v>
      </c>
      <c r="I12" s="1" t="str">
        <f>IFERROR(__xludf.DUMMYFUNCTION("""COMPUTED_VALUE"""),"Comunicación Audiovisual y Cine")</f>
        <v>Comunicación Audiovisual y Cine</v>
      </c>
      <c r="J12" s="1" t="str">
        <f>IFERROR(__xludf.DUMMYFUNCTION("""COMPUTED_VALUE"""),"Comunicaciones")</f>
        <v>Comunicaciones</v>
      </c>
      <c r="K12" s="1" t="str">
        <f>IFERROR(__xludf.DUMMYFUNCTION("""COMPUTED_VALUE"""),"Antigua")</f>
        <v>Antigua</v>
      </c>
      <c r="L12" s="1" t="str">
        <f>IFERROR(__xludf.DUMMYFUNCTION("""COMPUTED_VALUE"""),"Admisión Ordinaria")</f>
        <v>Admisión Ordinaria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IFERROR(__xludf.DUMMYFUNCTION("""COMPUTED_VALUE"""),"NUEVO")</f>
        <v>NUEVO</v>
      </c>
      <c r="P12" s="1" t="str">
        <f>IFERROR(__xludf.DUMMYFUNCTION("""COMPUTED_VALUE"""),"ESCALA REGULAR")</f>
        <v>ESCALA REGULAR</v>
      </c>
      <c r="Q12" s="1" t="str">
        <f>IFERROR(__xludf.DUMMYFUNCTION("""COMPUTED_VALUE"""),"NINGUNO")</f>
        <v>NINGUNO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IFERROR(__xludf.DUMMYFUNCTION("""COMPUTED_VALUE"""),45806.0)</f>
        <v>45806</v>
      </c>
      <c r="U12" s="1" t="str">
        <f>IFERROR(__xludf.DUMMYFUNCTION("""COMPUTED_VALUE"""),"PAGO LINK")</f>
        <v>PAGO LINK</v>
      </c>
      <c r="V12" s="1" t="str">
        <f>IFERROR(__xludf.DUMMYFUNCTION("""COMPUTED_VALUE"""),"PAGO FRACCIONADO")</f>
        <v>PAGO FRACCIONADO</v>
      </c>
      <c r="W12" s="4">
        <f>IFERROR(__xludf.DUMMYFUNCTION("""COMPUTED_VALUE"""),1125.0)</f>
        <v>1125</v>
      </c>
      <c r="X12" s="1" t="str">
        <f>IFERROR(__xludf.DUMMYFUNCTION("""COMPUTED_VALUE"""),"20/06/2025")</f>
        <v>20/06/2025</v>
      </c>
      <c r="Y12" s="1"/>
      <c r="Z12" s="1" t="str">
        <f>IFERROR(__xludf.DUMMYFUNCTION("""COMPUTED_VALUE"""),"PAGO FRACCIONADO")</f>
        <v>PAGO FRACCIONADO</v>
      </c>
      <c r="AA12" s="1" t="str">
        <f>IFERROR(__xludf.DUMMYFUNCTION("""COMPUTED_VALUE"""),"#N/A")</f>
        <v>#N/A</v>
      </c>
      <c r="AB12" s="1"/>
      <c r="AC12" s="4">
        <f>IFERROR(__xludf.DUMMYFUNCTION("""COMPUTED_VALUE"""),50.0)</f>
        <v>50</v>
      </c>
      <c r="AD12" s="4">
        <f>IFERROR(__xludf.DUMMYFUNCTION("""COMPUTED_VALUE"""),95.0)</f>
        <v>95</v>
      </c>
      <c r="AE12" s="4">
        <f>IFERROR(__xludf.DUMMYFUNCTION("""COMPUTED_VALUE"""),1500.0)</f>
        <v>1500</v>
      </c>
      <c r="AF12" s="4">
        <f>IFERROR(__xludf.DUMMYFUNCTION("""COMPUTED_VALUE"""),1500.0)</f>
        <v>1500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IFERROR(__xludf.DUMMYFUNCTION("""COMPUTED_VALUE"""),0.0)</f>
        <v>0</v>
      </c>
      <c r="AJ12" s="1">
        <f>IFERROR(__xludf.DUMMYFUNCTION("""COMPUTED_VALUE"""),696963.0)</f>
        <v>696963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IFERROR(__xludf.DUMMYFUNCTION("""COMPUTED_VALUE"""),"0")</f>
        <v>0</v>
      </c>
      <c r="AN12" s="1" t="str">
        <f>IFERROR(__xludf.DUMMYFUNCTION("""COMPUTED_VALUE""")," -")</f>
        <v> -</v>
      </c>
      <c r="AO12" s="1">
        <f>IFERROR(__xludf.DUMMYFUNCTION("""COMPUTED_VALUE"""),2025.0)</f>
        <v>2025</v>
      </c>
      <c r="AP12" s="3">
        <f>IFERROR(__xludf.DUMMYFUNCTION("""COMPUTED_VALUE"""),45778.0)</f>
        <v>45778</v>
      </c>
      <c r="AQ12" s="3">
        <f>IFERROR(__xludf.DUMMYFUNCTION("""COMPUTED_VALUE"""),45775.0)</f>
        <v>45775</v>
      </c>
      <c r="AR12" s="5">
        <f>IFERROR(__xludf.DUMMYFUNCTION("""COMPUTED_VALUE"""),45803.0)</f>
        <v>45803</v>
      </c>
      <c r="AS12" s="5">
        <f>IFERROR(__xludf.DUMMYFUNCTION("""COMPUTED_VALUE"""),45778.0)</f>
        <v>45778</v>
      </c>
      <c r="AT12" s="5">
        <f>IFERROR(__xludf.DUMMYFUNCTION("""COMPUTED_VALUE"""),45775.0)</f>
        <v>45775</v>
      </c>
      <c r="AU12" s="1">
        <f>IFERROR(__xludf.DUMMYFUNCTION("""COMPUTED_VALUE"""),3.0)</f>
        <v>3</v>
      </c>
      <c r="AV12" s="1" t="str">
        <f>IFERROR(__xludf.DUMMYFUNCTION("""COMPUTED_VALUE"""),"DIGITAL")</f>
        <v>DIGITAL</v>
      </c>
      <c r="AW12" s="1" t="str">
        <f>IFERROR(__xludf.DUMMYFUNCTION("""COMPUTED_VALUE"""),"FORMULARIO")</f>
        <v>FORMULARIO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IFERROR(__xludf.DUMMYFUNCTION("""COMPUTED_VALUE"""),"Cinthia Mariella Orosco")</f>
        <v>Cinthia Mariella Orosco</v>
      </c>
      <c r="BA12" s="6">
        <f>IFERROR(__xludf.DUMMYFUNCTION("""COMPUTED_VALUE"""),0.3161094224924012)</f>
        <v>0.3161094225</v>
      </c>
      <c r="BB12" s="7">
        <f>IFERROR(__xludf.DUMMYFUNCTION("""COMPUTED_VALUE"""),1500.0)</f>
        <v>1500</v>
      </c>
      <c r="BC12" s="1">
        <f>IFERROR(__xludf.DUMMYFUNCTION("""COMPUTED_VALUE"""),0.0)</f>
        <v>0</v>
      </c>
      <c r="BD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IFERROR(__xludf.DUMMYFUNCTION("""COMPUTED_VALUE"""),3309142.0)</f>
        <v>3309142</v>
      </c>
      <c r="C13" s="1" t="str">
        <f>IFERROR(__xludf.DUMMYFUNCTION("""COMPUTED_VALUE"""),"0000427318")</f>
        <v>0000427318</v>
      </c>
      <c r="D13" s="1" t="str">
        <f>IFERROR(__xludf.DUMMYFUNCTION("""COMPUTED_VALUE"""),"MARIA CLAUDIA")</f>
        <v>MARIA CLAUDIA</v>
      </c>
      <c r="E13" s="2" t="str">
        <f>IFERROR(__xludf.DUMMYFUNCTION("""COMPUTED_VALUE"""),"BEJARANO DAVILA")</f>
        <v>BEJARANO DAVILA</v>
      </c>
      <c r="F13" s="1">
        <f>IFERROR(__xludf.DUMMYFUNCTION("""COMPUTED_VALUE"""),6.1516154E7)</f>
        <v>61516154</v>
      </c>
      <c r="G13" s="1">
        <f>IFERROR(__xludf.DUMMYFUNCTION("""COMPUTED_VALUE"""),9.93655979E8)</f>
        <v>993655979</v>
      </c>
      <c r="H13" s="1" t="str">
        <f>IFERROR(__xludf.DUMMYFUNCTION("""COMPUTED_VALUE"""),"maclauwu@gmail.com")</f>
        <v>maclauwu@gmail.com</v>
      </c>
      <c r="I13" s="1" t="str">
        <f>IFERROR(__xludf.DUMMYFUNCTION("""COMPUTED_VALUE"""),"Arquitectura de Interiores")</f>
        <v>Arquitectura de Interiores</v>
      </c>
      <c r="J13" s="1" t="str">
        <f>IFERROR(__xludf.DUMMYFUNCTION("""COMPUTED_VALUE"""),"Arquitecturas")</f>
        <v>Arquitecturas</v>
      </c>
      <c r="K13" s="1" t="str">
        <f>IFERROR(__xludf.DUMMYFUNCTION("""COMPUTED_VALUE"""),"Antigua")</f>
        <v>Antigua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IFERROR(__xludf.DUMMYFUNCTION("""COMPUTED_VALUE"""),"Semi-presencial")</f>
        <v>Semi-presencial</v>
      </c>
      <c r="N13" s="1" t="str">
        <f>IFERROR(__xludf.DUMMYFUNCTION("""COMPUTED_VALUE"""),"Diurno")</f>
        <v>Diurno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IFERROR(__xludf.DUMMYFUNCTION("""COMPUTED_VALUE"""),"NINGUNO")</f>
        <v>NINGUNO</v>
      </c>
      <c r="R13" s="1" t="str">
        <f>IFERROR(__xludf.DUMMYFUNCTION("""COMPUTED_VALUE"""),"NINGUNO")</f>
        <v>NINGUNO</v>
      </c>
      <c r="S13" s="1" t="str">
        <f>IFERROR(__xludf.DUMMYFUNCTION("""COMPUTED_VALUE"""),"-")</f>
        <v>-</v>
      </c>
      <c r="T13" s="3">
        <f>IFERROR(__xludf.DUMMYFUNCTION("""COMPUTED_VALUE"""),45806.0)</f>
        <v>45806</v>
      </c>
      <c r="U13" s="1" t="str">
        <f>IFERROR(__xludf.DUMMYFUNCTION("""COMPUTED_VALUE"""),"PAGO LINK")</f>
        <v>PAGO LINK</v>
      </c>
      <c r="V13" s="1" t="str">
        <f>IFERROR(__xludf.DUMMYFUNCTION("""COMPUTED_VALUE"""),"PAGO FRACCIONADO")</f>
        <v>PAGO FRACCIONADO</v>
      </c>
      <c r="W13" s="4">
        <f>IFERROR(__xludf.DUMMYFUNCTION("""COMPUTED_VALUE"""),1595.0)</f>
        <v>1595</v>
      </c>
      <c r="X13" s="1"/>
      <c r="Y13" s="1"/>
      <c r="Z13" s="1" t="str">
        <f>IFERROR(__xludf.DUMMYFUNCTION("""COMPUTED_VALUE"""),"PAGO FRACCIONADO")</f>
        <v>PAGO FRACCIONADO</v>
      </c>
      <c r="AA13" s="1" t="str">
        <f>IFERROR(__xludf.DUMMYFUNCTION("""COMPUTED_VALUE"""),"#N/A")</f>
        <v>#N/A</v>
      </c>
      <c r="AB13" s="1"/>
      <c r="AC13" s="4">
        <f>IFERROR(__xludf.DUMMYFUNCTION("""COMPUTED_VALUE"""),50.0)</f>
        <v>50</v>
      </c>
      <c r="AD13" s="4">
        <f>IFERROR(__xludf.DUMMYFUNCTION("""COMPUTED_VALUE"""),95.0)</f>
        <v>95</v>
      </c>
      <c r="AE13" s="4">
        <f>IFERROR(__xludf.DUMMYFUNCTION("""COMPUTED_VALUE"""),1500.0)</f>
        <v>1500</v>
      </c>
      <c r="AF13" s="4">
        <f>IFERROR(__xludf.DUMMYFUNCTION("""COMPUTED_VALUE"""),1500.0)</f>
        <v>1500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IFERROR(__xludf.DUMMYFUNCTION("""COMPUTED_VALUE"""),0.0)</f>
        <v>0</v>
      </c>
      <c r="AJ13" s="1">
        <f>IFERROR(__xludf.DUMMYFUNCTION("""COMPUTED_VALUE"""),693614.0)</f>
        <v>693614</v>
      </c>
      <c r="AK13" s="1"/>
      <c r="AL13" s="1"/>
      <c r="AM13" s="1" t="str">
        <f>IFERROR(__xludf.DUMMYFUNCTION("""COMPUTED_VALUE"""),"0")</f>
        <v>0</v>
      </c>
      <c r="AN13" s="1" t="str">
        <f>IFERROR(__xludf.DUMMYFUNCTION("""COMPUTED_VALUE""")," -")</f>
        <v> -</v>
      </c>
      <c r="AO13" s="1">
        <f>IFERROR(__xludf.DUMMYFUNCTION("""COMPUTED_VALUE"""),2025.0)</f>
        <v>2025</v>
      </c>
      <c r="AP13" s="3">
        <f>IFERROR(__xludf.DUMMYFUNCTION("""COMPUTED_VALUE"""),45778.0)</f>
        <v>45778</v>
      </c>
      <c r="AQ13" s="3">
        <f>IFERROR(__xludf.DUMMYFUNCTION("""COMPUTED_VALUE"""),45775.0)</f>
        <v>45775</v>
      </c>
      <c r="AR13" s="5">
        <f>IFERROR(__xludf.DUMMYFUNCTION("""COMPUTED_VALUE"""),45804.0)</f>
        <v>45804</v>
      </c>
      <c r="AS13" s="5">
        <f>IFERROR(__xludf.DUMMYFUNCTION("""COMPUTED_VALUE"""),45778.0)</f>
        <v>45778</v>
      </c>
      <c r="AT13" s="5">
        <f>IFERROR(__xludf.DUMMYFUNCTION("""COMPUTED_VALUE"""),45775.0)</f>
        <v>45775</v>
      </c>
      <c r="AU13" s="1">
        <f>IFERROR(__xludf.DUMMYFUNCTION("""COMPUTED_VALUE"""),2.0)</f>
        <v>2</v>
      </c>
      <c r="AV13" s="1" t="str">
        <f>IFERROR(__xludf.DUMMYFUNCTION("""COMPUTED_VALUE"""),"TRADICIONAL")</f>
        <v>TRADICIONAL</v>
      </c>
      <c r="AW13" s="1" t="str">
        <f>IFERROR(__xludf.DUMMYFUNCTION("""COMPUTED_VALUE"""),"COLEGIOS")</f>
        <v>COLEGIOS</v>
      </c>
      <c r="AX13" s="1" t="str">
        <f>IFERROR(__xludf.DUMMYFUNCTION("""COMPUTED_VALUE"""),"COLEGIOS")</f>
        <v>COLEGIOS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6">
        <f>IFERROR(__xludf.DUMMYFUNCTION("""COMPUTED_VALUE"""),0.030395136778115502)</f>
        <v>0.03039513678</v>
      </c>
      <c r="BB13" s="7">
        <f>IFERROR(__xludf.DUMMYFUNCTION("""COMPUTED_VALUE"""),1500.0)</f>
        <v>1500</v>
      </c>
      <c r="BC13" s="1">
        <f>IFERROR(__xludf.DUMMYFUNCTION("""COMPUTED_VALUE"""),0.0)</f>
        <v>0</v>
      </c>
      <c r="BD13" s="1" t="str">
        <f>IFERROR(__xludf.DUMMYFUNCTION("""COMPUTED_VALUE"""),"")</f>
        <v/>
      </c>
    </row>
    <row r="14">
      <c r="A14" s="1" t="str">
        <f>IFERROR(__xludf.DUMMYFUNCTION("""COMPUTED_VALUE"""),"")</f>
        <v/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 t="str">
        <f>IFERROR(__xludf.DUMMYFUNCTION("""COMPUTED_VALUE"""),"")</f>
        <v/>
      </c>
    </row>
    <row r="15">
      <c r="A15" s="1" t="str">
        <f>IFERROR(__xludf.DUMMYFUNCTION("""COMPUTED_VALUE"""),"")</f>
        <v/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 t="str">
        <f>IFERROR(__xludf.DUMMYFUNCTION("""COMPUTED_VALUE"""),"")</f>
        <v/>
      </c>
    </row>
    <row r="16">
      <c r="A16" s="1" t="str">
        <f>IFERROR(__xludf.DUMMYFUNCTION("""COMPUTED_VALUE"""),"")</f>
        <v/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 t="str">
        <f>IFERROR(__xludf.DUMMYFUNCTION("""COMPUTED_VALUE"""),"")</f>
        <v/>
      </c>
    </row>
    <row r="17">
      <c r="A17" s="1" t="str">
        <f>IFERROR(__xludf.DUMMYFUNCTION("""COMPUTED_VALUE"""),"")</f>
        <v/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 t="str">
        <f>IFERROR(__xludf.DUMMYFUNCTION("""COMPUTED_VALUE"""),"")</f>
        <v/>
      </c>
    </row>
    <row r="18">
      <c r="A18" s="1" t="str">
        <f>IFERROR(__xludf.DUMMYFUNCTION("""COMPUTED_VALUE"""),"")</f>
        <v/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 t="str">
        <f>IFERROR(__xludf.DUMMYFUNCTION("""COMPUTED_VALUE"""),"")</f>
        <v/>
      </c>
    </row>
    <row r="19">
      <c r="A19" s="1" t="str">
        <f>IFERROR(__xludf.DUMMYFUNCTION("""COMPUTED_VALUE"""),"")</f>
        <v/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 t="str">
        <f>IFERROR(__xludf.DUMMYFUNCTION("""COMPUTED_VALUE"""),"")</f>
        <v/>
      </c>
    </row>
    <row r="20">
      <c r="A20" s="1" t="str">
        <f>IFERROR(__xludf.DUMMYFUNCTION("""COMPUTED_VALUE"""),"")</f>
        <v/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 t="str">
        <f>IFERROR(__xludf.DUMMYFUNCTION("""COMPUTED_VALUE"""),"")</f>
        <v/>
      </c>
    </row>
    <row r="21">
      <c r="A21" s="1" t="str">
        <f>IFERROR(__xludf.DUMMYFUNCTION("""COMPUTED_VALUE"""),"")</f>
        <v/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 t="str">
        <f>IFERROR(__xludf.DUMMYFUNCTION("""COMPUTED_VALUE"""),"")</f>
        <v/>
      </c>
    </row>
  </sheetData>
  <drawing r:id="rId1"/>
</worksheet>
</file>