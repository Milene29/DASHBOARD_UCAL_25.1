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4" xfId="0" applyFont="1" applyNumberFormat="1"/>
    <xf borderId="0" fillId="0" fontId="1" numFmtId="4" xfId="0" applyFont="1" applyNumberFormat="1"/>
    <xf borderId="0" fillId="0" fontId="1" numFmtId="165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IFERROR(__xludf.DUMMYFUNCTION("IMPORTRANGE(""https://docs.google.com/spreadsheets/d/1vfGlXgx6gDvEJm5BoejovpvPG3GIi_VwV8uaFc2I9cc/edit?gid=1137002040#gid=1137002040"", ""Nuevo Master de Ventas 26-1!A1:BJ700"")"),"N°")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TIPO DE DESCUENTO")</f>
        <v>DETALLE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IFERROR(__xludf.DUMMYFUNCTION("""COMPUTED_VALUE"""),5004974.0)</f>
        <v>5004974</v>
      </c>
      <c r="C2" s="1" t="str">
        <f>IFERROR(__xludf.DUMMYFUNCTION("""COMPUTED_VALUE"""),"0000413523")</f>
        <v>0000413523</v>
      </c>
      <c r="D2" s="1" t="str">
        <f>IFERROR(__xludf.DUMMYFUNCTION("""COMPUTED_VALUE"""),"KIARA CAMILA")</f>
        <v>KIARA CAMILA</v>
      </c>
      <c r="E2" s="2" t="str">
        <f>IFERROR(__xludf.DUMMYFUNCTION("""COMPUTED_VALUE"""),"SALAZAR FLORES")</f>
        <v>SALAZAR FLORES</v>
      </c>
      <c r="F2" s="1">
        <f>IFERROR(__xludf.DUMMYFUNCTION("""COMPUTED_VALUE"""),6.1527024E7)</f>
        <v>61527024</v>
      </c>
      <c r="G2" s="1">
        <f>IFERROR(__xludf.DUMMYFUNCTION("""COMPUTED_VALUE"""),9.51711834E8)</f>
        <v>951711834</v>
      </c>
      <c r="H2" s="1" t="str">
        <f>IFERROR(__xludf.DUMMYFUNCTION("""COMPUTED_VALUE"""),"kiarasfuwu@gmail.com")</f>
        <v>kiarasfuwu@gmail.com</v>
      </c>
      <c r="I2" s="1" t="str">
        <f>IFERROR(__xludf.DUMMYFUNCTION("""COMPUTED_VALUE"""),"Arquitectura de Interiores")</f>
        <v>Arquitectura de Interiores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de Alto Rendimiento")</f>
        <v>Admisión de Alto Rendimiento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IFERROR(__xludf.DUMMYFUNCTION("""COMPUTED_VALUE"""),"NUEVO")</f>
        <v>NUEVO</v>
      </c>
      <c r="P2" s="1" t="str">
        <f>IFERROR(__xludf.DUMMYFUNCTION("""COMPUTED_VALUE"""),"BECA")</f>
        <v>BECA</v>
      </c>
      <c r="Q2" s="1" t="str">
        <f>IFERROR(__xludf.DUMMYFUNCTION("""COMPUTED_VALUE"""),"BECA CARRERAS CORE")</f>
        <v>BECA CARRERAS CORE</v>
      </c>
      <c r="R2" s="1" t="str">
        <f>IFERROR(__xludf.DUMMYFUNCTION("""COMPUTED_VALUE"""),"PALANCA 500")</f>
        <v>PALANCA 500</v>
      </c>
      <c r="S2" s="1" t="str">
        <f>IFERROR(__xludf.DUMMYFUNCTION("""COMPUTED_VALUE"""),"SEBASTIAN")</f>
        <v>SEBASTIAN</v>
      </c>
      <c r="T2" s="3">
        <f>IFERROR(__xludf.DUMMYFUNCTION("""COMPUTED_VALUE"""),45694.0)</f>
        <v>45694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5">
        <f>IFERROR(__xludf.DUMMYFUNCTION("""COMPUTED_VALUE"""),45712.0)</f>
        <v>45712</v>
      </c>
      <c r="Z2" s="1" t="str">
        <f>IFERROR(__xludf.DUMMYFUNCTION("""COMPUTED_VALUE"""),"PAGO COMPLETO")</f>
        <v>PAGO COMPLETO</v>
      </c>
      <c r="AA2" s="1" t="str">
        <f>IFERROR(__xludf.DUMMYFUNCTION("""COMPUTED_VALUE"""),"#N/A")</f>
        <v>#N/A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IFERROR(__xludf.DUMMYFUNCTION("""COMPUTED_VALUE"""),1150.0)</f>
        <v>1150</v>
      </c>
      <c r="AF2" s="4">
        <f>IFERROR(__xludf.DUMMYFUNCTION("""COMPUTED_VALUE"""),950.0)</f>
        <v>950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IFERROR(__xludf.DUMMYFUNCTION("""COMPUTED_VALUE"""),0.0)</f>
        <v>0</v>
      </c>
      <c r="AJ2" s="1">
        <f>IFERROR(__xludf.DUMMYFUNCTION("""COMPUTED_VALUE"""),728717.0)</f>
        <v>728717</v>
      </c>
      <c r="AK2" s="1" t="str">
        <f>IFERROR(__xludf.DUMMYFUNCTION("""COMPUTED_VALUE"""),"Menos de 5 kms")</f>
        <v>Menos de 5 kms</v>
      </c>
      <c r="AL2" s="1" t="str">
        <f>IFERROR(__xludf.DUMMYFUNCTION("""COMPUTED_VALUE"""),"01 Nacional")</f>
        <v>01 Nacional</v>
      </c>
      <c r="AM2" s="1" t="str">
        <f>IFERROR(__xludf.DUMMYFUNCTION("""COMPUTED_VALUE"""),"0")</f>
        <v>0</v>
      </c>
      <c r="AN2" s="1" t="str">
        <f>IFERROR(__xludf.DUMMYFUNCTION("""COMPUTED_VALUE""")," -")</f>
        <v> -</v>
      </c>
      <c r="AO2" s="1">
        <f>IFERROR(__xludf.DUMMYFUNCTION("""COMPUTED_VALUE"""),0.0)</f>
        <v>0</v>
      </c>
      <c r="AP2" s="3">
        <f>IFERROR(__xludf.DUMMYFUNCTION("""COMPUTED_VALUE"""),45689.0)</f>
        <v>45689</v>
      </c>
      <c r="AQ2" s="3">
        <f>IFERROR(__xludf.DUMMYFUNCTION("""COMPUTED_VALUE"""),45684.0)</f>
        <v>45684</v>
      </c>
      <c r="AR2" s="5">
        <f>IFERROR(__xludf.DUMMYFUNCTION("""COMPUTED_VALUE"""),45694.0)</f>
        <v>45694</v>
      </c>
      <c r="AS2" s="5">
        <f>IFERROR(__xludf.DUMMYFUNCTION("""COMPUTED_VALUE"""),45689.0)</f>
        <v>45689</v>
      </c>
      <c r="AT2" s="5">
        <f>IFERROR(__xludf.DUMMYFUNCTION("""COMPUTED_VALUE"""),45684.0)</f>
        <v>45684</v>
      </c>
      <c r="AU2" s="1">
        <f>IFERROR(__xludf.DUMMYFUNCTION("""COMPUTED_VALUE"""),18.0)</f>
        <v>18</v>
      </c>
      <c r="AV2" s="1" t="str">
        <f>IFERROR(__xludf.DUMMYFUNCTION("""COMPUTED_VALUE"""),"OUTBOUND")</f>
        <v>OUTBOUND</v>
      </c>
      <c r="AW2" s="1" t="str">
        <f>IFERROR(__xludf.DUMMYFUNCTION("""COMPUTED_VALUE"""),"OUTBOUND")</f>
        <v>OUTBOUND</v>
      </c>
      <c r="AX2" s="1" t="str">
        <f>IFERROR(__xludf.DUMMYFUNCTION("""COMPUTED_VALUE"""),"OUTBOUND")</f>
        <v>OUTBOUND</v>
      </c>
      <c r="AY2" s="1">
        <f>IFERROR(__xludf.DUMMYFUNCTION("""COMPUTED_VALUE"""),1.0)</f>
        <v>1</v>
      </c>
      <c r="AZ2" s="1" t="str">
        <f>IFERROR(__xludf.DUMMYFUNCTION("""COMPUTED_VALUE"""),"Rosa Ugarte")</f>
        <v>Rosa Ugarte</v>
      </c>
      <c r="BA2" s="6">
        <f>IFERROR(__xludf.DUMMYFUNCTION("""COMPUTED_VALUE"""),1.0)</f>
        <v>1</v>
      </c>
      <c r="BB2" s="7">
        <f>IFERROR(__xludf.DUMMYFUNCTION("""COMPUTED_VALUE"""),860.0)</f>
        <v>860</v>
      </c>
      <c r="BC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IFERROR(__xludf.DUMMYFUNCTION("""COMPUTED_VALUE"""),4555948.0)</f>
        <v>4555948</v>
      </c>
      <c r="C3" s="1" t="str">
        <f>IFERROR(__xludf.DUMMYFUNCTION("""COMPUTED_VALUE"""),"0000424286")</f>
        <v>0000424286</v>
      </c>
      <c r="D3" s="1" t="str">
        <f>IFERROR(__xludf.DUMMYFUNCTION("""COMPUTED_VALUE"""),"VALENTINA VALERIA")</f>
        <v>VALENTINA VALERIA</v>
      </c>
      <c r="E3" s="2" t="str">
        <f>IFERROR(__xludf.DUMMYFUNCTION("""COMPUTED_VALUE"""),"GUTIERREZ TORRES")</f>
        <v>GUTIERREZ TORRES</v>
      </c>
      <c r="F3" s="1">
        <f>IFERROR(__xludf.DUMMYFUNCTION("""COMPUTED_VALUE"""),7.2344973E7)</f>
        <v>72344973</v>
      </c>
      <c r="G3" s="1">
        <f>IFERROR(__xludf.DUMMYFUNCTION("""COMPUTED_VALUE"""),9.63756748E8)</f>
        <v>963756748</v>
      </c>
      <c r="H3" s="1" t="str">
        <f>IFERROR(__xludf.DUMMYFUNCTION("""COMPUTED_VALUE"""),"anabarbara89@gmail.com")</f>
        <v>anabarbara89@gmail.com</v>
      </c>
      <c r="I3" s="1" t="str">
        <f>IFERROR(__xludf.DUMMYFUNCTION("""COMPUTED_VALUE"""),"Arquitectura de Interiores")</f>
        <v>Arquitectura de Interiores</v>
      </c>
      <c r="J3" s="1" t="str">
        <f>IFERROR(__xludf.DUMMYFUNCTION("""COMPUTED_VALUE"""),"Arquitecturas")</f>
        <v>Arquitecturas</v>
      </c>
      <c r="K3" s="1" t="str">
        <f>IFERROR(__xludf.DUMMYFUNCTION("""COMPUTED_VALUE"""),"Antigua")</f>
        <v>Antigua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IFERROR(__xludf.DUMMYFUNCTION("""COMPUTED_VALUE"""),"Semi-presencial")</f>
        <v>Semi-presencial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CORE")</f>
        <v>BECA CARRERAS CORE</v>
      </c>
      <c r="R3" s="1" t="str">
        <f>IFERROR(__xludf.DUMMYFUNCTION("""COMPUTED_VALUE"""),"NINGUNO")</f>
        <v>NINGUNO</v>
      </c>
      <c r="S3" s="1" t="str">
        <f>IFERROR(__xludf.DUMMYFUNCTION("""COMPUTED_VALUE"""),"-")</f>
        <v>-</v>
      </c>
      <c r="T3" s="3">
        <f>IFERROR(__xludf.DUMMYFUNCTION("""COMPUTED_VALUE"""),45773.0)</f>
        <v>45773</v>
      </c>
      <c r="U3" s="1" t="str">
        <f>IFERROR(__xludf.DUMMYFUNCTION("""COMPUTED_VALUE"""),"POS")</f>
        <v>POS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5">
        <f>IFERROR(__xludf.DUMMYFUNCTION("""COMPUTED_VALUE"""),45773.0)</f>
        <v>45773</v>
      </c>
      <c r="Z3" s="1" t="str">
        <f>IFERROR(__xludf.DUMMYFUNCTION("""COMPUTED_VALUE"""),"PAGO COMPLETO")</f>
        <v>PAGO COMPLETO</v>
      </c>
      <c r="AA3" s="1" t="str">
        <f>IFERROR(__xludf.DUMMYFUNCTION("""COMPUTED_VALUE"""),"#N/A")</f>
        <v>#N/A</v>
      </c>
      <c r="AB3" s="1"/>
      <c r="AC3" s="4">
        <f>IFERROR(__xludf.DUMMYFUNCTION("""COMPUTED_VALUE"""),40.0)</f>
        <v>40</v>
      </c>
      <c r="AD3" s="4">
        <f>IFERROR(__xludf.DUMMYFUNCTION("""COMPUTED_VALUE"""),95.0)</f>
        <v>95</v>
      </c>
      <c r="AE3" s="4">
        <f>IFERROR(__xludf.DUMMYFUNCTION("""COMPUTED_VALUE"""),1350.0)</f>
        <v>1350</v>
      </c>
      <c r="AF3" s="4">
        <f>IFERROR(__xludf.DUMMYFUNCTION("""COMPUTED_VALUE"""),1150.0)</f>
        <v>1150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IFERROR(__xludf.DUMMYFUNCTION("""COMPUTED_VALUE"""),0.0)</f>
        <v>0</v>
      </c>
      <c r="AJ3" s="1">
        <f>IFERROR(__xludf.DUMMYFUNCTION("""COMPUTED_VALUE"""),1382910.0)</f>
        <v>1382910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IFERROR(__xludf.DUMMYFUNCTION("""COMPUTED_VALUE"""),"0")</f>
        <v>0</v>
      </c>
      <c r="AN3" s="1" t="str">
        <f>IFERROR(__xludf.DUMMYFUNCTION("""COMPUTED_VALUE""")," -")</f>
        <v> -</v>
      </c>
      <c r="AO3" s="1">
        <f>IFERROR(__xludf.DUMMYFUNCTION("""COMPUTED_VALUE"""),2025.0)</f>
        <v>2025</v>
      </c>
      <c r="AP3" s="3">
        <f>IFERROR(__xludf.DUMMYFUNCTION("""COMPUTED_VALUE"""),45748.0)</f>
        <v>45748</v>
      </c>
      <c r="AQ3" s="3">
        <f>IFERROR(__xludf.DUMMYFUNCTION("""COMPUTED_VALUE"""),45747.0)</f>
        <v>45747</v>
      </c>
      <c r="AR3" s="5">
        <f>IFERROR(__xludf.DUMMYFUNCTION("""COMPUTED_VALUE"""),45767.0)</f>
        <v>45767</v>
      </c>
      <c r="AS3" s="5">
        <f>IFERROR(__xludf.DUMMYFUNCTION("""COMPUTED_VALUE"""),45748.0)</f>
        <v>45748</v>
      </c>
      <c r="AT3" s="5">
        <f>IFERROR(__xludf.DUMMYFUNCTION("""COMPUTED_VALUE"""),45747.0)</f>
        <v>45747</v>
      </c>
      <c r="AU3" s="1">
        <f>IFERROR(__xludf.DUMMYFUNCTION("""COMPUTED_VALUE"""),6.0)</f>
        <v>6</v>
      </c>
      <c r="AV3" s="1" t="str">
        <f>IFERROR(__xludf.DUMMYFUNCTION("""COMPUTED_VALUE"""),"DIGITAL")</f>
        <v>DIGITAL</v>
      </c>
      <c r="AW3" s="1" t="str">
        <f>IFERROR(__xludf.DUMMYFUNCTION("""COMPUTED_VALUE"""),"FORMULARIO")</f>
        <v>FORMULARIO</v>
      </c>
      <c r="AX3" s="1" t="str">
        <f>IFERROR(__xludf.DUMMYFUNCTION("""COMPUTED_VALUE"""),"ORGANICO")</f>
        <v>ORGANICO</v>
      </c>
      <c r="AY3" s="1">
        <f>IFERROR(__xludf.DUMMYFUNCTION("""COMPUTED_VALUE"""),1.0)</f>
        <v>1</v>
      </c>
      <c r="AZ3" s="1" t="str">
        <f>IFERROR(__xludf.DUMMYFUNCTION("""COMPUTED_VALUE"""),"Daniel Zapata")</f>
        <v>Daniel Zapata</v>
      </c>
      <c r="BA3" s="6">
        <f>IFERROR(__xludf.DUMMYFUNCTION("""COMPUTED_VALUE"""),1.0)</f>
        <v>1</v>
      </c>
      <c r="BB3" s="7">
        <f>IFERROR(__xludf.DUMMYFUNCTION("""COMPUTED_VALUE"""),1150.0)</f>
        <v>1150</v>
      </c>
      <c r="BC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IFERROR(__xludf.DUMMYFUNCTION("""COMPUTED_VALUE"""),5145446.0)</f>
        <v>5145446</v>
      </c>
      <c r="C4" s="1" t="str">
        <f>IFERROR(__xludf.DUMMYFUNCTION("""COMPUTED_VALUE"""),"0000424264")</f>
        <v>0000424264</v>
      </c>
      <c r="D4" s="1" t="str">
        <f>IFERROR(__xludf.DUMMYFUNCTION("""COMPUTED_VALUE"""),"CAMILA ")</f>
        <v>CAMILA </v>
      </c>
      <c r="E4" s="2" t="str">
        <f>IFERROR(__xludf.DUMMYFUNCTION("""COMPUTED_VALUE"""),"GALVEZ PATITJEAN")</f>
        <v>GALVEZ PATITJEAN</v>
      </c>
      <c r="F4" s="1">
        <f>IFERROR(__xludf.DUMMYFUNCTION("""COMPUTED_VALUE"""),6.0428639E7)</f>
        <v>60428639</v>
      </c>
      <c r="G4" s="1">
        <f>IFERROR(__xludf.DUMMYFUNCTION("""COMPUTED_VALUE"""),9.8713533E8)</f>
        <v>987135330</v>
      </c>
      <c r="H4" s="1" t="str">
        <f>IFERROR(__xludf.DUMMYFUNCTION("""COMPUTED_VALUE"""),"legalvez@hotmail.com")</f>
        <v>legalvez@hotmail.com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IFERROR(__xludf.DUMMYFUNCTION("""COMPUTED_VALUE"""),"RECA")</f>
        <v>RECA</v>
      </c>
      <c r="Q4" s="1" t="str">
        <f>IFERROR(__xludf.DUMMYFUNCTION("""COMPUTED_VALUE"""),"RECATEGORIZACION")</f>
        <v>RECATEGORIZACION</v>
      </c>
      <c r="R4" s="1" t="str">
        <f>IFERROR(__xludf.DUMMYFUNCTION("""COMPUTED_VALUE"""),"NINGUNO")</f>
        <v>NINGUNO</v>
      </c>
      <c r="S4" s="1" t="str">
        <f>IFERROR(__xludf.DUMMYFUNCTION("""COMPUTED_VALUE"""),"RODRIGO")</f>
        <v>RODRIGO</v>
      </c>
      <c r="T4" s="3">
        <f>IFERROR(__xludf.DUMMYFUNCTION("""COMPUTED_VALUE"""),45773.0)</f>
        <v>45773</v>
      </c>
      <c r="U4" s="1" t="str">
        <f>IFERROR(__xludf.DUMMYFUNCTION("""COMPUTED_VALUE"""),"POS")</f>
        <v>POS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5">
        <f>IFERROR(__xludf.DUMMYFUNCTION("""COMPUTED_VALUE"""),45773.0)</f>
        <v>45773</v>
      </c>
      <c r="Z4" s="1" t="str">
        <f>IFERROR(__xludf.DUMMYFUNCTION("""COMPUTED_VALUE"""),"PAGO COMPLETO")</f>
        <v>PAGO COMPLETO</v>
      </c>
      <c r="AA4" s="1" t="str">
        <f>IFERROR(__xludf.DUMMYFUNCTION("""COMPUTED_VALUE"""),"#N/A")</f>
        <v>#N/A</v>
      </c>
      <c r="AB4" s="1"/>
      <c r="AC4" s="4">
        <f>IFERROR(__xludf.DUMMYFUNCTION("""COMPUTED_VALUE"""),40.0)</f>
        <v>40</v>
      </c>
      <c r="AD4" s="4">
        <f>IFERROR(__xludf.DUMMYFUNCTION("""COMPUTED_VALUE"""),95.0)</f>
        <v>95</v>
      </c>
      <c r="AE4" s="4">
        <f>IFERROR(__xludf.DUMMYFUNCTION("""COMPUTED_VALUE"""),1700.0)</f>
        <v>1700</v>
      </c>
      <c r="AF4" s="4">
        <f>IFERROR(__xludf.DUMMYFUNCTION("""COMPUTED_VALUE"""),1450.0)</f>
        <v>1450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IFERROR(__xludf.DUMMYFUNCTION("""COMPUTED_VALUE"""),0.0)</f>
        <v>0</v>
      </c>
      <c r="AJ4" s="1">
        <f>IFERROR(__xludf.DUMMYFUNCTION("""COMPUTED_VALUE"""),1268192.0)</f>
        <v>1268192</v>
      </c>
      <c r="AK4" s="1" t="str">
        <f>IFERROR(__xludf.DUMMYFUNCTION("""COMPUTED_VALUE"""),"5kms a 10 kms")</f>
        <v>5kms a 10 kms</v>
      </c>
      <c r="AL4" s="1" t="str">
        <f>IFERROR(__xludf.DUMMYFUNCTION("""COMPUTED_VALUE"""),"09 1,300 a 1,499")</f>
        <v>09 1,300 a 1,499</v>
      </c>
      <c r="AM4" s="1" t="str">
        <f>IFERROR(__xludf.DUMMYFUNCTION("""COMPUTED_VALUE"""),"0")</f>
        <v>0</v>
      </c>
      <c r="AN4" s="1" t="str">
        <f>IFERROR(__xludf.DUMMYFUNCTION("""COMPUTED_VALUE""")," -")</f>
        <v> -</v>
      </c>
      <c r="AO4" s="1">
        <f>IFERROR(__xludf.DUMMYFUNCTION("""COMPUTED_VALUE"""),2025.0)</f>
        <v>2025</v>
      </c>
      <c r="AP4" s="3">
        <f>IFERROR(__xludf.DUMMYFUNCTION("""COMPUTED_VALUE"""),45748.0)</f>
        <v>45748</v>
      </c>
      <c r="AQ4" s="3">
        <f>IFERROR(__xludf.DUMMYFUNCTION("""COMPUTED_VALUE"""),45747.0)</f>
        <v>45747</v>
      </c>
      <c r="AR4" s="5">
        <f>IFERROR(__xludf.DUMMYFUNCTION("""COMPUTED_VALUE"""),45761.0)</f>
        <v>45761</v>
      </c>
      <c r="AS4" s="5">
        <f>IFERROR(__xludf.DUMMYFUNCTION("""COMPUTED_VALUE"""),45748.0)</f>
        <v>45748</v>
      </c>
      <c r="AT4" s="5">
        <f>IFERROR(__xludf.DUMMYFUNCTION("""COMPUTED_VALUE"""),45747.0)</f>
        <v>45747</v>
      </c>
      <c r="AU4" s="1">
        <f>IFERROR(__xludf.DUMMYFUNCTION("""COMPUTED_VALUE"""),12.0)</f>
        <v>12</v>
      </c>
      <c r="AV4" s="1" t="str">
        <f>IFERROR(__xludf.DUMMYFUNCTION("""COMPUTED_VALUE"""),"TRADICIONAL")</f>
        <v>TRADICIONAL</v>
      </c>
      <c r="AW4" s="1" t="str">
        <f>IFERROR(__xludf.DUMMYFUNCTION("""COMPUTED_VALUE"""),"VISITA")</f>
        <v>VISITA</v>
      </c>
      <c r="AX4" s="1" t="str">
        <f>IFERROR(__xludf.DUMMYFUNCTION("""COMPUTED_VALUE"""),"VISITA")</f>
        <v>VISITA</v>
      </c>
      <c r="AY4" s="1">
        <f>IFERROR(__xludf.DUMMYFUNCTION("""COMPUTED_VALUE"""),1.0)</f>
        <v>1</v>
      </c>
      <c r="AZ4" s="1" t="str">
        <f>IFERROR(__xludf.DUMMYFUNCTION("""COMPUTED_VALUE"""),"Daniel Zapata")</f>
        <v>Daniel Zapata</v>
      </c>
      <c r="BA4" s="6">
        <f>IFERROR(__xludf.DUMMYFUNCTION("""COMPUTED_VALUE"""),1.0)</f>
        <v>1</v>
      </c>
      <c r="BB4" s="7">
        <f>IFERROR(__xludf.DUMMYFUNCTION("""COMPUTED_VALUE"""),1450.0)</f>
        <v>1450</v>
      </c>
      <c r="BC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IFERROR(__xludf.DUMMYFUNCTION("""COMPUTED_VALUE"""),4791962.0)</f>
        <v>4791962</v>
      </c>
      <c r="C5" s="1" t="str">
        <f>IFERROR(__xludf.DUMMYFUNCTION("""COMPUTED_VALUE"""),"0000408046")</f>
        <v>0000408046</v>
      </c>
      <c r="D5" s="1" t="str">
        <f>IFERROR(__xludf.DUMMYFUNCTION("""COMPUTED_VALUE"""),"ADRIANA MARÍA")</f>
        <v>ADRIANA MARÍA</v>
      </c>
      <c r="E5" s="2" t="str">
        <f>IFERROR(__xludf.DUMMYFUNCTION("""COMPUTED_VALUE"""),"ROMERO VEGA")</f>
        <v>ROMERO VEGA</v>
      </c>
      <c r="F5" s="1">
        <f>IFERROR(__xludf.DUMMYFUNCTION("""COMPUTED_VALUE"""),7.0739483E7)</f>
        <v>70739483</v>
      </c>
      <c r="G5" s="1">
        <f>IFERROR(__xludf.DUMMYFUNCTION("""COMPUTED_VALUE"""),9.66420266E8)</f>
        <v>966420266</v>
      </c>
      <c r="H5" s="1" t="str">
        <f>IFERROR(__xludf.DUMMYFUNCTION("""COMPUTED_VALUE"""),"Marioromeroe12@gmail.com")</f>
        <v>Marioromeroe12@gmail.com</v>
      </c>
      <c r="I5" s="1" t="str">
        <f>IFERROR(__xludf.DUMMYFUNCTION("""COMPUTED_VALUE"""),"Marketing e Innovación")</f>
        <v>Marketing e Innovación</v>
      </c>
      <c r="J5" s="1" t="str">
        <f>IFERROR(__xludf.DUMMYFUNCTION("""COMPUTED_VALUE"""),"Negocios")</f>
        <v>Negocios</v>
      </c>
      <c r="K5" s="1" t="str">
        <f>IFERROR(__xludf.DUMMYFUNCTION("""COMPUTED_VALUE"""),"Nueva")</f>
        <v>Nueva</v>
      </c>
      <c r="L5" s="1" t="str">
        <f>IFERROR(__xludf.DUMMYFUNCTION("""COMPUTED_VALUE"""),"Admisión de Alto Rendimiento")</f>
        <v>Admisión de Alto Rendimiento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IFERROR(__xludf.DUMMYFUNCTION("""COMPUTED_VALUE"""),"NUEVO")</f>
        <v>NUEVO</v>
      </c>
      <c r="P5" s="1" t="str">
        <f>IFERROR(__xludf.DUMMYFUNCTION("""COMPUTED_VALUE"""),"ESCALA REGULAR")</f>
        <v>ESCALA REGULAR</v>
      </c>
      <c r="Q5" s="1" t="str">
        <f>IFERROR(__xludf.DUMMYFUNCTION("""COMPUTED_VALUE"""),"NINGUNO")</f>
        <v>NINGUNO</v>
      </c>
      <c r="R5" s="1" t="str">
        <f>IFERROR(__xludf.DUMMYFUNCTION("""COMPUTED_VALUE"""),"NINGUNO")</f>
        <v>NINGUNO</v>
      </c>
      <c r="S5" s="1" t="str">
        <f>IFERROR(__xludf.DUMMYFUNCTION("""COMPUTED_VALUE"""),"-")</f>
        <v>-</v>
      </c>
      <c r="T5" s="3">
        <f>IFERROR(__xludf.DUMMYFUNCTION("""COMPUTED_VALUE"""),45780.0)</f>
        <v>45780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5">
        <f>IFERROR(__xludf.DUMMYFUNCTION("""COMPUTED_VALUE"""),45780.0)</f>
        <v>45780</v>
      </c>
      <c r="Z5" s="1" t="str">
        <f>IFERROR(__xludf.DUMMYFUNCTION("""COMPUTED_VALUE"""),"PAGO COMPLETO")</f>
        <v>PAGO COMPLETO</v>
      </c>
      <c r="AA5" s="1" t="str">
        <f>IFERROR(__xludf.DUMMYFUNCTION("""COMPUTED_VALUE"""),"#N/A")</f>
        <v>#N/A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IFERROR(__xludf.DUMMYFUNCTION("""COMPUTED_VALUE"""),1850.0)</f>
        <v>1850</v>
      </c>
      <c r="AF5" s="4">
        <f>IFERROR(__xludf.DUMMYFUNCTION("""COMPUTED_VALUE"""),1600.0)</f>
        <v>1600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IFERROR(__xludf.DUMMYFUNCTION("""COMPUTED_VALUE"""),0.0)</f>
        <v>0</v>
      </c>
      <c r="AJ5" s="1">
        <f>IFERROR(__xludf.DUMMYFUNCTION("""COMPUTED_VALUE"""),1041730.0)</f>
        <v>1041730</v>
      </c>
      <c r="AK5" s="1"/>
      <c r="AL5" s="1"/>
      <c r="AM5" s="1" t="str">
        <f>IFERROR(__xludf.DUMMYFUNCTION("""COMPUTED_VALUE"""),"0")</f>
        <v>0</v>
      </c>
      <c r="AN5" s="1" t="str">
        <f>IFERROR(__xludf.DUMMYFUNCTION("""COMPUTED_VALUE""")," -")</f>
        <v> -</v>
      </c>
      <c r="AO5" s="1">
        <f>IFERROR(__xludf.DUMMYFUNCTION("""COMPUTED_VALUE"""),2025.0)</f>
        <v>2025</v>
      </c>
      <c r="AP5" s="3">
        <f>IFERROR(__xludf.DUMMYFUNCTION("""COMPUTED_VALUE"""),45778.0)</f>
        <v>45778</v>
      </c>
      <c r="AQ5" s="3">
        <f>IFERROR(__xludf.DUMMYFUNCTION("""COMPUTED_VALUE"""),45775.0)</f>
        <v>45775</v>
      </c>
      <c r="AR5" s="5">
        <f>IFERROR(__xludf.DUMMYFUNCTION("""COMPUTED_VALUE"""),45751.0)</f>
        <v>45751</v>
      </c>
      <c r="AS5" s="5">
        <f>IFERROR(__xludf.DUMMYFUNCTION("""COMPUTED_VALUE"""),45748.0)</f>
        <v>45748</v>
      </c>
      <c r="AT5" s="5">
        <f>IFERROR(__xludf.DUMMYFUNCTION("""COMPUTED_VALUE"""),45747.0)</f>
        <v>45747</v>
      </c>
      <c r="AU5" s="1">
        <f>IFERROR(__xludf.DUMMYFUNCTION("""COMPUTED_VALUE"""),29.0)</f>
        <v>29</v>
      </c>
      <c r="AV5" s="1" t="str">
        <f>IFERROR(__xludf.DUMMYFUNCTION("""COMPUTED_VALUE"""),"TRADICIONAL")</f>
        <v>TRADICIONAL</v>
      </c>
      <c r="AW5" s="1" t="str">
        <f>IFERROR(__xludf.DUMMYFUNCTION("""COMPUTED_VALUE"""),"COLEGIOS")</f>
        <v>COLEGIOS</v>
      </c>
      <c r="AX5" s="1" t="str">
        <f>IFERROR(__xludf.DUMMYFUNCTION("""COMPUTED_VALUE"""),"COLEGIOS")</f>
        <v>COLEGIOS</v>
      </c>
      <c r="AY5" s="1">
        <f>IFERROR(__xludf.DUMMYFUNCTION("""COMPUTED_VALUE"""),1.0)</f>
        <v>1</v>
      </c>
      <c r="AZ5" s="1" t="str">
        <f>IFERROR(__xludf.DUMMYFUNCTION("""COMPUTED_VALUE"""),"Daniel Zapata")</f>
        <v>Daniel Zapata</v>
      </c>
      <c r="BA5" s="6">
        <f>IFERROR(__xludf.DUMMYFUNCTION("""COMPUTED_VALUE"""),1.0)</f>
        <v>1</v>
      </c>
      <c r="BB5" s="7">
        <f>IFERROR(__xludf.DUMMYFUNCTION("""COMPUTED_VALUE"""),1600.0)</f>
        <v>1600</v>
      </c>
      <c r="BC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IFERROR(__xludf.DUMMYFUNCTION("""COMPUTED_VALUE"""),5173535.0)</f>
        <v>5173535</v>
      </c>
      <c r="C6" s="1" t="str">
        <f>IFERROR(__xludf.DUMMYFUNCTION("""COMPUTED_VALUE"""),"0000425675")</f>
        <v>0000425675</v>
      </c>
      <c r="D6" s="1" t="str">
        <f>IFERROR(__xludf.DUMMYFUNCTION("""COMPUTED_VALUE"""),"LUCÍANA BELÉN ")</f>
        <v>LUCÍANA BELÉN </v>
      </c>
      <c r="E6" s="2" t="str">
        <f>IFERROR(__xludf.DUMMYFUNCTION("""COMPUTED_VALUE"""),"DE SOUZA FERREYRA YLLESCAS")</f>
        <v>DE SOUZA FERREYRA YLLESCAS</v>
      </c>
      <c r="F6" s="1">
        <f>IFERROR(__xludf.DUMMYFUNCTION("""COMPUTED_VALUE"""),6.1506669E7)</f>
        <v>61506669</v>
      </c>
      <c r="G6" s="1">
        <f>IFERROR(__xludf.DUMMYFUNCTION("""COMPUTED_VALUE"""),9.5408678E8)</f>
        <v>954086780</v>
      </c>
      <c r="H6" s="1" t="str">
        <f>IFERROR(__xludf.DUMMYFUNCTION("""COMPUTED_VALUE"""),"belenlucianaa1710@gmail.com")</f>
        <v>belenlucianaa1710@gmail.com</v>
      </c>
      <c r="I6" s="1" t="str">
        <f>IFERROR(__xludf.DUMMYFUNCTION("""COMPUTED_VALUE"""),"Comunicación Audiovisual y Cine")</f>
        <v>Comunicación Audiovisual y Cine</v>
      </c>
      <c r="J6" s="1" t="str">
        <f>IFERROR(__xludf.DUMMYFUNCTION("""COMPUTED_VALUE"""),"Comunicaciones")</f>
        <v>Comunicaciones</v>
      </c>
      <c r="K6" s="1" t="str">
        <f>IFERROR(__xludf.DUMMYFUNCTION("""COMPUTED_VALUE"""),"Antigua")</f>
        <v>Antigua</v>
      </c>
      <c r="L6" s="1" t="str">
        <f>IFERROR(__xludf.DUMMYFUNCTION("""COMPUTED_VALUE"""),"Admisión de Alto Rendimiento")</f>
        <v>Admisión de Alto Rendimiento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IFERROR(__xludf.DUMMYFUNCTION("""COMPUTED_VALUE"""),"NUEVO")</f>
        <v>NUEVO</v>
      </c>
      <c r="P6" s="1" t="str">
        <f>IFERROR(__xludf.DUMMYFUNCTION("""COMPUTED_VALUE"""),"RECA")</f>
        <v>RECA</v>
      </c>
      <c r="Q6" s="1" t="str">
        <f>IFERROR(__xludf.DUMMYFUNCTION("""COMPUTED_VALUE"""),"RECATEGORIZACION")</f>
        <v>RECATEGORIZACION</v>
      </c>
      <c r="R6" s="1" t="str">
        <f>IFERROR(__xludf.DUMMYFUNCTION("""COMPUTED_VALUE"""),"NINGUNO")</f>
        <v>NINGUNO</v>
      </c>
      <c r="S6" s="1" t="str">
        <f>IFERROR(__xludf.DUMMYFUNCTION("""COMPUTED_VALUE"""),"RODRIGO")</f>
        <v>RODRIGO</v>
      </c>
      <c r="T6" s="3">
        <f>IFERROR(__xludf.DUMMYFUNCTION("""COMPUTED_VALUE"""),45791.0)</f>
        <v>45791</v>
      </c>
      <c r="U6" s="1" t="str">
        <f>IFERROR(__xludf.DUMMYFUNCTION("""COMPUTED_VALUE"""),"CARGO")</f>
        <v>CARGO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5">
        <f>IFERROR(__xludf.DUMMYFUNCTION("""COMPUTED_VALUE"""),45791.0)</f>
        <v>45791</v>
      </c>
      <c r="Z6" s="1" t="str">
        <f>IFERROR(__xludf.DUMMYFUNCTION("""COMPUTED_VALUE"""),"PAGO COMPLETO")</f>
        <v>PAGO COMPLETO</v>
      </c>
      <c r="AA6" s="1" t="str">
        <f>IFERROR(__xludf.DUMMYFUNCTION("""COMPUTED_VALUE"""),"#N/A")</f>
        <v>#N/A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IFERROR(__xludf.DUMMYFUNCTION("""COMPUTED_VALUE"""),1700.0)</f>
        <v>1700</v>
      </c>
      <c r="AF6" s="4">
        <f>IFERROR(__xludf.DUMMYFUNCTION("""COMPUTED_VALUE"""),1500.0)</f>
        <v>1500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IFERROR(__xludf.DUMMYFUNCTION("""COMPUTED_VALUE"""),0.0)</f>
        <v>0</v>
      </c>
      <c r="AJ6" s="1">
        <f>IFERROR(__xludf.DUMMYFUNCTION("""COMPUTED_VALUE"""),329201.0)</f>
        <v>329201</v>
      </c>
      <c r="AK6" s="1" t="str">
        <f>IFERROR(__xludf.DUMMYFUNCTION("""COMPUTED_VALUE"""),"10 kms a 15 kms")</f>
        <v>10 kms a 15 kms</v>
      </c>
      <c r="AL6" s="1" t="str">
        <f>IFERROR(__xludf.DUMMYFUNCTION("""COMPUTED_VALUE"""),"08 901 a 1,299")</f>
        <v>08 901 a 1,299</v>
      </c>
      <c r="AM6" s="1" t="str">
        <f>IFERROR(__xludf.DUMMYFUNCTION("""COMPUTED_VALUE"""),"0")</f>
        <v>0</v>
      </c>
      <c r="AN6" s="1" t="str">
        <f>IFERROR(__xludf.DUMMYFUNCTION("""COMPUTED_VALUE""")," -")</f>
        <v> -</v>
      </c>
      <c r="AO6" s="1">
        <f>IFERROR(__xludf.DUMMYFUNCTION("""COMPUTED_VALUE"""),2025.0)</f>
        <v>2025</v>
      </c>
      <c r="AP6" s="3">
        <f>IFERROR(__xludf.DUMMYFUNCTION("""COMPUTED_VALUE"""),45778.0)</f>
        <v>45778</v>
      </c>
      <c r="AQ6" s="3">
        <f>IFERROR(__xludf.DUMMYFUNCTION("""COMPUTED_VALUE"""),45775.0)</f>
        <v>45775</v>
      </c>
      <c r="AR6" s="5">
        <f>IFERROR(__xludf.DUMMYFUNCTION("""COMPUTED_VALUE"""),45769.0)</f>
        <v>45769</v>
      </c>
      <c r="AS6" s="5">
        <f>IFERROR(__xludf.DUMMYFUNCTION("""COMPUTED_VALUE"""),45748.0)</f>
        <v>45748</v>
      </c>
      <c r="AT6" s="5">
        <f>IFERROR(__xludf.DUMMYFUNCTION("""COMPUTED_VALUE"""),45747.0)</f>
        <v>45747</v>
      </c>
      <c r="AU6" s="1">
        <f>IFERROR(__xludf.DUMMYFUNCTION("""COMPUTED_VALUE"""),22.0)</f>
        <v>22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IFERROR(__xludf.DUMMYFUNCTION("""COMPUTED_VALUE"""),"Daniel Zapata")</f>
        <v>Daniel Zapata</v>
      </c>
      <c r="BA6" s="6">
        <f>IFERROR(__xludf.DUMMYFUNCTION("""COMPUTED_VALUE"""),1.0)</f>
        <v>1</v>
      </c>
      <c r="BB6" s="7">
        <f>IFERROR(__xludf.DUMMYFUNCTION("""COMPUTED_VALUE"""),1500.0)</f>
        <v>1500</v>
      </c>
      <c r="BC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IFERROR(__xludf.DUMMYFUNCTION("""COMPUTED_VALUE"""),2285717.0)</f>
        <v>2285717</v>
      </c>
      <c r="C7" s="1" t="str">
        <f>IFERROR(__xludf.DUMMYFUNCTION("""COMPUTED_VALUE"""),"0000425662")</f>
        <v>0000425662</v>
      </c>
      <c r="D7" s="1" t="str">
        <f>IFERROR(__xludf.DUMMYFUNCTION("""COMPUTED_VALUE"""),"ADRIANO JAVIER ")</f>
        <v>ADRIANO JAVIER </v>
      </c>
      <c r="E7" s="2" t="str">
        <f>IFERROR(__xludf.DUMMYFUNCTION("""COMPUTED_VALUE"""),"RAMIREZ FLORES")</f>
        <v>RAMIREZ FLORES</v>
      </c>
      <c r="F7" s="1">
        <f>IFERROR(__xludf.DUMMYFUNCTION("""COMPUTED_VALUE"""),6.1545474E7)</f>
        <v>61545474</v>
      </c>
      <c r="G7" s="1">
        <f>IFERROR(__xludf.DUMMYFUNCTION("""COMPUTED_VALUE"""),9.66528972E8)</f>
        <v>966528972</v>
      </c>
      <c r="H7" s="1" t="str">
        <f>IFERROR(__xludf.DUMMYFUNCTION("""COMPUTED_VALUE"""),"adriano.ramirez2008@gmail.com")</f>
        <v>adriano.ramirez2008@gmail.com</v>
      </c>
      <c r="I7" s="1" t="str">
        <f>IFERROR(__xludf.DUMMYFUNCTION("""COMPUTED_VALUE"""),"Comunicación Audiovisual y Cine")</f>
        <v>Comunicación Audiovisual y Cine</v>
      </c>
      <c r="J7" s="1" t="str">
        <f>IFERROR(__xludf.DUMMYFUNCTION("""COMPUTED_VALUE"""),"Comunicaciones")</f>
        <v>Comunicaciones</v>
      </c>
      <c r="K7" s="1" t="str">
        <f>IFERROR(__xludf.DUMMYFUNCTION("""COMPUTED_VALUE"""),"Antigua")</f>
        <v>Antigua</v>
      </c>
      <c r="L7" s="1" t="str">
        <f>IFERROR(__xludf.DUMMYFUNCTION("""COMPUTED_VALUE"""),"Admisión de Alto Rendimiento")</f>
        <v>Admisión de Alto Rendimiento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IFERROR(__xludf.DUMMYFUNCTION("""COMPUTED_VALUE"""),"NUEVO")</f>
        <v>NUEVO</v>
      </c>
      <c r="P7" s="1" t="str">
        <f>IFERROR(__xludf.DUMMYFUNCTION("""COMPUTED_VALUE"""),"BECA")</f>
        <v>BECA</v>
      </c>
      <c r="Q7" s="1" t="str">
        <f>IFERROR(__xludf.DUMMYFUNCTION("""COMPUTED_VALUE"""),"BECA CARRERAS CORE")</f>
        <v>BECA CARRERAS CORE</v>
      </c>
      <c r="R7" s="1" t="str">
        <f>IFERROR(__xludf.DUMMYFUNCTION("""COMPUTED_VALUE"""),"NINGUNO")</f>
        <v>NINGUNO</v>
      </c>
      <c r="S7" s="1" t="str">
        <f>IFERROR(__xludf.DUMMYFUNCTION("""COMPUTED_VALUE"""),"RODRIGO")</f>
        <v>RODRIGO</v>
      </c>
      <c r="T7" s="3">
        <f>IFERROR(__xludf.DUMMYFUNCTION("""COMPUTED_VALUE"""),45791.0)</f>
        <v>45791</v>
      </c>
      <c r="U7" s="1" t="str">
        <f>IFERROR(__xludf.DUMMYFUNCTION("""COMPUTED_VALUE"""),"PAGO LINK")</f>
        <v>PAGO LINK</v>
      </c>
      <c r="V7" s="1" t="str">
        <f>IFERROR(__xludf.DUMMYFUNCTION("""COMPUTED_VALUE"""),"PAGO FRACCIONADO")</f>
        <v>PAGO FRACCIONADO</v>
      </c>
      <c r="W7" s="4">
        <f>IFERROR(__xludf.DUMMYFUNCTION("""COMPUTED_VALUE"""),0.0)</f>
        <v>0</v>
      </c>
      <c r="X7" s="1" t="str">
        <f>IFERROR(__xludf.DUMMYFUNCTION("""COMPUTED_VALUE"""),"15/05/2025")</f>
        <v>15/05/2025</v>
      </c>
      <c r="Y7" s="5">
        <f>IFERROR(__xludf.DUMMYFUNCTION("""COMPUTED_VALUE"""),45792.0)</f>
        <v>45792</v>
      </c>
      <c r="Z7" s="1" t="str">
        <f>IFERROR(__xludf.DUMMYFUNCTION("""COMPUTED_VALUE"""),"PAGO COMPLETO")</f>
        <v>PAGO COMPLETO</v>
      </c>
      <c r="AA7" s="1" t="str">
        <f>IFERROR(__xludf.DUMMYFUNCTION("""COMPUTED_VALUE"""),"#N/A")</f>
        <v>#N/A</v>
      </c>
      <c r="AB7" s="1"/>
      <c r="AC7" s="4">
        <f>IFERROR(__xludf.DUMMYFUNCTION("""COMPUTED_VALUE"""),40.0)</f>
        <v>40</v>
      </c>
      <c r="AD7" s="4">
        <f>IFERROR(__xludf.DUMMYFUNCTION("""COMPUTED_VALUE"""),95.0)</f>
        <v>95</v>
      </c>
      <c r="AE7" s="4">
        <f>IFERROR(__xludf.DUMMYFUNCTION("""COMPUTED_VALUE"""),1200.0)</f>
        <v>1200</v>
      </c>
      <c r="AF7" s="4">
        <f>IFERROR(__xludf.DUMMYFUNCTION("""COMPUTED_VALUE"""),1050.0)</f>
        <v>1050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IFERROR(__xludf.DUMMYFUNCTION("""COMPUTED_VALUE"""),0.0)</f>
        <v>0</v>
      </c>
      <c r="AJ7" s="1">
        <f>IFERROR(__xludf.DUMMYFUNCTION("""COMPUTED_VALUE"""),1121250.0)</f>
        <v>1121250</v>
      </c>
      <c r="AK7" s="1" t="str">
        <f>IFERROR(__xludf.DUMMYFUNCTION("""COMPUTED_VALUE"""),"Más de 15 kms")</f>
        <v>Más de 15 kms</v>
      </c>
      <c r="AL7" s="1" t="str">
        <f>IFERROR(__xludf.DUMMYFUNCTION("""COMPUTED_VALUE"""),"06 551 a 800")</f>
        <v>06 551 a 800</v>
      </c>
      <c r="AM7" s="1" t="str">
        <f>IFERROR(__xludf.DUMMYFUNCTION("""COMPUTED_VALUE"""),"0")</f>
        <v>0</v>
      </c>
      <c r="AN7" s="1" t="str">
        <f>IFERROR(__xludf.DUMMYFUNCTION("""COMPUTED_VALUE""")," -")</f>
        <v> -</v>
      </c>
      <c r="AO7" s="1">
        <f>IFERROR(__xludf.DUMMYFUNCTION("""COMPUTED_VALUE"""),2025.0)</f>
        <v>2025</v>
      </c>
      <c r="AP7" s="3">
        <f>IFERROR(__xludf.DUMMYFUNCTION("""COMPUTED_VALUE"""),45778.0)</f>
        <v>45778</v>
      </c>
      <c r="AQ7" s="3">
        <f>IFERROR(__xludf.DUMMYFUNCTION("""COMPUTED_VALUE"""),45775.0)</f>
        <v>45775</v>
      </c>
      <c r="AR7" s="5">
        <f>IFERROR(__xludf.DUMMYFUNCTION("""COMPUTED_VALUE"""),45779.0)</f>
        <v>45779</v>
      </c>
      <c r="AS7" s="5">
        <f>IFERROR(__xludf.DUMMYFUNCTION("""COMPUTED_VALUE"""),45778.0)</f>
        <v>45778</v>
      </c>
      <c r="AT7" s="5">
        <f>IFERROR(__xludf.DUMMYFUNCTION("""COMPUTED_VALUE"""),45775.0)</f>
        <v>45775</v>
      </c>
      <c r="AU7" s="1">
        <f>IFERROR(__xludf.DUMMYFUNCTION("""COMPUTED_VALUE"""),13.0)</f>
        <v>13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IFERROR(__xludf.DUMMYFUNCTION("""COMPUTED_VALUE"""),"Daniel Zapata")</f>
        <v>Daniel Zapata</v>
      </c>
      <c r="BA7" s="6">
        <f>IFERROR(__xludf.DUMMYFUNCTION("""COMPUTED_VALUE"""),1.0)</f>
        <v>1</v>
      </c>
      <c r="BB7" s="7">
        <f>IFERROR(__xludf.DUMMYFUNCTION("""COMPUTED_VALUE"""),1050.0)</f>
        <v>1050</v>
      </c>
      <c r="BC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IFERROR(__xludf.DUMMYFUNCTION("""COMPUTED_VALUE"""),5196494.0)</f>
        <v>5196494</v>
      </c>
      <c r="C8" s="1" t="str">
        <f>IFERROR(__xludf.DUMMYFUNCTION("""COMPUTED_VALUE"""),"0000426098")</f>
        <v>0000426098</v>
      </c>
      <c r="D8" s="1" t="str">
        <f>IFERROR(__xludf.DUMMYFUNCTION("""COMPUTED_VALUE"""),"CAROLINA SOFIA ")</f>
        <v>CAROLINA SOFIA </v>
      </c>
      <c r="E8" s="2" t="str">
        <f>IFERROR(__xludf.DUMMYFUNCTION("""COMPUTED_VALUE"""),"CESPEDES PALOMINO")</f>
        <v>CESPEDES PALOMINO</v>
      </c>
      <c r="F8" s="1">
        <f>IFERROR(__xludf.DUMMYFUNCTION("""COMPUTED_VALUE"""),6.149368E7)</f>
        <v>61493680</v>
      </c>
      <c r="G8" s="1">
        <f>IFERROR(__xludf.DUMMYFUNCTION("""COMPUTED_VALUE"""),9.82358992E8)</f>
        <v>982358992</v>
      </c>
      <c r="H8" s="1" t="str">
        <f>IFERROR(__xludf.DUMMYFUNCTION("""COMPUTED_VALUE"""),"carolina.08.09.08.cp@gmail.com")</f>
        <v>carolina.08.09.08.cp@gmail.com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IFERROR(__xludf.DUMMYFUNCTION("""COMPUTED_VALUE"""),"ESCALA REGULAR")</f>
        <v>ESCALA REGULAR</v>
      </c>
      <c r="Q8" s="1" t="str">
        <f>IFERROR(__xludf.DUMMYFUNCTION("""COMPUTED_VALUE"""),"NINGUNO")</f>
        <v>NINGUNO</v>
      </c>
      <c r="R8" s="1" t="str">
        <f>IFERROR(__xludf.DUMMYFUNCTION("""COMPUTED_VALUE"""),"50% DSCTO. PRIMERA BOLETA")</f>
        <v>50% DSCTO. PRIMERA BOLETA</v>
      </c>
      <c r="S8" s="1" t="str">
        <f>IFERROR(__xludf.DUMMYFUNCTION("""COMPUTED_VALUE"""),"-")</f>
        <v>-</v>
      </c>
      <c r="T8" s="3">
        <f>IFERROR(__xludf.DUMMYFUNCTION("""COMPUTED_VALUE"""),45794.0)</f>
        <v>45794</v>
      </c>
      <c r="U8" s="1" t="str">
        <f>IFERROR(__xludf.DUMMYFUNCTION("""COMPUTED_VALUE"""),"POS")</f>
        <v>POS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5">
        <f>IFERROR(__xludf.DUMMYFUNCTION("""COMPUTED_VALUE"""),45794.0)</f>
        <v>45794</v>
      </c>
      <c r="Z8" s="1" t="str">
        <f>IFERROR(__xludf.DUMMYFUNCTION("""COMPUTED_VALUE"""),"PAGO COMPLETO")</f>
        <v>PAGO COMPLETO</v>
      </c>
      <c r="AA8" s="1" t="str">
        <f>IFERROR(__xludf.DUMMYFUNCTION("""COMPUTED_VALUE"""),"#N/A")</f>
        <v>#N/A</v>
      </c>
      <c r="AB8" s="1"/>
      <c r="AC8" s="4">
        <f>IFERROR(__xludf.DUMMYFUNCTION("""COMPUTED_VALUE"""),40.0)</f>
        <v>40</v>
      </c>
      <c r="AD8" s="4">
        <f>IFERROR(__xludf.DUMMYFUNCTION("""COMPUTED_VALUE"""),95.0)</f>
        <v>95</v>
      </c>
      <c r="AE8" s="4">
        <f>IFERROR(__xludf.DUMMYFUNCTION("""COMPUTED_VALUE"""),1350.0)</f>
        <v>1350</v>
      </c>
      <c r="AF8" s="4">
        <f>IFERROR(__xludf.DUMMYFUNCTION("""COMPUTED_VALUE"""),1350.0)</f>
        <v>1350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IFERROR(__xludf.DUMMYFUNCTION("""COMPUTED_VALUE"""),0.0)</f>
        <v>0</v>
      </c>
      <c r="AJ8" s="1">
        <f>IFERROR(__xludf.DUMMYFUNCTION("""COMPUTED_VALUE"""),1502277.0)</f>
        <v>1502277</v>
      </c>
      <c r="AK8" s="1" t="str">
        <f>IFERROR(__xludf.DUMMYFUNCTION("""COMPUTED_VALUE"""),"10 kms a 15 kms")</f>
        <v>10 kms a 15 kms</v>
      </c>
      <c r="AL8" s="1" t="str">
        <f>IFERROR(__xludf.DUMMYFUNCTION("""COMPUTED_VALUE"""),"05 301 a 550")</f>
        <v>05 301 a 550</v>
      </c>
      <c r="AM8" s="1" t="str">
        <f>IFERROR(__xludf.DUMMYFUNCTION("""COMPUTED_VALUE"""),"0")</f>
        <v>0</v>
      </c>
      <c r="AN8" s="1" t="str">
        <f>IFERROR(__xludf.DUMMYFUNCTION("""COMPUTED_VALUE""")," -")</f>
        <v> -</v>
      </c>
      <c r="AO8" s="1">
        <f>IFERROR(__xludf.DUMMYFUNCTION("""COMPUTED_VALUE"""),2025.0)</f>
        <v>2025</v>
      </c>
      <c r="AP8" s="3">
        <f>IFERROR(__xludf.DUMMYFUNCTION("""COMPUTED_VALUE"""),45778.0)</f>
        <v>45778</v>
      </c>
      <c r="AQ8" s="3">
        <f>IFERROR(__xludf.DUMMYFUNCTION("""COMPUTED_VALUE"""),45775.0)</f>
        <v>45775</v>
      </c>
      <c r="AR8" s="5">
        <f>IFERROR(__xludf.DUMMYFUNCTION("""COMPUTED_VALUE"""),45791.0)</f>
        <v>45791</v>
      </c>
      <c r="AS8" s="5">
        <f>IFERROR(__xludf.DUMMYFUNCTION("""COMPUTED_VALUE"""),45778.0)</f>
        <v>45778</v>
      </c>
      <c r="AT8" s="5">
        <f>IFERROR(__xludf.DUMMYFUNCTION("""COMPUTED_VALUE"""),45775.0)</f>
        <v>45775</v>
      </c>
      <c r="AU8" s="1">
        <f>IFERROR(__xludf.DUMMYFUNCTION("""COMPUTED_VALUE"""),3.0)</f>
        <v>3</v>
      </c>
      <c r="AV8" s="1" t="str">
        <f>IFERROR(__xludf.DUMMYFUNCTION("""COMPUTED_VALUE"""),"OUTBOUND")</f>
        <v>OUTBOUND</v>
      </c>
      <c r="AW8" s="1" t="str">
        <f>IFERROR(__xludf.DUMMYFUNCTION("""COMPUTED_VALUE"""),"OUTBOUND")</f>
        <v>OUTBOUND</v>
      </c>
      <c r="AX8" s="1" t="str">
        <f>IFERROR(__xludf.DUMMYFUNCTION("""COMPUTED_VALUE"""),"OUTBOUND")</f>
        <v>OUTBOUND</v>
      </c>
      <c r="AY8" s="1">
        <f>IFERROR(__xludf.DUMMYFUNCTION("""COMPUTED_VALUE"""),1.0)</f>
        <v>1</v>
      </c>
      <c r="AZ8" s="1" t="str">
        <f>IFERROR(__xludf.DUMMYFUNCTION("""COMPUTED_VALUE"""),"Daniel Zapata")</f>
        <v>Daniel Zapata</v>
      </c>
      <c r="BA8" s="6">
        <f>IFERROR(__xludf.DUMMYFUNCTION("""COMPUTED_VALUE"""),1.0)</f>
        <v>1</v>
      </c>
      <c r="BB8" s="7">
        <f>IFERROR(__xludf.DUMMYFUNCTION("""COMPUTED_VALUE"""),1215.0)</f>
        <v>1215</v>
      </c>
      <c r="BC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IFERROR(__xludf.DUMMYFUNCTION("""COMPUTED_VALUE"""),5212125.0)</f>
        <v>5212125</v>
      </c>
      <c r="C9" s="1" t="str">
        <f>IFERROR(__xludf.DUMMYFUNCTION("""COMPUTED_VALUE"""),"0000426581")</f>
        <v>0000426581</v>
      </c>
      <c r="D9" s="1" t="str">
        <f>IFERROR(__xludf.DUMMYFUNCTION("""COMPUTED_VALUE"""),"VANNIA VIVIANA ")</f>
        <v>VANNIA VIVIANA </v>
      </c>
      <c r="E9" s="2" t="str">
        <f>IFERROR(__xludf.DUMMYFUNCTION("""COMPUTED_VALUE"""),"SALINAS CHIPANA")</f>
        <v>SALINAS CHIPANA</v>
      </c>
      <c r="F9" s="1">
        <f>IFERROR(__xludf.DUMMYFUNCTION("""COMPUTED_VALUE"""),7.1357728E7)</f>
        <v>71357728</v>
      </c>
      <c r="G9" s="1">
        <f>IFERROR(__xludf.DUMMYFUNCTION("""COMPUTED_VALUE"""),9.92823404E8)</f>
        <v>992823404</v>
      </c>
      <c r="H9" s="1" t="str">
        <f>IFERROR(__xludf.DUMMYFUNCTION("""COMPUTED_VALUE"""),"van.salinasch@gmail.com")</f>
        <v>van.salinasch@gmail.com</v>
      </c>
      <c r="I9" s="1" t="str">
        <f>IFERROR(__xludf.DUMMYFUNCTION("""COMPUTED_VALUE"""),"Arquitectura de Interiores")</f>
        <v>Arquitectura de Interiores</v>
      </c>
      <c r="J9" s="1" t="str">
        <f>IFERROR(__xludf.DUMMYFUNCTION("""COMPUTED_VALUE"""),"Arquitecturas")</f>
        <v>Arquitecturas</v>
      </c>
      <c r="K9" s="1" t="str">
        <f>IFERROR(__xludf.DUMMYFUNCTION("""COMPUTED_VALUE"""),"Antigua")</f>
        <v>Antigua</v>
      </c>
      <c r="L9" s="1" t="str">
        <f>IFERROR(__xludf.DUMMYFUNCTION("""COMPUTED_VALUE"""),"Admisión de Alto Rendimiento")</f>
        <v>Admisión de Alto Rendimiento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IFERROR(__xludf.DUMMYFUNCTION("""COMPUTED_VALUE"""),"NUEVO")</f>
        <v>NUEVO</v>
      </c>
      <c r="P9" s="1" t="str">
        <f>IFERROR(__xludf.DUMMYFUNCTION("""COMPUTED_VALUE"""),"RECA")</f>
        <v>RECA</v>
      </c>
      <c r="Q9" s="1" t="str">
        <f>IFERROR(__xludf.DUMMYFUNCTION("""COMPUTED_VALUE"""),"RECATEGORIZACION")</f>
        <v>RECATEGORIZACION</v>
      </c>
      <c r="R9" s="1" t="str">
        <f>IFERROR(__xludf.DUMMYFUNCTION("""COMPUTED_VALUE"""),"50% DSCTO. PRIMERA BOLETA")</f>
        <v>50% DSCTO. PRIMERA BOLETA</v>
      </c>
      <c r="S9" s="1" t="str">
        <f>IFERROR(__xludf.DUMMYFUNCTION("""COMPUTED_VALUE"""),"-")</f>
        <v>-</v>
      </c>
      <c r="T9" s="3">
        <f>IFERROR(__xludf.DUMMYFUNCTION("""COMPUTED_VALUE"""),45799.0)</f>
        <v>45799</v>
      </c>
      <c r="U9" s="1" t="str">
        <f>IFERROR(__xludf.DUMMYFUNCTION("""COMPUTED_VALUE"""),"Pago Link")</f>
        <v>Pago Link</v>
      </c>
      <c r="V9" s="1" t="str">
        <f>IFERROR(__xludf.DUMMYFUNCTION("""COMPUTED_VALUE"""),"PAGO COMPLETO")</f>
        <v>PAGO COMPLETO</v>
      </c>
      <c r="W9" s="4">
        <f>IFERROR(__xludf.DUMMYFUNCTION("""COMPUTED_VALUE"""),0.0)</f>
        <v>0</v>
      </c>
      <c r="X9" s="1" t="str">
        <f>IFERROR(__xludf.DUMMYFUNCTION("""COMPUTED_VALUE"""),"-")</f>
        <v>-</v>
      </c>
      <c r="Y9" s="5">
        <f>IFERROR(__xludf.DUMMYFUNCTION("""COMPUTED_VALUE"""),45799.0)</f>
        <v>45799</v>
      </c>
      <c r="Z9" s="1" t="str">
        <f>IFERROR(__xludf.DUMMYFUNCTION("""COMPUTED_VALUE"""),"PAGO COMPLETO")</f>
        <v>PAGO COMPLETO</v>
      </c>
      <c r="AA9" s="1" t="str">
        <f>IFERROR(__xludf.DUMMYFUNCTION("""COMPUTED_VALUE"""),"#N/A")</f>
        <v>#N/A</v>
      </c>
      <c r="AB9" s="1"/>
      <c r="AC9" s="4">
        <f>IFERROR(__xludf.DUMMYFUNCTION("""COMPUTED_VALUE"""),40.0)</f>
        <v>40</v>
      </c>
      <c r="AD9" s="4">
        <f>IFERROR(__xludf.DUMMYFUNCTION("""COMPUTED_VALUE"""),95.0)</f>
        <v>95</v>
      </c>
      <c r="AE9" s="4">
        <f>IFERROR(__xludf.DUMMYFUNCTION("""COMPUTED_VALUE"""),1500.0)</f>
        <v>1500</v>
      </c>
      <c r="AF9" s="4">
        <f>IFERROR(__xludf.DUMMYFUNCTION("""COMPUTED_VALUE"""),1350.0)</f>
        <v>1350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IFERROR(__xludf.DUMMYFUNCTION("""COMPUTED_VALUE"""),0.0)</f>
        <v>0</v>
      </c>
      <c r="AJ9" s="1">
        <f>IFERROR(__xludf.DUMMYFUNCTION("""COMPUTED_VALUE"""),1734300.0)</f>
        <v>1734300</v>
      </c>
      <c r="AK9" s="1" t="str">
        <f>IFERROR(__xludf.DUMMYFUNCTION("""COMPUTED_VALUE"""),"Más de 15 kms")</f>
        <v>Más de 15 kms</v>
      </c>
      <c r="AL9" s="1" t="str">
        <f>IFERROR(__xludf.DUMMYFUNCTION("""COMPUTED_VALUE"""),"05 301 a 550")</f>
        <v>05 301 a 550</v>
      </c>
      <c r="AM9" s="1" t="str">
        <f>IFERROR(__xludf.DUMMYFUNCTION("""COMPUTED_VALUE"""),"0")</f>
        <v>0</v>
      </c>
      <c r="AN9" s="1" t="str">
        <f>IFERROR(__xludf.DUMMYFUNCTION("""COMPUTED_VALUE""")," -")</f>
        <v> -</v>
      </c>
      <c r="AO9" s="1">
        <f>IFERROR(__xludf.DUMMYFUNCTION("""COMPUTED_VALUE"""),2025.0)</f>
        <v>2025</v>
      </c>
      <c r="AP9" s="3">
        <f>IFERROR(__xludf.DUMMYFUNCTION("""COMPUTED_VALUE"""),45778.0)</f>
        <v>45778</v>
      </c>
      <c r="AQ9" s="3">
        <f>IFERROR(__xludf.DUMMYFUNCTION("""COMPUTED_VALUE"""),45775.0)</f>
        <v>45775</v>
      </c>
      <c r="AR9" s="5">
        <f>IFERROR(__xludf.DUMMYFUNCTION("""COMPUTED_VALUE"""),45798.0)</f>
        <v>45798</v>
      </c>
      <c r="AS9" s="5">
        <f>IFERROR(__xludf.DUMMYFUNCTION("""COMPUTED_VALUE"""),45778.0)</f>
        <v>45778</v>
      </c>
      <c r="AT9" s="5">
        <f>IFERROR(__xludf.DUMMYFUNCTION("""COMPUTED_VALUE"""),45775.0)</f>
        <v>45775</v>
      </c>
      <c r="AU9" s="1">
        <f>IFERROR(__xludf.DUMMYFUNCTION("""COMPUTED_VALUE"""),1.0)</f>
        <v>1</v>
      </c>
      <c r="AV9" s="1" t="str">
        <f>IFERROR(__xludf.DUMMYFUNCTION("""COMPUTED_VALUE"""),"OUTBOUND")</f>
        <v>OUTBOUND</v>
      </c>
      <c r="AW9" s="1" t="str">
        <f>IFERROR(__xludf.DUMMYFUNCTION("""COMPUTED_VALUE"""),"OUTBOUND")</f>
        <v>OUTBOUND</v>
      </c>
      <c r="AX9" s="1" t="str">
        <f>IFERROR(__xludf.DUMMYFUNCTION("""COMPUTED_VALUE"""),"OUTBOUND")</f>
        <v>OUTBOUND</v>
      </c>
      <c r="AY9" s="1">
        <f>IFERROR(__xludf.DUMMYFUNCTION("""COMPUTED_VALUE"""),1.0)</f>
        <v>1</v>
      </c>
      <c r="AZ9" s="1" t="str">
        <f>IFERROR(__xludf.DUMMYFUNCTION("""COMPUTED_VALUE"""),"Daniel Zapata")</f>
        <v>Daniel Zapata</v>
      </c>
      <c r="BA9" s="6">
        <f>IFERROR(__xludf.DUMMYFUNCTION("""COMPUTED_VALUE"""),1.0)</f>
        <v>1</v>
      </c>
      <c r="BB9" s="7">
        <f>IFERROR(__xludf.DUMMYFUNCTION("""COMPUTED_VALUE"""),1215.0)</f>
        <v>1215</v>
      </c>
      <c r="BC9" s="1" t="str">
        <f>IFERROR(__xludf.DUMMYFUNCTION("""COMPUTED_VALUE"""),"")</f>
        <v/>
      </c>
    </row>
    <row r="10">
      <c r="A10" s="1" t="str">
        <f>IFERROR(__xludf.DUMMYFUNCTION("""COMPUTED_VALUE"""),"")</f>
        <v/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 t="str">
        <f>IFERROR(__xludf.DUMMYFUNCTION("""COMPUTED_VALUE"""),"")</f>
        <v/>
      </c>
    </row>
    <row r="11">
      <c r="A11" s="1" t="str">
        <f>IFERROR(__xludf.DUMMYFUNCTION("""COMPUTED_VALUE"""),"")</f>
        <v/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 t="str">
        <f>IFERROR(__xludf.DUMMYFUNCTION("""COMPUTED_VALUE"""),"")</f>
        <v/>
      </c>
    </row>
    <row r="12">
      <c r="A12" s="1" t="str">
        <f>IFERROR(__xludf.DUMMYFUNCTION("""COMPUTED_VALUE"""),"")</f>
        <v/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 t="str">
        <f>IFERROR(__xludf.DUMMYFUNCTION("""COMPUTED_VALUE"""),"")</f>
        <v/>
      </c>
    </row>
    <row r="13">
      <c r="A13" s="1" t="str">
        <f>IFERROR(__xludf.DUMMYFUNCTION("""COMPUTED_VALUE"""),"")</f>
        <v/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 t="str">
        <f>IFERROR(__xludf.DUMMYFUNCTION("""COMPUTED_VALUE"""),"")</f>
        <v/>
      </c>
    </row>
    <row r="14">
      <c r="A14" s="1" t="str">
        <f>IFERROR(__xludf.DUMMYFUNCTION("""COMPUTED_VALUE"""),"")</f>
        <v/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 t="str">
        <f>IFERROR(__xludf.DUMMYFUNCTION("""COMPUTED_VALUE"""),"")</f>
        <v/>
      </c>
    </row>
    <row r="15">
      <c r="A15" s="1" t="str">
        <f>IFERROR(__xludf.DUMMYFUNCTION("""COMPUTED_VALUE"""),"")</f>
        <v/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 t="str">
        <f>IFERROR(__xludf.DUMMYFUNCTION("""COMPUTED_VALUE"""),"")</f>
        <v/>
      </c>
    </row>
    <row r="16">
      <c r="A16" s="1" t="str">
        <f>IFERROR(__xludf.DUMMYFUNCTION("""COMPUTED_VALUE"""),"")</f>
        <v/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 t="str">
        <f>IFERROR(__xludf.DUMMYFUNCTION("""COMPUTED_VALUE"""),"")</f>
        <v/>
      </c>
    </row>
    <row r="17">
      <c r="A17" s="1" t="str">
        <f>IFERROR(__xludf.DUMMYFUNCTION("""COMPUTED_VALUE"""),"")</f>
        <v/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 t="str">
        <f>IFERROR(__xludf.DUMMYFUNCTION("""COMPUTED_VALUE"""),"")</f>
        <v/>
      </c>
    </row>
    <row r="18">
      <c r="A18" s="1" t="str">
        <f>IFERROR(__xludf.DUMMYFUNCTION("""COMPUTED_VALUE"""),"")</f>
        <v/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 t="str">
        <f>IFERROR(__xludf.DUMMYFUNCTION("""COMPUTED_VALUE"""),"")</f>
        <v/>
      </c>
    </row>
    <row r="19">
      <c r="A19" s="1" t="str">
        <f>IFERROR(__xludf.DUMMYFUNCTION("""COMPUTED_VALUE"""),"")</f>
        <v/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 t="str">
        <f>IFERROR(__xludf.DUMMYFUNCTION("""COMPUTED_VALUE"""),"")</f>
        <v/>
      </c>
    </row>
    <row r="20">
      <c r="A20" s="1" t="str">
        <f>IFERROR(__xludf.DUMMYFUNCTION("""COMPUTED_VALUE"""),"")</f>
        <v/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 t="str">
        <f>IFERROR(__xludf.DUMMYFUNCTION("""COMPUTED_VALUE"""),"")</f>
        <v/>
      </c>
    </row>
    <row r="21">
      <c r="A21" s="1" t="str">
        <f>IFERROR(__xludf.DUMMYFUNCTION("""COMPUTED_VALUE"""),"")</f>
        <v/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 t="str">
        <f>IFERROR(__xludf.DUMMYFUNCTION("""COMPUTED_VALUE"""),"")</f>
        <v/>
      </c>
    </row>
    <row r="22">
      <c r="A22" s="1" t="str">
        <f>IFERROR(__xludf.DUMMYFUNCTION("""COMPUTED_VALUE"""),"")</f>
        <v/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 t="str">
        <f>IFERROR(__xludf.DUMMYFUNCTION("""COMPUTED_VALUE"""),"")</f>
        <v/>
      </c>
    </row>
    <row r="23">
      <c r="A23" s="1" t="str">
        <f>IFERROR(__xludf.DUMMYFUNCTION("""COMPUTED_VALUE"""),"")</f>
        <v/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 t="str">
        <f>IFERROR(__xludf.DUMMYFUNCTION("""COMPUTED_VALUE"""),"")</f>
        <v/>
      </c>
    </row>
    <row r="24">
      <c r="A24" s="1" t="str">
        <f>IFERROR(__xludf.DUMMYFUNCTION("""COMPUTED_VALUE"""),"")</f>
        <v/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 t="str">
        <f>IFERROR(__xludf.DUMMYFUNCTION("""COMPUTED_VALUE"""),"")</f>
        <v/>
      </c>
    </row>
    <row r="25">
      <c r="A25" s="1" t="str">
        <f>IFERROR(__xludf.DUMMYFUNCTION("""COMPUTED_VALUE"""),"")</f>
        <v/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 t="str">
        <f>IFERROR(__xludf.DUMMYFUNCTION("""COMPUTED_VALUE"""),"")</f>
        <v/>
      </c>
    </row>
    <row r="26">
      <c r="A26" s="1" t="str">
        <f>IFERROR(__xludf.DUMMYFUNCTION("""COMPUTED_VALUE"""),"")</f>
        <v/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 t="str">
        <f>IFERROR(__xludf.DUMMYFUNCTION("""COMPUTED_VALUE"""),"")</f>
        <v/>
      </c>
    </row>
    <row r="27">
      <c r="A27" s="1" t="str">
        <f>IFERROR(__xludf.DUMMYFUNCTION("""COMPUTED_VALUE"""),"")</f>
        <v/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 t="str">
        <f>IFERROR(__xludf.DUMMYFUNCTION("""COMPUTED_VALUE"""),"")</f>
        <v/>
      </c>
    </row>
    <row r="28">
      <c r="A28" s="1" t="str">
        <f>IFERROR(__xludf.DUMMYFUNCTION("""COMPUTED_VALUE"""),"")</f>
        <v/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 t="str">
        <f>IFERROR(__xludf.DUMMYFUNCTION("""COMPUTED_VALUE"""),"")</f>
        <v/>
      </c>
    </row>
    <row r="29">
      <c r="A29" s="1" t="str">
        <f>IFERROR(__xludf.DUMMYFUNCTION("""COMPUTED_VALUE"""),"")</f>
        <v/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 t="str">
        <f>IFERROR(__xludf.DUMMYFUNCTION("""COMPUTED_VALUE"""),"")</f>
        <v/>
      </c>
    </row>
    <row r="30">
      <c r="A30" s="1" t="str">
        <f>IFERROR(__xludf.DUMMYFUNCTION("""COMPUTED_VALUE"""),"")</f>
        <v/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 t="str">
        <f>IFERROR(__xludf.DUMMYFUNCTION("""COMPUTED_VALUE"""),"")</f>
        <v/>
      </c>
    </row>
    <row r="31">
      <c r="A31" s="1" t="str">
        <f>IFERROR(__xludf.DUMMYFUNCTION("""COMPUTED_VALUE"""),"")</f>
        <v/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 t="str">
        <f>IFERROR(__xludf.DUMMYFUNCTION("""COMPUTED_VALUE"""),"")</f>
        <v/>
      </c>
    </row>
    <row r="32">
      <c r="A32" s="1" t="str">
        <f>IFERROR(__xludf.DUMMYFUNCTION("""COMPUTED_VALUE"""),"")</f>
        <v/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 t="str">
        <f>IFERROR(__xludf.DUMMYFUNCTION("""COMPUTED_VALUE"""),"")</f>
        <v/>
      </c>
    </row>
    <row r="33">
      <c r="A33" s="1" t="str">
        <f>IFERROR(__xludf.DUMMYFUNCTION("""COMPUTED_VALUE"""),"")</f>
        <v/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 t="str">
        <f>IFERROR(__xludf.DUMMYFUNCTION("""COMPUTED_VALUE"""),"")</f>
        <v/>
      </c>
    </row>
    <row r="34">
      <c r="A34" s="1" t="str">
        <f>IFERROR(__xludf.DUMMYFUNCTION("""COMPUTED_VALUE"""),"")</f>
        <v/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 t="str">
        <f>IFERROR(__xludf.DUMMYFUNCTION("""COMPUTED_VALUE"""),"")</f>
        <v/>
      </c>
    </row>
    <row r="35">
      <c r="A35" s="1" t="str">
        <f>IFERROR(__xludf.DUMMYFUNCTION("""COMPUTED_VALUE"""),"")</f>
        <v/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 t="str">
        <f>IFERROR(__xludf.DUMMYFUNCTION("""COMPUTED_VALUE"""),"")</f>
        <v/>
      </c>
    </row>
    <row r="36">
      <c r="A36" s="1" t="str">
        <f>IFERROR(__xludf.DUMMYFUNCTION("""COMPUTED_VALUE"""),"")</f>
        <v/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 t="str">
        <f>IFERROR(__xludf.DUMMYFUNCTION("""COMPUTED_VALUE"""),"")</f>
        <v/>
      </c>
    </row>
    <row r="37">
      <c r="A37" s="1" t="str">
        <f>IFERROR(__xludf.DUMMYFUNCTION("""COMPUTED_VALUE"""),"")</f>
        <v/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 t="str">
        <f>IFERROR(__xludf.DUMMYFUNCTION("""COMPUTED_VALUE"""),"")</f>
        <v/>
      </c>
    </row>
    <row r="38">
      <c r="A38" s="1" t="str">
        <f>IFERROR(__xludf.DUMMYFUNCTION("""COMPUTED_VALUE"""),"")</f>
        <v/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 t="str">
        <f>IFERROR(__xludf.DUMMYFUNCTION("""COMPUTED_VALUE"""),"")</f>
        <v/>
      </c>
    </row>
    <row r="39">
      <c r="A39" s="1" t="str">
        <f>IFERROR(__xludf.DUMMYFUNCTION("""COMPUTED_VALUE"""),"")</f>
        <v/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 t="str">
        <f>IFERROR(__xludf.DUMMYFUNCTION("""COMPUTED_VALUE"""),"")</f>
        <v/>
      </c>
    </row>
    <row r="40">
      <c r="A40" s="1" t="str">
        <f>IFERROR(__xludf.DUMMYFUNCTION("""COMPUTED_VALUE"""),"")</f>
        <v/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 t="str">
        <f>IFERROR(__xludf.DUMMYFUNCTION("""COMPUTED_VALUE"""),"")</f>
        <v/>
      </c>
    </row>
    <row r="41">
      <c r="A41" s="1" t="str">
        <f>IFERROR(__xludf.DUMMYFUNCTION("""COMPUTED_VALUE"""),"")</f>
        <v/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 t="str">
        <f>IFERROR(__xludf.DUMMYFUNCTION("""COMPUTED_VALUE"""),"")</f>
        <v/>
      </c>
    </row>
    <row r="42">
      <c r="A42" s="1" t="str">
        <f>IFERROR(__xludf.DUMMYFUNCTION("""COMPUTED_VALUE"""),"")</f>
        <v/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 t="str">
        <f>IFERROR(__xludf.DUMMYFUNCTION("""COMPUTED_VALUE"""),"")</f>
        <v/>
      </c>
    </row>
    <row r="43">
      <c r="A43" s="1" t="str">
        <f>IFERROR(__xludf.DUMMYFUNCTION("""COMPUTED_VALUE"""),"")</f>
        <v/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 t="str">
        <f>IFERROR(__xludf.DUMMYFUNCTION("""COMPUTED_VALUE"""),"")</f>
        <v/>
      </c>
    </row>
    <row r="44">
      <c r="A44" s="1" t="str">
        <f>IFERROR(__xludf.DUMMYFUNCTION("""COMPUTED_VALUE"""),"")</f>
        <v/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 t="str">
        <f>IFERROR(__xludf.DUMMYFUNCTION("""COMPUTED_VALUE"""),"")</f>
        <v/>
      </c>
    </row>
    <row r="45">
      <c r="A45" s="1" t="str">
        <f>IFERROR(__xludf.DUMMYFUNCTION("""COMPUTED_VALUE"""),"")</f>
        <v/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 t="str">
        <f>IFERROR(__xludf.DUMMYFUNCTION("""COMPUTED_VALUE"""),"")</f>
        <v/>
      </c>
    </row>
    <row r="46">
      <c r="A46" s="1" t="str">
        <f>IFERROR(__xludf.DUMMYFUNCTION("""COMPUTED_VALUE"""),"")</f>
        <v/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 t="str">
        <f>IFERROR(__xludf.DUMMYFUNCTION("""COMPUTED_VALUE"""),"")</f>
        <v/>
      </c>
    </row>
    <row r="47">
      <c r="A47" s="1" t="str">
        <f>IFERROR(__xludf.DUMMYFUNCTION("""COMPUTED_VALUE"""),"")</f>
        <v/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 t="str">
        <f>IFERROR(__xludf.DUMMYFUNCTION("""COMPUTED_VALUE"""),"")</f>
        <v/>
      </c>
    </row>
    <row r="48">
      <c r="A48" s="1" t="str">
        <f>IFERROR(__xludf.DUMMYFUNCTION("""COMPUTED_VALUE"""),"")</f>
        <v/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 t="str">
        <f>IFERROR(__xludf.DUMMYFUNCTION("""COMPUTED_VALUE"""),"")</f>
        <v/>
      </c>
    </row>
    <row r="49">
      <c r="A49" s="1" t="str">
        <f>IFERROR(__xludf.DUMMYFUNCTION("""COMPUTED_VALUE"""),"")</f>
        <v/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 t="str">
        <f>IFERROR(__xludf.DUMMYFUNCTION("""COMPUTED_VALUE"""),"")</f>
        <v/>
      </c>
    </row>
    <row r="50">
      <c r="A50" s="1" t="str">
        <f>IFERROR(__xludf.DUMMYFUNCTION("""COMPUTED_VALUE"""),"")</f>
        <v/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 t="str">
        <f>IFERROR(__xludf.DUMMYFUNCTION("""COMPUTED_VALUE"""),"")</f>
        <v/>
      </c>
    </row>
    <row r="51">
      <c r="A51" s="1" t="str">
        <f>IFERROR(__xludf.DUMMYFUNCTION("""COMPUTED_VALUE"""),"")</f>
        <v/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 t="str">
        <f>IFERROR(__xludf.DUMMYFUNCTION("""COMPUTED_VALUE"""),"")</f>
        <v/>
      </c>
    </row>
    <row r="52">
      <c r="A52" s="1" t="str">
        <f>IFERROR(__xludf.DUMMYFUNCTION("""COMPUTED_VALUE"""),"")</f>
        <v/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 t="str">
        <f>IFERROR(__xludf.DUMMYFUNCTION("""COMPUTED_VALUE"""),"")</f>
        <v/>
      </c>
    </row>
    <row r="53">
      <c r="A53" s="1" t="str">
        <f>IFERROR(__xludf.DUMMYFUNCTION("""COMPUTED_VALUE"""),"")</f>
        <v/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 t="str">
        <f>IFERROR(__xludf.DUMMYFUNCTION("""COMPUTED_VALUE"""),"")</f>
        <v/>
      </c>
    </row>
    <row r="54">
      <c r="A54" s="1" t="str">
        <f>IFERROR(__xludf.DUMMYFUNCTION("""COMPUTED_VALUE"""),"")</f>
        <v/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 t="str">
        <f>IFERROR(__xludf.DUMMYFUNCTION("""COMPUTED_VALUE"""),"")</f>
        <v/>
      </c>
    </row>
    <row r="55">
      <c r="A55" s="1" t="str">
        <f>IFERROR(__xludf.DUMMYFUNCTION("""COMPUTED_VALUE"""),"")</f>
        <v/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 t="str">
        <f>IFERROR(__xludf.DUMMYFUNCTION("""COMPUTED_VALUE"""),"")</f>
        <v/>
      </c>
    </row>
    <row r="56">
      <c r="A56" s="1" t="str">
        <f>IFERROR(__xludf.DUMMYFUNCTION("""COMPUTED_VALUE"""),"")</f>
        <v/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 t="str">
        <f>IFERROR(__xludf.DUMMYFUNCTION("""COMPUTED_VALUE"""),"")</f>
        <v/>
      </c>
    </row>
    <row r="57">
      <c r="A57" s="1" t="str">
        <f>IFERROR(__xludf.DUMMYFUNCTION("""COMPUTED_VALUE"""),"")</f>
        <v/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 t="str">
        <f>IFERROR(__xludf.DUMMYFUNCTION("""COMPUTED_VALUE"""),"")</f>
        <v/>
      </c>
    </row>
    <row r="58">
      <c r="A58" s="1" t="str">
        <f>IFERROR(__xludf.DUMMYFUNCTION("""COMPUTED_VALUE"""),"")</f>
        <v/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 t="str">
        <f>IFERROR(__xludf.DUMMYFUNCTION("""COMPUTED_VALUE"""),"")</f>
        <v/>
      </c>
    </row>
    <row r="59">
      <c r="A59" s="1" t="str">
        <f>IFERROR(__xludf.DUMMYFUNCTION("""COMPUTED_VALUE"""),"")</f>
        <v/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 t="str">
        <f>IFERROR(__xludf.DUMMYFUNCTION("""COMPUTED_VALUE"""),"")</f>
        <v/>
      </c>
    </row>
    <row r="60">
      <c r="A60" s="1" t="str">
        <f>IFERROR(__xludf.DUMMYFUNCTION("""COMPUTED_VALUE"""),"")</f>
        <v/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 t="str">
        <f>IFERROR(__xludf.DUMMYFUNCTION("""COMPUTED_VALUE"""),"")</f>
        <v/>
      </c>
    </row>
    <row r="61">
      <c r="A61" s="1" t="str">
        <f>IFERROR(__xludf.DUMMYFUNCTION("""COMPUTED_VALUE"""),"")</f>
        <v/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 t="str">
        <f>IFERROR(__xludf.DUMMYFUNCTION("""COMPUTED_VALUE"""),"")</f>
        <v/>
      </c>
    </row>
    <row r="62">
      <c r="A62" s="1" t="str">
        <f>IFERROR(__xludf.DUMMYFUNCTION("""COMPUTED_VALUE"""),"")</f>
        <v/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 t="str">
        <f>IFERROR(__xludf.DUMMYFUNCTION("""COMPUTED_VALUE"""),"")</f>
        <v/>
      </c>
    </row>
    <row r="63">
      <c r="A63" s="1" t="str">
        <f>IFERROR(__xludf.DUMMYFUNCTION("""COMPUTED_VALUE"""),"")</f>
        <v/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 t="str">
        <f>IFERROR(__xludf.DUMMYFUNCTION("""COMPUTED_VALUE"""),"")</f>
        <v/>
      </c>
    </row>
    <row r="64">
      <c r="A64" s="1" t="str">
        <f>IFERROR(__xludf.DUMMYFUNCTION("""COMPUTED_VALUE"""),"")</f>
        <v/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 t="str">
        <f>IFERROR(__xludf.DUMMYFUNCTION("""COMPUTED_VALUE"""),"")</f>
        <v/>
      </c>
    </row>
    <row r="65">
      <c r="A65" s="1" t="str">
        <f>IFERROR(__xludf.DUMMYFUNCTION("""COMPUTED_VALUE"""),"")</f>
        <v/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 t="str">
        <f>IFERROR(__xludf.DUMMYFUNCTION("""COMPUTED_VALUE"""),"")</f>
        <v/>
      </c>
    </row>
    <row r="66">
      <c r="A66" s="1" t="str">
        <f>IFERROR(__xludf.DUMMYFUNCTION("""COMPUTED_VALUE"""),"")</f>
        <v/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 t="str">
        <f>IFERROR(__xludf.DUMMYFUNCTION("""COMPUTED_VALUE"""),"")</f>
        <v/>
      </c>
    </row>
    <row r="67">
      <c r="A67" s="1" t="str">
        <f>IFERROR(__xludf.DUMMYFUNCTION("""COMPUTED_VALUE"""),"")</f>
        <v/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 t="str">
        <f>IFERROR(__xludf.DUMMYFUNCTION("""COMPUTED_VALUE"""),"")</f>
        <v/>
      </c>
    </row>
    <row r="68">
      <c r="A68" s="1" t="str">
        <f>IFERROR(__xludf.DUMMYFUNCTION("""COMPUTED_VALUE"""),"")</f>
        <v/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 t="str">
        <f>IFERROR(__xludf.DUMMYFUNCTION("""COMPUTED_VALUE"""),"")</f>
        <v/>
      </c>
    </row>
    <row r="69">
      <c r="A69" s="1" t="str">
        <f>IFERROR(__xludf.DUMMYFUNCTION("""COMPUTED_VALUE"""),"")</f>
        <v/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 t="str">
        <f>IFERROR(__xludf.DUMMYFUNCTION("""COMPUTED_VALUE"""),"")</f>
        <v/>
      </c>
    </row>
  </sheetData>
  <drawing r:id="rId1"/>
</worksheet>
</file>